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ACCOUNTS DEPARTMENT  FOLDER/NILDS PAYSLIP DATA FILE/SALARY 2021/"/>
    </mc:Choice>
  </mc:AlternateContent>
  <xr:revisionPtr revIDLastSave="4" documentId="13_ncr:1_{903417CA-E985-4A0C-B3C3-18359FE665EB}" xr6:coauthVersionLast="47" xr6:coauthVersionMax="47" xr10:uidLastSave="{A437B9F7-123E-40E6-AC31-EA7E4D322954}"/>
  <bookViews>
    <workbookView xWindow="-810" yWindow="1020" windowWidth="28305" windowHeight="13905" xr2:uid="{00000000-000D-0000-FFFF-FFFF00000000}"/>
  </bookViews>
  <sheets>
    <sheet name="JANURAY, 2021" sheetId="1" r:id="rId1"/>
    <sheet name="TAX DIFFERENCES" sheetId="59" r:id="rId2"/>
    <sheet name="ANNUAL INCREMENT" sheetId="57" r:id="rId3"/>
    <sheet name="ARREARS" sheetId="58" r:id="rId4"/>
    <sheet name="Housing 2021" sheetId="60" r:id="rId5"/>
    <sheet name="HARDSHIP" sheetId="55" r:id="rId6"/>
    <sheet name="Welfare" sheetId="56" r:id="rId7"/>
    <sheet name="Sheet2" sheetId="53" r:id="rId8"/>
    <sheet name="MEMO" sheetId="3" r:id="rId9"/>
    <sheet name="17.9" sheetId="4" r:id="rId10"/>
    <sheet name="16.7" sheetId="5" r:id="rId11"/>
    <sheet name="Staff List for DG" sheetId="42" r:id="rId12"/>
    <sheet name="15.7.1" sheetId="6" r:id="rId13"/>
    <sheet name="13.7" sheetId="7" r:id="rId14"/>
    <sheet name="12.7" sheetId="8" r:id="rId15"/>
    <sheet name="10.7" sheetId="9" r:id="rId16"/>
    <sheet name="9.7" sheetId="10" r:id="rId17"/>
    <sheet name="8.7" sheetId="11" r:id="rId18"/>
    <sheet name="SUMMARY" sheetId="12" r:id="rId19"/>
    <sheet name="14.7" sheetId="13" r:id="rId20"/>
    <sheet name="15.7" sheetId="23" r:id="rId21"/>
    <sheet name="Basic Salary" sheetId="61" r:id="rId22"/>
    <sheet name="Noninal roll" sheetId="16" r:id="rId23"/>
  </sheets>
  <externalReferences>
    <externalReference r:id="rId24"/>
    <externalReference r:id="rId25"/>
    <externalReference r:id="rId26"/>
    <externalReference r:id="rId27"/>
  </externalReferences>
  <definedNames>
    <definedName name="_xlnm.Print_Area" localSheetId="2">'ANNUAL INCREMENT'!$A$1:$AA$162</definedName>
    <definedName name="_xlnm.Print_Area" localSheetId="3">ARREARS!$A$1:$AC$65</definedName>
    <definedName name="_xlnm.Print_Area" localSheetId="4">'Housing 2021'!$A$1:$Y$162</definedName>
    <definedName name="_xlnm.Print_Area" localSheetId="0">'JANURAY, 2021'!$A$1:$Z$162</definedName>
    <definedName name="_xlnm.Print_Area" localSheetId="8">MEMO!$A$2:$H$54</definedName>
    <definedName name="_xlnm.Print_Area" localSheetId="1">'TAX DIFFERENCES'!$A$1:$AA$162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" i="60" l="1"/>
  <c r="W99" i="1" l="1"/>
  <c r="Y87" i="60"/>
  <c r="Y50" i="60"/>
  <c r="H26" i="3"/>
  <c r="T60" i="1"/>
  <c r="U136" i="1"/>
  <c r="G48" i="3"/>
  <c r="I29" i="1"/>
  <c r="P29" i="1"/>
  <c r="Y29" i="1"/>
  <c r="P34" i="1"/>
  <c r="Q34" i="1"/>
  <c r="Y34" i="1"/>
  <c r="P48" i="1"/>
  <c r="Q48" i="1"/>
  <c r="Y48" i="1"/>
  <c r="P61" i="1"/>
  <c r="Q61" i="1"/>
  <c r="Y61" i="1"/>
  <c r="I66" i="1"/>
  <c r="P66" i="1"/>
  <c r="Q66" i="1"/>
  <c r="Y66" i="1"/>
  <c r="P77" i="1"/>
  <c r="Q77" i="1"/>
  <c r="Y77" i="1"/>
  <c r="I84" i="1"/>
  <c r="P84" i="1"/>
  <c r="Q84" i="1"/>
  <c r="Y84" i="1"/>
  <c r="I91" i="1"/>
  <c r="M91" i="1"/>
  <c r="P91" i="1"/>
  <c r="Q91" i="1"/>
  <c r="Y91" i="1"/>
  <c r="P104" i="1"/>
  <c r="Y104" i="1"/>
  <c r="P158" i="1"/>
  <c r="Q158" i="1"/>
  <c r="Y158" i="1"/>
  <c r="AH50" i="58" l="1"/>
  <c r="AG50" i="58"/>
  <c r="AI50" i="58" l="1"/>
  <c r="AJ50" i="58" s="1"/>
  <c r="W116" i="1" s="1"/>
  <c r="AH46" i="58"/>
  <c r="AI46" i="58" s="1"/>
  <c r="AJ46" i="58" s="1"/>
  <c r="AG46" i="58"/>
  <c r="AH45" i="58"/>
  <c r="AG45" i="58"/>
  <c r="AJ44" i="58"/>
  <c r="W98" i="1" s="1"/>
  <c r="AI44" i="58"/>
  <c r="AI43" i="58"/>
  <c r="AJ43" i="58" s="1"/>
  <c r="AH44" i="58"/>
  <c r="AG44" i="58"/>
  <c r="AH43" i="58"/>
  <c r="AG43" i="58"/>
  <c r="AH40" i="58"/>
  <c r="AG40" i="58"/>
  <c r="AI40" i="58" s="1"/>
  <c r="AJ40" i="58" s="1"/>
  <c r="W90" i="1" s="1"/>
  <c r="AH35" i="58"/>
  <c r="AI35" i="58" s="1"/>
  <c r="AG35" i="58"/>
  <c r="AH31" i="58"/>
  <c r="AG31" i="58"/>
  <c r="AH30" i="58"/>
  <c r="AI30" i="58" s="1"/>
  <c r="AG30" i="58"/>
  <c r="AH29" i="58"/>
  <c r="AG29" i="58"/>
  <c r="AH28" i="58"/>
  <c r="AI28" i="58" s="1"/>
  <c r="AG28" i="58"/>
  <c r="AH27" i="58"/>
  <c r="AG27" i="58"/>
  <c r="AG22" i="58"/>
  <c r="AH23" i="58"/>
  <c r="AG23" i="58"/>
  <c r="AH22" i="58"/>
  <c r="AI22" i="58" s="1"/>
  <c r="AJ22" i="58" s="1"/>
  <c r="AJ14" i="58"/>
  <c r="W47" i="1" s="1"/>
  <c r="AH14" i="58"/>
  <c r="AI14" i="58" s="1"/>
  <c r="AG14" i="58"/>
  <c r="AH12" i="58"/>
  <c r="AG12" i="58"/>
  <c r="AH9" i="58"/>
  <c r="AG9" i="58"/>
  <c r="AI17" i="58"/>
  <c r="AH17" i="58"/>
  <c r="AG17" i="58"/>
  <c r="AI18" i="58"/>
  <c r="AJ18" i="58" s="1"/>
  <c r="W57" i="1" s="1"/>
  <c r="AH18" i="58"/>
  <c r="AG18" i="58"/>
  <c r="W71" i="1" l="1"/>
  <c r="W97" i="1"/>
  <c r="W101" i="1"/>
  <c r="W100" i="1"/>
  <c r="AI12" i="58"/>
  <c r="AI23" i="58"/>
  <c r="AJ23" i="58" s="1"/>
  <c r="W65" i="1" s="1"/>
  <c r="W66" i="1" s="1"/>
  <c r="AI27" i="58"/>
  <c r="AJ27" i="58" s="1"/>
  <c r="AI29" i="58"/>
  <c r="AI31" i="58"/>
  <c r="AJ31" i="58" s="1"/>
  <c r="W76" i="1" s="1"/>
  <c r="AI9" i="58"/>
  <c r="AJ9" i="58" s="1"/>
  <c r="W26" i="1" s="1"/>
  <c r="AI45" i="58"/>
  <c r="AJ45" i="58" s="1"/>
  <c r="AJ47" i="58" s="1"/>
  <c r="C159" i="1"/>
  <c r="AJ24" i="58" l="1"/>
  <c r="W70" i="1"/>
  <c r="AJ32" i="58"/>
  <c r="AJ63" i="58" s="1"/>
  <c r="H29" i="3" s="1"/>
  <c r="H27" i="3"/>
  <c r="V136" i="1" l="1"/>
  <c r="V131" i="1"/>
  <c r="V129" i="1"/>
  <c r="V127" i="1"/>
  <c r="V121" i="1"/>
  <c r="V119" i="1"/>
  <c r="V114" i="1"/>
  <c r="V113" i="1"/>
  <c r="V112" i="1"/>
  <c r="V110" i="1"/>
  <c r="V101" i="1"/>
  <c r="V100" i="1"/>
  <c r="V98" i="1"/>
  <c r="V97" i="1"/>
  <c r="V96" i="1"/>
  <c r="V94" i="1"/>
  <c r="V89" i="1"/>
  <c r="V88" i="1"/>
  <c r="V83" i="1"/>
  <c r="V80" i="1"/>
  <c r="V75" i="1"/>
  <c r="V10" i="1"/>
  <c r="V65" i="1"/>
  <c r="V66" i="1" s="1"/>
  <c r="V71" i="1"/>
  <c r="V59" i="1"/>
  <c r="V61" i="1" s="1"/>
  <c r="V73" i="1"/>
  <c r="V47" i="1"/>
  <c r="V46" i="1"/>
  <c r="V41" i="1"/>
  <c r="V32" i="1"/>
  <c r="V34" i="1" s="1"/>
  <c r="V26" i="1"/>
  <c r="V22" i="1"/>
  <c r="V18" i="1"/>
  <c r="V16" i="1"/>
  <c r="V11" i="1"/>
  <c r="V84" i="1" l="1"/>
  <c r="V91" i="1"/>
  <c r="V48" i="1"/>
  <c r="V77" i="1"/>
  <c r="V104" i="1"/>
  <c r="D34" i="61"/>
  <c r="B8" i="61"/>
  <c r="D7" i="61"/>
  <c r="D6" i="61"/>
  <c r="D5" i="61"/>
  <c r="S58" i="58" l="1"/>
  <c r="S57" i="58"/>
  <c r="S56" i="58"/>
  <c r="S55" i="58"/>
  <c r="S54" i="58"/>
  <c r="S53" i="58"/>
  <c r="S52" i="58"/>
  <c r="E75" i="1"/>
  <c r="S35" i="58"/>
  <c r="S30" i="58"/>
  <c r="S29" i="58"/>
  <c r="S12" i="58"/>
  <c r="E72" i="1"/>
  <c r="E74" i="1"/>
  <c r="E81" i="1"/>
  <c r="E42" i="1" l="1"/>
  <c r="E73" i="1"/>
  <c r="E137" i="1" l="1"/>
  <c r="E136" i="1"/>
  <c r="E135" i="1"/>
  <c r="E134" i="1"/>
  <c r="E133" i="1"/>
  <c r="E132" i="1"/>
  <c r="E131" i="1"/>
  <c r="Y157" i="60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I157" i="60"/>
  <c r="G157" i="60"/>
  <c r="F157" i="60"/>
  <c r="O157" i="60" s="1"/>
  <c r="T156" i="60"/>
  <c r="S156" i="60"/>
  <c r="N156" i="60"/>
  <c r="F156" i="60"/>
  <c r="I156" i="60" s="1"/>
  <c r="S155" i="60"/>
  <c r="W155" i="60" s="1"/>
  <c r="N155" i="60"/>
  <c r="I155" i="60"/>
  <c r="F155" i="60"/>
  <c r="T154" i="60"/>
  <c r="S154" i="60"/>
  <c r="N154" i="60"/>
  <c r="K154" i="60"/>
  <c r="H154" i="60"/>
  <c r="F154" i="60"/>
  <c r="L154" i="60" s="1"/>
  <c r="T153" i="60"/>
  <c r="S153" i="60"/>
  <c r="N153" i="60"/>
  <c r="L153" i="60"/>
  <c r="I153" i="60"/>
  <c r="F153" i="60"/>
  <c r="M153" i="60" s="1"/>
  <c r="T152" i="60"/>
  <c r="S152" i="60"/>
  <c r="N152" i="60"/>
  <c r="F152" i="60"/>
  <c r="M152" i="60" s="1"/>
  <c r="T151" i="60"/>
  <c r="S151" i="60"/>
  <c r="N151" i="60"/>
  <c r="L151" i="60"/>
  <c r="G151" i="60"/>
  <c r="F151" i="60"/>
  <c r="O151" i="60" s="1"/>
  <c r="T150" i="60"/>
  <c r="S150" i="60"/>
  <c r="N150" i="60"/>
  <c r="F150" i="60"/>
  <c r="I150" i="60" s="1"/>
  <c r="S149" i="60"/>
  <c r="W149" i="60" s="1"/>
  <c r="N149" i="60"/>
  <c r="F149" i="60"/>
  <c r="I149" i="60" s="1"/>
  <c r="T148" i="60"/>
  <c r="S148" i="60"/>
  <c r="N148" i="60"/>
  <c r="F148" i="60"/>
  <c r="L148" i="60" s="1"/>
  <c r="T147" i="60"/>
  <c r="S147" i="60"/>
  <c r="N147" i="60"/>
  <c r="L147" i="60"/>
  <c r="F147" i="60"/>
  <c r="M147" i="60" s="1"/>
  <c r="S146" i="60"/>
  <c r="W146" i="60" s="1"/>
  <c r="N146" i="60"/>
  <c r="F146" i="60"/>
  <c r="M146" i="60" s="1"/>
  <c r="T145" i="60"/>
  <c r="S145" i="60"/>
  <c r="N145" i="60"/>
  <c r="F145" i="60"/>
  <c r="M145" i="60" s="1"/>
  <c r="T144" i="60"/>
  <c r="S144" i="60"/>
  <c r="N144" i="60"/>
  <c r="F144" i="60"/>
  <c r="T143" i="60"/>
  <c r="S143" i="60"/>
  <c r="W143" i="60" s="1"/>
  <c r="N143" i="60"/>
  <c r="K143" i="60"/>
  <c r="F143" i="60"/>
  <c r="M143" i="60" s="1"/>
  <c r="T142" i="60"/>
  <c r="S142" i="60"/>
  <c r="N142" i="60"/>
  <c r="F142" i="60"/>
  <c r="T141" i="60"/>
  <c r="S141" i="60"/>
  <c r="N141" i="60"/>
  <c r="F141" i="60"/>
  <c r="O141" i="60" s="1"/>
  <c r="T140" i="60"/>
  <c r="S140" i="60"/>
  <c r="N140" i="60"/>
  <c r="F140" i="60"/>
  <c r="M141" i="60" s="1"/>
  <c r="T139" i="60"/>
  <c r="S139" i="60"/>
  <c r="N139" i="60"/>
  <c r="M139" i="60"/>
  <c r="F139" i="60"/>
  <c r="L139" i="60" s="1"/>
  <c r="T138" i="60"/>
  <c r="S138" i="60"/>
  <c r="N138" i="60"/>
  <c r="F138" i="60"/>
  <c r="L138" i="60" s="1"/>
  <c r="T137" i="60"/>
  <c r="W137" i="60" s="1"/>
  <c r="S137" i="60"/>
  <c r="O137" i="60"/>
  <c r="N137" i="60"/>
  <c r="M137" i="60"/>
  <c r="H137" i="60"/>
  <c r="F137" i="60"/>
  <c r="K137" i="60" s="1"/>
  <c r="U136" i="60"/>
  <c r="T136" i="60"/>
  <c r="S136" i="60"/>
  <c r="N136" i="60"/>
  <c r="H136" i="60"/>
  <c r="G136" i="60"/>
  <c r="F136" i="60"/>
  <c r="M136" i="60" s="1"/>
  <c r="T135" i="60"/>
  <c r="W135" i="60" s="1"/>
  <c r="N135" i="60"/>
  <c r="L135" i="60"/>
  <c r="F135" i="60"/>
  <c r="W134" i="60"/>
  <c r="T134" i="60"/>
  <c r="S134" i="60"/>
  <c r="N134" i="60"/>
  <c r="M134" i="60"/>
  <c r="H134" i="60"/>
  <c r="F134" i="60"/>
  <c r="L134" i="60" s="1"/>
  <c r="T133" i="60"/>
  <c r="S133" i="60"/>
  <c r="N133" i="60"/>
  <c r="L133" i="60"/>
  <c r="I133" i="60"/>
  <c r="F133" i="60"/>
  <c r="T132" i="60"/>
  <c r="S132" i="60"/>
  <c r="O132" i="60"/>
  <c r="N132" i="60"/>
  <c r="H132" i="60"/>
  <c r="F132" i="60"/>
  <c r="M132" i="60" s="1"/>
  <c r="U131" i="60"/>
  <c r="T131" i="60"/>
  <c r="S131" i="60"/>
  <c r="N131" i="60"/>
  <c r="M131" i="60"/>
  <c r="H131" i="60"/>
  <c r="F131" i="60"/>
  <c r="L131" i="60" s="1"/>
  <c r="V130" i="60"/>
  <c r="S130" i="60"/>
  <c r="N130" i="60"/>
  <c r="I130" i="60"/>
  <c r="G130" i="60"/>
  <c r="F130" i="60"/>
  <c r="M130" i="60" s="1"/>
  <c r="U129" i="60"/>
  <c r="T129" i="60"/>
  <c r="N129" i="60"/>
  <c r="F129" i="60"/>
  <c r="L129" i="60" s="1"/>
  <c r="S128" i="60"/>
  <c r="W128" i="60" s="1"/>
  <c r="N128" i="60"/>
  <c r="L128" i="60"/>
  <c r="F128" i="60"/>
  <c r="U127" i="60"/>
  <c r="S127" i="60"/>
  <c r="O127" i="60"/>
  <c r="N127" i="60"/>
  <c r="H127" i="60"/>
  <c r="F127" i="60"/>
  <c r="M127" i="60" s="1"/>
  <c r="T126" i="60"/>
  <c r="S126" i="60"/>
  <c r="N126" i="60"/>
  <c r="F126" i="60"/>
  <c r="L126" i="60" s="1"/>
  <c r="T125" i="60"/>
  <c r="W125" i="60" s="1"/>
  <c r="N125" i="60"/>
  <c r="F125" i="60"/>
  <c r="L125" i="60" s="1"/>
  <c r="T124" i="60"/>
  <c r="W124" i="60" s="1"/>
  <c r="N124" i="60"/>
  <c r="F124" i="60"/>
  <c r="W123" i="60"/>
  <c r="N123" i="60"/>
  <c r="M123" i="60"/>
  <c r="K123" i="60"/>
  <c r="F123" i="60"/>
  <c r="O123" i="60" s="1"/>
  <c r="W122" i="60"/>
  <c r="N122" i="60"/>
  <c r="F122" i="60"/>
  <c r="L122" i="60" s="1"/>
  <c r="U121" i="60"/>
  <c r="T121" i="60"/>
  <c r="S121" i="60"/>
  <c r="N121" i="60"/>
  <c r="L121" i="60"/>
  <c r="F121" i="60"/>
  <c r="T120" i="60"/>
  <c r="S120" i="60"/>
  <c r="N120" i="60"/>
  <c r="F120" i="60"/>
  <c r="L120" i="60" s="1"/>
  <c r="V119" i="60"/>
  <c r="U119" i="60"/>
  <c r="T119" i="60"/>
  <c r="S119" i="60"/>
  <c r="N119" i="60"/>
  <c r="F119" i="60"/>
  <c r="T118" i="60"/>
  <c r="S118" i="60"/>
  <c r="W118" i="60" s="1"/>
  <c r="N118" i="60"/>
  <c r="K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N114" i="60"/>
  <c r="F114" i="60"/>
  <c r="L114" i="60" s="1"/>
  <c r="V113" i="60"/>
  <c r="U113" i="60"/>
  <c r="T113" i="60"/>
  <c r="N113" i="60"/>
  <c r="K113" i="60"/>
  <c r="F113" i="60"/>
  <c r="O113" i="60" s="1"/>
  <c r="V112" i="60"/>
  <c r="T112" i="60"/>
  <c r="S112" i="60"/>
  <c r="O112" i="60"/>
  <c r="N112" i="60"/>
  <c r="K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O110" i="60"/>
  <c r="N110" i="60"/>
  <c r="L110" i="60"/>
  <c r="I110" i="60"/>
  <c r="H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M104" i="60"/>
  <c r="G104" i="60"/>
  <c r="G105" i="60" s="1"/>
  <c r="F104" i="60"/>
  <c r="H104" i="60" s="1"/>
  <c r="W103" i="60"/>
  <c r="S103" i="60"/>
  <c r="N103" i="60"/>
  <c r="F103" i="60"/>
  <c r="T102" i="60"/>
  <c r="W102" i="60" s="1"/>
  <c r="S102" i="60"/>
  <c r="O102" i="60"/>
  <c r="N102" i="60"/>
  <c r="M102" i="60"/>
  <c r="K102" i="60"/>
  <c r="I102" i="60"/>
  <c r="H102" i="60"/>
  <c r="F102" i="60"/>
  <c r="L102" i="60" s="1"/>
  <c r="V101" i="60"/>
  <c r="U101" i="60"/>
  <c r="T101" i="60"/>
  <c r="S101" i="60"/>
  <c r="O101" i="60"/>
  <c r="N101" i="60"/>
  <c r="L101" i="60"/>
  <c r="H101" i="60"/>
  <c r="F101" i="60"/>
  <c r="M101" i="60" s="1"/>
  <c r="V100" i="60"/>
  <c r="U100" i="60"/>
  <c r="T100" i="60"/>
  <c r="S100" i="60"/>
  <c r="Q100" i="60"/>
  <c r="N100" i="60"/>
  <c r="M100" i="60"/>
  <c r="F100" i="60"/>
  <c r="I100" i="60" s="1"/>
  <c r="V99" i="60"/>
  <c r="T99" i="60"/>
  <c r="S99" i="60"/>
  <c r="N99" i="60"/>
  <c r="F99" i="60"/>
  <c r="M99" i="60" s="1"/>
  <c r="V98" i="60"/>
  <c r="U98" i="60"/>
  <c r="T98" i="60"/>
  <c r="S98" i="60"/>
  <c r="Q98" i="60"/>
  <c r="N98" i="60"/>
  <c r="J98" i="60"/>
  <c r="F98" i="60"/>
  <c r="M98" i="60" s="1"/>
  <c r="V97" i="60"/>
  <c r="U97" i="60"/>
  <c r="T97" i="60"/>
  <c r="S97" i="60"/>
  <c r="N97" i="60"/>
  <c r="J97" i="60"/>
  <c r="F97" i="60"/>
  <c r="M97" i="60" s="1"/>
  <c r="U96" i="60"/>
  <c r="T96" i="60"/>
  <c r="S96" i="60"/>
  <c r="N96" i="60"/>
  <c r="F96" i="60"/>
  <c r="V95" i="60"/>
  <c r="T95" i="60"/>
  <c r="S95" i="60"/>
  <c r="W95" i="60" s="1"/>
  <c r="Q95" i="60"/>
  <c r="N95" i="60"/>
  <c r="F95" i="60"/>
  <c r="K95" i="60" s="1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K90" i="60"/>
  <c r="H90" i="60"/>
  <c r="F90" i="60"/>
  <c r="O90" i="60" s="1"/>
  <c r="V89" i="60"/>
  <c r="U89" i="60"/>
  <c r="T89" i="60"/>
  <c r="F89" i="60"/>
  <c r="K89" i="60" s="1"/>
  <c r="U88" i="60"/>
  <c r="T88" i="60"/>
  <c r="L88" i="60"/>
  <c r="F88" i="60"/>
  <c r="V87" i="60"/>
  <c r="W87" i="60" s="1"/>
  <c r="S87" i="60"/>
  <c r="K87" i="60"/>
  <c r="F87" i="60"/>
  <c r="L87" i="60" s="1"/>
  <c r="Q84" i="60"/>
  <c r="P84" i="60"/>
  <c r="J84" i="60"/>
  <c r="U83" i="60"/>
  <c r="S83" i="60"/>
  <c r="L83" i="60"/>
  <c r="H83" i="60"/>
  <c r="G83" i="60"/>
  <c r="G84" i="60" s="1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F81" i="60"/>
  <c r="M81" i="60" s="1"/>
  <c r="U80" i="60"/>
  <c r="K80" i="60"/>
  <c r="F80" i="60"/>
  <c r="M80" i="60" s="1"/>
  <c r="Q77" i="60"/>
  <c r="P77" i="60"/>
  <c r="V76" i="60"/>
  <c r="S76" i="60"/>
  <c r="N76" i="60"/>
  <c r="I76" i="60"/>
  <c r="F76" i="60"/>
  <c r="M76" i="60" s="1"/>
  <c r="U75" i="60"/>
  <c r="S75" i="60"/>
  <c r="N75" i="60"/>
  <c r="F75" i="60"/>
  <c r="T74" i="60"/>
  <c r="W74" i="60" s="1"/>
  <c r="S74" i="60"/>
  <c r="O74" i="60"/>
  <c r="N74" i="60"/>
  <c r="L74" i="60"/>
  <c r="H74" i="60"/>
  <c r="F74" i="60"/>
  <c r="M74" i="60" s="1"/>
  <c r="T73" i="60"/>
  <c r="S73" i="60"/>
  <c r="N73" i="60"/>
  <c r="M73" i="60"/>
  <c r="H73" i="60"/>
  <c r="F73" i="60"/>
  <c r="L73" i="60" s="1"/>
  <c r="V72" i="60"/>
  <c r="T72" i="60"/>
  <c r="S72" i="60"/>
  <c r="N72" i="60"/>
  <c r="K72" i="60"/>
  <c r="F72" i="60"/>
  <c r="M72" i="60" s="1"/>
  <c r="W71" i="60"/>
  <c r="V71" i="60"/>
  <c r="O71" i="60"/>
  <c r="N71" i="60"/>
  <c r="M71" i="60"/>
  <c r="K71" i="60"/>
  <c r="I71" i="60"/>
  <c r="H71" i="60"/>
  <c r="F71" i="60"/>
  <c r="L71" i="60" s="1"/>
  <c r="V70" i="60"/>
  <c r="V77" i="60" s="1"/>
  <c r="N70" i="60"/>
  <c r="L70" i="60"/>
  <c r="J70" i="60"/>
  <c r="J77" i="60" s="1"/>
  <c r="F70" i="60"/>
  <c r="M70" i="60" s="1"/>
  <c r="W69" i="60"/>
  <c r="N69" i="60"/>
  <c r="F69" i="60"/>
  <c r="I69" i="60" s="1"/>
  <c r="U68" i="60"/>
  <c r="T68" i="60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W63" i="60" s="1"/>
  <c r="S63" i="60"/>
  <c r="N63" i="60"/>
  <c r="F63" i="60"/>
  <c r="L63" i="60" s="1"/>
  <c r="U62" i="60"/>
  <c r="T62" i="60"/>
  <c r="S62" i="60"/>
  <c r="N62" i="60"/>
  <c r="J62" i="60"/>
  <c r="J65" i="60" s="1"/>
  <c r="F62" i="60"/>
  <c r="O62" i="60" s="1"/>
  <c r="T61" i="60"/>
  <c r="N61" i="60"/>
  <c r="F61" i="60"/>
  <c r="M61" i="60" s="1"/>
  <c r="Q58" i="60"/>
  <c r="P58" i="60"/>
  <c r="V57" i="60"/>
  <c r="U57" i="60"/>
  <c r="T57" i="60"/>
  <c r="S57" i="60"/>
  <c r="N57" i="60"/>
  <c r="I57" i="60"/>
  <c r="F57" i="60"/>
  <c r="V56" i="60"/>
  <c r="S56" i="60"/>
  <c r="N56" i="60"/>
  <c r="K56" i="60"/>
  <c r="G56" i="60"/>
  <c r="F56" i="60"/>
  <c r="M56" i="60" s="1"/>
  <c r="V55" i="60"/>
  <c r="U55" i="60"/>
  <c r="T55" i="60"/>
  <c r="S55" i="60"/>
  <c r="O55" i="60"/>
  <c r="N55" i="60"/>
  <c r="L55" i="60"/>
  <c r="F55" i="60"/>
  <c r="K55" i="60" s="1"/>
  <c r="V54" i="60"/>
  <c r="S54" i="60"/>
  <c r="W54" i="60" s="1"/>
  <c r="N54" i="60"/>
  <c r="J54" i="60"/>
  <c r="J58" i="60" s="1"/>
  <c r="H54" i="60"/>
  <c r="G54" i="60"/>
  <c r="F54" i="60"/>
  <c r="L54" i="60" s="1"/>
  <c r="W51" i="60"/>
  <c r="V51" i="60"/>
  <c r="U51" i="60"/>
  <c r="Q51" i="60"/>
  <c r="P51" i="60"/>
  <c r="J51" i="60"/>
  <c r="G51" i="60"/>
  <c r="W50" i="60"/>
  <c r="N50" i="60"/>
  <c r="N51" i="60" s="1"/>
  <c r="F50" i="60"/>
  <c r="Q47" i="60"/>
  <c r="P47" i="60"/>
  <c r="V46" i="60"/>
  <c r="U46" i="60"/>
  <c r="S46" i="60"/>
  <c r="N46" i="60"/>
  <c r="F46" i="60"/>
  <c r="M46" i="60" s="1"/>
  <c r="U45" i="60"/>
  <c r="T45" i="60"/>
  <c r="S45" i="60"/>
  <c r="N45" i="60"/>
  <c r="K45" i="60"/>
  <c r="J45" i="60"/>
  <c r="J47" i="60" s="1"/>
  <c r="H45" i="60"/>
  <c r="F45" i="60"/>
  <c r="O45" i="60" s="1"/>
  <c r="W44" i="60"/>
  <c r="N44" i="60"/>
  <c r="F44" i="60"/>
  <c r="K44" i="60" s="1"/>
  <c r="W43" i="60"/>
  <c r="N43" i="60"/>
  <c r="F43" i="60"/>
  <c r="I43" i="60" s="1"/>
  <c r="W42" i="60"/>
  <c r="N42" i="60"/>
  <c r="L42" i="60"/>
  <c r="H42" i="60"/>
  <c r="F42" i="60"/>
  <c r="M42" i="60" s="1"/>
  <c r="T41" i="60"/>
  <c r="S41" i="60"/>
  <c r="O41" i="60"/>
  <c r="N41" i="60"/>
  <c r="M41" i="60"/>
  <c r="K41" i="60"/>
  <c r="H41" i="60"/>
  <c r="F41" i="60"/>
  <c r="I41" i="60" s="1"/>
  <c r="U40" i="60"/>
  <c r="W40" i="60" s="1"/>
  <c r="N40" i="60"/>
  <c r="M40" i="60"/>
  <c r="L40" i="60"/>
  <c r="I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K38" i="60"/>
  <c r="F38" i="60"/>
  <c r="T37" i="60"/>
  <c r="N37" i="60"/>
  <c r="F37" i="60"/>
  <c r="K37" i="60" s="1"/>
  <c r="V36" i="60"/>
  <c r="V47" i="60" s="1"/>
  <c r="S36" i="60"/>
  <c r="N36" i="60"/>
  <c r="K36" i="60"/>
  <c r="F36" i="60"/>
  <c r="O36" i="60" s="1"/>
  <c r="Q33" i="60"/>
  <c r="P33" i="60"/>
  <c r="G33" i="60"/>
  <c r="V32" i="60"/>
  <c r="T32" i="60"/>
  <c r="S32" i="60"/>
  <c r="R32" i="60"/>
  <c r="N32" i="60"/>
  <c r="L32" i="60"/>
  <c r="F32" i="60"/>
  <c r="M32" i="60" s="1"/>
  <c r="V31" i="60"/>
  <c r="U31" i="60"/>
  <c r="U33" i="60" s="1"/>
  <c r="T31" i="60"/>
  <c r="T33" i="60" s="1"/>
  <c r="S31" i="60"/>
  <c r="N31" i="60"/>
  <c r="N33" i="60" s="1"/>
  <c r="L31" i="60"/>
  <c r="J31" i="60"/>
  <c r="J33" i="60" s="1"/>
  <c r="I31" i="60"/>
  <c r="F31" i="60"/>
  <c r="F33" i="60" s="1"/>
  <c r="P28" i="60"/>
  <c r="J28" i="60"/>
  <c r="U27" i="60"/>
  <c r="S27" i="60"/>
  <c r="O27" i="60"/>
  <c r="G27" i="60"/>
  <c r="F27" i="60"/>
  <c r="M27" i="60" s="1"/>
  <c r="T26" i="60"/>
  <c r="S26" i="60"/>
  <c r="W26" i="60" s="1"/>
  <c r="N26" i="60"/>
  <c r="K26" i="60"/>
  <c r="F26" i="60"/>
  <c r="M26" i="60" s="1"/>
  <c r="V25" i="60"/>
  <c r="U25" i="60"/>
  <c r="N25" i="60"/>
  <c r="F25" i="60"/>
  <c r="K25" i="60" s="1"/>
  <c r="W24" i="60"/>
  <c r="V24" i="60"/>
  <c r="S24" i="60"/>
  <c r="N24" i="60"/>
  <c r="G24" i="60"/>
  <c r="F24" i="60"/>
  <c r="L24" i="60" s="1"/>
  <c r="V23" i="60"/>
  <c r="W23" i="60" s="1"/>
  <c r="N23" i="60"/>
  <c r="G23" i="60"/>
  <c r="F23" i="60"/>
  <c r="L23" i="60" s="1"/>
  <c r="S22" i="60"/>
  <c r="W22" i="60" s="1"/>
  <c r="N22" i="60"/>
  <c r="F22" i="60"/>
  <c r="M22" i="60" s="1"/>
  <c r="U21" i="60"/>
  <c r="T21" i="60"/>
  <c r="S21" i="60"/>
  <c r="N21" i="60"/>
  <c r="L21" i="60"/>
  <c r="I21" i="60"/>
  <c r="F21" i="60"/>
  <c r="K21" i="60" s="1"/>
  <c r="T20" i="60"/>
  <c r="S20" i="60"/>
  <c r="N20" i="60"/>
  <c r="M20" i="60"/>
  <c r="F20" i="60"/>
  <c r="I20" i="60" s="1"/>
  <c r="V19" i="60"/>
  <c r="W19" i="60" s="1"/>
  <c r="Q19" i="60"/>
  <c r="N19" i="60"/>
  <c r="F19" i="60"/>
  <c r="I19" i="60" s="1"/>
  <c r="W18" i="60"/>
  <c r="V18" i="60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L16" i="60"/>
  <c r="I16" i="60"/>
  <c r="F16" i="60"/>
  <c r="K16" i="60" s="1"/>
  <c r="U15" i="60"/>
  <c r="T15" i="60"/>
  <c r="S15" i="60"/>
  <c r="Q15" i="60"/>
  <c r="N15" i="60"/>
  <c r="F15" i="60"/>
  <c r="L15" i="60" s="1"/>
  <c r="V14" i="60"/>
  <c r="W14" i="60" s="1"/>
  <c r="Q14" i="60"/>
  <c r="N14" i="60"/>
  <c r="F14" i="60"/>
  <c r="O14" i="60" s="1"/>
  <c r="T13" i="60"/>
  <c r="S13" i="60"/>
  <c r="O13" i="60"/>
  <c r="N13" i="60"/>
  <c r="F13" i="60"/>
  <c r="M13" i="60" s="1"/>
  <c r="U12" i="60"/>
  <c r="T12" i="60"/>
  <c r="S12" i="60"/>
  <c r="N12" i="60"/>
  <c r="F12" i="60"/>
  <c r="L12" i="60" s="1"/>
  <c r="U11" i="60"/>
  <c r="T11" i="60"/>
  <c r="N11" i="60"/>
  <c r="L11" i="60"/>
  <c r="H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I15" i="60" l="1"/>
  <c r="M31" i="60"/>
  <c r="M33" i="60" s="1"/>
  <c r="L36" i="60"/>
  <c r="L41" i="60"/>
  <c r="W41" i="60"/>
  <c r="I46" i="60"/>
  <c r="T65" i="60"/>
  <c r="S65" i="60"/>
  <c r="K63" i="60"/>
  <c r="T77" i="60"/>
  <c r="W76" i="60"/>
  <c r="O81" i="60"/>
  <c r="M90" i="60"/>
  <c r="H97" i="60"/>
  <c r="L97" i="60"/>
  <c r="J105" i="60"/>
  <c r="H99" i="60"/>
  <c r="O99" i="60"/>
  <c r="W101" i="60"/>
  <c r="H113" i="60"/>
  <c r="H114" i="60"/>
  <c r="M114" i="60"/>
  <c r="L118" i="60"/>
  <c r="H120" i="60"/>
  <c r="I126" i="60"/>
  <c r="I129" i="60"/>
  <c r="L130" i="60"/>
  <c r="W132" i="60"/>
  <c r="W138" i="60"/>
  <c r="H141" i="60"/>
  <c r="I146" i="60"/>
  <c r="H148" i="60"/>
  <c r="H152" i="60"/>
  <c r="W152" i="60"/>
  <c r="M154" i="60"/>
  <c r="W156" i="60"/>
  <c r="L157" i="60"/>
  <c r="M16" i="60"/>
  <c r="M21" i="60"/>
  <c r="M36" i="60"/>
  <c r="I97" i="60"/>
  <c r="I99" i="60"/>
  <c r="I114" i="60"/>
  <c r="M118" i="60"/>
  <c r="K120" i="60"/>
  <c r="W120" i="60"/>
  <c r="I122" i="60"/>
  <c r="W127" i="60"/>
  <c r="L141" i="60"/>
  <c r="L146" i="60"/>
  <c r="I148" i="60"/>
  <c r="K152" i="60"/>
  <c r="O11" i="60"/>
  <c r="G28" i="60"/>
  <c r="H36" i="60"/>
  <c r="O42" i="60"/>
  <c r="L45" i="60"/>
  <c r="O46" i="60"/>
  <c r="W56" i="60"/>
  <c r="I61" i="60"/>
  <c r="W73" i="60"/>
  <c r="I74" i="60"/>
  <c r="W75" i="60"/>
  <c r="U84" i="60"/>
  <c r="W83" i="60"/>
  <c r="T91" i="60"/>
  <c r="I90" i="60"/>
  <c r="O97" i="60"/>
  <c r="L99" i="60"/>
  <c r="I101" i="60"/>
  <c r="L113" i="60"/>
  <c r="K114" i="60"/>
  <c r="O114" i="60"/>
  <c r="H118" i="60"/>
  <c r="H123" i="60"/>
  <c r="K131" i="60"/>
  <c r="W133" i="60"/>
  <c r="K134" i="60"/>
  <c r="H139" i="60"/>
  <c r="W140" i="60"/>
  <c r="H143" i="60"/>
  <c r="W144" i="60"/>
  <c r="I147" i="60"/>
  <c r="K148" i="60"/>
  <c r="I151" i="60"/>
  <c r="W151" i="60"/>
  <c r="W153" i="60"/>
  <c r="I154" i="60"/>
  <c r="R154" i="60" s="1"/>
  <c r="K97" i="60"/>
  <c r="O120" i="60"/>
  <c r="M148" i="60"/>
  <c r="O152" i="60"/>
  <c r="W126" i="60"/>
  <c r="W139" i="60"/>
  <c r="W141" i="60"/>
  <c r="O143" i="60"/>
  <c r="W154" i="60"/>
  <c r="Y77" i="60"/>
  <c r="R41" i="60"/>
  <c r="O63" i="60"/>
  <c r="K69" i="60"/>
  <c r="M15" i="60"/>
  <c r="H22" i="60"/>
  <c r="O26" i="60"/>
  <c r="H32" i="60"/>
  <c r="L43" i="60"/>
  <c r="L44" i="60"/>
  <c r="S58" i="60"/>
  <c r="H56" i="60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R16" i="60" s="1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H55" i="60"/>
  <c r="T58" i="60"/>
  <c r="I56" i="60"/>
  <c r="N65" i="60"/>
  <c r="I63" i="60"/>
  <c r="L64" i="60"/>
  <c r="U77" i="60"/>
  <c r="W77" i="60" s="1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O43" i="60"/>
  <c r="L46" i="60"/>
  <c r="M55" i="60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111" i="60"/>
  <c r="W113" i="60"/>
  <c r="Q28" i="60"/>
  <c r="M12" i="60"/>
  <c r="I14" i="60"/>
  <c r="H15" i="60"/>
  <c r="O15" i="60"/>
  <c r="M18" i="60"/>
  <c r="O19" i="60"/>
  <c r="O20" i="60"/>
  <c r="H20" i="60"/>
  <c r="L22" i="60"/>
  <c r="O22" i="60"/>
  <c r="W27" i="60"/>
  <c r="I37" i="60"/>
  <c r="O37" i="60"/>
  <c r="H37" i="60"/>
  <c r="R37" i="60" s="1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I11" i="60"/>
  <c r="H12" i="60"/>
  <c r="O12" i="60"/>
  <c r="L14" i="60"/>
  <c r="V28" i="60"/>
  <c r="K15" i="60"/>
  <c r="K19" i="60"/>
  <c r="K20" i="60"/>
  <c r="W21" i="60"/>
  <c r="I22" i="60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I82" i="60"/>
  <c r="K82" i="60"/>
  <c r="H82" i="60"/>
  <c r="I88" i="60"/>
  <c r="H88" i="60"/>
  <c r="M88" i="60"/>
  <c r="O88" i="60"/>
  <c r="K88" i="60"/>
  <c r="M96" i="60"/>
  <c r="L96" i="60"/>
  <c r="I96" i="60"/>
  <c r="O96" i="60"/>
  <c r="K96" i="60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L20" i="60"/>
  <c r="K22" i="60"/>
  <c r="K23" i="60"/>
  <c r="O23" i="60"/>
  <c r="H23" i="60"/>
  <c r="H24" i="60"/>
  <c r="W25" i="60"/>
  <c r="I33" i="60"/>
  <c r="M50" i="60"/>
  <c r="M51" i="60" s="1"/>
  <c r="O75" i="60"/>
  <c r="K91" i="60"/>
  <c r="S47" i="60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H84" i="60" s="1"/>
  <c r="V84" i="60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R150" i="60" s="1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O125" i="60"/>
  <c r="H125" i="60"/>
  <c r="M125" i="60"/>
  <c r="O128" i="60"/>
  <c r="H128" i="60"/>
  <c r="R128" i="60" s="1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/>
  <c r="K130" i="60"/>
  <c r="I131" i="60"/>
  <c r="R131" i="60" s="1"/>
  <c r="I141" i="60"/>
  <c r="R141" i="60" s="1"/>
  <c r="K146" i="60"/>
  <c r="K147" i="60"/>
  <c r="M151" i="60"/>
  <c r="K153" i="60"/>
  <c r="M157" i="60"/>
  <c r="I109" i="60"/>
  <c r="O109" i="60"/>
  <c r="I113" i="60"/>
  <c r="R113" i="60" s="1"/>
  <c r="I117" i="60"/>
  <c r="I118" i="60"/>
  <c r="R118" i="60" s="1"/>
  <c r="I123" i="60"/>
  <c r="I127" i="60"/>
  <c r="I132" i="60"/>
  <c r="I137" i="60"/>
  <c r="R137" i="60" s="1"/>
  <c r="H151" i="60"/>
  <c r="H157" i="60"/>
  <c r="R157" i="60" s="1"/>
  <c r="AA10" i="59"/>
  <c r="AA11" i="59"/>
  <c r="AA12" i="59"/>
  <c r="AA13" i="59"/>
  <c r="AA14" i="59"/>
  <c r="AA15" i="59"/>
  <c r="AA16" i="59"/>
  <c r="AA17" i="59"/>
  <c r="AA18" i="59"/>
  <c r="AA19" i="59"/>
  <c r="AA20" i="59"/>
  <c r="AA21" i="59"/>
  <c r="AA22" i="59"/>
  <c r="AA23" i="59"/>
  <c r="AA24" i="59"/>
  <c r="AA25" i="59"/>
  <c r="AA26" i="59"/>
  <c r="AA27" i="59"/>
  <c r="AA28" i="59"/>
  <c r="AA29" i="59"/>
  <c r="AA30" i="59"/>
  <c r="AA31" i="59"/>
  <c r="AA32" i="59"/>
  <c r="AA33" i="59"/>
  <c r="AA34" i="59"/>
  <c r="AA35" i="59"/>
  <c r="AA36" i="59"/>
  <c r="AA37" i="59"/>
  <c r="AA38" i="59"/>
  <c r="AA39" i="59"/>
  <c r="AA40" i="59"/>
  <c r="AA41" i="59"/>
  <c r="AA42" i="59"/>
  <c r="AA43" i="59"/>
  <c r="AA44" i="59"/>
  <c r="AA45" i="59"/>
  <c r="AA46" i="59"/>
  <c r="AA47" i="59"/>
  <c r="AA48" i="59"/>
  <c r="AA49" i="59"/>
  <c r="AA50" i="59"/>
  <c r="AA51" i="59"/>
  <c r="AA52" i="59"/>
  <c r="AA53" i="59"/>
  <c r="AA54" i="59"/>
  <c r="AA55" i="59"/>
  <c r="AA56" i="59"/>
  <c r="AA57" i="59"/>
  <c r="AA58" i="59"/>
  <c r="AA59" i="59"/>
  <c r="AA60" i="59"/>
  <c r="AA61" i="59"/>
  <c r="AA62" i="59"/>
  <c r="AA63" i="59"/>
  <c r="AA64" i="59"/>
  <c r="AA65" i="59"/>
  <c r="AA66" i="59"/>
  <c r="AA67" i="59"/>
  <c r="AA68" i="59"/>
  <c r="AA69" i="59"/>
  <c r="AA70" i="59"/>
  <c r="AA71" i="59"/>
  <c r="AA72" i="59"/>
  <c r="AA73" i="59"/>
  <c r="AA74" i="59"/>
  <c r="AA75" i="59"/>
  <c r="AA76" i="59"/>
  <c r="AA77" i="59"/>
  <c r="AA78" i="59"/>
  <c r="AA79" i="59"/>
  <c r="AA80" i="59"/>
  <c r="AA81" i="59"/>
  <c r="AA82" i="59"/>
  <c r="AA83" i="59"/>
  <c r="AA84" i="59"/>
  <c r="AA85" i="59"/>
  <c r="AA86" i="59"/>
  <c r="AA87" i="59"/>
  <c r="AA88" i="59"/>
  <c r="AA89" i="59"/>
  <c r="AA90" i="59"/>
  <c r="AA91" i="59"/>
  <c r="AA92" i="59"/>
  <c r="AA93" i="59"/>
  <c r="AA94" i="59"/>
  <c r="AA95" i="59"/>
  <c r="AA96" i="59"/>
  <c r="AA97" i="59"/>
  <c r="AA98" i="59"/>
  <c r="AA99" i="59"/>
  <c r="AA100" i="59"/>
  <c r="AA101" i="59"/>
  <c r="AA102" i="59"/>
  <c r="AA103" i="59"/>
  <c r="AA104" i="59"/>
  <c r="AA105" i="59"/>
  <c r="AA106" i="59"/>
  <c r="AA107" i="59"/>
  <c r="AA108" i="59"/>
  <c r="AA109" i="59"/>
  <c r="AA110" i="59"/>
  <c r="AA111" i="59"/>
  <c r="AA112" i="59"/>
  <c r="AA113" i="59"/>
  <c r="AA114" i="59"/>
  <c r="AA115" i="59"/>
  <c r="AA116" i="59"/>
  <c r="AA117" i="59"/>
  <c r="AA118" i="59"/>
  <c r="AA119" i="59"/>
  <c r="AA120" i="59"/>
  <c r="AA121" i="59"/>
  <c r="AA122" i="59"/>
  <c r="AA123" i="59"/>
  <c r="AA124" i="59"/>
  <c r="AA125" i="59"/>
  <c r="AA126" i="59"/>
  <c r="AA127" i="59"/>
  <c r="AA128" i="59"/>
  <c r="AA129" i="59"/>
  <c r="AA130" i="59"/>
  <c r="AA131" i="59"/>
  <c r="AA132" i="59"/>
  <c r="AA133" i="59"/>
  <c r="AA134" i="59"/>
  <c r="AA135" i="59"/>
  <c r="AA136" i="59"/>
  <c r="AA137" i="59"/>
  <c r="AA138" i="59"/>
  <c r="AA139" i="59"/>
  <c r="AA140" i="59"/>
  <c r="AA141" i="59"/>
  <c r="AA142" i="59"/>
  <c r="AA143" i="59"/>
  <c r="AA144" i="59"/>
  <c r="AA145" i="59"/>
  <c r="AA146" i="59"/>
  <c r="AA147" i="59"/>
  <c r="AA148" i="59"/>
  <c r="AA149" i="59"/>
  <c r="AA150" i="59"/>
  <c r="AA151" i="59"/>
  <c r="AA152" i="59"/>
  <c r="AA153" i="59"/>
  <c r="AA154" i="59"/>
  <c r="AA155" i="59"/>
  <c r="AA156" i="59"/>
  <c r="AA157" i="59"/>
  <c r="AA158" i="59"/>
  <c r="AA159" i="59"/>
  <c r="AA9" i="59"/>
  <c r="W130" i="1"/>
  <c r="W119" i="1"/>
  <c r="W15" i="1"/>
  <c r="Q158" i="59"/>
  <c r="P158" i="59"/>
  <c r="T157" i="59"/>
  <c r="S157" i="59"/>
  <c r="N157" i="59"/>
  <c r="L157" i="59"/>
  <c r="G157" i="59"/>
  <c r="F157" i="59"/>
  <c r="M157" i="59" s="1"/>
  <c r="T156" i="59"/>
  <c r="S156" i="59"/>
  <c r="W156" i="59" s="1"/>
  <c r="N156" i="59"/>
  <c r="F156" i="59"/>
  <c r="S155" i="59"/>
  <c r="W155" i="59" s="1"/>
  <c r="N155" i="59"/>
  <c r="F155" i="59"/>
  <c r="T154" i="59"/>
  <c r="W154" i="59" s="1"/>
  <c r="S154" i="59"/>
  <c r="N154" i="59"/>
  <c r="F154" i="59"/>
  <c r="K154" i="59" s="1"/>
  <c r="T153" i="59"/>
  <c r="S153" i="59"/>
  <c r="W153" i="59" s="1"/>
  <c r="N153" i="59"/>
  <c r="K153" i="59"/>
  <c r="F153" i="59"/>
  <c r="M153" i="59" s="1"/>
  <c r="T152" i="59"/>
  <c r="S152" i="59"/>
  <c r="N152" i="59"/>
  <c r="F152" i="59"/>
  <c r="M152" i="59" s="1"/>
  <c r="T151" i="59"/>
  <c r="W151" i="59" s="1"/>
  <c r="S151" i="59"/>
  <c r="N151" i="59"/>
  <c r="G151" i="59"/>
  <c r="F151" i="59"/>
  <c r="M151" i="59" s="1"/>
  <c r="T150" i="59"/>
  <c r="S150" i="59"/>
  <c r="W150" i="59" s="1"/>
  <c r="N150" i="59"/>
  <c r="F150" i="59"/>
  <c r="O150" i="59" s="1"/>
  <c r="S149" i="59"/>
  <c r="W149" i="59" s="1"/>
  <c r="N149" i="59"/>
  <c r="F149" i="59"/>
  <c r="O149" i="59" s="1"/>
  <c r="T148" i="59"/>
  <c r="W148" i="59" s="1"/>
  <c r="S148" i="59"/>
  <c r="N148" i="59"/>
  <c r="F148" i="59"/>
  <c r="K148" i="59" s="1"/>
  <c r="T147" i="59"/>
  <c r="S147" i="59"/>
  <c r="W147" i="59" s="1"/>
  <c r="N147" i="59"/>
  <c r="K147" i="59"/>
  <c r="F147" i="59"/>
  <c r="M147" i="59" s="1"/>
  <c r="S146" i="59"/>
  <c r="W146" i="59" s="1"/>
  <c r="N146" i="59"/>
  <c r="F146" i="59"/>
  <c r="M146" i="59" s="1"/>
  <c r="T145" i="59"/>
  <c r="S145" i="59"/>
  <c r="N145" i="59"/>
  <c r="H145" i="59"/>
  <c r="F145" i="59"/>
  <c r="M145" i="59" s="1"/>
  <c r="T144" i="59"/>
  <c r="W144" i="59" s="1"/>
  <c r="S144" i="59"/>
  <c r="O144" i="59"/>
  <c r="N144" i="59"/>
  <c r="M144" i="59"/>
  <c r="K144" i="59"/>
  <c r="H144" i="59"/>
  <c r="F144" i="59"/>
  <c r="I144" i="59" s="1"/>
  <c r="T143" i="59"/>
  <c r="S143" i="59"/>
  <c r="W143" i="59" s="1"/>
  <c r="N143" i="59"/>
  <c r="F143" i="59"/>
  <c r="M143" i="59" s="1"/>
  <c r="T142" i="59"/>
  <c r="S142" i="59"/>
  <c r="W142" i="59" s="1"/>
  <c r="N142" i="59"/>
  <c r="H142" i="59"/>
  <c r="F142" i="59"/>
  <c r="W141" i="59"/>
  <c r="T141" i="59"/>
  <c r="S141" i="59"/>
  <c r="N141" i="59"/>
  <c r="I141" i="59"/>
  <c r="F141" i="59"/>
  <c r="K141" i="59" s="1"/>
  <c r="T140" i="59"/>
  <c r="S140" i="59"/>
  <c r="N140" i="59"/>
  <c r="F140" i="59"/>
  <c r="M141" i="59" s="1"/>
  <c r="T139" i="59"/>
  <c r="S139" i="59"/>
  <c r="W139" i="59" s="1"/>
  <c r="N139" i="59"/>
  <c r="K139" i="59"/>
  <c r="F139" i="59"/>
  <c r="M139" i="59" s="1"/>
  <c r="T138" i="59"/>
  <c r="S138" i="59"/>
  <c r="N138" i="59"/>
  <c r="F138" i="59"/>
  <c r="M138" i="59" s="1"/>
  <c r="T137" i="59"/>
  <c r="S137" i="59"/>
  <c r="N137" i="59"/>
  <c r="F137" i="59"/>
  <c r="M137" i="59" s="1"/>
  <c r="U136" i="59"/>
  <c r="T136" i="59"/>
  <c r="S136" i="59"/>
  <c r="N136" i="59"/>
  <c r="G136" i="59"/>
  <c r="F136" i="59"/>
  <c r="M136" i="59" s="1"/>
  <c r="T135" i="59"/>
  <c r="W135" i="59" s="1"/>
  <c r="N135" i="59"/>
  <c r="I135" i="59"/>
  <c r="F135" i="59"/>
  <c r="M135" i="59" s="1"/>
  <c r="T134" i="59"/>
  <c r="S134" i="59"/>
  <c r="O134" i="59"/>
  <c r="N134" i="59"/>
  <c r="L134" i="59"/>
  <c r="H134" i="59"/>
  <c r="F134" i="59"/>
  <c r="M134" i="59" s="1"/>
  <c r="T133" i="59"/>
  <c r="W133" i="59" s="1"/>
  <c r="S133" i="59"/>
  <c r="O133" i="59"/>
  <c r="N133" i="59"/>
  <c r="M133" i="59"/>
  <c r="H133" i="59"/>
  <c r="F133" i="59"/>
  <c r="L133" i="59" s="1"/>
  <c r="T132" i="59"/>
  <c r="S132" i="59"/>
  <c r="N132" i="59"/>
  <c r="F132" i="59"/>
  <c r="M132" i="59" s="1"/>
  <c r="U131" i="59"/>
  <c r="T131" i="59"/>
  <c r="S131" i="59"/>
  <c r="N131" i="59"/>
  <c r="L131" i="59"/>
  <c r="H131" i="59"/>
  <c r="F131" i="59"/>
  <c r="K131" i="59" s="1"/>
  <c r="S130" i="59"/>
  <c r="W130" i="59" s="1"/>
  <c r="N130" i="59"/>
  <c r="K130" i="59"/>
  <c r="I130" i="59"/>
  <c r="G130" i="59"/>
  <c r="G158" i="59" s="1"/>
  <c r="F130" i="59"/>
  <c r="M130" i="59" s="1"/>
  <c r="U129" i="59"/>
  <c r="W129" i="59" s="1"/>
  <c r="T129" i="59"/>
  <c r="N129" i="59"/>
  <c r="F129" i="59"/>
  <c r="L129" i="59" s="1"/>
  <c r="S128" i="59"/>
  <c r="W128" i="59" s="1"/>
  <c r="N128" i="59"/>
  <c r="F128" i="59"/>
  <c r="O128" i="59" s="1"/>
  <c r="U127" i="59"/>
  <c r="S127" i="59"/>
  <c r="N127" i="59"/>
  <c r="F127" i="59"/>
  <c r="T126" i="59"/>
  <c r="S126" i="59"/>
  <c r="N126" i="59"/>
  <c r="F126" i="59"/>
  <c r="T125" i="59"/>
  <c r="W125" i="59" s="1"/>
  <c r="N125" i="59"/>
  <c r="F125" i="59"/>
  <c r="T124" i="59"/>
  <c r="W124" i="59" s="1"/>
  <c r="N124" i="59"/>
  <c r="F124" i="59"/>
  <c r="W123" i="59"/>
  <c r="N123" i="59"/>
  <c r="F123" i="59"/>
  <c r="M123" i="59" s="1"/>
  <c r="W122" i="59"/>
  <c r="N122" i="59"/>
  <c r="I122" i="59"/>
  <c r="F122" i="59"/>
  <c r="O122" i="59" s="1"/>
  <c r="U121" i="59"/>
  <c r="T121" i="59"/>
  <c r="S121" i="59"/>
  <c r="O121" i="59"/>
  <c r="N121" i="59"/>
  <c r="F121" i="59"/>
  <c r="W120" i="59"/>
  <c r="T120" i="59"/>
  <c r="S120" i="59"/>
  <c r="N120" i="59"/>
  <c r="L120" i="59"/>
  <c r="F120" i="59"/>
  <c r="K120" i="59" s="1"/>
  <c r="U119" i="59"/>
  <c r="T119" i="59"/>
  <c r="S119" i="59"/>
  <c r="N119" i="59"/>
  <c r="F119" i="59"/>
  <c r="M119" i="59" s="1"/>
  <c r="T118" i="59"/>
  <c r="S118" i="59"/>
  <c r="N118" i="59"/>
  <c r="I118" i="59"/>
  <c r="F118" i="59"/>
  <c r="O118" i="59" s="1"/>
  <c r="T117" i="59"/>
  <c r="W117" i="59" s="1"/>
  <c r="N117" i="59"/>
  <c r="I117" i="59"/>
  <c r="F117" i="59"/>
  <c r="M117" i="59" s="1"/>
  <c r="S116" i="59"/>
  <c r="W116" i="59" s="1"/>
  <c r="N116" i="59"/>
  <c r="F116" i="59"/>
  <c r="L116" i="59" s="1"/>
  <c r="U115" i="59"/>
  <c r="T115" i="59"/>
  <c r="S115" i="59"/>
  <c r="N115" i="59"/>
  <c r="F115" i="59"/>
  <c r="H115" i="59" s="1"/>
  <c r="U114" i="59"/>
  <c r="T114" i="59"/>
  <c r="N114" i="59"/>
  <c r="L114" i="59"/>
  <c r="H114" i="59"/>
  <c r="F114" i="59"/>
  <c r="K114" i="59" s="1"/>
  <c r="U113" i="59"/>
  <c r="T113" i="59"/>
  <c r="O113" i="59"/>
  <c r="N113" i="59"/>
  <c r="L113" i="59"/>
  <c r="H113" i="59"/>
  <c r="F113" i="59"/>
  <c r="M113" i="59" s="1"/>
  <c r="T112" i="59"/>
  <c r="S112" i="59"/>
  <c r="W112" i="59" s="1"/>
  <c r="N112" i="59"/>
  <c r="M112" i="59"/>
  <c r="F112" i="59"/>
  <c r="U111" i="59"/>
  <c r="S111" i="59"/>
  <c r="O111" i="59"/>
  <c r="N111" i="59"/>
  <c r="M111" i="59"/>
  <c r="L111" i="59"/>
  <c r="K111" i="59"/>
  <c r="I111" i="59"/>
  <c r="H111" i="59"/>
  <c r="T110" i="59"/>
  <c r="S110" i="59"/>
  <c r="N110" i="59"/>
  <c r="F110" i="59"/>
  <c r="K110" i="59" s="1"/>
  <c r="S109" i="59"/>
  <c r="N109" i="59"/>
  <c r="J109" i="59"/>
  <c r="J158" i="59" s="1"/>
  <c r="F109" i="59"/>
  <c r="K109" i="59" s="1"/>
  <c r="U108" i="59"/>
  <c r="T108" i="59"/>
  <c r="O108" i="59"/>
  <c r="N108" i="59"/>
  <c r="M108" i="59"/>
  <c r="L108" i="59"/>
  <c r="K108" i="59"/>
  <c r="I108" i="59"/>
  <c r="H108" i="59"/>
  <c r="P105" i="59"/>
  <c r="S104" i="59"/>
  <c r="W104" i="59" s="1"/>
  <c r="N104" i="59"/>
  <c r="M104" i="59"/>
  <c r="G104" i="59"/>
  <c r="G105" i="59" s="1"/>
  <c r="F104" i="59"/>
  <c r="S103" i="59"/>
  <c r="W103" i="59" s="1"/>
  <c r="N103" i="59"/>
  <c r="F103" i="59"/>
  <c r="H103" i="59" s="1"/>
  <c r="W102" i="59"/>
  <c r="T102" i="59"/>
  <c r="S102" i="59"/>
  <c r="N102" i="59"/>
  <c r="L102" i="59"/>
  <c r="I102" i="59"/>
  <c r="F102" i="59"/>
  <c r="O102" i="59" s="1"/>
  <c r="U101" i="59"/>
  <c r="T101" i="59"/>
  <c r="S101" i="59"/>
  <c r="N101" i="59"/>
  <c r="I101" i="59"/>
  <c r="F101" i="59"/>
  <c r="K101" i="59" s="1"/>
  <c r="U100" i="59"/>
  <c r="T100" i="59"/>
  <c r="S100" i="59"/>
  <c r="Q100" i="59"/>
  <c r="N100" i="59"/>
  <c r="F100" i="59"/>
  <c r="K100" i="59" s="1"/>
  <c r="T99" i="59"/>
  <c r="W99" i="59" s="1"/>
  <c r="S99" i="59"/>
  <c r="N99" i="59"/>
  <c r="L99" i="59"/>
  <c r="F99" i="59"/>
  <c r="O99" i="59" s="1"/>
  <c r="U98" i="59"/>
  <c r="T98" i="59"/>
  <c r="S98" i="59"/>
  <c r="Q98" i="59"/>
  <c r="N98" i="59"/>
  <c r="J98" i="59"/>
  <c r="H98" i="59"/>
  <c r="F98" i="59"/>
  <c r="M98" i="59" s="1"/>
  <c r="U97" i="59"/>
  <c r="T97" i="59"/>
  <c r="S97" i="59"/>
  <c r="N97" i="59"/>
  <c r="J97" i="59"/>
  <c r="F97" i="59"/>
  <c r="L97" i="59" s="1"/>
  <c r="U96" i="59"/>
  <c r="T96" i="59"/>
  <c r="S96" i="59"/>
  <c r="N96" i="59"/>
  <c r="I96" i="59"/>
  <c r="F96" i="59"/>
  <c r="O96" i="59" s="1"/>
  <c r="T95" i="59"/>
  <c r="S95" i="59"/>
  <c r="W95" i="59" s="1"/>
  <c r="Q95" i="59"/>
  <c r="O95" i="59"/>
  <c r="N95" i="59"/>
  <c r="M95" i="59"/>
  <c r="I95" i="59"/>
  <c r="H95" i="59"/>
  <c r="F95" i="59"/>
  <c r="L95" i="59" s="1"/>
  <c r="U94" i="59"/>
  <c r="T94" i="59"/>
  <c r="S94" i="59"/>
  <c r="N94" i="59"/>
  <c r="J94" i="59"/>
  <c r="J105" i="59" s="1"/>
  <c r="F94" i="59"/>
  <c r="Q91" i="59"/>
  <c r="P91" i="59"/>
  <c r="N91" i="59"/>
  <c r="J91" i="59"/>
  <c r="T90" i="59"/>
  <c r="S90" i="59"/>
  <c r="F90" i="59"/>
  <c r="O90" i="59" s="1"/>
  <c r="U89" i="59"/>
  <c r="T89" i="59"/>
  <c r="F89" i="59"/>
  <c r="U88" i="59"/>
  <c r="W88" i="59" s="1"/>
  <c r="T88" i="59"/>
  <c r="T91" i="59" s="1"/>
  <c r="O88" i="59"/>
  <c r="F88" i="59"/>
  <c r="H88" i="59" s="1"/>
  <c r="S87" i="59"/>
  <c r="W87" i="59" s="1"/>
  <c r="F87" i="59"/>
  <c r="O87" i="59" s="1"/>
  <c r="Q84" i="59"/>
  <c r="P84" i="59"/>
  <c r="J84" i="59"/>
  <c r="U83" i="59"/>
  <c r="S83" i="59"/>
  <c r="W83" i="59" s="1"/>
  <c r="H83" i="59"/>
  <c r="G83" i="59"/>
  <c r="G84" i="59" s="1"/>
  <c r="F83" i="59"/>
  <c r="M83" i="59" s="1"/>
  <c r="T82" i="59"/>
  <c r="T84" i="59" s="1"/>
  <c r="S82" i="59"/>
  <c r="N82" i="59"/>
  <c r="N84" i="59" s="1"/>
  <c r="F82" i="59"/>
  <c r="L82" i="59" s="1"/>
  <c r="I81" i="59"/>
  <c r="F81" i="59"/>
  <c r="O81" i="59" s="1"/>
  <c r="U80" i="59"/>
  <c r="F80" i="59"/>
  <c r="L80" i="59" s="1"/>
  <c r="Q77" i="59"/>
  <c r="P77" i="59"/>
  <c r="S76" i="59"/>
  <c r="W76" i="59" s="1"/>
  <c r="N76" i="59"/>
  <c r="F76" i="59"/>
  <c r="L76" i="59" s="1"/>
  <c r="U75" i="59"/>
  <c r="S75" i="59"/>
  <c r="N75" i="59"/>
  <c r="F75" i="59"/>
  <c r="M75" i="59" s="1"/>
  <c r="T74" i="59"/>
  <c r="S74" i="59"/>
  <c r="N74" i="59"/>
  <c r="L74" i="59"/>
  <c r="F74" i="59"/>
  <c r="I74" i="59" s="1"/>
  <c r="T73" i="59"/>
  <c r="S73" i="59"/>
  <c r="N73" i="59"/>
  <c r="F73" i="59"/>
  <c r="O73" i="59" s="1"/>
  <c r="T72" i="59"/>
  <c r="S72" i="59"/>
  <c r="W72" i="59" s="1"/>
  <c r="N72" i="59"/>
  <c r="F72" i="59"/>
  <c r="W71" i="59"/>
  <c r="N71" i="59"/>
  <c r="F71" i="59"/>
  <c r="W70" i="59"/>
  <c r="N70" i="59"/>
  <c r="J70" i="59"/>
  <c r="J77" i="59" s="1"/>
  <c r="F70" i="59"/>
  <c r="H70" i="59" s="1"/>
  <c r="W69" i="59"/>
  <c r="N69" i="59"/>
  <c r="F69" i="59"/>
  <c r="U68" i="59"/>
  <c r="T68" i="59"/>
  <c r="T77" i="59" s="1"/>
  <c r="O68" i="59"/>
  <c r="N68" i="59"/>
  <c r="M68" i="59"/>
  <c r="L68" i="59"/>
  <c r="K68" i="59"/>
  <c r="I68" i="59"/>
  <c r="H68" i="59"/>
  <c r="Q65" i="59"/>
  <c r="P65" i="59"/>
  <c r="U64" i="59"/>
  <c r="T64" i="59"/>
  <c r="S64" i="59"/>
  <c r="N64" i="59"/>
  <c r="F64" i="59"/>
  <c r="L64" i="59" s="1"/>
  <c r="T63" i="59"/>
  <c r="S63" i="59"/>
  <c r="N63" i="59"/>
  <c r="F63" i="59"/>
  <c r="K63" i="59" s="1"/>
  <c r="U62" i="59"/>
  <c r="T62" i="59"/>
  <c r="S62" i="59"/>
  <c r="N62" i="59"/>
  <c r="J62" i="59"/>
  <c r="J65" i="59" s="1"/>
  <c r="F62" i="59"/>
  <c r="T61" i="59"/>
  <c r="N61" i="59"/>
  <c r="F61" i="59"/>
  <c r="Q58" i="59"/>
  <c r="P58" i="59"/>
  <c r="U57" i="59"/>
  <c r="T57" i="59"/>
  <c r="S57" i="59"/>
  <c r="N57" i="59"/>
  <c r="F57" i="59"/>
  <c r="M57" i="59" s="1"/>
  <c r="S56" i="59"/>
  <c r="W56" i="59" s="1"/>
  <c r="N56" i="59"/>
  <c r="G56" i="59"/>
  <c r="F56" i="59"/>
  <c r="M56" i="59" s="1"/>
  <c r="U55" i="59"/>
  <c r="T55" i="59"/>
  <c r="S55" i="59"/>
  <c r="N55" i="59"/>
  <c r="I55" i="59"/>
  <c r="F55" i="59"/>
  <c r="L55" i="59" s="1"/>
  <c r="S54" i="59"/>
  <c r="W54" i="59" s="1"/>
  <c r="O54" i="59"/>
  <c r="N54" i="59"/>
  <c r="J54" i="59"/>
  <c r="J58" i="59" s="1"/>
  <c r="I54" i="59"/>
  <c r="G54" i="59"/>
  <c r="G58" i="59" s="1"/>
  <c r="F54" i="59"/>
  <c r="M54" i="59" s="1"/>
  <c r="U51" i="59"/>
  <c r="Q51" i="59"/>
  <c r="P51" i="59"/>
  <c r="J51" i="59"/>
  <c r="G51" i="59"/>
  <c r="W50" i="59"/>
  <c r="W51" i="59" s="1"/>
  <c r="N50" i="59"/>
  <c r="N51" i="59" s="1"/>
  <c r="F50" i="59"/>
  <c r="K50" i="59" s="1"/>
  <c r="K51" i="59" s="1"/>
  <c r="Q47" i="59"/>
  <c r="P47" i="59"/>
  <c r="U46" i="59"/>
  <c r="S46" i="59"/>
  <c r="N46" i="59"/>
  <c r="L46" i="59"/>
  <c r="F46" i="59"/>
  <c r="I46" i="59" s="1"/>
  <c r="U45" i="59"/>
  <c r="T45" i="59"/>
  <c r="S45" i="59"/>
  <c r="N45" i="59"/>
  <c r="J45" i="59"/>
  <c r="J47" i="59" s="1"/>
  <c r="F45" i="59"/>
  <c r="H45" i="59" s="1"/>
  <c r="W44" i="59"/>
  <c r="N44" i="59"/>
  <c r="F44" i="59"/>
  <c r="M44" i="59" s="1"/>
  <c r="W43" i="59"/>
  <c r="N43" i="59"/>
  <c r="F43" i="59"/>
  <c r="M43" i="59" s="1"/>
  <c r="W42" i="59"/>
  <c r="N42" i="59"/>
  <c r="F42" i="59"/>
  <c r="O42" i="59" s="1"/>
  <c r="T41" i="59"/>
  <c r="S41" i="59"/>
  <c r="W41" i="59" s="1"/>
  <c r="N41" i="59"/>
  <c r="F41" i="59"/>
  <c r="U40" i="59"/>
  <c r="W40" i="59" s="1"/>
  <c r="N40" i="59"/>
  <c r="F40" i="59"/>
  <c r="T39" i="59"/>
  <c r="S39" i="59"/>
  <c r="O39" i="59"/>
  <c r="N39" i="59"/>
  <c r="M39" i="59"/>
  <c r="L39" i="59"/>
  <c r="K39" i="59"/>
  <c r="I39" i="59"/>
  <c r="H39" i="59"/>
  <c r="T38" i="59"/>
  <c r="S38" i="59"/>
  <c r="N38" i="59"/>
  <c r="H38" i="59"/>
  <c r="F38" i="59"/>
  <c r="O38" i="59" s="1"/>
  <c r="W37" i="59"/>
  <c r="T37" i="59"/>
  <c r="N37" i="59"/>
  <c r="F37" i="59"/>
  <c r="O37" i="59" s="1"/>
  <c r="W36" i="59"/>
  <c r="S36" i="59"/>
  <c r="N36" i="59"/>
  <c r="F36" i="59"/>
  <c r="L36" i="59" s="1"/>
  <c r="Q33" i="59"/>
  <c r="P33" i="59"/>
  <c r="G33" i="59"/>
  <c r="T32" i="59"/>
  <c r="S32" i="59"/>
  <c r="R32" i="59"/>
  <c r="N32" i="59"/>
  <c r="M32" i="59"/>
  <c r="F32" i="59"/>
  <c r="O32" i="59" s="1"/>
  <c r="U31" i="59"/>
  <c r="U33" i="59" s="1"/>
  <c r="T31" i="59"/>
  <c r="S31" i="59"/>
  <c r="N31" i="59"/>
  <c r="N33" i="59" s="1"/>
  <c r="J31" i="59"/>
  <c r="J33" i="59" s="1"/>
  <c r="F31" i="59"/>
  <c r="F33" i="59" s="1"/>
  <c r="P28" i="59"/>
  <c r="J28" i="59"/>
  <c r="U27" i="59"/>
  <c r="S27" i="59"/>
  <c r="G27" i="59"/>
  <c r="F27" i="59"/>
  <c r="O27" i="59" s="1"/>
  <c r="T26" i="59"/>
  <c r="S26" i="59"/>
  <c r="W26" i="59" s="1"/>
  <c r="N26" i="59"/>
  <c r="F26" i="59"/>
  <c r="M26" i="59" s="1"/>
  <c r="U25" i="59"/>
  <c r="W25" i="59" s="1"/>
  <c r="N25" i="59"/>
  <c r="F25" i="59"/>
  <c r="S24" i="59"/>
  <c r="W24" i="59" s="1"/>
  <c r="N24" i="59"/>
  <c r="G24" i="59"/>
  <c r="F24" i="59"/>
  <c r="K24" i="59" s="1"/>
  <c r="W23" i="59"/>
  <c r="N23" i="59"/>
  <c r="G23" i="59"/>
  <c r="F23" i="59"/>
  <c r="M23" i="59" s="1"/>
  <c r="S22" i="59"/>
  <c r="W22" i="59" s="1"/>
  <c r="N22" i="59"/>
  <c r="F22" i="59"/>
  <c r="M22" i="59" s="1"/>
  <c r="U21" i="59"/>
  <c r="T21" i="59"/>
  <c r="S21" i="59"/>
  <c r="N21" i="59"/>
  <c r="F21" i="59"/>
  <c r="O21" i="59" s="1"/>
  <c r="T20" i="59"/>
  <c r="S20" i="59"/>
  <c r="W20" i="59" s="1"/>
  <c r="N20" i="59"/>
  <c r="F20" i="59"/>
  <c r="M20" i="59" s="1"/>
  <c r="W19" i="59"/>
  <c r="Q19" i="59"/>
  <c r="N19" i="59"/>
  <c r="F19" i="59"/>
  <c r="H19" i="59" s="1"/>
  <c r="W18" i="59"/>
  <c r="Q18" i="59"/>
  <c r="O18" i="59"/>
  <c r="F18" i="59"/>
  <c r="H18" i="59" s="1"/>
  <c r="U17" i="59"/>
  <c r="W17" i="59" s="1"/>
  <c r="O17" i="59"/>
  <c r="N17" i="59"/>
  <c r="M17" i="59"/>
  <c r="L17" i="59"/>
  <c r="K17" i="59"/>
  <c r="I17" i="59"/>
  <c r="H17" i="59"/>
  <c r="T16" i="59"/>
  <c r="W16" i="59" s="1"/>
  <c r="N16" i="59"/>
  <c r="F16" i="59"/>
  <c r="U15" i="59"/>
  <c r="T15" i="59"/>
  <c r="S15" i="59"/>
  <c r="Q15" i="59"/>
  <c r="N15" i="59"/>
  <c r="F15" i="59"/>
  <c r="M15" i="59" s="1"/>
  <c r="W14" i="59"/>
  <c r="Q14" i="59"/>
  <c r="N14" i="59"/>
  <c r="F14" i="59"/>
  <c r="M14" i="59" s="1"/>
  <c r="T13" i="59"/>
  <c r="S13" i="59"/>
  <c r="N13" i="59"/>
  <c r="F13" i="59"/>
  <c r="M13" i="59" s="1"/>
  <c r="U12" i="59"/>
  <c r="T12" i="59"/>
  <c r="S12" i="59"/>
  <c r="N12" i="59"/>
  <c r="F12" i="59"/>
  <c r="M12" i="59" s="1"/>
  <c r="U11" i="59"/>
  <c r="T11" i="59"/>
  <c r="N11" i="59"/>
  <c r="F11" i="59"/>
  <c r="H11" i="59" s="1"/>
  <c r="U10" i="59"/>
  <c r="S10" i="59"/>
  <c r="Q10" i="59"/>
  <c r="Q28" i="59" s="1"/>
  <c r="O10" i="59"/>
  <c r="N10" i="59"/>
  <c r="M10" i="59"/>
  <c r="L10" i="59"/>
  <c r="K10" i="59"/>
  <c r="I10" i="59"/>
  <c r="H10" i="59"/>
  <c r="W9" i="59"/>
  <c r="N9" i="59"/>
  <c r="I4" i="59"/>
  <c r="F4" i="59"/>
  <c r="T132" i="1"/>
  <c r="T133" i="1"/>
  <c r="T134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50" i="1"/>
  <c r="T152" i="1"/>
  <c r="T155" i="1"/>
  <c r="T156" i="1"/>
  <c r="U153" i="1"/>
  <c r="U152" i="1"/>
  <c r="U150" i="1"/>
  <c r="T148" i="1"/>
  <c r="U148" i="1"/>
  <c r="U145" i="1"/>
  <c r="U143" i="1"/>
  <c r="U142" i="1"/>
  <c r="U141" i="1"/>
  <c r="U139" i="1"/>
  <c r="U138" i="1"/>
  <c r="T131" i="1"/>
  <c r="T128" i="1"/>
  <c r="T126" i="1"/>
  <c r="U124" i="1"/>
  <c r="U119" i="1"/>
  <c r="U115" i="1"/>
  <c r="T100" i="1"/>
  <c r="T101" i="1"/>
  <c r="U100" i="1"/>
  <c r="T99" i="1"/>
  <c r="T98" i="1"/>
  <c r="T76" i="1"/>
  <c r="U58" i="1"/>
  <c r="W46" i="59" l="1"/>
  <c r="W10" i="59"/>
  <c r="W55" i="59"/>
  <c r="W84" i="60"/>
  <c r="K13" i="59"/>
  <c r="I15" i="59"/>
  <c r="L24" i="59"/>
  <c r="L27" i="59"/>
  <c r="I32" i="59"/>
  <c r="I36" i="59"/>
  <c r="I57" i="59"/>
  <c r="S91" i="59"/>
  <c r="L96" i="59"/>
  <c r="I110" i="59"/>
  <c r="L128" i="59"/>
  <c r="K146" i="59"/>
  <c r="K105" i="60"/>
  <c r="R11" i="60"/>
  <c r="R55" i="60"/>
  <c r="R63" i="60"/>
  <c r="L13" i="59"/>
  <c r="W27" i="59"/>
  <c r="W31" i="59"/>
  <c r="M36" i="59"/>
  <c r="K57" i="59"/>
  <c r="O57" i="59"/>
  <c r="N77" i="59"/>
  <c r="W82" i="59"/>
  <c r="M96" i="59"/>
  <c r="O103" i="59"/>
  <c r="H109" i="59"/>
  <c r="L110" i="59"/>
  <c r="H120" i="59"/>
  <c r="W127" i="59"/>
  <c r="M131" i="59"/>
  <c r="W132" i="59"/>
  <c r="K133" i="59"/>
  <c r="K134" i="59"/>
  <c r="H136" i="59"/>
  <c r="W137" i="59"/>
  <c r="K140" i="59"/>
  <c r="L144" i="59"/>
  <c r="L145" i="59"/>
  <c r="I148" i="59"/>
  <c r="I154" i="59"/>
  <c r="W157" i="59"/>
  <c r="R132" i="60"/>
  <c r="R125" i="60"/>
  <c r="R24" i="60"/>
  <c r="L84" i="60"/>
  <c r="M58" i="60"/>
  <c r="O24" i="59"/>
  <c r="L57" i="59"/>
  <c r="M110" i="59"/>
  <c r="R98" i="60"/>
  <c r="R115" i="60"/>
  <c r="R89" i="60"/>
  <c r="R23" i="60"/>
  <c r="O91" i="60"/>
  <c r="R20" i="60"/>
  <c r="R56" i="60"/>
  <c r="R69" i="60"/>
  <c r="H13" i="59"/>
  <c r="O13" i="59"/>
  <c r="I14" i="59"/>
  <c r="I22" i="59"/>
  <c r="G28" i="59"/>
  <c r="I27" i="59"/>
  <c r="H36" i="59"/>
  <c r="O36" i="59"/>
  <c r="H37" i="59"/>
  <c r="W38" i="59"/>
  <c r="K54" i="59"/>
  <c r="K56" i="59"/>
  <c r="H57" i="59"/>
  <c r="W63" i="59"/>
  <c r="W74" i="59"/>
  <c r="I80" i="59"/>
  <c r="K96" i="59"/>
  <c r="K98" i="59"/>
  <c r="H110" i="59"/>
  <c r="K113" i="59"/>
  <c r="I114" i="59"/>
  <c r="W114" i="59"/>
  <c r="L118" i="59"/>
  <c r="L122" i="59"/>
  <c r="I128" i="59"/>
  <c r="I131" i="59"/>
  <c r="I138" i="59"/>
  <c r="W140" i="59"/>
  <c r="O145" i="59"/>
  <c r="I146" i="59"/>
  <c r="R123" i="60"/>
  <c r="R45" i="60"/>
  <c r="R62" i="60"/>
  <c r="S159" i="60"/>
  <c r="R19" i="60"/>
  <c r="R22" i="60"/>
  <c r="R12" i="60"/>
  <c r="R15" i="60"/>
  <c r="R139" i="60"/>
  <c r="R43" i="60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57" i="59"/>
  <c r="U58" i="59"/>
  <c r="W105" i="60"/>
  <c r="W98" i="59"/>
  <c r="W28" i="60"/>
  <c r="U159" i="60"/>
  <c r="W12" i="59"/>
  <c r="W21" i="59"/>
  <c r="W75" i="59"/>
  <c r="W15" i="59"/>
  <c r="W115" i="59"/>
  <c r="W119" i="59"/>
  <c r="W121" i="59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K159" i="60" s="1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L159" i="60" s="1"/>
  <c r="O158" i="60"/>
  <c r="W158" i="60"/>
  <c r="L105" i="60"/>
  <c r="W91" i="60"/>
  <c r="I47" i="60"/>
  <c r="N159" i="60"/>
  <c r="F159" i="60"/>
  <c r="O47" i="60"/>
  <c r="W13" i="59"/>
  <c r="K22" i="59"/>
  <c r="I23" i="59"/>
  <c r="H24" i="59"/>
  <c r="K27" i="59"/>
  <c r="S33" i="59"/>
  <c r="L32" i="59"/>
  <c r="S47" i="59"/>
  <c r="W45" i="59"/>
  <c r="W47" i="59" s="1"/>
  <c r="K46" i="59"/>
  <c r="H55" i="59"/>
  <c r="T58" i="59"/>
  <c r="I56" i="59"/>
  <c r="F58" i="59"/>
  <c r="U65" i="59"/>
  <c r="O64" i="59"/>
  <c r="K74" i="59"/>
  <c r="O76" i="59"/>
  <c r="H80" i="59"/>
  <c r="K81" i="59"/>
  <c r="M82" i="59"/>
  <c r="U91" i="59"/>
  <c r="W91" i="59" s="1"/>
  <c r="T105" i="59"/>
  <c r="M99" i="59"/>
  <c r="H101" i="59"/>
  <c r="K102" i="59"/>
  <c r="O110" i="59"/>
  <c r="R110" i="59" s="1"/>
  <c r="W113" i="59"/>
  <c r="M114" i="59"/>
  <c r="M116" i="59"/>
  <c r="H117" i="59"/>
  <c r="O117" i="59"/>
  <c r="K118" i="59"/>
  <c r="W118" i="59"/>
  <c r="O119" i="59"/>
  <c r="I120" i="59"/>
  <c r="K122" i="59"/>
  <c r="K128" i="59"/>
  <c r="M129" i="59"/>
  <c r="O131" i="59"/>
  <c r="R131" i="59" s="1"/>
  <c r="I133" i="59"/>
  <c r="R133" i="59" s="1"/>
  <c r="K135" i="59"/>
  <c r="I136" i="59"/>
  <c r="H138" i="59"/>
  <c r="O138" i="59"/>
  <c r="L139" i="59"/>
  <c r="I140" i="59"/>
  <c r="H141" i="59"/>
  <c r="K145" i="59"/>
  <c r="I147" i="59"/>
  <c r="H148" i="59"/>
  <c r="L152" i="59"/>
  <c r="I153" i="59"/>
  <c r="H154" i="59"/>
  <c r="I21" i="59"/>
  <c r="O23" i="59"/>
  <c r="I31" i="59"/>
  <c r="I33" i="59" s="1"/>
  <c r="R39" i="59"/>
  <c r="I42" i="59"/>
  <c r="M46" i="59"/>
  <c r="N58" i="59"/>
  <c r="M55" i="59"/>
  <c r="M58" i="59" s="1"/>
  <c r="L56" i="59"/>
  <c r="I63" i="59"/>
  <c r="H64" i="59"/>
  <c r="W68" i="59"/>
  <c r="I73" i="59"/>
  <c r="W73" i="59"/>
  <c r="M74" i="59"/>
  <c r="I75" i="59"/>
  <c r="H76" i="59"/>
  <c r="M80" i="59"/>
  <c r="H82" i="59"/>
  <c r="O82" i="59"/>
  <c r="I83" i="59"/>
  <c r="W90" i="59"/>
  <c r="Q105" i="59"/>
  <c r="W97" i="59"/>
  <c r="L98" i="59"/>
  <c r="L101" i="59"/>
  <c r="M102" i="59"/>
  <c r="W110" i="59"/>
  <c r="O114" i="59"/>
  <c r="H116" i="59"/>
  <c r="O116" i="59"/>
  <c r="K117" i="59"/>
  <c r="R117" i="59" s="1"/>
  <c r="Y117" i="59" s="1"/>
  <c r="M118" i="59"/>
  <c r="H119" i="59"/>
  <c r="M120" i="59"/>
  <c r="M122" i="59"/>
  <c r="W126" i="59"/>
  <c r="M128" i="59"/>
  <c r="H129" i="59"/>
  <c r="O129" i="59"/>
  <c r="W131" i="59"/>
  <c r="O136" i="59"/>
  <c r="K138" i="59"/>
  <c r="W138" i="59"/>
  <c r="O139" i="59"/>
  <c r="L141" i="59"/>
  <c r="L148" i="59"/>
  <c r="O152" i="59"/>
  <c r="L154" i="59"/>
  <c r="Q159" i="59"/>
  <c r="K21" i="59"/>
  <c r="K42" i="59"/>
  <c r="I64" i="59"/>
  <c r="W64" i="59"/>
  <c r="K73" i="59"/>
  <c r="K75" i="59"/>
  <c r="I76" i="59"/>
  <c r="I82" i="59"/>
  <c r="M101" i="59"/>
  <c r="I116" i="59"/>
  <c r="L117" i="59"/>
  <c r="K119" i="59"/>
  <c r="I129" i="59"/>
  <c r="L138" i="59"/>
  <c r="M148" i="59"/>
  <c r="L151" i="59"/>
  <c r="M154" i="59"/>
  <c r="R138" i="59"/>
  <c r="Y138" i="59" s="1"/>
  <c r="R10" i="59"/>
  <c r="U28" i="59"/>
  <c r="K14" i="59"/>
  <c r="K15" i="59"/>
  <c r="O19" i="59"/>
  <c r="L21" i="59"/>
  <c r="H27" i="59"/>
  <c r="W39" i="59"/>
  <c r="Y39" i="59" s="1"/>
  <c r="L42" i="59"/>
  <c r="H46" i="59"/>
  <c r="O46" i="59"/>
  <c r="U47" i="59"/>
  <c r="H54" i="59"/>
  <c r="O55" i="59"/>
  <c r="O56" i="59"/>
  <c r="W62" i="59"/>
  <c r="M64" i="59"/>
  <c r="L73" i="59"/>
  <c r="H74" i="59"/>
  <c r="O74" i="59"/>
  <c r="M76" i="59"/>
  <c r="K82" i="59"/>
  <c r="I97" i="59"/>
  <c r="I99" i="59"/>
  <c r="W100" i="59"/>
  <c r="H102" i="59"/>
  <c r="R108" i="59"/>
  <c r="W111" i="59"/>
  <c r="K116" i="59"/>
  <c r="H118" i="59"/>
  <c r="R118" i="59" s="1"/>
  <c r="Y118" i="59" s="1"/>
  <c r="L119" i="59"/>
  <c r="O120" i="59"/>
  <c r="R120" i="59" s="1"/>
  <c r="Y120" i="59" s="1"/>
  <c r="H122" i="59"/>
  <c r="H128" i="59"/>
  <c r="K129" i="59"/>
  <c r="W136" i="59"/>
  <c r="H139" i="59"/>
  <c r="O141" i="59"/>
  <c r="W145" i="59"/>
  <c r="H152" i="59"/>
  <c r="M21" i="59"/>
  <c r="H23" i="59"/>
  <c r="G159" i="59"/>
  <c r="J159" i="59"/>
  <c r="O31" i="59"/>
  <c r="O33" i="59" s="1"/>
  <c r="T33" i="59"/>
  <c r="M42" i="59"/>
  <c r="I58" i="59"/>
  <c r="H56" i="59"/>
  <c r="M73" i="59"/>
  <c r="S105" i="59"/>
  <c r="O101" i="59"/>
  <c r="R122" i="59"/>
  <c r="Y122" i="59" s="1"/>
  <c r="O148" i="59"/>
  <c r="K152" i="59"/>
  <c r="O154" i="59"/>
  <c r="Y10" i="59"/>
  <c r="O62" i="59"/>
  <c r="I62" i="59"/>
  <c r="H62" i="59"/>
  <c r="K62" i="59"/>
  <c r="M62" i="59"/>
  <c r="L62" i="59"/>
  <c r="L71" i="59"/>
  <c r="K71" i="59"/>
  <c r="I71" i="59"/>
  <c r="M71" i="59"/>
  <c r="O71" i="59"/>
  <c r="H71" i="59"/>
  <c r="M45" i="59"/>
  <c r="F28" i="59"/>
  <c r="K11" i="59"/>
  <c r="I11" i="59"/>
  <c r="M11" i="59"/>
  <c r="L11" i="59"/>
  <c r="I20" i="59"/>
  <c r="O20" i="59"/>
  <c r="H20" i="59"/>
  <c r="L20" i="59"/>
  <c r="K20" i="59"/>
  <c r="W32" i="59"/>
  <c r="Y32" i="59" s="1"/>
  <c r="K41" i="59"/>
  <c r="I41" i="59"/>
  <c r="O41" i="59"/>
  <c r="H41" i="59"/>
  <c r="L41" i="59"/>
  <c r="L89" i="59"/>
  <c r="K89" i="59"/>
  <c r="I89" i="59"/>
  <c r="M89" i="59"/>
  <c r="O89" i="59"/>
  <c r="O91" i="59" s="1"/>
  <c r="H89" i="59"/>
  <c r="U158" i="59"/>
  <c r="W108" i="59"/>
  <c r="Y108" i="59" s="1"/>
  <c r="K16" i="59"/>
  <c r="I16" i="59"/>
  <c r="O16" i="59"/>
  <c r="H16" i="59"/>
  <c r="L16" i="59"/>
  <c r="P159" i="59"/>
  <c r="K40" i="59"/>
  <c r="I40" i="59"/>
  <c r="O40" i="59"/>
  <c r="H40" i="59"/>
  <c r="L40" i="59"/>
  <c r="M41" i="59"/>
  <c r="R41" i="59" s="1"/>
  <c r="Y41" i="59" s="1"/>
  <c r="F91" i="59"/>
  <c r="F105" i="59"/>
  <c r="O94" i="59"/>
  <c r="I94" i="59"/>
  <c r="H94" i="59"/>
  <c r="K94" i="59"/>
  <c r="M94" i="59"/>
  <c r="L94" i="59"/>
  <c r="R17" i="59"/>
  <c r="Y17" i="59" s="1"/>
  <c r="O45" i="59"/>
  <c r="K45" i="59"/>
  <c r="I45" i="59"/>
  <c r="L45" i="59"/>
  <c r="O11" i="59"/>
  <c r="K25" i="59"/>
  <c r="I25" i="59"/>
  <c r="O25" i="59"/>
  <c r="H25" i="59"/>
  <c r="L25" i="59"/>
  <c r="R9" i="59"/>
  <c r="N28" i="59"/>
  <c r="T28" i="59"/>
  <c r="S28" i="59"/>
  <c r="M16" i="59"/>
  <c r="M25" i="59"/>
  <c r="F47" i="59"/>
  <c r="L37" i="59"/>
  <c r="K37" i="59"/>
  <c r="I37" i="59"/>
  <c r="M37" i="59"/>
  <c r="L38" i="59"/>
  <c r="K38" i="59"/>
  <c r="I38" i="59"/>
  <c r="M38" i="59"/>
  <c r="M40" i="59"/>
  <c r="K44" i="59"/>
  <c r="I44" i="59"/>
  <c r="O44" i="59"/>
  <c r="H44" i="59"/>
  <c r="L44" i="59"/>
  <c r="I61" i="59"/>
  <c r="O61" i="59"/>
  <c r="H61" i="59"/>
  <c r="L61" i="59"/>
  <c r="F65" i="59"/>
  <c r="K61" i="59"/>
  <c r="M61" i="59"/>
  <c r="I12" i="59"/>
  <c r="O12" i="59"/>
  <c r="H12" i="59"/>
  <c r="L12" i="59"/>
  <c r="K12" i="59"/>
  <c r="K26" i="59"/>
  <c r="I26" i="59"/>
  <c r="O26" i="59"/>
  <c r="H26" i="59"/>
  <c r="L26" i="59"/>
  <c r="L18" i="59"/>
  <c r="K18" i="59"/>
  <c r="I18" i="59"/>
  <c r="M18" i="59"/>
  <c r="K19" i="59"/>
  <c r="I19" i="59"/>
  <c r="M19" i="59"/>
  <c r="L19" i="59"/>
  <c r="K43" i="59"/>
  <c r="I43" i="59"/>
  <c r="O43" i="59"/>
  <c r="H43" i="59"/>
  <c r="L43" i="59"/>
  <c r="I69" i="59"/>
  <c r="O69" i="59"/>
  <c r="H69" i="59"/>
  <c r="F77" i="59"/>
  <c r="L69" i="59"/>
  <c r="K69" i="59"/>
  <c r="M69" i="59"/>
  <c r="L72" i="59"/>
  <c r="K72" i="59"/>
  <c r="I72" i="59"/>
  <c r="M72" i="59"/>
  <c r="O72" i="59"/>
  <c r="H72" i="59"/>
  <c r="W81" i="59"/>
  <c r="W11" i="59"/>
  <c r="I13" i="59"/>
  <c r="R13" i="59" s="1"/>
  <c r="Y13" i="59" s="1"/>
  <c r="H14" i="59"/>
  <c r="O14" i="59"/>
  <c r="H15" i="59"/>
  <c r="O15" i="59"/>
  <c r="H22" i="59"/>
  <c r="O22" i="59"/>
  <c r="M24" i="59"/>
  <c r="H31" i="59"/>
  <c r="K32" i="59"/>
  <c r="N47" i="59"/>
  <c r="S65" i="59"/>
  <c r="O70" i="59"/>
  <c r="I70" i="59"/>
  <c r="L70" i="59"/>
  <c r="I84" i="59"/>
  <c r="H87" i="59"/>
  <c r="L88" i="59"/>
  <c r="K88" i="59"/>
  <c r="I88" i="59"/>
  <c r="M88" i="59"/>
  <c r="W101" i="59"/>
  <c r="T158" i="59"/>
  <c r="L115" i="59"/>
  <c r="K115" i="59"/>
  <c r="I115" i="59"/>
  <c r="M115" i="59"/>
  <c r="O115" i="59"/>
  <c r="L124" i="59"/>
  <c r="K124" i="59"/>
  <c r="I124" i="59"/>
  <c r="M124" i="59"/>
  <c r="O124" i="59"/>
  <c r="H124" i="59"/>
  <c r="Y133" i="59"/>
  <c r="L156" i="59"/>
  <c r="K156" i="59"/>
  <c r="I156" i="59"/>
  <c r="M156" i="59"/>
  <c r="O156" i="59"/>
  <c r="H156" i="59"/>
  <c r="U105" i="59"/>
  <c r="L14" i="59"/>
  <c r="L15" i="59"/>
  <c r="L22" i="59"/>
  <c r="K23" i="59"/>
  <c r="I24" i="59"/>
  <c r="M27" i="59"/>
  <c r="R27" i="59" s="1"/>
  <c r="Y27" i="59" s="1"/>
  <c r="K31" i="59"/>
  <c r="K36" i="59"/>
  <c r="F51" i="59"/>
  <c r="M50" i="59"/>
  <c r="M51" i="59" s="1"/>
  <c r="L50" i="59"/>
  <c r="L51" i="59" s="1"/>
  <c r="O50" i="59"/>
  <c r="O51" i="59" s="1"/>
  <c r="H50" i="59"/>
  <c r="O58" i="59"/>
  <c r="R68" i="59"/>
  <c r="K70" i="59"/>
  <c r="U77" i="59"/>
  <c r="U84" i="59"/>
  <c r="W80" i="59"/>
  <c r="S84" i="59"/>
  <c r="K90" i="59"/>
  <c r="I90" i="59"/>
  <c r="H90" i="59"/>
  <c r="L90" i="59"/>
  <c r="R114" i="59"/>
  <c r="Y114" i="59" s="1"/>
  <c r="L126" i="59"/>
  <c r="K126" i="59"/>
  <c r="I126" i="59"/>
  <c r="M126" i="59"/>
  <c r="O126" i="59"/>
  <c r="H126" i="59"/>
  <c r="K143" i="59"/>
  <c r="I143" i="59"/>
  <c r="O143" i="59"/>
  <c r="H143" i="59"/>
  <c r="L143" i="59"/>
  <c r="L155" i="59"/>
  <c r="K155" i="59"/>
  <c r="I155" i="59"/>
  <c r="M155" i="59"/>
  <c r="O155" i="59"/>
  <c r="H155" i="59"/>
  <c r="H21" i="59"/>
  <c r="L23" i="59"/>
  <c r="L31" i="59"/>
  <c r="L33" i="59" s="1"/>
  <c r="H32" i="59"/>
  <c r="T47" i="59"/>
  <c r="H42" i="59"/>
  <c r="I50" i="59"/>
  <c r="I51" i="59" s="1"/>
  <c r="H58" i="59"/>
  <c r="S58" i="59"/>
  <c r="N65" i="59"/>
  <c r="M63" i="59"/>
  <c r="L63" i="59"/>
  <c r="O63" i="59"/>
  <c r="H63" i="59"/>
  <c r="R63" i="59" s="1"/>
  <c r="Y63" i="59" s="1"/>
  <c r="M70" i="59"/>
  <c r="S77" i="59"/>
  <c r="M90" i="59"/>
  <c r="W96" i="59"/>
  <c r="L125" i="59"/>
  <c r="K125" i="59"/>
  <c r="I125" i="59"/>
  <c r="M125" i="59"/>
  <c r="O125" i="59"/>
  <c r="H125" i="59"/>
  <c r="M31" i="59"/>
  <c r="M33" i="59" s="1"/>
  <c r="T65" i="59"/>
  <c r="W61" i="59"/>
  <c r="L87" i="59"/>
  <c r="K87" i="59"/>
  <c r="I87" i="59"/>
  <c r="M87" i="59"/>
  <c r="H75" i="59"/>
  <c r="O75" i="59"/>
  <c r="O80" i="59"/>
  <c r="H81" i="59"/>
  <c r="H84" i="59" s="1"/>
  <c r="O83" i="59"/>
  <c r="F84" i="59"/>
  <c r="W89" i="59"/>
  <c r="H97" i="59"/>
  <c r="I100" i="59"/>
  <c r="R111" i="59"/>
  <c r="Y111" i="59" s="1"/>
  <c r="R116" i="59"/>
  <c r="Y116" i="59" s="1"/>
  <c r="L142" i="59"/>
  <c r="K142" i="59"/>
  <c r="I142" i="59"/>
  <c r="M142" i="59"/>
  <c r="W152" i="59"/>
  <c r="L54" i="59"/>
  <c r="L58" i="59" s="1"/>
  <c r="K55" i="59"/>
  <c r="K64" i="59"/>
  <c r="L75" i="59"/>
  <c r="K76" i="59"/>
  <c r="R76" i="59" s="1"/>
  <c r="Y76" i="59" s="1"/>
  <c r="K80" i="59"/>
  <c r="L81" i="59"/>
  <c r="K83" i="59"/>
  <c r="N105" i="59"/>
  <c r="K95" i="59"/>
  <c r="R95" i="59" s="1"/>
  <c r="Y95" i="59" s="1"/>
  <c r="L121" i="59"/>
  <c r="K121" i="59"/>
  <c r="R121" i="59"/>
  <c r="I121" i="59"/>
  <c r="M121" i="59"/>
  <c r="K127" i="59"/>
  <c r="I127" i="59"/>
  <c r="O127" i="59"/>
  <c r="H127" i="59"/>
  <c r="L127" i="59"/>
  <c r="O142" i="59"/>
  <c r="L149" i="59"/>
  <c r="K149" i="59"/>
  <c r="I149" i="59"/>
  <c r="M149" i="59"/>
  <c r="L150" i="59"/>
  <c r="K150" i="59"/>
  <c r="I150" i="59"/>
  <c r="M150" i="59"/>
  <c r="I157" i="59"/>
  <c r="O157" i="59"/>
  <c r="H157" i="59"/>
  <c r="K157" i="59"/>
  <c r="H73" i="59"/>
  <c r="M81" i="59"/>
  <c r="M84" i="59" s="1"/>
  <c r="L83" i="59"/>
  <c r="W94" i="59"/>
  <c r="H96" i="59"/>
  <c r="R96" i="59" s="1"/>
  <c r="L103" i="59"/>
  <c r="K103" i="59"/>
  <c r="I103" i="59"/>
  <c r="M103" i="59"/>
  <c r="K104" i="59"/>
  <c r="I104" i="59"/>
  <c r="O104" i="59"/>
  <c r="H104" i="59"/>
  <c r="L104" i="59"/>
  <c r="F158" i="59"/>
  <c r="S158" i="59"/>
  <c r="W109" i="59"/>
  <c r="K112" i="59"/>
  <c r="I112" i="59"/>
  <c r="O112" i="59"/>
  <c r="H112" i="59"/>
  <c r="L112" i="59"/>
  <c r="H121" i="59"/>
  <c r="K123" i="59"/>
  <c r="I123" i="59"/>
  <c r="O123" i="59"/>
  <c r="H123" i="59"/>
  <c r="R123" i="59" s="1"/>
  <c r="Y123" i="59" s="1"/>
  <c r="L123" i="59"/>
  <c r="M127" i="59"/>
  <c r="K132" i="59"/>
  <c r="I132" i="59"/>
  <c r="O132" i="59"/>
  <c r="H132" i="59"/>
  <c r="L132" i="59"/>
  <c r="W134" i="59"/>
  <c r="R144" i="59"/>
  <c r="Y144" i="59" s="1"/>
  <c r="H149" i="59"/>
  <c r="H150" i="59"/>
  <c r="I151" i="59"/>
  <c r="O151" i="59"/>
  <c r="H151" i="59"/>
  <c r="K151" i="59"/>
  <c r="K97" i="59"/>
  <c r="M97" i="59"/>
  <c r="O97" i="59"/>
  <c r="M100" i="59"/>
  <c r="L100" i="59"/>
  <c r="O100" i="59"/>
  <c r="H100" i="59"/>
  <c r="N158" i="59"/>
  <c r="R129" i="59"/>
  <c r="Y129" i="59" s="1"/>
  <c r="K137" i="59"/>
  <c r="I137" i="59"/>
  <c r="O137" i="59"/>
  <c r="H137" i="59"/>
  <c r="L137" i="59"/>
  <c r="I98" i="59"/>
  <c r="O98" i="59"/>
  <c r="K99" i="59"/>
  <c r="I109" i="59"/>
  <c r="O109" i="59"/>
  <c r="I113" i="59"/>
  <c r="R113" i="59" s="1"/>
  <c r="I119" i="59"/>
  <c r="H130" i="59"/>
  <c r="O130" i="59"/>
  <c r="I134" i="59"/>
  <c r="R134" i="59" s="1"/>
  <c r="H135" i="59"/>
  <c r="O135" i="59"/>
  <c r="I139" i="59"/>
  <c r="H140" i="59"/>
  <c r="O140" i="59"/>
  <c r="I145" i="59"/>
  <c r="R145" i="59" s="1"/>
  <c r="Y145" i="59" s="1"/>
  <c r="H146" i="59"/>
  <c r="O146" i="59"/>
  <c r="H147" i="59"/>
  <c r="O147" i="59"/>
  <c r="I152" i="59"/>
  <c r="H153" i="59"/>
  <c r="O153" i="59"/>
  <c r="L109" i="59"/>
  <c r="L130" i="59"/>
  <c r="L135" i="59"/>
  <c r="K136" i="59"/>
  <c r="R136" i="59" s="1"/>
  <c r="L140" i="59"/>
  <c r="L146" i="59"/>
  <c r="L147" i="59"/>
  <c r="L153" i="59"/>
  <c r="H99" i="59"/>
  <c r="M109" i="59"/>
  <c r="L136" i="59"/>
  <c r="M140" i="59"/>
  <c r="I98" i="1"/>
  <c r="I97" i="1"/>
  <c r="I70" i="1"/>
  <c r="E70" i="1"/>
  <c r="I71" i="1"/>
  <c r="U59" i="1"/>
  <c r="T46" i="1"/>
  <c r="T37" i="1"/>
  <c r="T28" i="1"/>
  <c r="Y121" i="59" l="1"/>
  <c r="W28" i="59"/>
  <c r="R99" i="59"/>
  <c r="Y99" i="59" s="1"/>
  <c r="R104" i="59"/>
  <c r="Y104" i="59" s="1"/>
  <c r="R142" i="59"/>
  <c r="Y142" i="59" s="1"/>
  <c r="R38" i="59"/>
  <c r="Y38" i="59" s="1"/>
  <c r="I47" i="59"/>
  <c r="R62" i="59"/>
  <c r="R148" i="59"/>
  <c r="Y148" i="59" s="1"/>
  <c r="Y110" i="59"/>
  <c r="R57" i="59"/>
  <c r="Y57" i="59" s="1"/>
  <c r="R23" i="59"/>
  <c r="Y23" i="59" s="1"/>
  <c r="R82" i="59"/>
  <c r="Y82" i="59" s="1"/>
  <c r="R139" i="59"/>
  <c r="Y139" i="59" s="1"/>
  <c r="O159" i="60"/>
  <c r="I77" i="1"/>
  <c r="R140" i="59"/>
  <c r="Y140" i="59" s="1"/>
  <c r="R132" i="59"/>
  <c r="Y132" i="59" s="1"/>
  <c r="R149" i="59"/>
  <c r="Y149" i="59" s="1"/>
  <c r="R156" i="59"/>
  <c r="Y156" i="59" s="1"/>
  <c r="R19" i="59"/>
  <c r="Y19" i="59" s="1"/>
  <c r="R56" i="59"/>
  <c r="Y56" i="59" s="1"/>
  <c r="R127" i="59"/>
  <c r="Y127" i="59" s="1"/>
  <c r="R90" i="59"/>
  <c r="Y90" i="59" s="1"/>
  <c r="H47" i="59"/>
  <c r="R20" i="59"/>
  <c r="Y20" i="59" s="1"/>
  <c r="R128" i="59"/>
  <c r="Y128" i="59" s="1"/>
  <c r="R101" i="59"/>
  <c r="R141" i="59"/>
  <c r="Y141" i="59" s="1"/>
  <c r="M159" i="60"/>
  <c r="Y131" i="59"/>
  <c r="W65" i="59"/>
  <c r="W77" i="59"/>
  <c r="Y62" i="59"/>
  <c r="W84" i="59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L84" i="59"/>
  <c r="R103" i="59"/>
  <c r="Y103" i="59" s="1"/>
  <c r="Y136" i="59"/>
  <c r="R137" i="59"/>
  <c r="Y137" i="59" s="1"/>
  <c r="R97" i="59"/>
  <c r="Y97" i="59" s="1"/>
  <c r="Y96" i="59"/>
  <c r="R64" i="59"/>
  <c r="Y64" i="59" s="1"/>
  <c r="M91" i="59"/>
  <c r="R124" i="59"/>
  <c r="Y124" i="59" s="1"/>
  <c r="R72" i="59"/>
  <c r="Y72" i="59" s="1"/>
  <c r="I77" i="59"/>
  <c r="R18" i="59"/>
  <c r="Y18" i="59" s="1"/>
  <c r="O65" i="59"/>
  <c r="R45" i="59"/>
  <c r="Y45" i="59" s="1"/>
  <c r="I28" i="59"/>
  <c r="R102" i="59"/>
  <c r="Y102" i="59" s="1"/>
  <c r="R154" i="59"/>
  <c r="Y154" i="59" s="1"/>
  <c r="R152" i="59"/>
  <c r="R112" i="59"/>
  <c r="Y112" i="59" s="1"/>
  <c r="R55" i="59"/>
  <c r="Y55" i="59" s="1"/>
  <c r="R143" i="59"/>
  <c r="Y143" i="59" s="1"/>
  <c r="U159" i="59"/>
  <c r="R24" i="59"/>
  <c r="Y24" i="59" s="1"/>
  <c r="R14" i="59"/>
  <c r="Y14" i="59" s="1"/>
  <c r="K28" i="59"/>
  <c r="M65" i="59"/>
  <c r="R25" i="59"/>
  <c r="Y25" i="59" s="1"/>
  <c r="R40" i="59"/>
  <c r="Y40" i="59" s="1"/>
  <c r="R11" i="59"/>
  <c r="Y11" i="59" s="1"/>
  <c r="R74" i="59"/>
  <c r="Y74" i="59" s="1"/>
  <c r="R155" i="59"/>
  <c r="Y155" i="59" s="1"/>
  <c r="R88" i="59"/>
  <c r="Y88" i="59" s="1"/>
  <c r="R12" i="59"/>
  <c r="Y12" i="59" s="1"/>
  <c r="R37" i="59"/>
  <c r="Y37" i="59" s="1"/>
  <c r="T159" i="59"/>
  <c r="H105" i="59"/>
  <c r="L77" i="59"/>
  <c r="R70" i="59"/>
  <c r="Y70" i="59" s="1"/>
  <c r="R119" i="59"/>
  <c r="Y119" i="59" s="1"/>
  <c r="K77" i="59"/>
  <c r="R43" i="59"/>
  <c r="Y43" i="59" s="1"/>
  <c r="L47" i="59"/>
  <c r="R89" i="59"/>
  <c r="Y89" i="59" s="1"/>
  <c r="L28" i="59"/>
  <c r="R71" i="59"/>
  <c r="Y71" i="59" s="1"/>
  <c r="R46" i="59"/>
  <c r="Y46" i="59" s="1"/>
  <c r="R151" i="59"/>
  <c r="Y151" i="59" s="1"/>
  <c r="R54" i="59"/>
  <c r="R100" i="59"/>
  <c r="Y100" i="59" s="1"/>
  <c r="R150" i="59"/>
  <c r="Y150" i="59" s="1"/>
  <c r="R125" i="59"/>
  <c r="Y125" i="59" s="1"/>
  <c r="Y113" i="59"/>
  <c r="R81" i="59"/>
  <c r="Y81" i="59" s="1"/>
  <c r="R21" i="59"/>
  <c r="Y21" i="59" s="1"/>
  <c r="R126" i="59"/>
  <c r="Y126" i="59" s="1"/>
  <c r="R115" i="59"/>
  <c r="Y115" i="59" s="1"/>
  <c r="R15" i="59"/>
  <c r="Y15" i="59" s="1"/>
  <c r="O77" i="59"/>
  <c r="R26" i="59"/>
  <c r="Y26" i="59" s="1"/>
  <c r="R44" i="59"/>
  <c r="Y44" i="59" s="1"/>
  <c r="O47" i="59"/>
  <c r="L158" i="59"/>
  <c r="R98" i="59"/>
  <c r="Y98" i="59" s="1"/>
  <c r="K158" i="59"/>
  <c r="R73" i="59"/>
  <c r="Y73" i="59" s="1"/>
  <c r="M158" i="59"/>
  <c r="R157" i="59"/>
  <c r="Y157" i="59" s="1"/>
  <c r="R42" i="59"/>
  <c r="Y42" i="59" s="1"/>
  <c r="M77" i="59"/>
  <c r="Y152" i="59"/>
  <c r="Y134" i="59"/>
  <c r="R83" i="59"/>
  <c r="Y83" i="59" s="1"/>
  <c r="Y68" i="59"/>
  <c r="H28" i="59"/>
  <c r="R75" i="59"/>
  <c r="Y75" i="59" s="1"/>
  <c r="L91" i="59"/>
  <c r="H33" i="59"/>
  <c r="R31" i="59"/>
  <c r="H77" i="59"/>
  <c r="H65" i="59"/>
  <c r="K105" i="59"/>
  <c r="H91" i="59"/>
  <c r="R87" i="59"/>
  <c r="I65" i="59"/>
  <c r="I105" i="59"/>
  <c r="R16" i="59"/>
  <c r="Y16" i="59" s="1"/>
  <c r="K58" i="59"/>
  <c r="R153" i="59"/>
  <c r="Y153" i="59" s="1"/>
  <c r="I158" i="59"/>
  <c r="R109" i="59"/>
  <c r="K47" i="59"/>
  <c r="Y101" i="59"/>
  <c r="R22" i="59"/>
  <c r="Y22" i="59" s="1"/>
  <c r="R69" i="59"/>
  <c r="Y69" i="59" s="1"/>
  <c r="K65" i="59"/>
  <c r="R61" i="59"/>
  <c r="N159" i="59"/>
  <c r="O105" i="59"/>
  <c r="M28" i="59"/>
  <c r="S159" i="59"/>
  <c r="O158" i="59"/>
  <c r="R58" i="59"/>
  <c r="W58" i="59" s="1"/>
  <c r="Y54" i="59"/>
  <c r="W105" i="59"/>
  <c r="K84" i="59"/>
  <c r="R80" i="59"/>
  <c r="O84" i="59"/>
  <c r="I91" i="59"/>
  <c r="H51" i="59"/>
  <c r="R50" i="59"/>
  <c r="K33" i="59"/>
  <c r="K159" i="59" s="1"/>
  <c r="M47" i="59"/>
  <c r="W33" i="59"/>
  <c r="Y9" i="59"/>
  <c r="L105" i="59"/>
  <c r="R94" i="59"/>
  <c r="R147" i="59"/>
  <c r="Y147" i="59" s="1"/>
  <c r="H158" i="59"/>
  <c r="F159" i="59"/>
  <c r="R146" i="59"/>
  <c r="Y146" i="59" s="1"/>
  <c r="R130" i="59"/>
  <c r="Y130" i="59" s="1"/>
  <c r="R135" i="59"/>
  <c r="Y135" i="59" s="1"/>
  <c r="K91" i="59"/>
  <c r="L65" i="59"/>
  <c r="O28" i="59"/>
  <c r="M105" i="59"/>
  <c r="W158" i="59"/>
  <c r="R36" i="59"/>
  <c r="Y58" i="59" l="1"/>
  <c r="Y159" i="60"/>
  <c r="R159" i="60"/>
  <c r="R28" i="59"/>
  <c r="R77" i="59"/>
  <c r="L159" i="59"/>
  <c r="W159" i="59"/>
  <c r="I159" i="59"/>
  <c r="R105" i="59"/>
  <c r="Y94" i="59"/>
  <c r="Y105" i="59" s="1"/>
  <c r="Y109" i="59"/>
  <c r="Y158" i="59" s="1"/>
  <c r="R158" i="59"/>
  <c r="R33" i="59"/>
  <c r="Y33" i="59" s="1"/>
  <c r="Y31" i="59"/>
  <c r="Y77" i="59"/>
  <c r="Y80" i="59"/>
  <c r="Y84" i="59" s="1"/>
  <c r="R84" i="59"/>
  <c r="Y87" i="59"/>
  <c r="Y91" i="59" s="1"/>
  <c r="R91" i="59"/>
  <c r="R51" i="59"/>
  <c r="Y51" i="59" s="1"/>
  <c r="Y50" i="59"/>
  <c r="R47" i="59"/>
  <c r="Y47" i="59" s="1"/>
  <c r="Y36" i="59"/>
  <c r="M159" i="59"/>
  <c r="O159" i="59"/>
  <c r="Y28" i="59"/>
  <c r="R65" i="59"/>
  <c r="Y61" i="59"/>
  <c r="Y65" i="59" s="1"/>
  <c r="H159" i="59"/>
  <c r="Y159" i="59" l="1"/>
  <c r="R159" i="59"/>
  <c r="H28" i="3" l="1"/>
  <c r="F28" i="1" l="1"/>
  <c r="E28" i="1"/>
  <c r="K28" i="1" s="1"/>
  <c r="T27" i="57"/>
  <c r="S22" i="58"/>
  <c r="T22" i="58" s="1"/>
  <c r="V22" i="58" s="1"/>
  <c r="R22" i="58"/>
  <c r="S60" i="58"/>
  <c r="R60" i="58"/>
  <c r="AF59" i="58"/>
  <c r="R59" i="58"/>
  <c r="AE59" i="58"/>
  <c r="AD59" i="58"/>
  <c r="S59" i="58"/>
  <c r="R58" i="58"/>
  <c r="T58" i="58" s="1"/>
  <c r="V58" i="58" s="1"/>
  <c r="F137" i="1" s="1"/>
  <c r="R57" i="58"/>
  <c r="T57" i="58" s="1"/>
  <c r="V57" i="58" s="1"/>
  <c r="F136" i="1" s="1"/>
  <c r="R56" i="58"/>
  <c r="R55" i="58"/>
  <c r="R54" i="58"/>
  <c r="T54" i="58" s="1"/>
  <c r="V54" i="58" s="1"/>
  <c r="F133" i="1" s="1"/>
  <c r="R53" i="58"/>
  <c r="R52" i="58"/>
  <c r="T52" i="58" s="1"/>
  <c r="V52" i="58" s="1"/>
  <c r="F131" i="1" s="1"/>
  <c r="S51" i="58"/>
  <c r="R51" i="58"/>
  <c r="S50" i="58"/>
  <c r="R50" i="58"/>
  <c r="S46" i="58"/>
  <c r="R46" i="58"/>
  <c r="S45" i="58"/>
  <c r="R45" i="58"/>
  <c r="S44" i="58"/>
  <c r="R44" i="58"/>
  <c r="S43" i="58"/>
  <c r="R43" i="58"/>
  <c r="AE39" i="58"/>
  <c r="AD39" i="58"/>
  <c r="R39" i="58"/>
  <c r="U39" i="58"/>
  <c r="S39" i="58"/>
  <c r="R35" i="58"/>
  <c r="S31" i="58"/>
  <c r="T31" i="58" s="1"/>
  <c r="V31" i="58" s="1"/>
  <c r="F76" i="1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E154" i="1"/>
  <c r="E153" i="1"/>
  <c r="E152" i="1"/>
  <c r="E151" i="1"/>
  <c r="E150" i="1"/>
  <c r="E149" i="1"/>
  <c r="E157" i="1"/>
  <c r="E156" i="1"/>
  <c r="F71" i="1" l="1"/>
  <c r="AF39" i="58"/>
  <c r="AH39" i="58" s="1"/>
  <c r="T51" i="58"/>
  <c r="V51" i="58" s="1"/>
  <c r="F119" i="1" s="1"/>
  <c r="T60" i="58"/>
  <c r="V60" i="58" s="1"/>
  <c r="F148" i="1" s="1"/>
  <c r="O28" i="1"/>
  <c r="J28" i="1"/>
  <c r="H28" i="1"/>
  <c r="L28" i="1"/>
  <c r="G28" i="1"/>
  <c r="T50" i="58"/>
  <c r="V50" i="58" s="1"/>
  <c r="F116" i="1" s="1"/>
  <c r="T55" i="58"/>
  <c r="V55" i="58" s="1"/>
  <c r="F134" i="1" s="1"/>
  <c r="T53" i="58"/>
  <c r="V53" i="58" s="1"/>
  <c r="F132" i="1" s="1"/>
  <c r="T59" i="58"/>
  <c r="T56" i="58"/>
  <c r="V56" i="58" s="1"/>
  <c r="F135" i="1" s="1"/>
  <c r="T43" i="58"/>
  <c r="V43" i="58" s="1"/>
  <c r="T46" i="58"/>
  <c r="V46" i="58" s="1"/>
  <c r="F101" i="1" s="1"/>
  <c r="T45" i="58"/>
  <c r="V45" i="58" s="1"/>
  <c r="F100" i="1" s="1"/>
  <c r="T39" i="58"/>
  <c r="V39" i="58" s="1"/>
  <c r="AI39" i="58" s="1"/>
  <c r="V40" i="58" s="1"/>
  <c r="F90" i="1" s="1"/>
  <c r="F91" i="1" s="1"/>
  <c r="T44" i="58"/>
  <c r="V44" i="58" s="1"/>
  <c r="F98" i="1" s="1"/>
  <c r="T30" i="58"/>
  <c r="V30" i="58" s="1"/>
  <c r="F75" i="1" s="1"/>
  <c r="T28" i="58"/>
  <c r="V28" i="58" s="1"/>
  <c r="F72" i="1" s="1"/>
  <c r="T35" i="58"/>
  <c r="V35" i="58" s="1"/>
  <c r="T23" i="58"/>
  <c r="V23" i="58" s="1"/>
  <c r="F65" i="1" s="1"/>
  <c r="F66" i="1" s="1"/>
  <c r="T29" i="58"/>
  <c r="V29" i="58" s="1"/>
  <c r="T27" i="58"/>
  <c r="V27" i="58" s="1"/>
  <c r="F70" i="1" s="1"/>
  <c r="T17" i="58"/>
  <c r="V17" i="58" s="1"/>
  <c r="T18" i="58"/>
  <c r="V18" i="58" s="1"/>
  <c r="F57" i="1" s="1"/>
  <c r="T13" i="58"/>
  <c r="V13" i="58" s="1"/>
  <c r="F47" i="1" s="1"/>
  <c r="Z40" i="58"/>
  <c r="AA60" i="58"/>
  <c r="T12" i="58"/>
  <c r="V12" i="58" s="1"/>
  <c r="AA12" i="58"/>
  <c r="AA55" i="58"/>
  <c r="K35" i="58"/>
  <c r="T9" i="58"/>
  <c r="V9" i="58" s="1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F26" i="1" l="1"/>
  <c r="V10" i="58"/>
  <c r="V14" i="58"/>
  <c r="F42" i="1"/>
  <c r="F48" i="1" s="1"/>
  <c r="F97" i="1"/>
  <c r="V47" i="58"/>
  <c r="F73" i="1"/>
  <c r="V19" i="58"/>
  <c r="V36" i="58"/>
  <c r="F81" i="1"/>
  <c r="V59" i="58"/>
  <c r="AG59" i="58" s="1"/>
  <c r="F147" i="1" s="1"/>
  <c r="V24" i="58"/>
  <c r="V62" i="58" s="1"/>
  <c r="V63" i="58" s="1"/>
  <c r="H30" i="3" s="1"/>
  <c r="V32" i="58"/>
  <c r="F74" i="1"/>
  <c r="R28" i="1"/>
  <c r="V61" i="58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F77" i="1" l="1"/>
  <c r="AC24" i="58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E155" i="1" l="1"/>
  <c r="E148" i="1"/>
  <c r="E147" i="1" l="1"/>
  <c r="E146" i="1"/>
  <c r="E145" i="1"/>
  <c r="E144" i="1"/>
  <c r="E143" i="1"/>
  <c r="E142" i="1"/>
  <c r="E141" i="1"/>
  <c r="E140" i="1"/>
  <c r="E139" i="1"/>
  <c r="E138" i="1"/>
  <c r="E130" i="1" l="1"/>
  <c r="E129" i="1"/>
  <c r="E128" i="1"/>
  <c r="E127" i="1"/>
  <c r="E126" i="1"/>
  <c r="E125" i="1"/>
  <c r="E124" i="1"/>
  <c r="E121" i="1"/>
  <c r="E122" i="1"/>
  <c r="E123" i="1"/>
  <c r="E120" i="1"/>
  <c r="E119" i="1"/>
  <c r="E118" i="1"/>
  <c r="E117" i="1"/>
  <c r="E116" i="1"/>
  <c r="E114" i="1"/>
  <c r="E113" i="1"/>
  <c r="E112" i="1"/>
  <c r="E111" i="1"/>
  <c r="E109" i="1"/>
  <c r="E108" i="1"/>
  <c r="E103" i="1"/>
  <c r="E102" i="1"/>
  <c r="E115" i="1"/>
  <c r="E101" i="1"/>
  <c r="E100" i="1"/>
  <c r="E99" i="1"/>
  <c r="E98" i="1"/>
  <c r="E97" i="1"/>
  <c r="E96" i="1"/>
  <c r="E95" i="1"/>
  <c r="E94" i="1"/>
  <c r="E90" i="1"/>
  <c r="E47" i="1"/>
  <c r="E89" i="1"/>
  <c r="E87" i="1"/>
  <c r="E83" i="1"/>
  <c r="E82" i="1"/>
  <c r="E80" i="1"/>
  <c r="E84" i="1" s="1"/>
  <c r="E76" i="1"/>
  <c r="E56" i="1"/>
  <c r="E65" i="1"/>
  <c r="E60" i="1"/>
  <c r="E71" i="1"/>
  <c r="E59" i="1"/>
  <c r="E57" i="1"/>
  <c r="E55" i="1"/>
  <c r="E46" i="1"/>
  <c r="E45" i="1"/>
  <c r="E44" i="1"/>
  <c r="E104" i="1" l="1"/>
  <c r="E158" i="1"/>
  <c r="E41" i="1"/>
  <c r="E39" i="1"/>
  <c r="E37" i="1"/>
  <c r="W33" i="1"/>
  <c r="R33" i="1"/>
  <c r="E32" i="1"/>
  <c r="E27" i="1"/>
  <c r="E26" i="1"/>
  <c r="E23" i="1"/>
  <c r="E22" i="1"/>
  <c r="E21" i="1"/>
  <c r="E19" i="1"/>
  <c r="E17" i="1"/>
  <c r="E16" i="1"/>
  <c r="E15" i="1"/>
  <c r="E14" i="1" l="1"/>
  <c r="Q158" i="57" l="1"/>
  <c r="P158" i="57"/>
  <c r="V157" i="57"/>
  <c r="U157" i="57"/>
  <c r="N157" i="57"/>
  <c r="G157" i="57"/>
  <c r="F157" i="57"/>
  <c r="L157" i="57" s="1"/>
  <c r="Y156" i="57"/>
  <c r="V156" i="57"/>
  <c r="U156" i="57"/>
  <c r="N156" i="57"/>
  <c r="F156" i="57"/>
  <c r="M156" i="57" s="1"/>
  <c r="U155" i="57"/>
  <c r="Y155" i="57" s="1"/>
  <c r="N155" i="57"/>
  <c r="F155" i="57"/>
  <c r="M155" i="57" s="1"/>
  <c r="V154" i="57"/>
  <c r="U154" i="57"/>
  <c r="N154" i="57"/>
  <c r="F154" i="57"/>
  <c r="O154" i="57" s="1"/>
  <c r="V153" i="57"/>
  <c r="Y153" i="57" s="1"/>
  <c r="U153" i="57"/>
  <c r="N153" i="57"/>
  <c r="I153" i="57"/>
  <c r="H153" i="57"/>
  <c r="F153" i="57"/>
  <c r="M153" i="57" s="1"/>
  <c r="V152" i="57"/>
  <c r="U152" i="57"/>
  <c r="Y152" i="57" s="1"/>
  <c r="N152" i="57"/>
  <c r="K152" i="57"/>
  <c r="H152" i="57"/>
  <c r="F152" i="57"/>
  <c r="L152" i="57" s="1"/>
  <c r="V151" i="57"/>
  <c r="U151" i="57"/>
  <c r="Y151" i="57" s="1"/>
  <c r="N151" i="57"/>
  <c r="G151" i="57"/>
  <c r="F151" i="57"/>
  <c r="M151" i="57" s="1"/>
  <c r="V150" i="57"/>
  <c r="U150" i="57"/>
  <c r="N150" i="57"/>
  <c r="M150" i="57"/>
  <c r="F150" i="57"/>
  <c r="V149" i="57"/>
  <c r="U149" i="57"/>
  <c r="O149" i="57"/>
  <c r="N149" i="57"/>
  <c r="H149" i="57"/>
  <c r="F149" i="57"/>
  <c r="V148" i="57"/>
  <c r="Y148" i="57" s="1"/>
  <c r="U148" i="57"/>
  <c r="N148" i="57"/>
  <c r="L148" i="57"/>
  <c r="H148" i="57"/>
  <c r="F148" i="57"/>
  <c r="M148" i="57" s="1"/>
  <c r="V147" i="57"/>
  <c r="U147" i="57"/>
  <c r="Y147" i="57" s="1"/>
  <c r="N147" i="57"/>
  <c r="F147" i="57"/>
  <c r="L147" i="57" s="1"/>
  <c r="U146" i="57"/>
  <c r="Y146" i="57" s="1"/>
  <c r="N146" i="57"/>
  <c r="K146" i="57"/>
  <c r="F146" i="57"/>
  <c r="L146" i="57" s="1"/>
  <c r="V145" i="57"/>
  <c r="U145" i="57"/>
  <c r="N145" i="57"/>
  <c r="F145" i="57"/>
  <c r="L145" i="57" s="1"/>
  <c r="V144" i="57"/>
  <c r="Y144" i="57" s="1"/>
  <c r="U144" i="57"/>
  <c r="N144" i="57"/>
  <c r="I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O142" i="57"/>
  <c r="N142" i="57"/>
  <c r="F142" i="57"/>
  <c r="H142" i="57" s="1"/>
  <c r="V141" i="57"/>
  <c r="U141" i="57"/>
  <c r="O141" i="57"/>
  <c r="N141" i="57"/>
  <c r="F141" i="57"/>
  <c r="K141" i="57" s="1"/>
  <c r="V140" i="57"/>
  <c r="U140" i="57"/>
  <c r="N140" i="57"/>
  <c r="K140" i="57"/>
  <c r="I140" i="57"/>
  <c r="F140" i="57"/>
  <c r="M141" i="57" s="1"/>
  <c r="V139" i="57"/>
  <c r="U139" i="57"/>
  <c r="Y139" i="57" s="1"/>
  <c r="N139" i="57"/>
  <c r="F139" i="57"/>
  <c r="L139" i="57" s="1"/>
  <c r="V138" i="57"/>
  <c r="U138" i="57"/>
  <c r="N138" i="57"/>
  <c r="F138" i="57"/>
  <c r="L138" i="57" s="1"/>
  <c r="V137" i="57"/>
  <c r="U137" i="57"/>
  <c r="Y137" i="57" s="1"/>
  <c r="N137" i="57"/>
  <c r="F137" i="57"/>
  <c r="M137" i="57" s="1"/>
  <c r="W136" i="57"/>
  <c r="V136" i="57"/>
  <c r="U136" i="57"/>
  <c r="N136" i="57"/>
  <c r="I136" i="57"/>
  <c r="H136" i="57"/>
  <c r="G136" i="57"/>
  <c r="F136" i="57"/>
  <c r="M136" i="57" s="1"/>
  <c r="V135" i="57"/>
  <c r="Y135" i="57" s="1"/>
  <c r="N135" i="57"/>
  <c r="F135" i="57"/>
  <c r="O135" i="57" s="1"/>
  <c r="V134" i="57"/>
  <c r="U134" i="57"/>
  <c r="O134" i="57"/>
  <c r="N134" i="57"/>
  <c r="L134" i="57"/>
  <c r="F134" i="57"/>
  <c r="K134" i="57" s="1"/>
  <c r="V133" i="57"/>
  <c r="U133" i="57"/>
  <c r="N133" i="57"/>
  <c r="F133" i="57"/>
  <c r="I133" i="57" s="1"/>
  <c r="V132" i="57"/>
  <c r="U132" i="57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N129" i="57"/>
  <c r="F129" i="57"/>
  <c r="L129" i="57" s="1"/>
  <c r="Y128" i="57"/>
  <c r="U128" i="57"/>
  <c r="N128" i="57"/>
  <c r="L128" i="57"/>
  <c r="K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Y126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R124" i="57" s="1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V121" i="57"/>
  <c r="U121" i="57"/>
  <c r="O121" i="57"/>
  <c r="N121" i="57"/>
  <c r="M121" i="57"/>
  <c r="L121" i="57"/>
  <c r="K121" i="57"/>
  <c r="I121" i="57"/>
  <c r="H121" i="57"/>
  <c r="V120" i="57"/>
  <c r="U120" i="57"/>
  <c r="O120" i="57"/>
  <c r="N120" i="57"/>
  <c r="M120" i="57"/>
  <c r="L120" i="57"/>
  <c r="K120" i="57"/>
  <c r="I120" i="57"/>
  <c r="H120" i="57"/>
  <c r="W119" i="57"/>
  <c r="V119" i="57"/>
  <c r="U119" i="57"/>
  <c r="O119" i="57"/>
  <c r="N119" i="57"/>
  <c r="M119" i="57"/>
  <c r="L119" i="57"/>
  <c r="K119" i="57"/>
  <c r="I119" i="57"/>
  <c r="H119" i="57"/>
  <c r="V118" i="57"/>
  <c r="U118" i="57"/>
  <c r="Y118" i="57" s="1"/>
  <c r="N118" i="57"/>
  <c r="F118" i="57"/>
  <c r="H118" i="57" s="1"/>
  <c r="V117" i="57"/>
  <c r="Y117" i="57" s="1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O114" i="57"/>
  <c r="N114" i="57"/>
  <c r="M114" i="57"/>
  <c r="L114" i="57"/>
  <c r="K114" i="57"/>
  <c r="I114" i="57"/>
  <c r="H114" i="57"/>
  <c r="X113" i="57"/>
  <c r="W113" i="57"/>
  <c r="V113" i="57"/>
  <c r="N113" i="57"/>
  <c r="K113" i="57"/>
  <c r="F113" i="57"/>
  <c r="L113" i="57" s="1"/>
  <c r="X112" i="57"/>
  <c r="V112" i="57"/>
  <c r="U112" i="57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Y110" i="57" s="1"/>
  <c r="N110" i="57"/>
  <c r="F110" i="57"/>
  <c r="H110" i="57" s="1"/>
  <c r="Y109" i="57"/>
  <c r="X109" i="57"/>
  <c r="U109" i="57"/>
  <c r="N109" i="57"/>
  <c r="J109" i="57"/>
  <c r="J158" i="57" s="1"/>
  <c r="F109" i="57"/>
  <c r="H109" i="57" s="1"/>
  <c r="W108" i="57"/>
  <c r="V108" i="57"/>
  <c r="O108" i="57"/>
  <c r="N108" i="57"/>
  <c r="M108" i="57"/>
  <c r="L108" i="57"/>
  <c r="K108" i="57"/>
  <c r="I108" i="57"/>
  <c r="H108" i="57"/>
  <c r="R108" i="57" s="1"/>
  <c r="T108" i="57" s="1"/>
  <c r="P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G105" i="57" s="1"/>
  <c r="Y103" i="57"/>
  <c r="U103" i="57"/>
  <c r="O103" i="57"/>
  <c r="N103" i="57"/>
  <c r="M103" i="57"/>
  <c r="L103" i="57"/>
  <c r="K103" i="57"/>
  <c r="I103" i="57"/>
  <c r="H103" i="57"/>
  <c r="V102" i="57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K98" i="57"/>
  <c r="H98" i="57"/>
  <c r="F98" i="57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O95" i="57"/>
  <c r="N95" i="57"/>
  <c r="K95" i="57"/>
  <c r="I95" i="57"/>
  <c r="F95" i="57"/>
  <c r="M95" i="57" s="1"/>
  <c r="X94" i="57"/>
  <c r="W94" i="57"/>
  <c r="V94" i="57"/>
  <c r="U94" i="57"/>
  <c r="O94" i="57"/>
  <c r="N94" i="57"/>
  <c r="J94" i="57"/>
  <c r="J105" i="57" s="1"/>
  <c r="F94" i="57"/>
  <c r="M94" i="57" s="1"/>
  <c r="Q91" i="57"/>
  <c r="P91" i="57"/>
  <c r="N91" i="57"/>
  <c r="J91" i="57"/>
  <c r="V90" i="57"/>
  <c r="V91" i="57" s="1"/>
  <c r="U90" i="57"/>
  <c r="I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U87" i="57"/>
  <c r="F87" i="57"/>
  <c r="O87" i="57" s="1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Y81" i="57" s="1"/>
  <c r="F81" i="57"/>
  <c r="O81" i="57" s="1"/>
  <c r="W80" i="57"/>
  <c r="Y80" i="57" s="1"/>
  <c r="I80" i="57"/>
  <c r="F80" i="57"/>
  <c r="L80" i="57" s="1"/>
  <c r="Q77" i="57"/>
  <c r="P77" i="57"/>
  <c r="J77" i="57"/>
  <c r="U76" i="57"/>
  <c r="Y76" i="57" s="1"/>
  <c r="N76" i="57"/>
  <c r="F76" i="57"/>
  <c r="M76" i="57" s="1"/>
  <c r="W75" i="57"/>
  <c r="Y75" i="57" s="1"/>
  <c r="U75" i="57"/>
  <c r="N75" i="57"/>
  <c r="F75" i="57"/>
  <c r="L75" i="57" s="1"/>
  <c r="V74" i="57"/>
  <c r="U74" i="57"/>
  <c r="N74" i="57"/>
  <c r="F74" i="57"/>
  <c r="M74" i="57" s="1"/>
  <c r="V73" i="57"/>
  <c r="U73" i="57"/>
  <c r="Y73" i="57" s="1"/>
  <c r="N73" i="57"/>
  <c r="F73" i="57"/>
  <c r="X72" i="57"/>
  <c r="V72" i="57"/>
  <c r="U72" i="57"/>
  <c r="N72" i="57"/>
  <c r="F72" i="57"/>
  <c r="M72" i="57" s="1"/>
  <c r="X71" i="57"/>
  <c r="Y71" i="57" s="1"/>
  <c r="N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Y68" i="57" s="1"/>
  <c r="V68" i="57"/>
  <c r="V77" i="57" s="1"/>
  <c r="O68" i="57"/>
  <c r="N68" i="57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O63" i="57"/>
  <c r="N63" i="57"/>
  <c r="F63" i="57"/>
  <c r="M63" i="57" s="1"/>
  <c r="W62" i="57"/>
  <c r="V62" i="57"/>
  <c r="U62" i="57"/>
  <c r="U65" i="57" s="1"/>
  <c r="N62" i="57"/>
  <c r="F62" i="57"/>
  <c r="O62" i="57" s="1"/>
  <c r="V61" i="57"/>
  <c r="V65" i="57" s="1"/>
  <c r="N61" i="57"/>
  <c r="N65" i="57" s="1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I56" i="57"/>
  <c r="H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Y54" i="57" s="1"/>
  <c r="U54" i="57"/>
  <c r="N54" i="57"/>
  <c r="N58" i="57" s="1"/>
  <c r="J54" i="57"/>
  <c r="J58" i="57" s="1"/>
  <c r="G54" i="57"/>
  <c r="G58" i="57" s="1"/>
  <c r="F54" i="57"/>
  <c r="L54" i="57" s="1"/>
  <c r="X51" i="57"/>
  <c r="W51" i="57"/>
  <c r="Q51" i="57"/>
  <c r="P51" i="57"/>
  <c r="J51" i="57"/>
  <c r="G51" i="57"/>
  <c r="Y50" i="57"/>
  <c r="Y51" i="57" s="1"/>
  <c r="N50" i="57"/>
  <c r="N51" i="57" s="1"/>
  <c r="F50" i="57"/>
  <c r="F51" i="57" s="1"/>
  <c r="Q47" i="57"/>
  <c r="P47" i="57"/>
  <c r="W46" i="57"/>
  <c r="U46" i="57"/>
  <c r="N46" i="57"/>
  <c r="M46" i="57"/>
  <c r="K46" i="57"/>
  <c r="I46" i="57"/>
  <c r="H46" i="57"/>
  <c r="F46" i="57"/>
  <c r="L46" i="57" s="1"/>
  <c r="W45" i="57"/>
  <c r="V45" i="57"/>
  <c r="U45" i="57"/>
  <c r="N45" i="57"/>
  <c r="J45" i="57"/>
  <c r="J47" i="57" s="1"/>
  <c r="F45" i="57"/>
  <c r="L45" i="57" s="1"/>
  <c r="Y44" i="57"/>
  <c r="N44" i="57"/>
  <c r="M44" i="57"/>
  <c r="H44" i="57"/>
  <c r="F44" i="57"/>
  <c r="K44" i="57" s="1"/>
  <c r="X43" i="57"/>
  <c r="Y43" i="57" s="1"/>
  <c r="O43" i="57"/>
  <c r="N43" i="57"/>
  <c r="M43" i="57"/>
  <c r="L43" i="57"/>
  <c r="K43" i="57"/>
  <c r="I43" i="57"/>
  <c r="H43" i="57"/>
  <c r="Y42" i="57"/>
  <c r="N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N38" i="57"/>
  <c r="K38" i="57"/>
  <c r="F38" i="57"/>
  <c r="M38" i="57" s="1"/>
  <c r="V37" i="57"/>
  <c r="Y37" i="57" s="1"/>
  <c r="N37" i="57"/>
  <c r="N47" i="57" s="1"/>
  <c r="F37" i="57"/>
  <c r="I37" i="57" s="1"/>
  <c r="X36" i="57"/>
  <c r="X47" i="57" s="1"/>
  <c r="N36" i="57"/>
  <c r="F36" i="57"/>
  <c r="I36" i="57" s="1"/>
  <c r="Q33" i="57"/>
  <c r="P33" i="57"/>
  <c r="G33" i="57"/>
  <c r="X32" i="57"/>
  <c r="X33" i="57" s="1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L31" i="57"/>
  <c r="L33" i="57" s="1"/>
  <c r="J31" i="57"/>
  <c r="J33" i="57" s="1"/>
  <c r="F31" i="57"/>
  <c r="O31" i="57" s="1"/>
  <c r="P28" i="57"/>
  <c r="J28" i="57"/>
  <c r="W27" i="57"/>
  <c r="Y27" i="57" s="1"/>
  <c r="AA27" i="57" s="1"/>
  <c r="V26" i="57"/>
  <c r="U26" i="57"/>
  <c r="Y26" i="57" s="1"/>
  <c r="N26" i="57"/>
  <c r="F26" i="57"/>
  <c r="M26" i="57" s="1"/>
  <c r="W25" i="57"/>
  <c r="Y25" i="57" s="1"/>
  <c r="N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X19" i="57"/>
  <c r="Y19" i="57" s="1"/>
  <c r="Q19" i="57"/>
  <c r="N19" i="57"/>
  <c r="F19" i="57"/>
  <c r="M19" i="57" s="1"/>
  <c r="Y18" i="57"/>
  <c r="X18" i="57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Y16" i="57"/>
  <c r="V16" i="57"/>
  <c r="N16" i="57"/>
  <c r="M16" i="57"/>
  <c r="L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N13" i="57"/>
  <c r="F13" i="57"/>
  <c r="K13" i="57" s="1"/>
  <c r="W12" i="57"/>
  <c r="V12" i="57"/>
  <c r="U12" i="57"/>
  <c r="N12" i="57"/>
  <c r="F12" i="57"/>
  <c r="M12" i="57" s="1"/>
  <c r="W11" i="57"/>
  <c r="V11" i="57"/>
  <c r="N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Y9" i="57"/>
  <c r="R9" i="57"/>
  <c r="T9" i="57" s="1"/>
  <c r="N9" i="57"/>
  <c r="I4" i="57"/>
  <c r="F4" i="57"/>
  <c r="Y114" i="57" l="1"/>
  <c r="W91" i="57"/>
  <c r="AA9" i="57"/>
  <c r="K12" i="57"/>
  <c r="I26" i="57"/>
  <c r="K36" i="57"/>
  <c r="O36" i="57"/>
  <c r="I38" i="57"/>
  <c r="O42" i="57"/>
  <c r="K72" i="57"/>
  <c r="Y74" i="57"/>
  <c r="K133" i="57"/>
  <c r="O133" i="57"/>
  <c r="M144" i="57"/>
  <c r="I151" i="57"/>
  <c r="O151" i="57"/>
  <c r="Y157" i="57"/>
  <c r="L12" i="57"/>
  <c r="Y13" i="57"/>
  <c r="K26" i="57"/>
  <c r="O26" i="57"/>
  <c r="L36" i="57"/>
  <c r="O38" i="57"/>
  <c r="M54" i="57"/>
  <c r="I81" i="57"/>
  <c r="X91" i="57"/>
  <c r="L95" i="57"/>
  <c r="O109" i="57"/>
  <c r="R120" i="57"/>
  <c r="L133" i="57"/>
  <c r="K139" i="57"/>
  <c r="K151" i="57"/>
  <c r="L26" i="57"/>
  <c r="H36" i="57"/>
  <c r="M36" i="57"/>
  <c r="L38" i="57"/>
  <c r="K42" i="57"/>
  <c r="M45" i="57"/>
  <c r="O46" i="57"/>
  <c r="K62" i="57"/>
  <c r="O72" i="57"/>
  <c r="X84" i="57"/>
  <c r="H95" i="57"/>
  <c r="Y102" i="57"/>
  <c r="I109" i="57"/>
  <c r="O113" i="57"/>
  <c r="R119" i="57"/>
  <c r="Y121" i="57"/>
  <c r="AA121" i="57" s="1"/>
  <c r="H133" i="57"/>
  <c r="M133" i="57"/>
  <c r="I135" i="57"/>
  <c r="M140" i="57"/>
  <c r="K144" i="57"/>
  <c r="M146" i="57"/>
  <c r="H147" i="57"/>
  <c r="L151" i="57"/>
  <c r="M152" i="57"/>
  <c r="M11" i="57"/>
  <c r="M13" i="57"/>
  <c r="M25" i="57"/>
  <c r="H26" i="57"/>
  <c r="N33" i="57"/>
  <c r="L37" i="57"/>
  <c r="H38" i="57"/>
  <c r="I54" i="57"/>
  <c r="K56" i="57"/>
  <c r="L62" i="57"/>
  <c r="Y63" i="57"/>
  <c r="N77" i="57"/>
  <c r="K71" i="57"/>
  <c r="I72" i="57"/>
  <c r="I76" i="57"/>
  <c r="Y112" i="57"/>
  <c r="H113" i="57"/>
  <c r="R114" i="57"/>
  <c r="T114" i="57" s="1"/>
  <c r="Y119" i="57"/>
  <c r="AA119" i="57" s="1"/>
  <c r="Y120" i="57"/>
  <c r="H128" i="57"/>
  <c r="O129" i="57"/>
  <c r="Y132" i="57"/>
  <c r="Y134" i="57"/>
  <c r="K135" i="57"/>
  <c r="O136" i="57"/>
  <c r="H140" i="57"/>
  <c r="L144" i="57"/>
  <c r="I147" i="57"/>
  <c r="O148" i="57"/>
  <c r="Y150" i="57"/>
  <c r="H15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I138" i="57"/>
  <c r="H141" i="57"/>
  <c r="Y141" i="57"/>
  <c r="O146" i="57"/>
  <c r="K147" i="57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O21" i="57"/>
  <c r="I22" i="57"/>
  <c r="H23" i="57"/>
  <c r="H25" i="57"/>
  <c r="R25" i="57" s="1"/>
  <c r="H37" i="57"/>
  <c r="R37" i="57" s="1"/>
  <c r="T37" i="57" s="1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37" i="57"/>
  <c r="O18" i="57"/>
  <c r="H32" i="57"/>
  <c r="X105" i="57"/>
  <c r="N158" i="57"/>
  <c r="L11" i="57"/>
  <c r="L18" i="57"/>
  <c r="L19" i="57"/>
  <c r="M23" i="57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K15" i="57"/>
  <c r="H18" i="57"/>
  <c r="H19" i="57"/>
  <c r="O19" i="57"/>
  <c r="K22" i="57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 s="1"/>
  <c r="O12" i="57"/>
  <c r="L14" i="57"/>
  <c r="L15" i="57"/>
  <c r="H16" i="57"/>
  <c r="O16" i="57"/>
  <c r="I18" i="57"/>
  <c r="R18" i="57" s="1"/>
  <c r="I19" i="57"/>
  <c r="H20" i="57"/>
  <c r="O20" i="57"/>
  <c r="L22" i="57"/>
  <c r="K23" i="57"/>
  <c r="I24" i="57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72" i="57"/>
  <c r="U77" i="57"/>
  <c r="O73" i="57"/>
  <c r="O90" i="57"/>
  <c r="O91" i="57" s="1"/>
  <c r="F91" i="57"/>
  <c r="U105" i="57"/>
  <c r="I97" i="57"/>
  <c r="O97" i="57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O132" i="57"/>
  <c r="H132" i="57"/>
  <c r="O44" i="57"/>
  <c r="L50" i="57"/>
  <c r="L64" i="57"/>
  <c r="I65" i="57"/>
  <c r="O80" i="57"/>
  <c r="O84" i="57" s="1"/>
  <c r="M87" i="57"/>
  <c r="M88" i="57"/>
  <c r="M89" i="57"/>
  <c r="L90" i="57"/>
  <c r="M97" i="57"/>
  <c r="M105" i="57" s="1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H139" i="57"/>
  <c r="O139" i="57"/>
  <c r="H145" i="57"/>
  <c r="O145" i="57"/>
  <c r="F158" i="57"/>
  <c r="I113" i="57"/>
  <c r="I128" i="57"/>
  <c r="I129" i="57"/>
  <c r="I134" i="57"/>
  <c r="H135" i="57"/>
  <c r="R135" i="57" s="1"/>
  <c r="I139" i="57"/>
  <c r="I145" i="57"/>
  <c r="I157" i="57"/>
  <c r="R157" i="57" s="1"/>
  <c r="Y65" i="57" l="1"/>
  <c r="O105" i="57"/>
  <c r="R22" i="57"/>
  <c r="R15" i="57"/>
  <c r="M28" i="57"/>
  <c r="R147" i="57"/>
  <c r="R13" i="57"/>
  <c r="R14" i="57"/>
  <c r="AA14" i="57" s="1"/>
  <c r="R131" i="57"/>
  <c r="T131" i="57" s="1"/>
  <c r="M158" i="57"/>
  <c r="L65" i="57"/>
  <c r="R21" i="57"/>
  <c r="R128" i="57"/>
  <c r="R132" i="57"/>
  <c r="R24" i="57"/>
  <c r="R16" i="57"/>
  <c r="R88" i="57"/>
  <c r="T88" i="57" s="1"/>
  <c r="R146" i="57"/>
  <c r="R141" i="57"/>
  <c r="AA22" i="57"/>
  <c r="T22" i="57"/>
  <c r="T25" i="57"/>
  <c r="AA25" i="57"/>
  <c r="AA147" i="57"/>
  <c r="T147" i="57"/>
  <c r="AA13" i="57"/>
  <c r="T13" i="57"/>
  <c r="AA141" i="57"/>
  <c r="T141" i="57"/>
  <c r="AA149" i="57"/>
  <c r="T149" i="57"/>
  <c r="T21" i="57"/>
  <c r="AA21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R28" i="57" s="1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AA10" i="57"/>
  <c r="R82" i="57"/>
  <c r="I105" i="57"/>
  <c r="O158" i="57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I159" i="57" s="1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42" i="1"/>
  <c r="U95" i="1"/>
  <c r="U151" i="1"/>
  <c r="U133" i="1"/>
  <c r="U147" i="1"/>
  <c r="U134" i="1"/>
  <c r="T116" i="1"/>
  <c r="U89" i="1"/>
  <c r="T83" i="1"/>
  <c r="U60" i="1"/>
  <c r="U33" i="1"/>
  <c r="T33" i="1"/>
  <c r="T25" i="1"/>
  <c r="U16" i="1"/>
  <c r="T16" i="1"/>
  <c r="O159" i="57" l="1"/>
  <c r="T14" i="57"/>
  <c r="AA44" i="57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7" i="57" s="1"/>
  <c r="AA74" i="57"/>
  <c r="T74" i="57"/>
  <c r="AA101" i="57"/>
  <c r="T101" i="57"/>
  <c r="AA41" i="57"/>
  <c r="T41" i="57"/>
  <c r="T47" i="57" s="1"/>
  <c r="AA19" i="57"/>
  <c r="AA28" i="57" s="1"/>
  <c r="T19" i="57"/>
  <c r="AA98" i="57"/>
  <c r="T98" i="57"/>
  <c r="T105" i="57" s="1"/>
  <c r="AA134" i="57"/>
  <c r="T134" i="57"/>
  <c r="T100" i="57"/>
  <c r="AA100" i="57"/>
  <c r="R58" i="57"/>
  <c r="M159" i="57"/>
  <c r="H159" i="57"/>
  <c r="AA82" i="57"/>
  <c r="T82" i="57"/>
  <c r="T84" i="57" s="1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T149" i="1"/>
  <c r="U157" i="1"/>
  <c r="U101" i="1"/>
  <c r="U107" i="1"/>
  <c r="U118" i="1"/>
  <c r="U111" i="1"/>
  <c r="U97" i="1"/>
  <c r="U82" i="1"/>
  <c r="U84" i="1" s="1"/>
  <c r="U40" i="1"/>
  <c r="T42" i="1"/>
  <c r="U13" i="1"/>
  <c r="T158" i="57" l="1"/>
  <c r="T28" i="57"/>
  <c r="T77" i="57"/>
  <c r="Y58" i="57"/>
  <c r="Y159" i="57" s="1"/>
  <c r="AA105" i="57"/>
  <c r="AA159" i="57" s="1"/>
  <c r="R159" i="57"/>
  <c r="T153" i="1"/>
  <c r="T159" i="57" l="1"/>
  <c r="H31" i="3" s="1"/>
  <c r="H32" i="3" s="1"/>
  <c r="T121" i="1"/>
  <c r="U27" i="1"/>
  <c r="U113" i="1"/>
  <c r="T55" i="1"/>
  <c r="U32" i="1"/>
  <c r="U34" i="1" s="1"/>
  <c r="V28" i="1" l="1"/>
  <c r="X28" i="1" s="1"/>
  <c r="Z28" i="1" s="1"/>
  <c r="U46" i="1" l="1"/>
  <c r="T59" i="1"/>
  <c r="T109" i="1"/>
  <c r="U156" i="1" l="1"/>
  <c r="U129" i="1"/>
  <c r="T127" i="1"/>
  <c r="U121" i="1"/>
  <c r="U109" i="1"/>
  <c r="T95" i="1"/>
  <c r="T94" i="1"/>
  <c r="U10" i="1"/>
  <c r="T57" i="1" l="1"/>
  <c r="U73" i="1"/>
  <c r="X116" i="1" l="1"/>
  <c r="X122" i="1"/>
  <c r="X123" i="1"/>
  <c r="X124" i="1"/>
  <c r="X149" i="1"/>
  <c r="X153" i="1"/>
  <c r="X57" i="1" l="1"/>
  <c r="V52" i="1"/>
  <c r="W52" i="1"/>
  <c r="T130" i="1" l="1"/>
  <c r="X127" i="1" l="1"/>
  <c r="F103" i="1" l="1"/>
  <c r="F104" i="1" s="1"/>
  <c r="F130" i="1"/>
  <c r="T21" i="1" l="1"/>
  <c r="X148" i="1"/>
  <c r="U144" i="1"/>
  <c r="X142" i="1"/>
  <c r="U137" i="1"/>
  <c r="X144" i="1" l="1"/>
  <c r="T108" i="1"/>
  <c r="U21" i="1"/>
  <c r="U17" i="1"/>
  <c r="U14" i="1"/>
  <c r="T11" i="1"/>
  <c r="W103" i="1" l="1"/>
  <c r="X130" i="1"/>
  <c r="O130" i="1"/>
  <c r="M130" i="1"/>
  <c r="L130" i="1"/>
  <c r="K130" i="1"/>
  <c r="J130" i="1"/>
  <c r="H130" i="1"/>
  <c r="G130" i="1"/>
  <c r="R130" i="1" l="1"/>
  <c r="Z130" i="1" s="1"/>
  <c r="E48" i="3" l="1"/>
  <c r="Q19" i="1"/>
  <c r="Q15" i="1"/>
  <c r="U163" i="55"/>
  <c r="T163" i="55"/>
  <c r="V163" i="55" s="1"/>
  <c r="V164" i="55" s="1"/>
  <c r="V162" i="55"/>
  <c r="U162" i="55"/>
  <c r="T162" i="55"/>
  <c r="T103" i="1" l="1"/>
  <c r="X103" i="1" s="1"/>
  <c r="M103" i="1" l="1"/>
  <c r="O103" i="1"/>
  <c r="L103" i="1"/>
  <c r="K103" i="1"/>
  <c r="J103" i="1"/>
  <c r="H103" i="1"/>
  <c r="G103" i="1"/>
  <c r="R103" i="1" l="1"/>
  <c r="Z103" i="1" s="1"/>
  <c r="T14" i="1"/>
  <c r="T157" i="1" l="1"/>
  <c r="X157" i="1" s="1"/>
  <c r="U131" i="1"/>
  <c r="U56" i="1"/>
  <c r="U61" i="1" s="1"/>
  <c r="U74" i="1"/>
  <c r="U39" i="1"/>
  <c r="T39" i="1"/>
  <c r="T75" i="1" l="1"/>
  <c r="U135" i="1" l="1"/>
  <c r="X135" i="1" s="1"/>
  <c r="T114" i="1"/>
  <c r="U114" i="1"/>
  <c r="T110" i="1"/>
  <c r="U99" i="1"/>
  <c r="U98" i="1"/>
  <c r="T90" i="1"/>
  <c r="U71" i="1" l="1"/>
  <c r="U77" i="1" s="1"/>
  <c r="T96" i="1" l="1"/>
  <c r="U96" i="1" l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Q100" i="56"/>
  <c r="R100" i="56" s="1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H98" i="56"/>
  <c r="T97" i="56"/>
  <c r="S97" i="56"/>
  <c r="R97" i="56"/>
  <c r="T96" i="56"/>
  <c r="S96" i="56"/>
  <c r="R96" i="56"/>
  <c r="O96" i="56"/>
  <c r="T95" i="56"/>
  <c r="S95" i="56"/>
  <c r="R95" i="56"/>
  <c r="Q95" i="56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S46" i="56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R12" i="56" l="1"/>
  <c r="S29" i="56"/>
  <c r="R48" i="56"/>
  <c r="Q104" i="56"/>
  <c r="R98" i="56"/>
  <c r="S63" i="56"/>
  <c r="S48" i="56"/>
  <c r="O121" i="56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95" i="1"/>
  <c r="Q11" i="1"/>
  <c r="T97" i="1"/>
  <c r="V54" i="55"/>
  <c r="T54" i="55"/>
  <c r="V100" i="55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4" i="1"/>
  <c r="M113" i="1"/>
  <c r="M112" i="1"/>
  <c r="M111" i="1"/>
  <c r="M110" i="1"/>
  <c r="M109" i="1"/>
  <c r="M108" i="1"/>
  <c r="M107" i="1"/>
  <c r="M102" i="1"/>
  <c r="M115" i="1"/>
  <c r="M101" i="1"/>
  <c r="M100" i="1"/>
  <c r="M99" i="1"/>
  <c r="M98" i="1"/>
  <c r="M97" i="1"/>
  <c r="M96" i="1"/>
  <c r="M95" i="1"/>
  <c r="M94" i="1"/>
  <c r="M82" i="1"/>
  <c r="M84" i="1" s="1"/>
  <c r="M76" i="1"/>
  <c r="M75" i="1"/>
  <c r="M56" i="1"/>
  <c r="M58" i="1"/>
  <c r="M74" i="1"/>
  <c r="M72" i="1"/>
  <c r="M70" i="1"/>
  <c r="M69" i="1"/>
  <c r="M10" i="1"/>
  <c r="M65" i="1"/>
  <c r="M60" i="1"/>
  <c r="M71" i="1"/>
  <c r="M64" i="1"/>
  <c r="M59" i="1"/>
  <c r="M57" i="1"/>
  <c r="M73" i="1"/>
  <c r="M55" i="1"/>
  <c r="M51" i="1"/>
  <c r="M47" i="1"/>
  <c r="M46" i="1"/>
  <c r="M45" i="1"/>
  <c r="M44" i="1"/>
  <c r="M43" i="1"/>
  <c r="M42" i="1"/>
  <c r="M41" i="1"/>
  <c r="M40" i="1"/>
  <c r="M39" i="1"/>
  <c r="M38" i="1"/>
  <c r="M37" i="1"/>
  <c r="M33" i="1"/>
  <c r="M32" i="1"/>
  <c r="M27" i="1"/>
  <c r="M26" i="1"/>
  <c r="M25" i="1"/>
  <c r="M24" i="1"/>
  <c r="M23" i="1"/>
  <c r="M22" i="1"/>
  <c r="M21" i="1"/>
  <c r="M20" i="1"/>
  <c r="M18" i="1"/>
  <c r="M17" i="1"/>
  <c r="M16" i="1"/>
  <c r="M15" i="1"/>
  <c r="M14" i="1"/>
  <c r="M13" i="1"/>
  <c r="M12" i="1"/>
  <c r="M11" i="1"/>
  <c r="M9" i="1"/>
  <c r="F151" i="1"/>
  <c r="U158" i="55"/>
  <c r="Q158" i="55"/>
  <c r="P158" i="55"/>
  <c r="T157" i="55"/>
  <c r="S157" i="55"/>
  <c r="V157" i="55" s="1"/>
  <c r="R157" i="55"/>
  <c r="G157" i="55"/>
  <c r="F157" i="55"/>
  <c r="L157" i="55" s="1"/>
  <c r="V156" i="55"/>
  <c r="T156" i="55"/>
  <c r="S156" i="55"/>
  <c r="R156" i="55"/>
  <c r="H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K154" i="55"/>
  <c r="F154" i="55"/>
  <c r="O154" i="55" s="1"/>
  <c r="T153" i="55"/>
  <c r="S153" i="55"/>
  <c r="V153" i="55" s="1"/>
  <c r="R153" i="55"/>
  <c r="O153" i="55"/>
  <c r="K153" i="55"/>
  <c r="I153" i="55"/>
  <c r="F153" i="55"/>
  <c r="M153" i="55" s="1"/>
  <c r="T152" i="55"/>
  <c r="S152" i="55"/>
  <c r="V152" i="55" s="1"/>
  <c r="R152" i="55"/>
  <c r="F152" i="55"/>
  <c r="L152" i="55" s="1"/>
  <c r="T151" i="55"/>
  <c r="S151" i="55"/>
  <c r="V151" i="55" s="1"/>
  <c r="R151" i="55"/>
  <c r="O151" i="55"/>
  <c r="M151" i="55"/>
  <c r="H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F149" i="55"/>
  <c r="O149" i="55" s="1"/>
  <c r="V148" i="55"/>
  <c r="T148" i="55"/>
  <c r="S148" i="55"/>
  <c r="R148" i="55"/>
  <c r="O148" i="55"/>
  <c r="K148" i="55"/>
  <c r="F148" i="55"/>
  <c r="M148" i="55" s="1"/>
  <c r="V147" i="55"/>
  <c r="T147" i="55"/>
  <c r="S147" i="55"/>
  <c r="R147" i="55"/>
  <c r="O147" i="55"/>
  <c r="H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K145" i="55"/>
  <c r="F145" i="55"/>
  <c r="O145" i="55" s="1"/>
  <c r="T144" i="55"/>
  <c r="S144" i="55"/>
  <c r="V144" i="55" s="1"/>
  <c r="R144" i="55"/>
  <c r="O144" i="55"/>
  <c r="K144" i="55"/>
  <c r="I144" i="55"/>
  <c r="F144" i="55"/>
  <c r="M144" i="55" s="1"/>
  <c r="T143" i="55"/>
  <c r="S143" i="55"/>
  <c r="V143" i="55" s="1"/>
  <c r="R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K141" i="55"/>
  <c r="F141" i="55"/>
  <c r="O141" i="55" s="1"/>
  <c r="T140" i="55"/>
  <c r="S140" i="55"/>
  <c r="V140" i="55" s="1"/>
  <c r="R140" i="55"/>
  <c r="I140" i="55"/>
  <c r="F140" i="55"/>
  <c r="M140" i="55" s="1"/>
  <c r="T139" i="55"/>
  <c r="S139" i="55"/>
  <c r="V139" i="55" s="1"/>
  <c r="R139" i="55"/>
  <c r="K139" i="55"/>
  <c r="I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F137" i="55"/>
  <c r="O137" i="55" s="1"/>
  <c r="V136" i="55"/>
  <c r="T136" i="55"/>
  <c r="S136" i="55"/>
  <c r="R136" i="55"/>
  <c r="O136" i="55"/>
  <c r="G136" i="55"/>
  <c r="G158" i="55" s="1"/>
  <c r="F136" i="55"/>
  <c r="M136" i="55" s="1"/>
  <c r="V135" i="55"/>
  <c r="T135" i="55"/>
  <c r="S135" i="55"/>
  <c r="R135" i="55"/>
  <c r="F135" i="55"/>
  <c r="M135" i="55" s="1"/>
  <c r="V134" i="55"/>
  <c r="T134" i="55"/>
  <c r="S134" i="55"/>
  <c r="R134" i="55"/>
  <c r="O134" i="55"/>
  <c r="K134" i="55"/>
  <c r="I134" i="55"/>
  <c r="H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F132" i="55"/>
  <c r="O132" i="55" s="1"/>
  <c r="V131" i="55"/>
  <c r="T131" i="55"/>
  <c r="S131" i="55"/>
  <c r="R131" i="55"/>
  <c r="O131" i="55"/>
  <c r="K131" i="55"/>
  <c r="F131" i="55"/>
  <c r="M131" i="55" s="1"/>
  <c r="V130" i="55"/>
  <c r="T130" i="55"/>
  <c r="S130" i="55"/>
  <c r="R130" i="55"/>
  <c r="O130" i="55"/>
  <c r="H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T127" i="55"/>
  <c r="S127" i="55"/>
  <c r="V127" i="55" s="1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T125" i="55"/>
  <c r="S125" i="55"/>
  <c r="V125" i="55" s="1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V123" i="55"/>
  <c r="T123" i="55"/>
  <c r="S123" i="55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V121" i="55"/>
  <c r="T121" i="55"/>
  <c r="S121" i="55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T119" i="55"/>
  <c r="S119" i="55"/>
  <c r="V119" i="55" s="1"/>
  <c r="R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T117" i="55"/>
  <c r="S117" i="55"/>
  <c r="V117" i="55" s="1"/>
  <c r="R117" i="55"/>
  <c r="I117" i="55"/>
  <c r="F117" i="55"/>
  <c r="M117" i="55" s="1"/>
  <c r="T116" i="55"/>
  <c r="S116" i="55"/>
  <c r="V116" i="55" s="1"/>
  <c r="R116" i="55"/>
  <c r="O116" i="55"/>
  <c r="M116" i="55"/>
  <c r="L116" i="55"/>
  <c r="K116" i="55"/>
  <c r="I116" i="55"/>
  <c r="H116" i="55"/>
  <c r="T115" i="55"/>
  <c r="S115" i="55"/>
  <c r="O115" i="55"/>
  <c r="N115" i="55"/>
  <c r="R115" i="55" s="1"/>
  <c r="M115" i="55"/>
  <c r="L115" i="55"/>
  <c r="K115" i="55"/>
  <c r="I115" i="55"/>
  <c r="H115" i="55"/>
  <c r="T114" i="55"/>
  <c r="S114" i="55"/>
  <c r="V114" i="55" s="1"/>
  <c r="R114" i="55"/>
  <c r="I114" i="55"/>
  <c r="F114" i="55"/>
  <c r="M114" i="55" s="1"/>
  <c r="T113" i="55"/>
  <c r="S113" i="55"/>
  <c r="V113" i="55" s="1"/>
  <c r="R113" i="55"/>
  <c r="O113" i="55"/>
  <c r="M113" i="55"/>
  <c r="L113" i="55"/>
  <c r="K113" i="55"/>
  <c r="I113" i="55"/>
  <c r="H113" i="55"/>
  <c r="T112" i="55"/>
  <c r="S112" i="55"/>
  <c r="O112" i="55"/>
  <c r="N112" i="55"/>
  <c r="N158" i="55" s="1"/>
  <c r="R158" i="55" s="1"/>
  <c r="M112" i="55"/>
  <c r="L112" i="55"/>
  <c r="K112" i="55"/>
  <c r="I112" i="55"/>
  <c r="H112" i="55"/>
  <c r="T111" i="55"/>
  <c r="S111" i="55"/>
  <c r="V111" i="55" s="1"/>
  <c r="R111" i="55"/>
  <c r="I111" i="55"/>
  <c r="F111" i="55"/>
  <c r="M111" i="55" s="1"/>
  <c r="T110" i="55"/>
  <c r="S110" i="55"/>
  <c r="V110" i="55" s="1"/>
  <c r="R110" i="55"/>
  <c r="M110" i="55"/>
  <c r="J110" i="55"/>
  <c r="J158" i="55" s="1"/>
  <c r="I110" i="55"/>
  <c r="F110" i="55"/>
  <c r="L110" i="55" s="1"/>
  <c r="T109" i="55"/>
  <c r="T158" i="55" s="1"/>
  <c r="S109" i="55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T104" i="55"/>
  <c r="S104" i="55"/>
  <c r="V104" i="55" s="1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Q102" i="55"/>
  <c r="R102" i="55" s="1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R100" i="55" s="1"/>
  <c r="O100" i="55"/>
  <c r="N100" i="55"/>
  <c r="L100" i="55"/>
  <c r="K100" i="55"/>
  <c r="H100" i="55"/>
  <c r="F100" i="55"/>
  <c r="I100" i="55" s="1"/>
  <c r="T99" i="55"/>
  <c r="S99" i="55"/>
  <c r="V99" i="55" s="1"/>
  <c r="R99" i="55"/>
  <c r="F99" i="55"/>
  <c r="L99" i="55" s="1"/>
  <c r="V98" i="55"/>
  <c r="T98" i="55"/>
  <c r="S98" i="55"/>
  <c r="R98" i="55"/>
  <c r="O98" i="55"/>
  <c r="M98" i="55"/>
  <c r="L98" i="55"/>
  <c r="K98" i="55"/>
  <c r="I98" i="55"/>
  <c r="H98" i="55"/>
  <c r="T97" i="55"/>
  <c r="S97" i="55"/>
  <c r="V97" i="55" s="1"/>
  <c r="R97" i="55"/>
  <c r="Q97" i="55"/>
  <c r="F97" i="55"/>
  <c r="L97" i="55" s="1"/>
  <c r="T96" i="55"/>
  <c r="S96" i="55"/>
  <c r="V96" i="55" s="1"/>
  <c r="N96" i="55"/>
  <c r="N106" i="55" s="1"/>
  <c r="M96" i="55"/>
  <c r="J96" i="55"/>
  <c r="J106" i="55" s="1"/>
  <c r="H96" i="55"/>
  <c r="F96" i="55"/>
  <c r="I96" i="55" s="1"/>
  <c r="V95" i="55"/>
  <c r="R95" i="55"/>
  <c r="V94" i="55"/>
  <c r="R94" i="55"/>
  <c r="S93" i="55"/>
  <c r="T93" i="55" s="1"/>
  <c r="Q93" i="55"/>
  <c r="P93" i="55"/>
  <c r="N93" i="55"/>
  <c r="J93" i="55"/>
  <c r="V92" i="55"/>
  <c r="U92" i="55"/>
  <c r="T92" i="55"/>
  <c r="R92" i="55"/>
  <c r="L92" i="55"/>
  <c r="F92" i="55"/>
  <c r="V91" i="55"/>
  <c r="U91" i="55"/>
  <c r="T91" i="55"/>
  <c r="R91" i="55"/>
  <c r="H91" i="55"/>
  <c r="F91" i="55"/>
  <c r="O91" i="55" s="1"/>
  <c r="V90" i="55"/>
  <c r="U90" i="55"/>
  <c r="T90" i="55"/>
  <c r="R90" i="55"/>
  <c r="F90" i="55"/>
  <c r="M90" i="55" s="1"/>
  <c r="V89" i="55"/>
  <c r="U89" i="55"/>
  <c r="T89" i="55"/>
  <c r="R89" i="55"/>
  <c r="F89" i="55"/>
  <c r="F93" i="55" s="1"/>
  <c r="V88" i="55"/>
  <c r="R88" i="55"/>
  <c r="V87" i="55"/>
  <c r="R87" i="55"/>
  <c r="Q86" i="55"/>
  <c r="P86" i="55"/>
  <c r="J86" i="55"/>
  <c r="V85" i="55"/>
  <c r="U85" i="55"/>
  <c r="R85" i="55"/>
  <c r="G85" i="55"/>
  <c r="G86" i="55" s="1"/>
  <c r="F85" i="55"/>
  <c r="K85" i="55" s="1"/>
  <c r="U84" i="55"/>
  <c r="S84" i="55"/>
  <c r="N84" i="55"/>
  <c r="R84" i="55" s="1"/>
  <c r="F84" i="55"/>
  <c r="L84" i="55" s="1"/>
  <c r="V83" i="55"/>
  <c r="U83" i="55"/>
  <c r="T83" i="55"/>
  <c r="R83" i="55"/>
  <c r="L83" i="55"/>
  <c r="F83" i="55"/>
  <c r="V82" i="55"/>
  <c r="U82" i="55"/>
  <c r="R82" i="55"/>
  <c r="F82" i="55"/>
  <c r="M82" i="55" s="1"/>
  <c r="V81" i="55"/>
  <c r="U81" i="55"/>
  <c r="T81" i="55"/>
  <c r="R81" i="55"/>
  <c r="F81" i="55"/>
  <c r="L81" i="55" s="1"/>
  <c r="V80" i="55"/>
  <c r="U80" i="55"/>
  <c r="R80" i="55"/>
  <c r="F80" i="55"/>
  <c r="O80" i="55" s="1"/>
  <c r="V79" i="55"/>
  <c r="R79" i="55"/>
  <c r="V78" i="55"/>
  <c r="R78" i="55"/>
  <c r="Q77" i="55"/>
  <c r="P77" i="55"/>
  <c r="N77" i="55"/>
  <c r="J77" i="55"/>
  <c r="U76" i="55"/>
  <c r="S76" i="55"/>
  <c r="T76" i="55" s="1"/>
  <c r="R76" i="55"/>
  <c r="K76" i="55"/>
  <c r="I76" i="55"/>
  <c r="H76" i="55"/>
  <c r="F76" i="55"/>
  <c r="O76" i="55" s="1"/>
  <c r="V75" i="55"/>
  <c r="U75" i="55"/>
  <c r="T75" i="55"/>
  <c r="S75" i="55"/>
  <c r="R75" i="55"/>
  <c r="F75" i="55"/>
  <c r="O75" i="55" s="1"/>
  <c r="U74" i="55"/>
  <c r="S74" i="55"/>
  <c r="T74" i="55" s="1"/>
  <c r="R74" i="55"/>
  <c r="K74" i="55"/>
  <c r="I74" i="55"/>
  <c r="H74" i="55"/>
  <c r="F74" i="55"/>
  <c r="O74" i="55" s="1"/>
  <c r="V73" i="55"/>
  <c r="U73" i="55"/>
  <c r="T73" i="55"/>
  <c r="S73" i="55"/>
  <c r="R73" i="55"/>
  <c r="O73" i="55"/>
  <c r="H73" i="55"/>
  <c r="F73" i="55"/>
  <c r="L73" i="55" s="1"/>
  <c r="U72" i="55"/>
  <c r="T72" i="55"/>
  <c r="S72" i="55"/>
  <c r="V72" i="55" s="1"/>
  <c r="R72" i="55"/>
  <c r="F72" i="55"/>
  <c r="L72" i="55" s="1"/>
  <c r="U71" i="55"/>
  <c r="S71" i="55"/>
  <c r="T71" i="55" s="1"/>
  <c r="R71" i="55"/>
  <c r="K71" i="55"/>
  <c r="I71" i="55"/>
  <c r="F71" i="55"/>
  <c r="L71" i="55" s="1"/>
  <c r="V70" i="55"/>
  <c r="U70" i="55"/>
  <c r="S70" i="55"/>
  <c r="T70" i="55" s="1"/>
  <c r="R70" i="55"/>
  <c r="O70" i="55"/>
  <c r="M70" i="55"/>
  <c r="L70" i="55"/>
  <c r="K70" i="55"/>
  <c r="I70" i="55"/>
  <c r="H70" i="55"/>
  <c r="U69" i="55"/>
  <c r="S69" i="55"/>
  <c r="T69" i="55" s="1"/>
  <c r="R69" i="55"/>
  <c r="F69" i="55"/>
  <c r="M69" i="55" s="1"/>
  <c r="U68" i="55"/>
  <c r="S68" i="55"/>
  <c r="T68" i="55" s="1"/>
  <c r="R68" i="55"/>
  <c r="O68" i="55"/>
  <c r="M68" i="55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I64" i="55"/>
  <c r="F64" i="55"/>
  <c r="M64" i="55" s="1"/>
  <c r="U63" i="55"/>
  <c r="S63" i="55"/>
  <c r="T63" i="55" s="1"/>
  <c r="R63" i="55"/>
  <c r="F63" i="55"/>
  <c r="M63" i="55" s="1"/>
  <c r="U62" i="55"/>
  <c r="S62" i="55"/>
  <c r="T62" i="55" s="1"/>
  <c r="R62" i="55"/>
  <c r="O62" i="55"/>
  <c r="I62" i="55"/>
  <c r="F62" i="55"/>
  <c r="M62" i="55" s="1"/>
  <c r="U61" i="55"/>
  <c r="S61" i="55"/>
  <c r="S65" i="55" s="1"/>
  <c r="R61" i="55"/>
  <c r="F61" i="55"/>
  <c r="F65" i="55" s="1"/>
  <c r="V60" i="55"/>
  <c r="R60" i="55"/>
  <c r="V59" i="55"/>
  <c r="R59" i="55"/>
  <c r="Q58" i="55"/>
  <c r="P58" i="55"/>
  <c r="U57" i="55"/>
  <c r="U58" i="55" s="1"/>
  <c r="S57" i="55"/>
  <c r="N57" i="55"/>
  <c r="T57" i="55" s="1"/>
  <c r="F57" i="55"/>
  <c r="U56" i="55"/>
  <c r="S56" i="55"/>
  <c r="R56" i="55"/>
  <c r="G56" i="55"/>
  <c r="F56" i="55"/>
  <c r="K56" i="55" s="1"/>
  <c r="U55" i="55"/>
  <c r="S55" i="55"/>
  <c r="T55" i="55" s="1"/>
  <c r="R55" i="55"/>
  <c r="K55" i="55"/>
  <c r="H55" i="55"/>
  <c r="F55" i="55"/>
  <c r="L55" i="55" s="1"/>
  <c r="U54" i="55"/>
  <c r="S54" i="55"/>
  <c r="R54" i="55"/>
  <c r="F54" i="55"/>
  <c r="L54" i="55" s="1"/>
  <c r="U53" i="55"/>
  <c r="S53" i="55"/>
  <c r="S58" i="55" s="1"/>
  <c r="R53" i="55"/>
  <c r="J53" i="55"/>
  <c r="J58" i="55" s="1"/>
  <c r="G53" i="55"/>
  <c r="F53" i="55"/>
  <c r="L53" i="55" s="1"/>
  <c r="V52" i="55"/>
  <c r="R52" i="55"/>
  <c r="V51" i="55"/>
  <c r="R51" i="55"/>
  <c r="Q50" i="55"/>
  <c r="P50" i="55"/>
  <c r="J50" i="55"/>
  <c r="G50" i="55"/>
  <c r="T49" i="55"/>
  <c r="S49" i="55"/>
  <c r="N49" i="55"/>
  <c r="F49" i="55"/>
  <c r="V48" i="55"/>
  <c r="S48" i="55"/>
  <c r="R48" i="55"/>
  <c r="L48" i="55"/>
  <c r="F48" i="55"/>
  <c r="V47" i="55"/>
  <c r="R47" i="55"/>
  <c r="V46" i="55"/>
  <c r="R46" i="55"/>
  <c r="Q45" i="55"/>
  <c r="P45" i="55"/>
  <c r="N45" i="55"/>
  <c r="U44" i="55"/>
  <c r="S44" i="55"/>
  <c r="R44" i="55"/>
  <c r="F44" i="55"/>
  <c r="U43" i="55"/>
  <c r="S43" i="55"/>
  <c r="V43" i="55" s="1"/>
  <c r="R43" i="55"/>
  <c r="O43" i="55"/>
  <c r="M43" i="55"/>
  <c r="J43" i="55"/>
  <c r="J45" i="55" s="1"/>
  <c r="I43" i="55"/>
  <c r="H43" i="55"/>
  <c r="F43" i="55"/>
  <c r="K43" i="55" s="1"/>
  <c r="V42" i="55"/>
  <c r="U42" i="55"/>
  <c r="T42" i="55"/>
  <c r="S42" i="55"/>
  <c r="R42" i="55"/>
  <c r="O42" i="55"/>
  <c r="I42" i="55"/>
  <c r="H42" i="55"/>
  <c r="F42" i="55"/>
  <c r="L42" i="55" s="1"/>
  <c r="U41" i="55"/>
  <c r="T41" i="55"/>
  <c r="S41" i="55"/>
  <c r="V41" i="55" s="1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I40" i="55"/>
  <c r="F40" i="55"/>
  <c r="K40" i="55" s="1"/>
  <c r="U39" i="55"/>
  <c r="S39" i="55"/>
  <c r="V39" i="55" s="1"/>
  <c r="R39" i="55"/>
  <c r="F39" i="55"/>
  <c r="U38" i="55"/>
  <c r="S38" i="55"/>
  <c r="V38" i="55" s="1"/>
  <c r="R38" i="55"/>
  <c r="O38" i="55"/>
  <c r="I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S36" i="55"/>
  <c r="T36" i="55" s="1"/>
  <c r="R36" i="55"/>
  <c r="M36" i="55"/>
  <c r="H36" i="55"/>
  <c r="F36" i="55"/>
  <c r="V35" i="55"/>
  <c r="U35" i="55"/>
  <c r="T35" i="55"/>
  <c r="S35" i="55"/>
  <c r="R35" i="55"/>
  <c r="K35" i="55"/>
  <c r="I35" i="55"/>
  <c r="F35" i="55"/>
  <c r="V34" i="55"/>
  <c r="U34" i="55"/>
  <c r="U45" i="55" s="1"/>
  <c r="S34" i="55"/>
  <c r="R34" i="55"/>
  <c r="O34" i="55"/>
  <c r="K34" i="55"/>
  <c r="I34" i="55"/>
  <c r="H34" i="55"/>
  <c r="F34" i="55"/>
  <c r="V33" i="55"/>
  <c r="R33" i="55"/>
  <c r="V32" i="55"/>
  <c r="R32" i="55"/>
  <c r="Q31" i="55"/>
  <c r="P31" i="55"/>
  <c r="G31" i="55"/>
  <c r="U30" i="55"/>
  <c r="T30" i="55"/>
  <c r="S30" i="55"/>
  <c r="N30" i="55"/>
  <c r="R30" i="55" s="1"/>
  <c r="F30" i="55"/>
  <c r="L30" i="55" s="1"/>
  <c r="T29" i="55"/>
  <c r="T31" i="55" s="1"/>
  <c r="S29" i="55"/>
  <c r="S31" i="55" s="1"/>
  <c r="R29" i="55"/>
  <c r="N29" i="55"/>
  <c r="J29" i="55"/>
  <c r="J31" i="55" s="1"/>
  <c r="F29" i="55"/>
  <c r="O29" i="55" s="1"/>
  <c r="V28" i="55"/>
  <c r="V27" i="55"/>
  <c r="P26" i="55"/>
  <c r="J26" i="55"/>
  <c r="U25" i="55"/>
  <c r="S25" i="55"/>
  <c r="V25" i="55" s="1"/>
  <c r="R25" i="55"/>
  <c r="M25" i="55"/>
  <c r="K25" i="55"/>
  <c r="F25" i="55"/>
  <c r="L25" i="55" s="1"/>
  <c r="V24" i="55"/>
  <c r="U24" i="55"/>
  <c r="S24" i="55"/>
  <c r="R24" i="55"/>
  <c r="O24" i="55"/>
  <c r="I24" i="55"/>
  <c r="F24" i="55"/>
  <c r="K24" i="55" s="1"/>
  <c r="S23" i="55"/>
  <c r="U23" i="55" s="1"/>
  <c r="N23" i="55"/>
  <c r="V23" i="55" s="1"/>
  <c r="G23" i="55"/>
  <c r="F23" i="55"/>
  <c r="O23" i="55" s="1"/>
  <c r="S22" i="55"/>
  <c r="U22" i="55" s="1"/>
  <c r="Q22" i="55"/>
  <c r="N22" i="55"/>
  <c r="R22" i="55" s="1"/>
  <c r="I22" i="55"/>
  <c r="H22" i="55"/>
  <c r="G22" i="55"/>
  <c r="F22" i="55"/>
  <c r="M22" i="55" s="1"/>
  <c r="S21" i="55"/>
  <c r="U21" i="55" s="1"/>
  <c r="N21" i="55"/>
  <c r="R21" i="55" s="1"/>
  <c r="M21" i="55"/>
  <c r="G21" i="55"/>
  <c r="F21" i="55"/>
  <c r="I21" i="55" s="1"/>
  <c r="U20" i="55"/>
  <c r="S20" i="55"/>
  <c r="N20" i="55"/>
  <c r="R20" i="55" s="1"/>
  <c r="F20" i="55"/>
  <c r="O20" i="55" s="1"/>
  <c r="U19" i="55"/>
  <c r="S19" i="55"/>
  <c r="V19" i="55" s="1"/>
  <c r="R19" i="55"/>
  <c r="M19" i="55"/>
  <c r="F19" i="55"/>
  <c r="O19" i="55" s="1"/>
  <c r="S18" i="55"/>
  <c r="U18" i="55" s="1"/>
  <c r="N18" i="55"/>
  <c r="R18" i="55" s="1"/>
  <c r="K18" i="55"/>
  <c r="F18" i="55"/>
  <c r="L18" i="55" s="1"/>
  <c r="U17" i="55"/>
  <c r="S17" i="55"/>
  <c r="V17" i="55" s="1"/>
  <c r="Q17" i="55"/>
  <c r="R17" i="55" s="1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S15" i="55"/>
  <c r="U15" i="55" s="1"/>
  <c r="R15" i="55"/>
  <c r="N15" i="55"/>
  <c r="M15" i="55"/>
  <c r="K15" i="55"/>
  <c r="F15" i="55"/>
  <c r="L15" i="55" s="1"/>
  <c r="S14" i="55"/>
  <c r="U14" i="55" s="1"/>
  <c r="Q14" i="55"/>
  <c r="N14" i="55"/>
  <c r="R14" i="55" s="1"/>
  <c r="F14" i="55"/>
  <c r="M14" i="55" s="1"/>
  <c r="U13" i="55"/>
  <c r="S13" i="55"/>
  <c r="T13" i="55" s="1"/>
  <c r="R13" i="55"/>
  <c r="F13" i="55"/>
  <c r="M13" i="55" s="1"/>
  <c r="U12" i="55"/>
  <c r="S12" i="55"/>
  <c r="V12" i="55" s="1"/>
  <c r="R12" i="55"/>
  <c r="M12" i="55"/>
  <c r="K12" i="55"/>
  <c r="F12" i="55"/>
  <c r="L12" i="55" s="1"/>
  <c r="S11" i="55"/>
  <c r="U11" i="55" s="1"/>
  <c r="N11" i="55"/>
  <c r="R11" i="55" s="1"/>
  <c r="M11" i="55"/>
  <c r="F11" i="55"/>
  <c r="L11" i="55" s="1"/>
  <c r="V10" i="55"/>
  <c r="U10" i="55"/>
  <c r="S10" i="55"/>
  <c r="R10" i="55"/>
  <c r="O10" i="55"/>
  <c r="F10" i="55"/>
  <c r="K10" i="55" s="1"/>
  <c r="U9" i="55"/>
  <c r="S9" i="55"/>
  <c r="O9" i="55"/>
  <c r="N9" i="55"/>
  <c r="M9" i="55"/>
  <c r="L9" i="55"/>
  <c r="K9" i="55"/>
  <c r="I9" i="55"/>
  <c r="H9" i="55"/>
  <c r="U8" i="55"/>
  <c r="S8" i="55"/>
  <c r="N8" i="55"/>
  <c r="R8" i="55" s="1"/>
  <c r="F8" i="55"/>
  <c r="L8" i="55" s="1"/>
  <c r="U7" i="55"/>
  <c r="S7" i="55"/>
  <c r="S26" i="55" s="1"/>
  <c r="R7" i="55"/>
  <c r="I3" i="55"/>
  <c r="F3" i="55"/>
  <c r="M17" i="55" l="1"/>
  <c r="O45" i="55"/>
  <c r="K44" i="55"/>
  <c r="O44" i="55"/>
  <c r="I44" i="55"/>
  <c r="L50" i="55"/>
  <c r="L49" i="55"/>
  <c r="K49" i="55"/>
  <c r="O49" i="55"/>
  <c r="H49" i="55"/>
  <c r="M49" i="55"/>
  <c r="M8" i="55"/>
  <c r="V11" i="55"/>
  <c r="V14" i="55"/>
  <c r="H17" i="55"/>
  <c r="O17" i="55"/>
  <c r="M18" i="55"/>
  <c r="I20" i="55"/>
  <c r="L29" i="55"/>
  <c r="H30" i="55"/>
  <c r="O30" i="55"/>
  <c r="O31" i="55" s="1"/>
  <c r="K39" i="55"/>
  <c r="O39" i="55"/>
  <c r="R49" i="55"/>
  <c r="N50" i="55"/>
  <c r="R50" i="55" s="1"/>
  <c r="H8" i="55"/>
  <c r="O8" i="55"/>
  <c r="H11" i="55"/>
  <c r="O11" i="55"/>
  <c r="V15" i="55"/>
  <c r="I17" i="55"/>
  <c r="H18" i="55"/>
  <c r="H19" i="55"/>
  <c r="G26" i="55"/>
  <c r="I23" i="55"/>
  <c r="H29" i="55"/>
  <c r="H31" i="55" s="1"/>
  <c r="M29" i="55"/>
  <c r="M31" i="55" s="1"/>
  <c r="K30" i="55"/>
  <c r="F31" i="55"/>
  <c r="S45" i="55"/>
  <c r="O35" i="55"/>
  <c r="M35" i="55"/>
  <c r="I39" i="55"/>
  <c r="V106" i="55"/>
  <c r="T7" i="55"/>
  <c r="T26" i="55" s="1"/>
  <c r="I8" i="55"/>
  <c r="V9" i="55"/>
  <c r="V7" i="55"/>
  <c r="K8" i="55"/>
  <c r="V8" i="55"/>
  <c r="I10" i="55"/>
  <c r="K11" i="55"/>
  <c r="H12" i="55"/>
  <c r="Q26" i="55"/>
  <c r="H15" i="55"/>
  <c r="O15" i="55"/>
  <c r="K17" i="55"/>
  <c r="I18" i="55"/>
  <c r="O18" i="55"/>
  <c r="K19" i="55"/>
  <c r="V20" i="55"/>
  <c r="H21" i="55"/>
  <c r="L22" i="55"/>
  <c r="V22" i="55"/>
  <c r="L23" i="55"/>
  <c r="H25" i="55"/>
  <c r="I29" i="55"/>
  <c r="N31" i="55"/>
  <c r="R31" i="55" s="1"/>
  <c r="V29" i="55"/>
  <c r="M30" i="55"/>
  <c r="V30" i="55"/>
  <c r="L34" i="55"/>
  <c r="F45" i="55"/>
  <c r="M34" i="55"/>
  <c r="T34" i="55"/>
  <c r="H35" i="55"/>
  <c r="O36" i="55"/>
  <c r="K36" i="55"/>
  <c r="M42" i="55"/>
  <c r="R45" i="55"/>
  <c r="I53" i="55"/>
  <c r="V53" i="55"/>
  <c r="M54" i="55"/>
  <c r="V55" i="55"/>
  <c r="L56" i="55"/>
  <c r="O61" i="55"/>
  <c r="O63" i="55"/>
  <c r="V71" i="55"/>
  <c r="K72" i="55"/>
  <c r="M73" i="55"/>
  <c r="V74" i="55"/>
  <c r="K75" i="55"/>
  <c r="V76" i="55"/>
  <c r="K80" i="55"/>
  <c r="M81" i="55"/>
  <c r="M84" i="55"/>
  <c r="L85" i="55"/>
  <c r="M89" i="55"/>
  <c r="L96" i="55"/>
  <c r="S158" i="55"/>
  <c r="V158" i="55" s="1"/>
  <c r="V112" i="55"/>
  <c r="V115" i="55"/>
  <c r="K119" i="55"/>
  <c r="M130" i="55"/>
  <c r="O135" i="55"/>
  <c r="K143" i="55"/>
  <c r="M147" i="55"/>
  <c r="K152" i="55"/>
  <c r="O156" i="55"/>
  <c r="I157" i="55"/>
  <c r="M34" i="1"/>
  <c r="M104" i="1"/>
  <c r="O56" i="55"/>
  <c r="M72" i="55"/>
  <c r="M77" i="55" s="1"/>
  <c r="M75" i="55"/>
  <c r="M80" i="55"/>
  <c r="O85" i="55"/>
  <c r="M119" i="55"/>
  <c r="M143" i="55"/>
  <c r="M152" i="55"/>
  <c r="M157" i="55"/>
  <c r="G157" i="56"/>
  <c r="K53" i="55"/>
  <c r="T53" i="55"/>
  <c r="H54" i="55"/>
  <c r="V57" i="55"/>
  <c r="I69" i="55"/>
  <c r="M71" i="55"/>
  <c r="H72" i="55"/>
  <c r="O72" i="55"/>
  <c r="I73" i="55"/>
  <c r="H75" i="55"/>
  <c r="R77" i="55"/>
  <c r="H80" i="55"/>
  <c r="H81" i="55"/>
  <c r="I82" i="55"/>
  <c r="T86" i="55"/>
  <c r="H84" i="55"/>
  <c r="O84" i="55"/>
  <c r="N86" i="55"/>
  <c r="R86" i="55" s="1"/>
  <c r="H89" i="55"/>
  <c r="I90" i="55"/>
  <c r="K91" i="55"/>
  <c r="V109" i="55"/>
  <c r="K111" i="55"/>
  <c r="K114" i="55"/>
  <c r="K117" i="55"/>
  <c r="H119" i="55"/>
  <c r="O119" i="55"/>
  <c r="I130" i="55"/>
  <c r="I135" i="55"/>
  <c r="K137" i="55"/>
  <c r="M139" i="55"/>
  <c r="K140" i="55"/>
  <c r="H143" i="55"/>
  <c r="O143" i="55"/>
  <c r="I147" i="55"/>
  <c r="I151" i="55"/>
  <c r="H152" i="55"/>
  <c r="O152" i="55"/>
  <c r="I156" i="55"/>
  <c r="O157" i="55"/>
  <c r="M48" i="1"/>
  <c r="M61" i="1"/>
  <c r="M66" i="1"/>
  <c r="M158" i="1"/>
  <c r="K42" i="55"/>
  <c r="K45" i="55" s="1"/>
  <c r="L43" i="55"/>
  <c r="V49" i="55"/>
  <c r="G58" i="55"/>
  <c r="M53" i="55"/>
  <c r="K54" i="55"/>
  <c r="M55" i="55"/>
  <c r="I56" i="55"/>
  <c r="R57" i="55"/>
  <c r="I61" i="55"/>
  <c r="I63" i="55"/>
  <c r="O69" i="55"/>
  <c r="O77" i="55" s="1"/>
  <c r="H71" i="55"/>
  <c r="O71" i="55"/>
  <c r="I72" i="55"/>
  <c r="K73" i="55"/>
  <c r="M74" i="55"/>
  <c r="I75" i="55"/>
  <c r="M76" i="55"/>
  <c r="I80" i="55"/>
  <c r="U86" i="55"/>
  <c r="K81" i="55"/>
  <c r="O82" i="55"/>
  <c r="K84" i="55"/>
  <c r="I85" i="55"/>
  <c r="K89" i="55"/>
  <c r="U93" i="55"/>
  <c r="O90" i="55"/>
  <c r="M91" i="55"/>
  <c r="V93" i="55"/>
  <c r="R96" i="55"/>
  <c r="K99" i="55"/>
  <c r="O110" i="55"/>
  <c r="O111" i="55"/>
  <c r="R112" i="55"/>
  <c r="O114" i="55"/>
  <c r="O117" i="55"/>
  <c r="I119" i="55"/>
  <c r="K130" i="55"/>
  <c r="I131" i="55"/>
  <c r="K132" i="55"/>
  <c r="M134" i="55"/>
  <c r="K135" i="55"/>
  <c r="I136" i="55"/>
  <c r="H139" i="55"/>
  <c r="O139" i="55"/>
  <c r="O140" i="55"/>
  <c r="I143" i="55"/>
  <c r="K147" i="55"/>
  <c r="I148" i="55"/>
  <c r="K149" i="55"/>
  <c r="L151" i="55"/>
  <c r="I152" i="55"/>
  <c r="M156" i="55"/>
  <c r="H157" i="55"/>
  <c r="M29" i="1"/>
  <c r="M77" i="1"/>
  <c r="M43" i="56"/>
  <c r="M52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I31" i="55"/>
  <c r="L13" i="55"/>
  <c r="F26" i="55"/>
  <c r="N26" i="55"/>
  <c r="R9" i="55"/>
  <c r="L10" i="55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V56" i="55"/>
  <c r="T56" i="55"/>
  <c r="U77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M10" i="55"/>
  <c r="I11" i="55"/>
  <c r="I12" i="55"/>
  <c r="O12" i="55"/>
  <c r="K13" i="55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L35" i="55"/>
  <c r="L45" i="55" s="1"/>
  <c r="L36" i="55"/>
  <c r="T37" i="55"/>
  <c r="H38" i="55"/>
  <c r="M38" i="55"/>
  <c r="T38" i="55"/>
  <c r="H39" i="55"/>
  <c r="M39" i="55"/>
  <c r="T39" i="55"/>
  <c r="H40" i="55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M86" i="55" s="1"/>
  <c r="H83" i="55"/>
  <c r="S86" i="55"/>
  <c r="V86" i="55" s="1"/>
  <c r="V84" i="55"/>
  <c r="K92" i="55"/>
  <c r="O92" i="55"/>
  <c r="I92" i="55"/>
  <c r="M92" i="55"/>
  <c r="H92" i="55"/>
  <c r="K97" i="55"/>
  <c r="O97" i="55"/>
  <c r="I97" i="55"/>
  <c r="M97" i="55"/>
  <c r="H97" i="55"/>
  <c r="K102" i="55"/>
  <c r="O102" i="55"/>
  <c r="I102" i="55"/>
  <c r="M102" i="55"/>
  <c r="H102" i="55"/>
  <c r="L102" i="55"/>
  <c r="K129" i="55"/>
  <c r="O129" i="55"/>
  <c r="I129" i="55"/>
  <c r="M129" i="55"/>
  <c r="H129" i="55"/>
  <c r="L129" i="55"/>
  <c r="K146" i="55"/>
  <c r="O146" i="55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H57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K138" i="55"/>
  <c r="O138" i="55"/>
  <c r="I138" i="55"/>
  <c r="M138" i="55"/>
  <c r="H138" i="55"/>
  <c r="L138" i="55"/>
  <c r="I49" i="55"/>
  <c r="O53" i="55"/>
  <c r="I54" i="55"/>
  <c r="O54" i="55"/>
  <c r="I55" i="55"/>
  <c r="O55" i="55"/>
  <c r="H56" i="55"/>
  <c r="M56" i="55"/>
  <c r="F58" i="55"/>
  <c r="N58" i="55"/>
  <c r="R58" i="55" s="1"/>
  <c r="K61" i="55"/>
  <c r="V61" i="55"/>
  <c r="K62" i="55"/>
  <c r="V62" i="55"/>
  <c r="K63" i="55"/>
  <c r="V63" i="55"/>
  <c r="K64" i="55"/>
  <c r="O64" i="55"/>
  <c r="O65" i="55" s="1"/>
  <c r="V68" i="55"/>
  <c r="K69" i="55"/>
  <c r="K77" i="55" s="1"/>
  <c r="V69" i="55"/>
  <c r="L74" i="55"/>
  <c r="L75" i="55"/>
  <c r="L76" i="55"/>
  <c r="F77" i="55"/>
  <c r="S77" i="55"/>
  <c r="L80" i="55"/>
  <c r="I81" i="55"/>
  <c r="O81" i="55"/>
  <c r="K82" i="55"/>
  <c r="K86" i="55" s="1"/>
  <c r="I84" i="55"/>
  <c r="H85" i="55"/>
  <c r="M85" i="55"/>
  <c r="I89" i="55"/>
  <c r="O89" i="55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H99" i="55"/>
  <c r="H106" i="55" s="1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61" i="55"/>
  <c r="M61" i="55"/>
  <c r="M65" i="55" s="1"/>
  <c r="T61" i="55"/>
  <c r="H62" i="55"/>
  <c r="H63" i="55"/>
  <c r="H64" i="55"/>
  <c r="H69" i="55"/>
  <c r="H77" i="55" s="1"/>
  <c r="H82" i="55"/>
  <c r="L89" i="55"/>
  <c r="L93" i="55" s="1"/>
  <c r="H90" i="55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L111" i="55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11" i="55"/>
  <c r="H114" i="55"/>
  <c r="H117" i="55"/>
  <c r="H131" i="55"/>
  <c r="I132" i="55"/>
  <c r="H135" i="55"/>
  <c r="H136" i="55"/>
  <c r="I137" i="55"/>
  <c r="H140" i="55"/>
  <c r="I141" i="55"/>
  <c r="H144" i="55"/>
  <c r="I145" i="55"/>
  <c r="H148" i="55"/>
  <c r="I149" i="55"/>
  <c r="H153" i="55"/>
  <c r="I154" i="55"/>
  <c r="T65" i="55" l="1"/>
  <c r="M45" i="55"/>
  <c r="M26" i="55"/>
  <c r="U159" i="55"/>
  <c r="V58" i="55"/>
  <c r="G159" i="55"/>
  <c r="H158" i="55"/>
  <c r="K26" i="55"/>
  <c r="L158" i="55"/>
  <c r="H86" i="55"/>
  <c r="H58" i="55"/>
  <c r="O86" i="55"/>
  <c r="M58" i="55"/>
  <c r="O26" i="55"/>
  <c r="H26" i="55"/>
  <c r="L26" i="55"/>
  <c r="K158" i="55"/>
  <c r="I158" i="55"/>
  <c r="H93" i="55"/>
  <c r="M106" i="55"/>
  <c r="O93" i="55"/>
  <c r="I86" i="55"/>
  <c r="L86" i="55"/>
  <c r="L77" i="55"/>
  <c r="K65" i="55"/>
  <c r="I58" i="55"/>
  <c r="V65" i="55"/>
  <c r="O158" i="55"/>
  <c r="M158" i="55"/>
  <c r="L106" i="55"/>
  <c r="I106" i="55"/>
  <c r="M93" i="55"/>
  <c r="H45" i="55"/>
  <c r="I26" i="55"/>
  <c r="T58" i="55"/>
  <c r="V31" i="55"/>
  <c r="M159" i="1"/>
  <c r="O157" i="56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O159" i="55" s="1"/>
  <c r="F159" i="55"/>
  <c r="O106" i="55"/>
  <c r="L65" i="55"/>
  <c r="L159" i="55" s="1"/>
  <c r="I50" i="55"/>
  <c r="I159" i="55" s="1"/>
  <c r="V26" i="55"/>
  <c r="H65" i="55"/>
  <c r="H159" i="55" s="1"/>
  <c r="S159" i="55"/>
  <c r="V159" i="55" l="1"/>
  <c r="R159" i="55"/>
  <c r="F47" i="3" l="1"/>
  <c r="F46" i="3"/>
  <c r="F45" i="3"/>
  <c r="F44" i="3"/>
  <c r="F43" i="3"/>
  <c r="F42" i="3"/>
  <c r="F41" i="3"/>
  <c r="F40" i="3"/>
  <c r="F39" i="3"/>
  <c r="F38" i="3"/>
  <c r="F37" i="3"/>
  <c r="U65" i="1"/>
  <c r="F55" i="1"/>
  <c r="F61" i="1" s="1"/>
  <c r="F157" i="1"/>
  <c r="F158" i="1" s="1"/>
  <c r="Q98" i="1" l="1"/>
  <c r="Q16" i="1" l="1"/>
  <c r="O157" i="1" l="1"/>
  <c r="J157" i="1"/>
  <c r="H157" i="1"/>
  <c r="L157" i="1"/>
  <c r="K157" i="1" l="1"/>
  <c r="G157" i="1"/>
  <c r="R157" i="1" l="1"/>
  <c r="W55" i="1"/>
  <c r="I55" i="1"/>
  <c r="I61" i="1" s="1"/>
  <c r="X55" i="1" l="1"/>
  <c r="L55" i="1"/>
  <c r="O55" i="1"/>
  <c r="K55" i="1"/>
  <c r="G55" i="1"/>
  <c r="H55" i="1"/>
  <c r="J55" i="1"/>
  <c r="Q100" i="1"/>
  <c r="Q104" i="1" s="1"/>
  <c r="R55" i="1" l="1"/>
  <c r="Z55" i="1" l="1"/>
  <c r="T65" i="1"/>
  <c r="T66" i="1" s="1"/>
  <c r="U125" i="1" l="1"/>
  <c r="X125" i="1" s="1"/>
  <c r="U94" i="1" l="1"/>
  <c r="U104" i="1" s="1"/>
  <c r="E20" i="1" l="1"/>
  <c r="D86" i="53" l="1"/>
  <c r="W32" i="1" l="1"/>
  <c r="W34" i="1" s="1"/>
  <c r="W87" i="1"/>
  <c r="L87" i="1"/>
  <c r="I32" i="1"/>
  <c r="I34" i="1" s="1"/>
  <c r="E91" i="53"/>
  <c r="F91" i="53" s="1"/>
  <c r="D91" i="53"/>
  <c r="F90" i="53"/>
  <c r="F92" i="53" s="1"/>
  <c r="E90" i="53"/>
  <c r="D90" i="53"/>
  <c r="E87" i="53"/>
  <c r="E86" i="53"/>
  <c r="G87" i="1" l="1"/>
  <c r="K32" i="1"/>
  <c r="O87" i="1"/>
  <c r="G32" i="1"/>
  <c r="H87" i="1"/>
  <c r="K87" i="1"/>
  <c r="J87" i="1"/>
  <c r="H32" i="1"/>
  <c r="L32" i="1"/>
  <c r="O32" i="1"/>
  <c r="J32" i="1"/>
  <c r="D87" i="53"/>
  <c r="F86" i="53"/>
  <c r="F51" i="53"/>
  <c r="P52" i="1"/>
  <c r="I52" i="1"/>
  <c r="W25" i="1"/>
  <c r="X25" i="1" s="1"/>
  <c r="F25" i="1"/>
  <c r="E25" i="1"/>
  <c r="O25" i="1" s="1"/>
  <c r="W24" i="1"/>
  <c r="X24" i="1" s="1"/>
  <c r="F24" i="1"/>
  <c r="E24" i="1"/>
  <c r="O24" i="1" s="1"/>
  <c r="X83" i="1"/>
  <c r="F83" i="1"/>
  <c r="F84" i="1" s="1"/>
  <c r="L83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L54" i="53" s="1"/>
  <c r="K29" i="53"/>
  <c r="D54" i="53"/>
  <c r="F39" i="53"/>
  <c r="E39" i="53"/>
  <c r="F38" i="53"/>
  <c r="E38" i="53"/>
  <c r="F29" i="1" l="1"/>
  <c r="P159" i="1"/>
  <c r="R87" i="1"/>
  <c r="H83" i="1"/>
  <c r="O83" i="1"/>
  <c r="K24" i="1"/>
  <c r="M29" i="53"/>
  <c r="R32" i="1"/>
  <c r="R34" i="1" s="1"/>
  <c r="K54" i="53"/>
  <c r="L55" i="53" s="1"/>
  <c r="F87" i="53"/>
  <c r="F88" i="53" s="1"/>
  <c r="J25" i="1"/>
  <c r="K25" i="1"/>
  <c r="G25" i="1"/>
  <c r="L25" i="1"/>
  <c r="H25" i="1"/>
  <c r="J24" i="1"/>
  <c r="G24" i="1"/>
  <c r="L24" i="1"/>
  <c r="H24" i="1"/>
  <c r="J83" i="1"/>
  <c r="K83" i="1"/>
  <c r="G83" i="1"/>
  <c r="G40" i="53"/>
  <c r="H40" i="53" s="1"/>
  <c r="G38" i="53"/>
  <c r="H38" i="53" s="1"/>
  <c r="G39" i="53"/>
  <c r="H39" i="53" s="1"/>
  <c r="R25" i="1" l="1"/>
  <c r="Z25" i="1" s="1"/>
  <c r="R83" i="1"/>
  <c r="Z83" i="1" s="1"/>
  <c r="R24" i="1"/>
  <c r="Z24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G30" i="53" s="1"/>
  <c r="H30" i="53" s="1"/>
  <c r="E29" i="53"/>
  <c r="G44" i="53" l="1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X136" i="1" l="1"/>
  <c r="X129" i="1"/>
  <c r="X121" i="1"/>
  <c r="X114" i="1"/>
  <c r="X113" i="1"/>
  <c r="V12" i="1"/>
  <c r="V13" i="1"/>
  <c r="V29" i="1" l="1"/>
  <c r="X110" i="1"/>
  <c r="T102" i="1"/>
  <c r="T104" i="1" s="1"/>
  <c r="X145" i="1" l="1"/>
  <c r="X146" i="1"/>
  <c r="X155" i="1"/>
  <c r="U126" i="1"/>
  <c r="U112" i="1"/>
  <c r="U140" i="1"/>
  <c r="U90" i="1"/>
  <c r="U88" i="1"/>
  <c r="U91" i="1" s="1"/>
  <c r="T23" i="1"/>
  <c r="U22" i="1"/>
  <c r="T22" i="1"/>
  <c r="Q20" i="1" l="1"/>
  <c r="Q29" i="1" s="1"/>
  <c r="F48" i="3" l="1"/>
  <c r="T32" i="1" l="1"/>
  <c r="T34" i="1" s="1"/>
  <c r="W109" i="1" l="1"/>
  <c r="X109" i="1" s="1"/>
  <c r="W95" i="1"/>
  <c r="W108" i="1"/>
  <c r="W94" i="1"/>
  <c r="W104" i="1" s="1"/>
  <c r="I108" i="1"/>
  <c r="I158" i="1" s="1"/>
  <c r="I94" i="1"/>
  <c r="I104" i="1" s="1"/>
  <c r="H12" i="53"/>
  <c r="X108" i="1" l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D8" i="53"/>
  <c r="D7" i="53"/>
  <c r="D6" i="53"/>
  <c r="D5" i="53"/>
  <c r="D4" i="53"/>
  <c r="F4" i="53" l="1"/>
  <c r="G4" i="53" s="1"/>
  <c r="F23" i="53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E58" i="1" l="1"/>
  <c r="E61" i="1" s="1"/>
  <c r="E69" i="1" l="1"/>
  <c r="E77" i="1" s="1"/>
  <c r="E38" i="1"/>
  <c r="E88" i="1"/>
  <c r="E91" i="1" s="1"/>
  <c r="E64" i="1"/>
  <c r="E66" i="1" s="1"/>
  <c r="E12" i="1"/>
  <c r="E51" i="1"/>
  <c r="E52" i="1" s="1"/>
  <c r="E43" i="1"/>
  <c r="E33" i="1"/>
  <c r="E34" i="1" s="1"/>
  <c r="E13" i="1"/>
  <c r="E48" i="1" l="1"/>
  <c r="E29" i="1"/>
  <c r="X150" i="1"/>
  <c r="U154" i="1"/>
  <c r="E159" i="1" l="1"/>
  <c r="T56" i="1"/>
  <c r="T47" i="1"/>
  <c r="W37" i="1" l="1"/>
  <c r="W48" i="1" s="1"/>
  <c r="X147" i="1" l="1"/>
  <c r="Z157" i="1" l="1"/>
  <c r="X156" i="1"/>
  <c r="U117" i="1" l="1"/>
  <c r="T111" i="1"/>
  <c r="T27" i="1"/>
  <c r="X117" i="1" l="1"/>
  <c r="G37" i="1"/>
  <c r="H37" i="1"/>
  <c r="J37" i="1"/>
  <c r="K37" i="1"/>
  <c r="L37" i="1"/>
  <c r="O37" i="1"/>
  <c r="X37" i="1"/>
  <c r="R37" i="1" l="1"/>
  <c r="Z37" i="1" l="1"/>
  <c r="W112" i="1"/>
  <c r="X112" i="1" s="1"/>
  <c r="W59" i="1"/>
  <c r="W61" i="1" s="1"/>
  <c r="W111" i="1"/>
  <c r="W73" i="1"/>
  <c r="W158" i="1" l="1"/>
  <c r="X59" i="1"/>
  <c r="X111" i="1"/>
  <c r="W20" i="1"/>
  <c r="X23" i="1" l="1"/>
  <c r="O23" i="1"/>
  <c r="L23" i="1"/>
  <c r="K23" i="1"/>
  <c r="J23" i="1"/>
  <c r="H23" i="1"/>
  <c r="G23" i="1"/>
  <c r="R23" i="1" l="1"/>
  <c r="Z23" i="1" s="1"/>
  <c r="W74" i="1" l="1"/>
  <c r="W19" i="1"/>
  <c r="W29" i="1" s="1"/>
  <c r="W81" i="1"/>
  <c r="W84" i="1" s="1"/>
  <c r="W72" i="1"/>
  <c r="W77" i="1" s="1"/>
  <c r="W89" i="1"/>
  <c r="W91" i="1" s="1"/>
  <c r="T82" i="1"/>
  <c r="T84" i="1" s="1"/>
  <c r="T71" i="1"/>
  <c r="L151" i="1" l="1"/>
  <c r="W159" i="1" l="1"/>
  <c r="U120" i="1"/>
  <c r="T118" i="1"/>
  <c r="X21" i="1"/>
  <c r="X118" i="1" l="1"/>
  <c r="G21" i="1"/>
  <c r="H21" i="1"/>
  <c r="J21" i="1"/>
  <c r="K21" i="1"/>
  <c r="L21" i="1"/>
  <c r="O21" i="1"/>
  <c r="G127" i="1"/>
  <c r="H127" i="1"/>
  <c r="J127" i="1"/>
  <c r="K127" i="1"/>
  <c r="L127" i="1"/>
  <c r="O127" i="1"/>
  <c r="R21" i="1" l="1"/>
  <c r="Z21" i="1" s="1"/>
  <c r="R127" i="1"/>
  <c r="X102" i="1" l="1"/>
  <c r="O102" i="1"/>
  <c r="L102" i="1"/>
  <c r="K102" i="1"/>
  <c r="J102" i="1"/>
  <c r="H102" i="1"/>
  <c r="G102" i="1"/>
  <c r="R102" i="1" l="1"/>
  <c r="Z102" i="1" s="1"/>
  <c r="X27" i="1"/>
  <c r="G27" i="1"/>
  <c r="H27" i="1"/>
  <c r="J27" i="1"/>
  <c r="K27" i="1"/>
  <c r="L27" i="1"/>
  <c r="O27" i="1"/>
  <c r="R27" i="1" l="1"/>
  <c r="Z27" i="1" s="1"/>
  <c r="G146" i="1"/>
  <c r="H146" i="1"/>
  <c r="J146" i="1"/>
  <c r="K146" i="1"/>
  <c r="L146" i="1"/>
  <c r="O146" i="1"/>
  <c r="X69" i="1"/>
  <c r="G69" i="1"/>
  <c r="H69" i="1"/>
  <c r="J69" i="1"/>
  <c r="K69" i="1"/>
  <c r="L69" i="1"/>
  <c r="O69" i="1"/>
  <c r="R146" i="1" l="1"/>
  <c r="Z146" i="1" s="1"/>
  <c r="R69" i="1"/>
  <c r="Z69" i="1" l="1"/>
  <c r="Z127" i="1"/>
  <c r="X126" i="1"/>
  <c r="X60" i="1"/>
  <c r="O60" i="1"/>
  <c r="L60" i="1"/>
  <c r="K60" i="1"/>
  <c r="J60" i="1"/>
  <c r="H60" i="1"/>
  <c r="G60" i="1"/>
  <c r="G126" i="1"/>
  <c r="H126" i="1"/>
  <c r="J126" i="1"/>
  <c r="K126" i="1"/>
  <c r="L126" i="1"/>
  <c r="O126" i="1"/>
  <c r="G129" i="1"/>
  <c r="H129" i="1"/>
  <c r="J129" i="1"/>
  <c r="K129" i="1"/>
  <c r="L129" i="1"/>
  <c r="O129" i="1"/>
  <c r="R126" i="1" l="1"/>
  <c r="Z126" i="1" s="1"/>
  <c r="R129" i="1"/>
  <c r="R60" i="1"/>
  <c r="O125" i="1"/>
  <c r="L125" i="1"/>
  <c r="K125" i="1"/>
  <c r="J125" i="1"/>
  <c r="H125" i="1"/>
  <c r="G125" i="1"/>
  <c r="O118" i="1"/>
  <c r="L118" i="1"/>
  <c r="K118" i="1"/>
  <c r="J118" i="1"/>
  <c r="H118" i="1"/>
  <c r="G118" i="1"/>
  <c r="X82" i="1"/>
  <c r="G82" i="1"/>
  <c r="H82" i="1"/>
  <c r="J82" i="1"/>
  <c r="K82" i="1"/>
  <c r="L82" i="1"/>
  <c r="O82" i="1"/>
  <c r="R82" i="1" l="1"/>
  <c r="Z82" i="1" s="1"/>
  <c r="Z60" i="1"/>
  <c r="R125" i="1"/>
  <c r="Z125" i="1" s="1"/>
  <c r="R118" i="1"/>
  <c r="Z118" i="1" s="1"/>
  <c r="G124" i="1"/>
  <c r="H124" i="1"/>
  <c r="J124" i="1"/>
  <c r="K124" i="1"/>
  <c r="L124" i="1"/>
  <c r="O124" i="1"/>
  <c r="R124" i="1" l="1"/>
  <c r="Z124" i="1" s="1"/>
  <c r="U38" i="1" l="1"/>
  <c r="U48" i="1" s="1"/>
  <c r="G156" i="1" l="1"/>
  <c r="H156" i="1"/>
  <c r="J156" i="1"/>
  <c r="K156" i="1"/>
  <c r="L156" i="1"/>
  <c r="O156" i="1"/>
  <c r="G155" i="1"/>
  <c r="H155" i="1"/>
  <c r="J155" i="1"/>
  <c r="K155" i="1"/>
  <c r="L155" i="1"/>
  <c r="O155" i="1"/>
  <c r="R155" i="1" l="1"/>
  <c r="R156" i="1"/>
  <c r="Z156" i="1" s="1"/>
  <c r="G145" i="1"/>
  <c r="H145" i="1"/>
  <c r="J145" i="1"/>
  <c r="K145" i="1"/>
  <c r="L145" i="1"/>
  <c r="O145" i="1"/>
  <c r="R145" i="1" l="1"/>
  <c r="G123" i="1"/>
  <c r="H123" i="1"/>
  <c r="J123" i="1"/>
  <c r="K123" i="1"/>
  <c r="L123" i="1"/>
  <c r="O123" i="1"/>
  <c r="R123" i="1" l="1"/>
  <c r="Z123" i="1" s="1"/>
  <c r="G111" i="1"/>
  <c r="H111" i="1"/>
  <c r="J111" i="1"/>
  <c r="K111" i="1"/>
  <c r="L111" i="1"/>
  <c r="O111" i="1"/>
  <c r="R111" i="1" l="1"/>
  <c r="Z111" i="1" s="1"/>
  <c r="X14" i="1" l="1"/>
  <c r="X15" i="1"/>
  <c r="O14" i="1"/>
  <c r="L14" i="1"/>
  <c r="K14" i="1"/>
  <c r="J14" i="1"/>
  <c r="H14" i="1"/>
  <c r="G14" i="1"/>
  <c r="O15" i="1"/>
  <c r="L15" i="1"/>
  <c r="K15" i="1"/>
  <c r="J15" i="1"/>
  <c r="H15" i="1"/>
  <c r="G15" i="1"/>
  <c r="R14" i="1" l="1"/>
  <c r="R15" i="1"/>
  <c r="Z15" i="1" s="1"/>
  <c r="Z14" i="1" l="1"/>
  <c r="T115" i="1"/>
  <c r="X9" i="1" l="1"/>
  <c r="R9" i="1"/>
  <c r="Z9" i="1" l="1"/>
  <c r="D119" i="42"/>
  <c r="X70" i="1" l="1"/>
  <c r="X72" i="1"/>
  <c r="X81" i="1"/>
  <c r="X19" i="1"/>
  <c r="X76" i="1"/>
  <c r="X51" i="1"/>
  <c r="X52" i="1" s="1"/>
  <c r="X20" i="1"/>
  <c r="X95" i="1" l="1"/>
  <c r="U12" i="1"/>
  <c r="U29" i="1" s="1"/>
  <c r="X131" i="1" l="1"/>
  <c r="X133" i="1"/>
  <c r="X134" i="1"/>
  <c r="X137" i="1"/>
  <c r="X138" i="1"/>
  <c r="X139" i="1"/>
  <c r="X140" i="1"/>
  <c r="X141" i="1"/>
  <c r="X143" i="1"/>
  <c r="Z145" i="1"/>
  <c r="X152" i="1"/>
  <c r="X128" i="1"/>
  <c r="T87" i="1" l="1"/>
  <c r="T91" i="1" s="1"/>
  <c r="X87" i="1" l="1"/>
  <c r="U132" i="1"/>
  <c r="U158" i="1" s="1"/>
  <c r="X132" i="1" l="1"/>
  <c r="X100" i="1"/>
  <c r="U64" i="1" l="1"/>
  <c r="U66" i="1" s="1"/>
  <c r="X64" i="1" l="1"/>
  <c r="T120" i="1" l="1"/>
  <c r="X120" i="1" s="1"/>
  <c r="T151" i="1" l="1"/>
  <c r="X151" i="1" s="1"/>
  <c r="X99" i="1"/>
  <c r="O153" i="1" l="1"/>
  <c r="L153" i="1"/>
  <c r="K153" i="1"/>
  <c r="J153" i="1"/>
  <c r="H153" i="1"/>
  <c r="G153" i="1"/>
  <c r="R153" i="1" l="1"/>
  <c r="X115" i="1"/>
  <c r="T13" i="1"/>
  <c r="T29" i="1" s="1"/>
  <c r="Z153" i="1" l="1"/>
  <c r="T154" i="1" l="1"/>
  <c r="X38" i="1"/>
  <c r="X154" i="1" l="1"/>
  <c r="Z155" i="1"/>
  <c r="X26" i="1"/>
  <c r="X89" i="1"/>
  <c r="X71" i="1"/>
  <c r="X22" i="1"/>
  <c r="X65" i="1"/>
  <c r="X66" i="1" s="1"/>
  <c r="X17" i="1"/>
  <c r="X10" i="1" l="1"/>
  <c r="X12" i="1" l="1"/>
  <c r="G19" i="1" l="1"/>
  <c r="H19" i="1"/>
  <c r="J19" i="1"/>
  <c r="K19" i="1"/>
  <c r="L19" i="1"/>
  <c r="O19" i="1"/>
  <c r="O17" i="1"/>
  <c r="L17" i="1"/>
  <c r="K17" i="1"/>
  <c r="J17" i="1"/>
  <c r="H17" i="1"/>
  <c r="G17" i="1"/>
  <c r="R17" i="1" l="1"/>
  <c r="Z17" i="1" s="1"/>
  <c r="R19" i="1"/>
  <c r="Z19" i="1" s="1"/>
  <c r="O151" i="1" l="1"/>
  <c r="K151" i="1"/>
  <c r="J151" i="1"/>
  <c r="H151" i="1"/>
  <c r="G151" i="1"/>
  <c r="R151" i="1" l="1"/>
  <c r="Z151" i="1" s="1"/>
  <c r="X101" i="1"/>
  <c r="X98" i="1"/>
  <c r="X96" i="1"/>
  <c r="X94" i="1"/>
  <c r="V107" i="1"/>
  <c r="V158" i="1" s="1"/>
  <c r="X18" i="1"/>
  <c r="X16" i="1"/>
  <c r="X13" i="1"/>
  <c r="X11" i="1"/>
  <c r="X29" i="1" l="1"/>
  <c r="X107" i="1"/>
  <c r="V159" i="1"/>
  <c r="X32" i="1"/>
  <c r="X80" i="1"/>
  <c r="X84" i="1" s="1"/>
  <c r="L152" i="1"/>
  <c r="O150" i="1"/>
  <c r="L150" i="1"/>
  <c r="K150" i="1"/>
  <c r="J150" i="1"/>
  <c r="H150" i="1"/>
  <c r="G150" i="1"/>
  <c r="R150" i="1" l="1"/>
  <c r="Z150" i="1" s="1"/>
  <c r="Z87" i="1"/>
  <c r="X43" i="1" l="1"/>
  <c r="X42" i="1"/>
  <c r="X44" i="1"/>
  <c r="X45" i="1"/>
  <c r="X75" i="1" l="1"/>
  <c r="X56" i="1"/>
  <c r="T74" i="1"/>
  <c r="X47" i="1"/>
  <c r="X74" i="1" l="1"/>
  <c r="G154" i="1"/>
  <c r="H154" i="1"/>
  <c r="J154" i="1"/>
  <c r="K154" i="1"/>
  <c r="L154" i="1"/>
  <c r="O154" i="1"/>
  <c r="G122" i="1"/>
  <c r="H122" i="1"/>
  <c r="J122" i="1"/>
  <c r="K122" i="1"/>
  <c r="L122" i="1"/>
  <c r="O122" i="1"/>
  <c r="R122" i="1" l="1"/>
  <c r="Z122" i="1" s="1"/>
  <c r="R154" i="1"/>
  <c r="Z154" i="1" s="1"/>
  <c r="X88" i="1" l="1"/>
  <c r="O13" i="1"/>
  <c r="L13" i="1"/>
  <c r="K13" i="1"/>
  <c r="J13" i="1"/>
  <c r="H13" i="1"/>
  <c r="G13" i="1"/>
  <c r="R13" i="1" l="1"/>
  <c r="G152" i="1"/>
  <c r="H152" i="1"/>
  <c r="J152" i="1"/>
  <c r="K152" i="1"/>
  <c r="O152" i="1"/>
  <c r="G121" i="1"/>
  <c r="H121" i="1"/>
  <c r="J121" i="1"/>
  <c r="K121" i="1"/>
  <c r="L121" i="1"/>
  <c r="O121" i="1"/>
  <c r="R152" i="1" l="1"/>
  <c r="Z152" i="1" s="1"/>
  <c r="R121" i="1"/>
  <c r="Z121" i="1" s="1"/>
  <c r="G149" i="1" l="1"/>
  <c r="H149" i="1"/>
  <c r="J149" i="1"/>
  <c r="K149" i="1"/>
  <c r="L149" i="1"/>
  <c r="O149" i="1"/>
  <c r="G120" i="1"/>
  <c r="H120" i="1"/>
  <c r="J120" i="1"/>
  <c r="K120" i="1"/>
  <c r="L120" i="1"/>
  <c r="O120" i="1"/>
  <c r="R120" i="1" l="1"/>
  <c r="R149" i="1"/>
  <c r="Z149" i="1" s="1"/>
  <c r="G148" i="1" l="1"/>
  <c r="H148" i="1"/>
  <c r="J148" i="1"/>
  <c r="K148" i="1"/>
  <c r="L148" i="1"/>
  <c r="O148" i="1"/>
  <c r="R148" i="1" l="1"/>
  <c r="Z148" i="1" s="1"/>
  <c r="O42" i="1" l="1"/>
  <c r="L42" i="1"/>
  <c r="K42" i="1"/>
  <c r="J42" i="1"/>
  <c r="H42" i="1"/>
  <c r="G42" i="1"/>
  <c r="R42" i="1" l="1"/>
  <c r="Z42" i="1" s="1"/>
  <c r="T58" i="1"/>
  <c r="T61" i="1" s="1"/>
  <c r="T40" i="1"/>
  <c r="T48" i="1" s="1"/>
  <c r="X33" i="1"/>
  <c r="X34" i="1" s="1"/>
  <c r="X58" i="1" l="1"/>
  <c r="X61" i="1" s="1"/>
  <c r="X46" i="1"/>
  <c r="X40" i="1"/>
  <c r="Z13" i="1"/>
  <c r="Z129" i="1"/>
  <c r="X90" i="1" l="1"/>
  <c r="X91" i="1" s="1"/>
  <c r="G110" i="1" l="1"/>
  <c r="H110" i="1"/>
  <c r="J110" i="1"/>
  <c r="K110" i="1"/>
  <c r="L110" i="1"/>
  <c r="O110" i="1"/>
  <c r="R110" i="1" l="1"/>
  <c r="Z110" i="1" l="1"/>
  <c r="O75" i="1"/>
  <c r="L75" i="1"/>
  <c r="L117" i="1"/>
  <c r="K75" i="1"/>
  <c r="J75" i="1"/>
  <c r="H75" i="1"/>
  <c r="G75" i="1"/>
  <c r="R75" i="1" l="1"/>
  <c r="Z75" i="1" s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47" i="1"/>
  <c r="L147" i="1"/>
  <c r="K147" i="1"/>
  <c r="J147" i="1"/>
  <c r="H147" i="1"/>
  <c r="G147" i="1"/>
  <c r="O144" i="1"/>
  <c r="L144" i="1"/>
  <c r="K144" i="1"/>
  <c r="J144" i="1"/>
  <c r="H144" i="1"/>
  <c r="G144" i="1"/>
  <c r="O143" i="1"/>
  <c r="L143" i="1"/>
  <c r="K143" i="1"/>
  <c r="J143" i="1"/>
  <c r="H143" i="1"/>
  <c r="G143" i="1"/>
  <c r="O142" i="1"/>
  <c r="L142" i="1"/>
  <c r="K142" i="1"/>
  <c r="J142" i="1"/>
  <c r="H142" i="1"/>
  <c r="G142" i="1"/>
  <c r="O141" i="1"/>
  <c r="L141" i="1"/>
  <c r="K141" i="1"/>
  <c r="J141" i="1"/>
  <c r="H141" i="1"/>
  <c r="G141" i="1"/>
  <c r="O140" i="1"/>
  <c r="L140" i="1"/>
  <c r="K140" i="1"/>
  <c r="J140" i="1"/>
  <c r="H140" i="1"/>
  <c r="G140" i="1"/>
  <c r="O139" i="1"/>
  <c r="L139" i="1"/>
  <c r="K139" i="1"/>
  <c r="J139" i="1"/>
  <c r="H139" i="1"/>
  <c r="G139" i="1"/>
  <c r="O138" i="1"/>
  <c r="L138" i="1"/>
  <c r="K138" i="1"/>
  <c r="J138" i="1"/>
  <c r="H138" i="1"/>
  <c r="G138" i="1"/>
  <c r="O137" i="1"/>
  <c r="L137" i="1"/>
  <c r="K137" i="1"/>
  <c r="J137" i="1"/>
  <c r="H137" i="1"/>
  <c r="G137" i="1"/>
  <c r="O136" i="1"/>
  <c r="L136" i="1"/>
  <c r="K136" i="1"/>
  <c r="J136" i="1"/>
  <c r="H136" i="1"/>
  <c r="G136" i="1"/>
  <c r="O135" i="1"/>
  <c r="L135" i="1"/>
  <c r="K135" i="1"/>
  <c r="J135" i="1"/>
  <c r="H135" i="1"/>
  <c r="G135" i="1"/>
  <c r="O134" i="1"/>
  <c r="L134" i="1"/>
  <c r="K134" i="1"/>
  <c r="J134" i="1"/>
  <c r="H134" i="1"/>
  <c r="G134" i="1"/>
  <c r="O133" i="1"/>
  <c r="L133" i="1"/>
  <c r="K133" i="1"/>
  <c r="J133" i="1"/>
  <c r="H133" i="1"/>
  <c r="G133" i="1"/>
  <c r="O132" i="1"/>
  <c r="L132" i="1"/>
  <c r="K132" i="1"/>
  <c r="J132" i="1"/>
  <c r="H132" i="1"/>
  <c r="G132" i="1"/>
  <c r="O131" i="1"/>
  <c r="L131" i="1"/>
  <c r="K131" i="1"/>
  <c r="J131" i="1"/>
  <c r="H131" i="1"/>
  <c r="G131" i="1"/>
  <c r="O128" i="1"/>
  <c r="L128" i="1"/>
  <c r="K128" i="1"/>
  <c r="J128" i="1"/>
  <c r="H128" i="1"/>
  <c r="G128" i="1"/>
  <c r="T119" i="1"/>
  <c r="T158" i="1" s="1"/>
  <c r="O119" i="1"/>
  <c r="L119" i="1"/>
  <c r="K119" i="1"/>
  <c r="J119" i="1"/>
  <c r="H119" i="1"/>
  <c r="G119" i="1"/>
  <c r="O116" i="1"/>
  <c r="L116" i="1"/>
  <c r="K116" i="1"/>
  <c r="J116" i="1"/>
  <c r="H116" i="1"/>
  <c r="G116" i="1"/>
  <c r="O114" i="1"/>
  <c r="L114" i="1"/>
  <c r="K114" i="1"/>
  <c r="J114" i="1"/>
  <c r="H114" i="1"/>
  <c r="G114" i="1"/>
  <c r="O115" i="1"/>
  <c r="L115" i="1"/>
  <c r="K115" i="1"/>
  <c r="J115" i="1"/>
  <c r="H115" i="1"/>
  <c r="G115" i="1"/>
  <c r="O113" i="1"/>
  <c r="L113" i="1"/>
  <c r="K113" i="1"/>
  <c r="J113" i="1"/>
  <c r="H113" i="1"/>
  <c r="G113" i="1"/>
  <c r="O101" i="1"/>
  <c r="L101" i="1"/>
  <c r="K101" i="1"/>
  <c r="J101" i="1"/>
  <c r="H101" i="1"/>
  <c r="G101" i="1"/>
  <c r="O100" i="1"/>
  <c r="L100" i="1"/>
  <c r="K100" i="1"/>
  <c r="J100" i="1"/>
  <c r="H100" i="1"/>
  <c r="G100" i="1"/>
  <c r="O99" i="1"/>
  <c r="L99" i="1"/>
  <c r="E9" i="11" s="1"/>
  <c r="D9" i="11" s="1"/>
  <c r="K99" i="1"/>
  <c r="J99" i="1"/>
  <c r="E7" i="11" s="1"/>
  <c r="D7" i="11" s="1"/>
  <c r="H99" i="1"/>
  <c r="G99" i="1"/>
  <c r="O112" i="1"/>
  <c r="L112" i="1"/>
  <c r="K112" i="1"/>
  <c r="J112" i="1"/>
  <c r="H112" i="1"/>
  <c r="G112" i="1"/>
  <c r="O59" i="1"/>
  <c r="L59" i="1"/>
  <c r="K59" i="1"/>
  <c r="J59" i="1"/>
  <c r="H59" i="1"/>
  <c r="G59" i="1"/>
  <c r="O96" i="1"/>
  <c r="L96" i="1"/>
  <c r="K96" i="1"/>
  <c r="J96" i="1"/>
  <c r="H96" i="1"/>
  <c r="G96" i="1"/>
  <c r="O109" i="1"/>
  <c r="L109" i="1"/>
  <c r="K109" i="1"/>
  <c r="J109" i="1"/>
  <c r="H109" i="1"/>
  <c r="G109" i="1"/>
  <c r="O95" i="1"/>
  <c r="L95" i="1"/>
  <c r="K95" i="1"/>
  <c r="J95" i="1"/>
  <c r="H95" i="1"/>
  <c r="G95" i="1"/>
  <c r="O108" i="1"/>
  <c r="L108" i="1"/>
  <c r="K108" i="1"/>
  <c r="J108" i="1"/>
  <c r="H108" i="1"/>
  <c r="G108" i="1"/>
  <c r="O94" i="1"/>
  <c r="L94" i="1"/>
  <c r="K94" i="1"/>
  <c r="J94" i="1"/>
  <c r="H94" i="1"/>
  <c r="G94" i="1"/>
  <c r="O107" i="1"/>
  <c r="L107" i="1"/>
  <c r="K107" i="1"/>
  <c r="J107" i="1"/>
  <c r="H107" i="1"/>
  <c r="G107" i="1"/>
  <c r="O26" i="1"/>
  <c r="L26" i="1"/>
  <c r="K26" i="1"/>
  <c r="J26" i="1"/>
  <c r="H26" i="1"/>
  <c r="G26" i="1"/>
  <c r="O76" i="1"/>
  <c r="L76" i="1"/>
  <c r="K76" i="1"/>
  <c r="J76" i="1"/>
  <c r="H76" i="1"/>
  <c r="G76" i="1"/>
  <c r="O117" i="1"/>
  <c r="K117" i="1"/>
  <c r="J117" i="1"/>
  <c r="H117" i="1"/>
  <c r="G117" i="1"/>
  <c r="O56" i="1"/>
  <c r="L56" i="1"/>
  <c r="K56" i="1"/>
  <c r="J56" i="1"/>
  <c r="H56" i="1"/>
  <c r="G56" i="1"/>
  <c r="O58" i="1"/>
  <c r="L58" i="1"/>
  <c r="K58" i="1"/>
  <c r="J58" i="1"/>
  <c r="H58" i="1"/>
  <c r="G58" i="1"/>
  <c r="O90" i="1"/>
  <c r="L90" i="1"/>
  <c r="K90" i="1"/>
  <c r="J90" i="1"/>
  <c r="H90" i="1"/>
  <c r="G90" i="1"/>
  <c r="O74" i="1"/>
  <c r="L74" i="1"/>
  <c r="K74" i="1"/>
  <c r="J74" i="1"/>
  <c r="H74" i="1"/>
  <c r="G74" i="1"/>
  <c r="O81" i="1"/>
  <c r="L81" i="1"/>
  <c r="K81" i="1"/>
  <c r="J81" i="1"/>
  <c r="H81" i="1"/>
  <c r="G81" i="1"/>
  <c r="T73" i="1"/>
  <c r="T77" i="1" s="1"/>
  <c r="O73" i="1"/>
  <c r="L73" i="1"/>
  <c r="K73" i="1"/>
  <c r="J73" i="1"/>
  <c r="H73" i="1"/>
  <c r="G73" i="1"/>
  <c r="O72" i="1"/>
  <c r="L72" i="1"/>
  <c r="K72" i="1"/>
  <c r="J72" i="1"/>
  <c r="H72" i="1"/>
  <c r="G72" i="1"/>
  <c r="O89" i="1"/>
  <c r="L89" i="1"/>
  <c r="K89" i="1"/>
  <c r="J89" i="1"/>
  <c r="H89" i="1"/>
  <c r="G89" i="1"/>
  <c r="O70" i="1"/>
  <c r="L70" i="1"/>
  <c r="K70" i="1"/>
  <c r="J70" i="1"/>
  <c r="H70" i="1"/>
  <c r="G70" i="1"/>
  <c r="O80" i="1"/>
  <c r="O84" i="1" s="1"/>
  <c r="L80" i="1"/>
  <c r="K80" i="1"/>
  <c r="J80" i="1"/>
  <c r="H80" i="1"/>
  <c r="G80" i="1"/>
  <c r="O40" i="1"/>
  <c r="L40" i="1"/>
  <c r="K40" i="1"/>
  <c r="J40" i="1"/>
  <c r="H40" i="1"/>
  <c r="G40" i="1"/>
  <c r="O71" i="1"/>
  <c r="L71" i="1"/>
  <c r="K71" i="1"/>
  <c r="J71" i="1"/>
  <c r="H71" i="1"/>
  <c r="G71" i="1"/>
  <c r="O38" i="1"/>
  <c r="L38" i="1"/>
  <c r="K38" i="1"/>
  <c r="J38" i="1"/>
  <c r="H38" i="1"/>
  <c r="G38" i="1"/>
  <c r="O88" i="1"/>
  <c r="O91" i="1" s="1"/>
  <c r="L88" i="1"/>
  <c r="K88" i="1"/>
  <c r="J88" i="1"/>
  <c r="H88" i="1"/>
  <c r="G88" i="1"/>
  <c r="O10" i="1"/>
  <c r="L10" i="1"/>
  <c r="K10" i="1"/>
  <c r="J10" i="1"/>
  <c r="H10" i="1"/>
  <c r="G10" i="1"/>
  <c r="E8" i="7"/>
  <c r="D8" i="7" s="1"/>
  <c r="O64" i="1"/>
  <c r="L64" i="1"/>
  <c r="K64" i="1"/>
  <c r="J64" i="1"/>
  <c r="H64" i="1"/>
  <c r="G64" i="1"/>
  <c r="O57" i="1"/>
  <c r="L57" i="1"/>
  <c r="K57" i="1"/>
  <c r="J57" i="1"/>
  <c r="H57" i="1"/>
  <c r="G57" i="1"/>
  <c r="O12" i="1"/>
  <c r="L12" i="1"/>
  <c r="K12" i="1"/>
  <c r="J12" i="1"/>
  <c r="H12" i="1"/>
  <c r="G12" i="1"/>
  <c r="U159" i="1"/>
  <c r="Q52" i="1"/>
  <c r="F52" i="1"/>
  <c r="O43" i="1"/>
  <c r="L43" i="1"/>
  <c r="K43" i="1"/>
  <c r="J43" i="1"/>
  <c r="H43" i="1"/>
  <c r="G43" i="1"/>
  <c r="O51" i="1"/>
  <c r="O52" i="1" s="1"/>
  <c r="L51" i="1"/>
  <c r="L52" i="1" s="1"/>
  <c r="K51" i="1"/>
  <c r="K52" i="1" s="1"/>
  <c r="J51" i="1"/>
  <c r="J52" i="1" s="1"/>
  <c r="H51" i="1"/>
  <c r="H52" i="1" s="1"/>
  <c r="G51" i="1"/>
  <c r="G52" i="1" s="1"/>
  <c r="O47" i="1"/>
  <c r="L47" i="1"/>
  <c r="K47" i="1"/>
  <c r="J47" i="1"/>
  <c r="H47" i="1"/>
  <c r="G47" i="1"/>
  <c r="O46" i="1"/>
  <c r="L46" i="1"/>
  <c r="K46" i="1"/>
  <c r="J46" i="1"/>
  <c r="I46" i="1"/>
  <c r="I48" i="1" s="1"/>
  <c r="H46" i="1"/>
  <c r="G46" i="1"/>
  <c r="O45" i="1"/>
  <c r="L45" i="1"/>
  <c r="K45" i="1"/>
  <c r="J45" i="1"/>
  <c r="H45" i="1"/>
  <c r="G45" i="1"/>
  <c r="O44" i="1"/>
  <c r="L44" i="1"/>
  <c r="K44" i="1"/>
  <c r="J44" i="1"/>
  <c r="H44" i="1"/>
  <c r="G44" i="1"/>
  <c r="X41" i="1"/>
  <c r="O41" i="1"/>
  <c r="L41" i="1"/>
  <c r="K41" i="1"/>
  <c r="J41" i="1"/>
  <c r="H41" i="1"/>
  <c r="G41" i="1"/>
  <c r="X39" i="1"/>
  <c r="O39" i="1"/>
  <c r="L39" i="1"/>
  <c r="K39" i="1"/>
  <c r="J39" i="1"/>
  <c r="H39" i="1"/>
  <c r="G39" i="1"/>
  <c r="O22" i="1"/>
  <c r="L22" i="1"/>
  <c r="K22" i="1"/>
  <c r="J22" i="1"/>
  <c r="H22" i="1"/>
  <c r="G22" i="1"/>
  <c r="O65" i="1"/>
  <c r="L65" i="1"/>
  <c r="K65" i="1"/>
  <c r="J65" i="1"/>
  <c r="H65" i="1"/>
  <c r="G65" i="1"/>
  <c r="O20" i="1"/>
  <c r="L20" i="1"/>
  <c r="K20" i="1"/>
  <c r="J20" i="1"/>
  <c r="H20" i="1"/>
  <c r="G20" i="1"/>
  <c r="O33" i="1"/>
  <c r="O34" i="1" s="1"/>
  <c r="L33" i="1"/>
  <c r="L34" i="1" s="1"/>
  <c r="K33" i="1"/>
  <c r="K34" i="1" s="1"/>
  <c r="J33" i="1"/>
  <c r="J34" i="1" s="1"/>
  <c r="H33" i="1"/>
  <c r="H34" i="1" s="1"/>
  <c r="G33" i="1"/>
  <c r="G34" i="1" s="1"/>
  <c r="O18" i="1"/>
  <c r="L18" i="1"/>
  <c r="K18" i="1"/>
  <c r="J18" i="1"/>
  <c r="H18" i="1"/>
  <c r="G18" i="1"/>
  <c r="O16" i="1"/>
  <c r="L16" i="1"/>
  <c r="K16" i="1"/>
  <c r="J16" i="1"/>
  <c r="H16" i="1"/>
  <c r="G16" i="1"/>
  <c r="O11" i="1"/>
  <c r="L11" i="1"/>
  <c r="K11" i="1"/>
  <c r="J11" i="1"/>
  <c r="H11" i="1"/>
  <c r="G11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H91" i="1" l="1"/>
  <c r="H84" i="1"/>
  <c r="K66" i="1"/>
  <c r="J91" i="1"/>
  <c r="J84" i="1"/>
  <c r="L77" i="1"/>
  <c r="K61" i="1"/>
  <c r="G66" i="1"/>
  <c r="L66" i="1"/>
  <c r="H29" i="1"/>
  <c r="O29" i="1"/>
  <c r="K91" i="1"/>
  <c r="K84" i="1"/>
  <c r="H77" i="1"/>
  <c r="O77" i="1"/>
  <c r="G61" i="1"/>
  <c r="L61" i="1"/>
  <c r="H158" i="1"/>
  <c r="O158" i="1"/>
  <c r="G77" i="1"/>
  <c r="X48" i="1"/>
  <c r="G29" i="1"/>
  <c r="L29" i="1"/>
  <c r="G48" i="1"/>
  <c r="L48" i="1"/>
  <c r="G158" i="1"/>
  <c r="L158" i="1"/>
  <c r="H48" i="1"/>
  <c r="O48" i="1"/>
  <c r="H66" i="1"/>
  <c r="O66" i="1"/>
  <c r="J29" i="1"/>
  <c r="G91" i="1"/>
  <c r="L91" i="1"/>
  <c r="J48" i="1"/>
  <c r="G84" i="1"/>
  <c r="L84" i="1"/>
  <c r="J77" i="1"/>
  <c r="H61" i="1"/>
  <c r="O61" i="1"/>
  <c r="J158" i="1"/>
  <c r="J66" i="1"/>
  <c r="K29" i="1"/>
  <c r="K48" i="1"/>
  <c r="K77" i="1"/>
  <c r="J61" i="1"/>
  <c r="K158" i="1"/>
  <c r="F159" i="1"/>
  <c r="Q159" i="1"/>
  <c r="X73" i="1"/>
  <c r="X77" i="1" s="1"/>
  <c r="X119" i="1"/>
  <c r="X158" i="1" s="1"/>
  <c r="E12" i="7"/>
  <c r="D12" i="7" s="1"/>
  <c r="E9" i="7"/>
  <c r="D9" i="7" s="1"/>
  <c r="E10" i="7"/>
  <c r="D10" i="7" s="1"/>
  <c r="E6" i="7"/>
  <c r="D6" i="7" s="1"/>
  <c r="Z120" i="1"/>
  <c r="E8" i="6"/>
  <c r="D8" i="6" s="1"/>
  <c r="E12" i="6"/>
  <c r="D12" i="6" s="1"/>
  <c r="E9" i="6"/>
  <c r="D9" i="6" s="1"/>
  <c r="E6" i="6"/>
  <c r="D6" i="6" s="1"/>
  <c r="R71" i="1"/>
  <c r="X97" i="1"/>
  <c r="X104" i="1" s="1"/>
  <c r="R4" i="12"/>
  <c r="R7" i="12"/>
  <c r="R8" i="12"/>
  <c r="R128" i="1"/>
  <c r="Z128" i="1" s="1"/>
  <c r="R132" i="1"/>
  <c r="Z132" i="1" s="1"/>
  <c r="R74" i="1"/>
  <c r="Z74" i="1" s="1"/>
  <c r="R43" i="1"/>
  <c r="Z43" i="1" s="1"/>
  <c r="R88" i="1"/>
  <c r="R46" i="1"/>
  <c r="Z46" i="1" s="1"/>
  <c r="R138" i="1"/>
  <c r="Z138" i="1" s="1"/>
  <c r="R140" i="1"/>
  <c r="Z140" i="1" s="1"/>
  <c r="R57" i="1"/>
  <c r="R11" i="1"/>
  <c r="R18" i="1"/>
  <c r="Z18" i="1" s="1"/>
  <c r="R22" i="1"/>
  <c r="Z22" i="1" s="1"/>
  <c r="R44" i="1"/>
  <c r="Z44" i="1" s="1"/>
  <c r="R58" i="1"/>
  <c r="Z58" i="1" s="1"/>
  <c r="R94" i="1"/>
  <c r="R20" i="1"/>
  <c r="R117" i="1"/>
  <c r="Z117" i="1" s="1"/>
  <c r="R41" i="1"/>
  <c r="R80" i="1"/>
  <c r="R89" i="1"/>
  <c r="R73" i="1"/>
  <c r="R76" i="1"/>
  <c r="Z76" i="1" s="1"/>
  <c r="R95" i="1"/>
  <c r="Z95" i="1" s="1"/>
  <c r="R96" i="1"/>
  <c r="R59" i="1"/>
  <c r="Z59" i="1" s="1"/>
  <c r="R100" i="1"/>
  <c r="Z100" i="1" s="1"/>
  <c r="R113" i="1"/>
  <c r="Z113" i="1" s="1"/>
  <c r="R114" i="1"/>
  <c r="Z114" i="1" s="1"/>
  <c r="R119" i="1"/>
  <c r="R134" i="1"/>
  <c r="Z134" i="1" s="1"/>
  <c r="R135" i="1"/>
  <c r="Z135" i="1" s="1"/>
  <c r="R142" i="1"/>
  <c r="Z142" i="1" s="1"/>
  <c r="R144" i="1"/>
  <c r="Z144" i="1" s="1"/>
  <c r="R16" i="1"/>
  <c r="R65" i="1"/>
  <c r="R45" i="1"/>
  <c r="Z45" i="1" s="1"/>
  <c r="R38" i="1"/>
  <c r="R81" i="1"/>
  <c r="Z81" i="1" s="1"/>
  <c r="R90" i="1"/>
  <c r="Z90" i="1" s="1"/>
  <c r="R56" i="1"/>
  <c r="R131" i="1"/>
  <c r="Z131" i="1" s="1"/>
  <c r="R137" i="1"/>
  <c r="Z137" i="1" s="1"/>
  <c r="R139" i="1"/>
  <c r="Z139" i="1" s="1"/>
  <c r="R112" i="1"/>
  <c r="Z112" i="1" s="1"/>
  <c r="R47" i="1"/>
  <c r="Z47" i="1" s="1"/>
  <c r="R40" i="1"/>
  <c r="Z40" i="1" s="1"/>
  <c r="R70" i="1"/>
  <c r="R72" i="1"/>
  <c r="Z72" i="1" s="1"/>
  <c r="R26" i="1"/>
  <c r="Z26" i="1" s="1"/>
  <c r="R108" i="1"/>
  <c r="R109" i="1"/>
  <c r="Z109" i="1" s="1"/>
  <c r="R99" i="1"/>
  <c r="Z99" i="1" s="1"/>
  <c r="R101" i="1"/>
  <c r="Z101" i="1" s="1"/>
  <c r="R115" i="1"/>
  <c r="Z115" i="1" s="1"/>
  <c r="R116" i="1"/>
  <c r="Z116" i="1" s="1"/>
  <c r="R133" i="1"/>
  <c r="Z133" i="1" s="1"/>
  <c r="R136" i="1"/>
  <c r="R141" i="1"/>
  <c r="R143" i="1"/>
  <c r="Z143" i="1" s="1"/>
  <c r="R147" i="1"/>
  <c r="Z147" i="1" s="1"/>
  <c r="H22" i="3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10" i="1"/>
  <c r="R39" i="1"/>
  <c r="R12" i="1"/>
  <c r="R64" i="1"/>
  <c r="R107" i="1"/>
  <c r="R51" i="1"/>
  <c r="R52" i="1" s="1"/>
  <c r="Z52" i="1" s="1"/>
  <c r="C14" i="23"/>
  <c r="E10" i="6"/>
  <c r="D10" i="6" s="1"/>
  <c r="E12" i="11"/>
  <c r="D12" i="11" s="1"/>
  <c r="D4" i="5"/>
  <c r="R158" i="1" l="1"/>
  <c r="R29" i="1"/>
  <c r="R91" i="1"/>
  <c r="R66" i="1"/>
  <c r="R84" i="1"/>
  <c r="Z38" i="1"/>
  <c r="R48" i="1"/>
  <c r="Z56" i="1"/>
  <c r="R61" i="1"/>
  <c r="R77" i="1"/>
  <c r="E14" i="7"/>
  <c r="D14" i="7" s="1"/>
  <c r="X159" i="1"/>
  <c r="I159" i="1"/>
  <c r="Z65" i="1"/>
  <c r="Z57" i="1"/>
  <c r="T159" i="1"/>
  <c r="G16" i="3" s="1"/>
  <c r="Z108" i="1"/>
  <c r="Z89" i="1"/>
  <c r="Z70" i="1"/>
  <c r="Z71" i="1"/>
  <c r="Z16" i="1"/>
  <c r="Z33" i="1"/>
  <c r="Z80" i="1"/>
  <c r="Z88" i="1"/>
  <c r="Z91" i="1" s="1"/>
  <c r="Z94" i="1"/>
  <c r="Z11" i="1"/>
  <c r="Z119" i="1"/>
  <c r="Z107" i="1"/>
  <c r="Z12" i="1"/>
  <c r="Z136" i="1"/>
  <c r="Z41" i="1"/>
  <c r="Z32" i="1"/>
  <c r="Z34" i="1" s="1"/>
  <c r="Z141" i="1"/>
  <c r="Z20" i="1"/>
  <c r="Z10" i="1"/>
  <c r="Z96" i="1"/>
  <c r="Z73" i="1"/>
  <c r="E14" i="4"/>
  <c r="D14" i="4" s="1"/>
  <c r="D5" i="7"/>
  <c r="D14" i="5"/>
  <c r="E14" i="5"/>
  <c r="Z39" i="1"/>
  <c r="L97" i="1"/>
  <c r="E14" i="13"/>
  <c r="D14" i="13" s="1"/>
  <c r="K97" i="1"/>
  <c r="E13" i="8"/>
  <c r="D13" i="8" s="1"/>
  <c r="G97" i="1"/>
  <c r="O97" i="1"/>
  <c r="J97" i="1"/>
  <c r="H97" i="1"/>
  <c r="L98" i="1"/>
  <c r="Z64" i="1"/>
  <c r="Z51" i="1"/>
  <c r="E14" i="6"/>
  <c r="D14" i="6" s="1"/>
  <c r="Z77" i="1" l="1"/>
  <c r="H43" i="3" s="1"/>
  <c r="Z61" i="1"/>
  <c r="L104" i="1"/>
  <c r="L159" i="1" s="1"/>
  <c r="Z48" i="1"/>
  <c r="H39" i="3" s="1"/>
  <c r="Z66" i="1"/>
  <c r="H42" i="3" s="1"/>
  <c r="Z84" i="1"/>
  <c r="H44" i="3" s="1"/>
  <c r="Z158" i="1"/>
  <c r="H47" i="3" s="1"/>
  <c r="Z29" i="1"/>
  <c r="H41" i="3"/>
  <c r="H45" i="3"/>
  <c r="H38" i="3"/>
  <c r="H40" i="3"/>
  <c r="R97" i="1"/>
  <c r="J98" i="1"/>
  <c r="J104" i="1" s="1"/>
  <c r="O98" i="1"/>
  <c r="O104" i="1" s="1"/>
  <c r="K98" i="1"/>
  <c r="K104" i="1" s="1"/>
  <c r="G98" i="1"/>
  <c r="G104" i="1" s="1"/>
  <c r="H98" i="1"/>
  <c r="H104" i="1" s="1"/>
  <c r="K159" i="1" l="1"/>
  <c r="O159" i="1"/>
  <c r="J159" i="1"/>
  <c r="G159" i="1"/>
  <c r="H159" i="1"/>
  <c r="H37" i="3"/>
  <c r="Z97" i="1"/>
  <c r="R98" i="1"/>
  <c r="R104" i="1" s="1"/>
  <c r="R159" i="1" l="1"/>
  <c r="Z98" i="1"/>
  <c r="Z104" i="1" s="1"/>
  <c r="H46" i="3" l="1"/>
  <c r="H48" i="3" s="1"/>
  <c r="Z159" i="1"/>
  <c r="G19" i="3"/>
  <c r="H14" i="3"/>
  <c r="G17" i="3"/>
  <c r="G18" i="3"/>
  <c r="H20" i="3" l="1"/>
  <c r="H21" i="3" l="1"/>
  <c r="H23" i="3" s="1"/>
</calcChain>
</file>

<file path=xl/sharedStrings.xml><?xml version="1.0" encoding="utf-8"?>
<sst xmlns="http://schemas.openxmlformats.org/spreadsheetml/2006/main" count="3399" uniqueCount="526">
  <si>
    <t xml:space="preserve"> </t>
  </si>
  <si>
    <t>STAFF PAYROLL FOR THE MONTH OF JANUARY, 2021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</si>
  <si>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</si>
  <si>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</si>
  <si>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</si>
  <si>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</si>
  <si>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</si>
  <si>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</si>
  <si>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</si>
  <si>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</si>
  <si>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LEAVE</t>
  </si>
  <si>
    <t>OUT FIT</t>
  </si>
  <si>
    <t>LEGISLATIVE</t>
  </si>
  <si>
    <t>GROSS</t>
  </si>
  <si>
    <t>DECEMBER,2020</t>
  </si>
  <si>
    <t>JANUARY,2021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</si>
  <si>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</si>
  <si>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</si>
  <si>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</si>
  <si>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</si>
  <si>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</si>
  <si>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</si>
  <si>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</si>
  <si>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</si>
  <si>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</si>
  <si>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</si>
  <si>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</si>
  <si>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</si>
  <si>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COOP SOCIETY</t>
  </si>
  <si>
    <t>COOP. LOAN RECOVERY</t>
  </si>
  <si>
    <t>NHF DEDUCTION</t>
  </si>
  <si>
    <t>PAYE</t>
  </si>
  <si>
    <t>TOTAL</t>
  </si>
  <si>
    <t>S/N</t>
  </si>
  <si>
    <t>DG OFFICE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</si>
  <si>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</si>
  <si>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</si>
  <si>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</si>
  <si>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</si>
  <si>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</si>
  <si>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</si>
  <si>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</si>
  <si>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AKINSANMI ADEJOKE OLUKEMI</t>
  </si>
  <si>
    <t>AM INFORMATION</t>
  </si>
  <si>
    <t>15(9)</t>
  </si>
  <si>
    <t>DR IKEME ARTHUR J.O</t>
  </si>
  <si>
    <t>SNR RESEARCH FELLOW</t>
  </si>
  <si>
    <t>MOSHOOD M. OLALERE</t>
  </si>
  <si>
    <t>MANAGER ADMIN DG's OFFICE</t>
  </si>
  <si>
    <t>SARAFADEEN ALABELEWE</t>
  </si>
  <si>
    <t>SA ADMINISTRATION</t>
  </si>
  <si>
    <t>16(9)</t>
  </si>
  <si>
    <t>DR ABDULSALAM NASIRU NAEEM</t>
  </si>
  <si>
    <t>SA ACADEMICS</t>
  </si>
  <si>
    <t>16(7)</t>
  </si>
  <si>
    <t>TOKUNBO ALFRED ADULOJU</t>
  </si>
  <si>
    <t>AM LIAISON OFFICE</t>
  </si>
  <si>
    <t>13(10)</t>
  </si>
  <si>
    <t>HUSSEIN EGYE MUSA</t>
  </si>
  <si>
    <t>AM PROTOCOL</t>
  </si>
  <si>
    <t>DONALD E. MKPANAM</t>
  </si>
  <si>
    <t>AM ICT</t>
  </si>
  <si>
    <t>13(11)</t>
  </si>
  <si>
    <t>JOY HARUNA MAKERI</t>
  </si>
  <si>
    <t>AM TRAINING</t>
  </si>
  <si>
    <t>ALI ABDULLAHI</t>
  </si>
  <si>
    <t>ADUGBA RICHARD TERSEER</t>
  </si>
  <si>
    <t>INFORMATION OFFICER</t>
  </si>
  <si>
    <t>10(9)</t>
  </si>
  <si>
    <t>CHRISTIAN MADUABUCHI ODO</t>
  </si>
  <si>
    <t>ICT OFFICER</t>
  </si>
  <si>
    <t>10(11)</t>
  </si>
  <si>
    <t>VICTOR ASUKWO</t>
  </si>
  <si>
    <t>8 (9)</t>
  </si>
  <si>
    <t>SULEIMAN ABUBAKAR SODEEQ</t>
  </si>
  <si>
    <t>ASST. ADMIN. OFFICER</t>
  </si>
  <si>
    <t>8(7)</t>
  </si>
  <si>
    <t>YAKUB OLUWATOYIN USMAN</t>
  </si>
  <si>
    <t>ANTHONY EDET</t>
  </si>
  <si>
    <t>ASST. MGR  M&amp;E</t>
  </si>
  <si>
    <t>13(8)</t>
  </si>
  <si>
    <t>EGUATU U. ONYEJELEM</t>
  </si>
  <si>
    <t>OFFICER M&amp;E</t>
  </si>
  <si>
    <t>ODEH SUZIE</t>
  </si>
  <si>
    <t>ADMIN. OFFICER, LIASION OFFICE</t>
  </si>
  <si>
    <t>10(8)</t>
  </si>
  <si>
    <t>INTERNAL AUDIT</t>
  </si>
  <si>
    <t>NWOSU MATHEW EZE</t>
  </si>
  <si>
    <t>Ag. DIRECTOR INT. AUDIT</t>
  </si>
  <si>
    <t>17(8)</t>
  </si>
  <si>
    <t>BASHIRU ABBA WALI</t>
  </si>
  <si>
    <t>OFF. INT. AUDIT</t>
  </si>
  <si>
    <t>10(10)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</si>
  <si>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</si>
  <si>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</si>
  <si>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</si>
  <si>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</si>
  <si>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</si>
  <si>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</si>
  <si>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</si>
  <si>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</si>
  <si>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RESEARCH FELLOW I</t>
  </si>
  <si>
    <t>14(11)</t>
  </si>
  <si>
    <t>IBRAHIM USMAN</t>
  </si>
  <si>
    <t>DR MOHAMMED O. AMALI</t>
  </si>
  <si>
    <t>14(8)</t>
  </si>
  <si>
    <t>YAHAYA SHAMSU</t>
  </si>
  <si>
    <t>AM LEGAL</t>
  </si>
  <si>
    <t>OFORDEME ADAOBI JULIA</t>
  </si>
  <si>
    <t>RESEARCH FELLOW 11</t>
  </si>
  <si>
    <t>13(9)</t>
  </si>
  <si>
    <t>IKPEAZU CHINEDU ANITA</t>
  </si>
  <si>
    <t>RESEARCH FELLOW II</t>
  </si>
  <si>
    <t>.</t>
  </si>
  <si>
    <t>DORIS DAKDA AARON</t>
  </si>
  <si>
    <t>LEGAL SERVICES</t>
  </si>
  <si>
    <t>DR SHUIBU DANWANKA</t>
  </si>
  <si>
    <t>DIRECTOR LEGAL SERVICES</t>
  </si>
  <si>
    <t>DEMOCRATIC STUDIES</t>
  </si>
  <si>
    <t>DR. ADEWALE ADEREMI</t>
  </si>
  <si>
    <t>DIRECTOR, DEMOCRATIC STUDIES</t>
  </si>
  <si>
    <t>EMILY EDOISA IKHIDE</t>
  </si>
  <si>
    <t>EJALONIBU GANIYU LAYI</t>
  </si>
  <si>
    <t>UDEFUNA NNADOZIE PATRICK</t>
  </si>
  <si>
    <t>RESEARCH OFFICER</t>
  </si>
  <si>
    <t>10(13)</t>
  </si>
  <si>
    <t>OSOLAFIA MUHAMMAD EGYE</t>
  </si>
  <si>
    <t>PERSONNEL OFFICER</t>
  </si>
  <si>
    <t>HAUWA PATE SADIQ</t>
  </si>
  <si>
    <t>PROGRAMME OFFICER</t>
  </si>
  <si>
    <t>POST GRADUATE SCHOOL</t>
  </si>
  <si>
    <t>DR ASIMIYU G. ABIOLA</t>
  </si>
  <si>
    <t>DIRECTOR POST GRADUATE</t>
  </si>
  <si>
    <t>UZODINMA EMMANUEL EZENWA</t>
  </si>
  <si>
    <t>ECONOMIC AND SOCIAL DEV.</t>
  </si>
  <si>
    <t>DR ASEMOTA OMOROGBE JOSEPH</t>
  </si>
  <si>
    <t>Ag. DEPUTY DIRECTOR, ECO &amp; SOC DEV DEPT</t>
  </si>
  <si>
    <t>TERFA WILLIAMS ABRAHAM</t>
  </si>
  <si>
    <t>15(8)</t>
  </si>
  <si>
    <t>DR AUGUSTINE C. OSIGWE</t>
  </si>
  <si>
    <t>JUMARE FADILA</t>
  </si>
  <si>
    <t>NGARA CHRISTOPHER OCHANJA</t>
  </si>
  <si>
    <t>RESEARCH FELLOW 1</t>
  </si>
  <si>
    <t>14(9)</t>
  </si>
  <si>
    <t>OMOJU OLUWASOLA EMMANUEL</t>
  </si>
  <si>
    <t>ONYIMADU C. ONYEBUCHI</t>
  </si>
  <si>
    <t>IBE EZECHI CYRIACUS</t>
  </si>
  <si>
    <t>TRAINING AND INTERNATIONAL COOP</t>
  </si>
  <si>
    <t>DR JAKE DABANG DAN AZUMI</t>
  </si>
  <si>
    <t>DEPUTY DIRECTOR  TRAINING</t>
  </si>
  <si>
    <t>DR FRANCIS NDUM OJIE</t>
  </si>
  <si>
    <t>ASST. MANAGER, TRAINING</t>
  </si>
  <si>
    <t>OKECHUKWU UCHENNA HULDA</t>
  </si>
  <si>
    <t xml:space="preserve">TRAINING OFFICER </t>
  </si>
  <si>
    <t>HASSANA AHMED IBRAHIM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</si>
  <si>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</si>
  <si>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</si>
  <si>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</si>
  <si>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</si>
  <si>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</si>
  <si>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</si>
  <si>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</si>
  <si>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</si>
  <si>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FINANCE &amp; ACCOUNT</t>
  </si>
  <si>
    <t>IBRAHIM M. MSHELIA</t>
  </si>
  <si>
    <t>DIR. FINANCE &amp; ACCOUNTS</t>
  </si>
  <si>
    <t>KABIR MUHAMMAD SULAIMAN</t>
  </si>
  <si>
    <t>DD FINANCE &amp; ACCOUNTS</t>
  </si>
  <si>
    <t>RAHILA NURUDEEN HABU</t>
  </si>
  <si>
    <t>MANAGER, ACCOUNTS</t>
  </si>
  <si>
    <t>ANDRAWUS MUSA</t>
  </si>
  <si>
    <t xml:space="preserve">MGR. STORE </t>
  </si>
  <si>
    <t>TONDO IORWUESE EDWARD</t>
  </si>
  <si>
    <t>MGR ACCOUNTS</t>
  </si>
  <si>
    <t>SHEHU ABDULLAHI</t>
  </si>
  <si>
    <t>ASST. MANAGER, ACCOUNTS</t>
  </si>
  <si>
    <t>OJOGIWA ABISOLA GANIAT</t>
  </si>
  <si>
    <t xml:space="preserve">ASST. MGR ACCOUNT </t>
  </si>
  <si>
    <t>RAHILA SALIHU</t>
  </si>
  <si>
    <t>IJEOMA NKOLIKWA</t>
  </si>
  <si>
    <t>ASSISTANT STORES OFFICER</t>
  </si>
  <si>
    <t>8(9)</t>
  </si>
  <si>
    <t>ABDULRAHMAN A SULAIMAN</t>
  </si>
  <si>
    <t>8 (8)</t>
  </si>
  <si>
    <t>10</t>
  </si>
  <si>
    <t>ADMINISTRATION &amp; HUMAN RESOURCE</t>
  </si>
  <si>
    <t>DR KABIR AHMED</t>
  </si>
  <si>
    <t>DIR. FINANCE &amp; ADMIN</t>
  </si>
  <si>
    <t>AMINU BELLO DUKKU</t>
  </si>
  <si>
    <t>DIR ADMIN/HR</t>
  </si>
  <si>
    <t>MAGAJI BALA</t>
  </si>
  <si>
    <t>DD ADMIN/HR</t>
  </si>
  <si>
    <t>ARCH. TIJO ZARA BORYO</t>
  </si>
  <si>
    <t>MANAGER, ASSETS/MAINT.</t>
  </si>
  <si>
    <t>YUNUSA ABDULLAHI</t>
  </si>
  <si>
    <t>ASSISTANT MANAGER, HR</t>
  </si>
  <si>
    <t>EROMOSELE OMONIGBO</t>
  </si>
  <si>
    <t>SIMON YAKUBU WAKAWA</t>
  </si>
  <si>
    <t>ASST. MANAGER , ASSETS &amp; MAINT.</t>
  </si>
  <si>
    <t>SALAMATU YAKUBU</t>
  </si>
  <si>
    <t>PRINCIPAL CONF. SECRETARY</t>
  </si>
  <si>
    <t>USMAN WAZIRI</t>
  </si>
  <si>
    <t>MOHAMMED R. ADAMU</t>
  </si>
  <si>
    <t>OGUNYOMI ROTIMI</t>
  </si>
  <si>
    <t>JUWAIRATU ABDULSALAM ISAH</t>
  </si>
  <si>
    <t>SENIOR CONFIDENTIAL SECR</t>
  </si>
  <si>
    <t>ABDULWAHAB DAHIRU</t>
  </si>
  <si>
    <t>ADMIN OFFICER</t>
  </si>
  <si>
    <t>YUSIF SADIQ SANI</t>
  </si>
  <si>
    <t>CONFIDENTIAL SECRETARY</t>
  </si>
  <si>
    <t>8(10)</t>
  </si>
  <si>
    <t>STELLA NGOZI PAUL</t>
  </si>
  <si>
    <t>OWOEYE TOSIN KAYODE</t>
  </si>
  <si>
    <t>NAZIRU RABIU IBRAHIM</t>
  </si>
  <si>
    <t>GIDEON B. LAMIDO</t>
  </si>
  <si>
    <t>ASST OFFICER ASSETS &amp; MAINT</t>
  </si>
  <si>
    <t>AMOS ABA</t>
  </si>
  <si>
    <t>ASSISTANT LIAISON OFFICER</t>
  </si>
  <si>
    <t>SARATU H. GWALEM</t>
  </si>
  <si>
    <t>IWODI ENE JUDITH</t>
  </si>
  <si>
    <t>OMOUDU QUEEN PRISCILLA</t>
  </si>
  <si>
    <t>SECRETARY</t>
  </si>
  <si>
    <t>BASSEY NSONGURUA UDOFIA</t>
  </si>
  <si>
    <t>BUKOLA HAUWA SHIRU</t>
  </si>
  <si>
    <t>ADMIN. ASST.</t>
  </si>
  <si>
    <t>OLATUNJI OYEDELE YUSUF</t>
  </si>
  <si>
    <t>CHIEF DRIVER</t>
  </si>
  <si>
    <t>7(3)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</si>
  <si>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</si>
  <si>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</si>
  <si>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</si>
  <si>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</si>
  <si>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</si>
  <si>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</si>
  <si>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</si>
  <si>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</si>
  <si>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5(12)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</si>
  <si>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</si>
  <si>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</si>
  <si>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</si>
  <si>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</si>
  <si>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</si>
  <si>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</si>
  <si>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</si>
  <si>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5(9)</t>
  </si>
  <si>
    <t>JOHN GIMAH</t>
  </si>
  <si>
    <t>ABUBAKAR MUSA DANLAMI</t>
  </si>
  <si>
    <t>5(10)</t>
  </si>
  <si>
    <t>OYINLOLA ISMAHEEL TAIWO</t>
  </si>
  <si>
    <t>5(8)</t>
  </si>
  <si>
    <t>IBRAHIM ZAKARI AHMAD</t>
  </si>
  <si>
    <t>DRIVER</t>
  </si>
  <si>
    <t>4(10)</t>
  </si>
  <si>
    <t>SHEDRACK NASARA M.</t>
  </si>
  <si>
    <t>IBRAHIM ALIYU</t>
  </si>
  <si>
    <t>ABUBAKAR AMINU DOLE</t>
  </si>
  <si>
    <t>BASHIR AUWAL</t>
  </si>
  <si>
    <t>DARAMOLA SANJO SAMSON</t>
  </si>
  <si>
    <t>JONATHAN GABRIEL</t>
  </si>
  <si>
    <t>4(9)</t>
  </si>
  <si>
    <t>ZHOKWO PETER</t>
  </si>
  <si>
    <t>JOHN ETIMBUK UDO</t>
  </si>
  <si>
    <t>51</t>
  </si>
  <si>
    <t>GRAND TOTAL</t>
  </si>
  <si>
    <t>PREPARED BY:</t>
  </si>
  <si>
    <t>SIGNATURE</t>
  </si>
  <si>
    <t>DATE</t>
  </si>
  <si>
    <t>DEC. 2020 PAYE</t>
  </si>
  <si>
    <t>DIFFERENCE</t>
  </si>
  <si>
    <t>ONYEAKU CHUKWUKA EDMOND</t>
  </si>
  <si>
    <t>DIR. ECO. &amp; SOCIAL DEV</t>
  </si>
  <si>
    <t>SENIOR RESEARCH FELLOW</t>
  </si>
  <si>
    <t>14(7)</t>
  </si>
  <si>
    <t xml:space="preserve">ADMIN OFFICER </t>
  </si>
  <si>
    <t>RESEARCH FELLOW 11 DATA &amp; DOCU. OFFICER</t>
  </si>
  <si>
    <t>LIBRARY OFFICER</t>
  </si>
  <si>
    <t>11</t>
  </si>
  <si>
    <t>7(7)</t>
  </si>
  <si>
    <t>50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</si>
  <si>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</si>
  <si>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</si>
  <si>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</si>
  <si>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</si>
  <si>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</si>
  <si>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16(8)</t>
  </si>
  <si>
    <t>10(12)</t>
  </si>
  <si>
    <t>10(7)</t>
  </si>
  <si>
    <t>17(7)</t>
  </si>
  <si>
    <t>14(10)</t>
  </si>
  <si>
    <t>RESEARCH FELLOWII</t>
  </si>
  <si>
    <t>SENIOR RESEARCH FELLOW  TRAINING</t>
  </si>
  <si>
    <t>10(14)</t>
  </si>
  <si>
    <t xml:space="preserve">ASSIST. MGR. STORE </t>
  </si>
  <si>
    <t>ASSIST. MGR ACCOUNTS</t>
  </si>
  <si>
    <t>ACCOUNT OFFICER</t>
  </si>
  <si>
    <t>8(8)</t>
  </si>
  <si>
    <t>8 (7)</t>
  </si>
  <si>
    <t>ADMIN ASSISTANT</t>
  </si>
  <si>
    <t>5(13)</t>
  </si>
  <si>
    <t>5(11)</t>
  </si>
  <si>
    <t>4(12)</t>
  </si>
  <si>
    <t>4(8)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</si>
  <si>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</si>
  <si>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</si>
  <si>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</si>
  <si>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</si>
  <si>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</si>
  <si>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</si>
  <si>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</si>
  <si>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</si>
  <si>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</si>
  <si>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</si>
  <si>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</si>
  <si>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</si>
  <si>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</si>
  <si>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16 (8)</t>
  </si>
  <si>
    <t>MARYAM MUHAMMED BELLO</t>
  </si>
  <si>
    <t>13(7)</t>
  </si>
  <si>
    <t>ABDULSALAM BAKO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</si>
  <si>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</si>
  <si>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</si>
  <si>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</si>
  <si>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</si>
  <si>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</si>
  <si>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</si>
  <si>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</si>
  <si>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</si>
  <si>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</si>
  <si>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</si>
  <si>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</si>
  <si>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</si>
  <si>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</si>
  <si>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</si>
  <si>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</si>
  <si>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</si>
  <si>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</si>
  <si>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</si>
  <si>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</si>
  <si>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</si>
  <si>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</si>
  <si>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</si>
  <si>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</si>
  <si>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</si>
  <si>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</si>
  <si>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15 (7)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</si>
  <si>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</si>
  <si>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</si>
  <si>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</si>
  <si>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</si>
  <si>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</si>
  <si>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</si>
  <si>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14 (7)</t>
  </si>
  <si>
    <t>Dr. Lona Polit Bonkat</t>
  </si>
  <si>
    <t>13 (7)</t>
  </si>
  <si>
    <t>Terfa Gbahabo</t>
  </si>
  <si>
    <t>Leo Igbanoi Osikhen</t>
  </si>
  <si>
    <t>Okungbowa Osaretin Godsp</t>
  </si>
  <si>
    <t>Suzie Orefi Odeh</t>
  </si>
  <si>
    <t>10 (7)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</si>
  <si>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</si>
  <si>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</si>
  <si>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</si>
  <si>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</si>
  <si>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</si>
  <si>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</si>
  <si>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</si>
  <si>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</si>
  <si>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</si>
  <si>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</si>
  <si>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</si>
  <si>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</si>
  <si>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</si>
  <si>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</si>
  <si>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</si>
  <si>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NATIONAL INSTITUTE FOR LEGISLATIVE AND DEMOCRATIC STUDIES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</si>
  <si>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</si>
  <si>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</si>
  <si>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</si>
  <si>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</si>
  <si>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</si>
  <si>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</si>
  <si>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</si>
  <si>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GROSS SALARY FOR  JANUARY, 2021</t>
  </si>
  <si>
    <t>COOP SOCIETY DEDUCTIONS</t>
  </si>
  <si>
    <t>COOP LOAN RECOVERY</t>
  </si>
  <si>
    <t>PAYE DEDUCTIONS</t>
  </si>
  <si>
    <t>NHF DEDUCTIONS</t>
  </si>
  <si>
    <t>TOTAL DEDUCTIONS FOR  JANUARY, 2021</t>
  </si>
  <si>
    <t>NET PAY AS PER  JANUARY, 2021 PAYROLL</t>
  </si>
  <si>
    <t>NET PAY AS PER   DECEMBER, 2020 PAYROLL</t>
  </si>
  <si>
    <t>NET INCREASE/ (DECREASE)  IN PAY FOR JANUARY, 2021</t>
  </si>
  <si>
    <t>ANALYSED AS FOLLOWS:</t>
  </si>
  <si>
    <t>Effect of Cooperative adjustment for January, 2021</t>
  </si>
  <si>
    <t>Effect of NHF adjustment for January, 2021</t>
  </si>
  <si>
    <t>Effect of removal of Bashir Wali from payrol upon resignation</t>
  </si>
  <si>
    <t xml:space="preserve">Effect of Tax Adjustment </t>
  </si>
  <si>
    <t>Effect of promotion arrears for 29 staff</t>
  </si>
  <si>
    <t>Effect of annual salary increment for 2021</t>
  </si>
  <si>
    <t>DECEMBER, 2020</t>
  </si>
  <si>
    <t>JANUARY, 2021</t>
  </si>
  <si>
    <t>NO OF</t>
  </si>
  <si>
    <t>STAFF</t>
  </si>
  <si>
    <t>Director General's Office</t>
  </si>
  <si>
    <t>Internal Audit</t>
  </si>
  <si>
    <t>Legis. Support Services</t>
  </si>
  <si>
    <t>Legal Services</t>
  </si>
  <si>
    <t>Democratic Studies</t>
  </si>
  <si>
    <t>Post Graduate School</t>
  </si>
  <si>
    <t>Economic &amp; Social Dev.</t>
  </si>
  <si>
    <t>Training &amp; International</t>
  </si>
  <si>
    <t>Library &amp; Documentation</t>
  </si>
  <si>
    <t>Finance and Accounts</t>
  </si>
  <si>
    <t>Admin &amp; HR</t>
  </si>
  <si>
    <r>
      <t>The Director General is requested to consider and approve payment of</t>
    </r>
    <r>
      <rPr>
        <b/>
        <sz val="18"/>
        <rFont val="Times New Roman"/>
        <family val="1"/>
      </rPr>
      <t xml:space="preserve"> N40,987,997 </t>
    </r>
    <r>
      <rPr>
        <sz val="18"/>
        <rFont val="Times New Roman"/>
        <family val="1"/>
      </rPr>
      <t xml:space="preserve">to Guaranty Trust Bank  being January 2021 Salary, </t>
    </r>
    <r>
      <rPr>
        <b/>
        <sz val="18"/>
        <rFont val="Times New Roman"/>
        <family val="1"/>
      </rPr>
      <t xml:space="preserve">N9,861,107.17 </t>
    </r>
    <r>
      <rPr>
        <sz val="18"/>
        <rFont val="Times New Roman"/>
        <family val="1"/>
      </rPr>
      <t>being NILDS Coop Society deductions for January, 2021</t>
    </r>
    <r>
      <rPr>
        <b/>
        <sz val="18"/>
        <rFont val="Times New Roman"/>
        <family val="1"/>
      </rPr>
      <t xml:space="preserve"> N1,895,697.12 </t>
    </r>
    <r>
      <rPr>
        <sz val="18"/>
        <rFont val="Times New Roman"/>
        <family val="1"/>
      </rPr>
      <t xml:space="preserve">being PAYE Tax Deductions from Staff Salary for the month  of January, 2021 and </t>
    </r>
    <r>
      <rPr>
        <b/>
        <sz val="18"/>
        <rFont val="Times New Roman"/>
        <family val="1"/>
      </rPr>
      <t xml:space="preserve">N29,320.19 </t>
    </r>
    <r>
      <rPr>
        <sz val="18"/>
        <rFont val="Times New Roman"/>
        <family val="1"/>
      </rPr>
      <t xml:space="preserve"> being NHF deductions from staff for January, 2021.</t>
    </r>
  </si>
  <si>
    <t>KABIR M SULAIMAN</t>
  </si>
  <si>
    <t>Deputy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</si>
  <si>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</si>
  <si>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</si>
  <si>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</si>
  <si>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</si>
  <si>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</si>
  <si>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</si>
  <si>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</si>
  <si>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</si>
  <si>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</si>
  <si>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</si>
  <si>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</si>
  <si>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</si>
  <si>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</si>
  <si>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</si>
  <si>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</si>
  <si>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</si>
  <si>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GROSS SALARY</t>
  </si>
  <si>
    <t>SALARY DETAILS OF NILS INSTITUTE LIBRARIAN</t>
  </si>
  <si>
    <t>GRADE LEVEL 16 STEP 7</t>
  </si>
  <si>
    <t>Reasearch Allowance</t>
  </si>
  <si>
    <t>NAMES</t>
  </si>
  <si>
    <t>DG'S OFFICE</t>
  </si>
  <si>
    <t>PROF. ABUBAKAR O. SULAIMAN</t>
  </si>
  <si>
    <t>MANAGER INT. AUDIT</t>
  </si>
  <si>
    <t>ASSIT. INT. AUDIT</t>
  </si>
  <si>
    <t>OFFICER ICT</t>
  </si>
  <si>
    <t>INFORMATION ASST</t>
  </si>
  <si>
    <t>PROF. MUHAMMED T. LADAN</t>
  </si>
  <si>
    <t>DLSS</t>
  </si>
  <si>
    <t>15(7)</t>
  </si>
  <si>
    <t>NWAFOR ORIZU ONYIYE</t>
  </si>
  <si>
    <t>PROF FEMI AJAYI</t>
  </si>
  <si>
    <t>DIRECTOR DEMOCRATIC</t>
  </si>
  <si>
    <t>OFFICER, SPECIAL DUTIES</t>
  </si>
  <si>
    <t>RESEARCH &amp; TRAINING</t>
  </si>
  <si>
    <t>DIR. RES. &amp; TRAINING</t>
  </si>
  <si>
    <t>DR OLARENWAJU NIYI JOHN</t>
  </si>
  <si>
    <t>EXTENDED SABATICAL</t>
  </si>
  <si>
    <t>RESEARCH FELLOW1 DOCU</t>
  </si>
  <si>
    <t>DATA &amp; DOCU. OFFICER</t>
  </si>
  <si>
    <t>RESEARCH ASSISTANT</t>
  </si>
  <si>
    <t>FINANCE &amp; ADMIN.</t>
  </si>
  <si>
    <t>DD FIN &amp;ACCOUNTS</t>
  </si>
  <si>
    <t>DD ADMIN &amp; HR</t>
  </si>
  <si>
    <t>MANAGER ADMIN&amp;HR</t>
  </si>
  <si>
    <t>MANGER ACCOUNTS</t>
  </si>
  <si>
    <t>MARUF ABDULSALAM</t>
  </si>
  <si>
    <t>ASSET&amp; MAINT. OFFICER</t>
  </si>
  <si>
    <t>STORE OFFICER</t>
  </si>
  <si>
    <t>OFFICER ACCOUNTS</t>
  </si>
  <si>
    <t>PERSONNEL ASSISTANT</t>
  </si>
  <si>
    <t>ACCOUNT ASSISTANT</t>
  </si>
  <si>
    <t>OFFICER, ASSETS &amp; MAINT.</t>
  </si>
  <si>
    <t>SEN. CONF. SECRETARY</t>
  </si>
  <si>
    <t>MOHAMMED SIAKA</t>
  </si>
  <si>
    <t>4(11)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</si>
  <si>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</si>
  <si>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</si>
  <si>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</si>
  <si>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</si>
  <si>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</si>
  <si>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</si>
  <si>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</si>
  <si>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</si>
  <si>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</si>
  <si>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</si>
  <si>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</si>
  <si>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</si>
  <si>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</si>
  <si>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</si>
  <si>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</si>
  <si>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</si>
  <si>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</si>
  <si>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</si>
  <si>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</si>
  <si>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</si>
  <si>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</si>
  <si>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</si>
  <si>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</si>
  <si>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</si>
  <si>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</si>
  <si>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</si>
  <si>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</si>
  <si>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</si>
  <si>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</si>
  <si>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</si>
  <si>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BASIC SALARY</t>
  </si>
  <si>
    <t>GRADE LEVEL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</si>
  <si>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</si>
  <si>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</si>
  <si>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</si>
  <si>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</si>
  <si>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</si>
  <si>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</si>
  <si>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</si>
  <si>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1</t>
  </si>
  <si>
    <t>DIRECTORS</t>
  </si>
  <si>
    <t>4</t>
  </si>
  <si>
    <t>LEGAL ADVISER</t>
  </si>
  <si>
    <t>SPECIAL ASSISTANT</t>
  </si>
  <si>
    <t>2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</si>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</sst>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* #,##0.00_);_(* \(#,##0.00\);_(* &quot;-&quot;??_);_(@_)"/>
  </numFmts>
  <fonts count="28" x14ac:knownFonts="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u val="singleAccounting"/>
      <sz val="18"/>
      <name val="Times New Roman"/>
      <family val="1"/>
    </font>
    <font>
      <b/>
      <strike/>
      <sz val="1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1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164" fontId="6" fillId="0" borderId="1" xfId="1" applyFont="1" applyFill="1" applyBorder="1" applyAlignment="1">
      <alignment horizontal="right"/>
    </xf>
    <xf numFmtId="164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3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0" fontId="4" fillId="0" borderId="0" xfId="0" applyFont="1"/>
    <xf numFmtId="164" fontId="2" fillId="4" borderId="0" xfId="1" applyFont="1" applyFill="1"/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Border="1" applyAlignment="1">
      <alignment horizontal="center"/>
    </xf>
    <xf numFmtId="164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164" fontId="15" fillId="0" borderId="1" xfId="1" applyFont="1" applyFill="1" applyBorder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164" fontId="16" fillId="0" borderId="0" xfId="1" applyFont="1"/>
    <xf numFmtId="164" fontId="17" fillId="0" borderId="0" xfId="1" applyFont="1"/>
    <xf numFmtId="43" fontId="16" fillId="0" borderId="0" xfId="0" applyNumberFormat="1" applyFont="1"/>
    <xf numFmtId="43" fontId="17" fillId="0" borderId="0" xfId="0" applyNumberFormat="1" applyFont="1"/>
    <xf numFmtId="0" fontId="18" fillId="0" borderId="0" xfId="0" applyFont="1"/>
    <xf numFmtId="0" fontId="17" fillId="0" borderId="0" xfId="0" applyFont="1"/>
    <xf numFmtId="164" fontId="0" fillId="0" borderId="0" xfId="1" applyFont="1"/>
    <xf numFmtId="43" fontId="0" fillId="0" borderId="0" xfId="0" applyNumberFormat="1"/>
    <xf numFmtId="49" fontId="2" fillId="0" borderId="1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164" fontId="19" fillId="4" borderId="1" xfId="1" quotePrefix="1" applyFont="1" applyFill="1" applyBorder="1" applyAlignment="1">
      <alignment horizontal="right"/>
    </xf>
    <xf numFmtId="164" fontId="19" fillId="0" borderId="1" xfId="0" applyNumberFormat="1" applyFont="1" applyBorder="1"/>
    <xf numFmtId="0" fontId="19" fillId="0" borderId="1" xfId="0" applyFont="1" applyBorder="1"/>
    <xf numFmtId="164" fontId="19" fillId="0" borderId="1" xfId="1" quotePrefix="1" applyFont="1" applyFill="1" applyBorder="1" applyAlignment="1">
      <alignment horizontal="right"/>
    </xf>
    <xf numFmtId="49" fontId="2" fillId="0" borderId="2" xfId="0" applyNumberFormat="1" applyFont="1" applyBorder="1"/>
    <xf numFmtId="49" fontId="2" fillId="0" borderId="4" xfId="0" applyNumberFormat="1" applyFont="1" applyBorder="1"/>
    <xf numFmtId="164" fontId="19" fillId="0" borderId="1" xfId="1" applyFont="1" applyFill="1" applyBorder="1" applyAlignment="1">
      <alignment horizontal="right"/>
    </xf>
    <xf numFmtId="43" fontId="2" fillId="0" borderId="0" xfId="0" applyNumberFormat="1" applyFont="1"/>
    <xf numFmtId="43" fontId="19" fillId="0" borderId="0" xfId="0" applyNumberFormat="1" applyFont="1"/>
    <xf numFmtId="164" fontId="20" fillId="0" borderId="1" xfId="1" applyFont="1" applyFill="1" applyBorder="1" applyAlignment="1">
      <alignment horizontal="right"/>
    </xf>
    <xf numFmtId="17" fontId="0" fillId="0" borderId="0" xfId="0" applyNumberFormat="1"/>
    <xf numFmtId="49" fontId="14" fillId="0" borderId="1" xfId="0" applyNumberFormat="1" applyFont="1" applyBorder="1" applyAlignment="1">
      <alignment horizontal="center"/>
    </xf>
    <xf numFmtId="164" fontId="14" fillId="0" borderId="1" xfId="1" applyFont="1" applyFill="1" applyBorder="1"/>
    <xf numFmtId="43" fontId="21" fillId="0" borderId="0" xfId="0" applyNumberFormat="1" applyFont="1"/>
    <xf numFmtId="43" fontId="14" fillId="0" borderId="0" xfId="0" applyNumberFormat="1" applyFont="1"/>
    <xf numFmtId="0" fontId="4" fillId="0" borderId="0" xfId="0" applyFont="1" applyAlignment="1">
      <alignment wrapText="1"/>
    </xf>
    <xf numFmtId="0" fontId="14" fillId="0" borderId="5" xfId="0" applyFont="1" applyBorder="1" applyAlignment="1">
      <alignment horizontal="center"/>
    </xf>
    <xf numFmtId="164" fontId="14" fillId="0" borderId="5" xfId="1" applyFont="1" applyFill="1" applyBorder="1" applyAlignment="1">
      <alignment horizontal="right"/>
    </xf>
    <xf numFmtId="164" fontId="14" fillId="0" borderId="5" xfId="1" quotePrefix="1" applyFont="1" applyFill="1" applyBorder="1" applyAlignment="1">
      <alignment horizontal="right"/>
    </xf>
    <xf numFmtId="164" fontId="14" fillId="0" borderId="1" xfId="1" quotePrefix="1" applyFont="1" applyFill="1" applyBorder="1" applyAlignment="1">
      <alignment horizontal="right"/>
    </xf>
    <xf numFmtId="164" fontId="14" fillId="0" borderId="1" xfId="1" applyFont="1" applyFill="1" applyBorder="1" applyAlignment="1">
      <alignment horizontal="right"/>
    </xf>
    <xf numFmtId="164" fontId="2" fillId="0" borderId="0" xfId="1" applyFont="1" applyBorder="1"/>
    <xf numFmtId="164" fontId="4" fillId="0" borderId="0" xfId="1" applyFont="1"/>
    <xf numFmtId="43" fontId="4" fillId="0" borderId="0" xfId="0" applyNumberFormat="1" applyFont="1"/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22" fillId="0" borderId="0" xfId="0" applyFont="1"/>
    <xf numFmtId="164" fontId="25" fillId="0" borderId="0" xfId="0" applyNumberFormat="1" applyFont="1"/>
    <xf numFmtId="164" fontId="24" fillId="0" borderId="0" xfId="0" applyNumberFormat="1" applyFont="1"/>
    <xf numFmtId="164" fontId="26" fillId="0" borderId="0" xfId="0" applyNumberFormat="1" applyFont="1"/>
    <xf numFmtId="0" fontId="25" fillId="0" borderId="0" xfId="0" applyFont="1"/>
    <xf numFmtId="4" fontId="25" fillId="0" borderId="0" xfId="0" applyNumberFormat="1" applyFont="1"/>
    <xf numFmtId="4" fontId="23" fillId="0" borderId="0" xfId="0" applyNumberFormat="1" applyFont="1"/>
    <xf numFmtId="164" fontId="25" fillId="0" borderId="6" xfId="1" applyFont="1" applyBorder="1" applyAlignment="1"/>
    <xf numFmtId="164" fontId="25" fillId="0" borderId="3" xfId="1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164" fontId="24" fillId="0" borderId="1" xfId="0" applyNumberFormat="1" applyFont="1" applyBorder="1"/>
    <xf numFmtId="49" fontId="24" fillId="0" borderId="0" xfId="0" applyNumberFormat="1" applyFont="1" applyAlignment="1">
      <alignment horizontal="left"/>
    </xf>
    <xf numFmtId="164" fontId="25" fillId="0" borderId="1" xfId="0" applyNumberFormat="1" applyFont="1" applyBorder="1"/>
    <xf numFmtId="164" fontId="25" fillId="0" borderId="0" xfId="1" applyFont="1" applyBorder="1" applyAlignment="1"/>
    <xf numFmtId="0" fontId="24" fillId="0" borderId="0" xfId="0" applyFont="1" applyAlignment="1">
      <alignment horizontal="left" wrapText="1"/>
    </xf>
    <xf numFmtId="164" fontId="24" fillId="0" borderId="0" xfId="0" applyNumberFormat="1" applyFont="1" applyAlignment="1">
      <alignment horizontal="right"/>
    </xf>
    <xf numFmtId="164" fontId="24" fillId="0" borderId="0" xfId="1" applyFont="1" applyFill="1" applyBorder="1" applyAlignment="1"/>
    <xf numFmtId="164" fontId="4" fillId="0" borderId="2" xfId="1" quotePrefix="1" applyFont="1" applyFill="1" applyBorder="1" applyAlignment="1">
      <alignment horizontal="right"/>
    </xf>
    <xf numFmtId="164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49" fontId="2" fillId="4" borderId="2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2" fillId="0" borderId="1" xfId="0" applyNumberFormat="1" applyFont="1" applyBorder="1"/>
    <xf numFmtId="0" fontId="2" fillId="4" borderId="2" xfId="0" applyFont="1" applyFill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wrapText="1"/>
    </xf>
    <xf numFmtId="0" fontId="25" fillId="0" borderId="0" xfId="0" applyFont="1" applyAlignment="1">
      <alignment horizontal="left"/>
    </xf>
    <xf numFmtId="49" fontId="24" fillId="0" borderId="0" xfId="0" applyNumberFormat="1" applyFont="1" applyAlignment="1">
      <alignment horizontal="left"/>
    </xf>
    <xf numFmtId="0" fontId="24" fillId="0" borderId="8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164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D452DBA8-FF09-489E-ACB0-6ED0C4EC21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6">
          <cell r="H26">
            <v>837.6875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0">
          <cell r="H30">
            <v>2043.5005000000001</v>
          </cell>
        </row>
        <row r="31">
          <cell r="H31">
            <v>457.041</v>
          </cell>
        </row>
        <row r="32">
          <cell r="H32">
            <v>837.6875</v>
          </cell>
        </row>
        <row r="34">
          <cell r="H34">
            <v>837.6875</v>
          </cell>
        </row>
        <row r="36">
          <cell r="H36">
            <v>658.48250000000007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  <row r="57">
          <cell r="H57">
            <v>29320.188749999998</v>
          </cell>
        </row>
        <row r="58">
          <cell r="H58"/>
        </row>
        <row r="59">
          <cell r="H59"/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0</v>
          </cell>
          <cell r="H19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9"/>
  <sheetViews>
    <sheetView tabSelected="1" view="pageBreakPreview" zoomScaleNormal="100" zoomScaleSheetLayoutView="100" workbookViewId="0">
      <pane xSplit="3" ySplit="9" topLeftCell="D125" activePane="bottomRight" state="frozen"/>
      <selection pane="topRight" activeCell="E1" sqref="E1"/>
      <selection pane="bottomLeft" activeCell="A10" sqref="A10"/>
      <selection pane="bottomRight" activeCell="F1" sqref="F1:F1048576"/>
    </sheetView>
  </sheetViews>
  <sheetFormatPr defaultColWidth="9.140625" defaultRowHeight="20.100000000000001" customHeight="1" x14ac:dyDescent="0.3"/>
  <cols>
    <col min="1" max="1" width="4.5703125" style="1" customWidth="1"/>
    <col min="2" max="2" width="42.42578125" style="1" customWidth="1"/>
    <col min="3" max="3" width="38.85546875" style="1" customWidth="1"/>
    <col min="4" max="4" width="12.28515625" style="1" customWidth="1"/>
    <col min="5" max="5" width="22" style="1" customWidth="1"/>
    <col min="6" max="6" width="20.5703125" style="1" customWidth="1"/>
    <col min="7" max="7" width="23" style="1" customWidth="1"/>
    <col min="8" max="8" width="20.28515625" style="1" customWidth="1"/>
    <col min="9" max="9" width="18.85546875" style="1" customWidth="1"/>
    <col min="10" max="10" width="18" style="1" customWidth="1"/>
    <col min="11" max="11" width="19.140625" style="1" customWidth="1"/>
    <col min="12" max="12" width="20" style="1" customWidth="1"/>
    <col min="13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9" width="21.42578125" style="1" customWidth="1"/>
    <col min="20" max="20" width="21.28515625" style="1" customWidth="1"/>
    <col min="21" max="21" width="20.42578125" style="1" customWidth="1"/>
    <col min="22" max="22" width="17.7109375" style="1" customWidth="1"/>
    <col min="23" max="23" width="19.5703125" style="1" customWidth="1"/>
    <col min="24" max="24" width="20.7109375" style="1" customWidth="1"/>
    <col min="25" max="26" width="23.85546875" style="1" customWidth="1"/>
    <col min="27" max="27" width="28.42578125" style="1" customWidth="1"/>
    <col min="28" max="16384" width="9.140625" style="1"/>
  </cols>
  <sheetData>
    <row r="1" spans="1:32" ht="29.25" customHeight="1" x14ac:dyDescent="0.3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AF1" s="1" t="s">
        <v>0</v>
      </c>
    </row>
    <row r="2" spans="1:32" ht="5.25" customHeight="1" x14ac:dyDescent="0.3">
      <c r="R2" s="52"/>
      <c r="S2" s="52"/>
      <c r="T2" s="52"/>
      <c r="U2" s="52"/>
      <c r="V2" s="52"/>
      <c r="W2" s="52"/>
      <c r="X2" s="52"/>
      <c r="Y2" s="52"/>
      <c r="Z2" s="52"/>
    </row>
    <row r="3" spans="1:32" ht="20.100000000000001" customHeight="1" x14ac:dyDescent="0.3">
      <c r="B3" s="166" t="s">
        <v>1</v>
      </c>
      <c r="C3" s="166"/>
      <c r="D3" s="166"/>
      <c r="E3" s="53"/>
      <c r="F3" s="53"/>
      <c r="G3" s="53"/>
      <c r="H3" s="54"/>
      <c r="I3" s="54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</row>
    <row r="4" spans="1:32" ht="2.25" customHeight="1" x14ac:dyDescent="0.3">
      <c r="E4" s="56">
        <f>'[1]FEB 08'!E8/'[1]FEB 08'!M8</f>
        <v>0.22</v>
      </c>
      <c r="F4" s="56"/>
      <c r="G4" s="56"/>
      <c r="H4" s="56">
        <f>'[1]FEB 08'!F8/'[1]FEB 08'!Q8</f>
        <v>0.3</v>
      </c>
      <c r="I4" s="56"/>
      <c r="J4" s="56"/>
      <c r="K4" s="56"/>
      <c r="L4" s="56"/>
      <c r="M4" s="56"/>
      <c r="N4" s="56"/>
      <c r="O4" s="56"/>
      <c r="P4" s="56"/>
      <c r="Q4" s="56"/>
    </row>
    <row r="5" spans="1:32" ht="20.100000000000001" customHeight="1" x14ac:dyDescent="0.3">
      <c r="B5" s="53" t="s">
        <v>2</v>
      </c>
      <c r="C5" s="57"/>
      <c r="D5" s="57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165" t="s">
        <v>3</v>
      </c>
      <c r="U5" s="165"/>
      <c r="V5" s="165"/>
      <c r="W5" s="165"/>
      <c r="X5" s="165"/>
      <c r="Y5" s="57"/>
      <c r="Z5" s="57" t="s">
        <v>4</v>
      </c>
    </row>
    <row r="6" spans="1:32" ht="35.450000000000003" customHeight="1" x14ac:dyDescent="0.3">
      <c r="A6" s="33"/>
      <c r="B6" s="59"/>
      <c r="C6" s="59" t="s">
        <v>5</v>
      </c>
      <c r="D6" s="59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/>
      <c r="O6" s="2" t="s">
        <v>10</v>
      </c>
      <c r="P6" s="2" t="s">
        <v>11</v>
      </c>
      <c r="Q6" s="2" t="s">
        <v>12</v>
      </c>
      <c r="R6" s="2" t="s">
        <v>13</v>
      </c>
      <c r="S6" s="2"/>
      <c r="T6" s="2"/>
      <c r="U6" s="2"/>
      <c r="V6" s="2"/>
      <c r="W6" s="7"/>
      <c r="X6" s="7"/>
      <c r="Y6" s="7" t="s">
        <v>14</v>
      </c>
      <c r="Z6" s="7" t="s">
        <v>15</v>
      </c>
    </row>
    <row r="7" spans="1:32" ht="55.9" customHeight="1" x14ac:dyDescent="0.3">
      <c r="A7" s="33"/>
      <c r="B7" s="7"/>
      <c r="C7" s="59"/>
      <c r="D7" s="59" t="s">
        <v>16</v>
      </c>
      <c r="E7" s="2" t="s">
        <v>17</v>
      </c>
      <c r="F7" s="60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/>
      <c r="O7" s="2" t="s">
        <v>26</v>
      </c>
      <c r="P7" s="2" t="s">
        <v>26</v>
      </c>
      <c r="Q7" s="2" t="s">
        <v>27</v>
      </c>
      <c r="R7" s="2" t="s">
        <v>17</v>
      </c>
      <c r="S7" s="2"/>
      <c r="T7" s="60" t="s">
        <v>28</v>
      </c>
      <c r="U7" s="60" t="s">
        <v>29</v>
      </c>
      <c r="V7" s="60" t="s">
        <v>30</v>
      </c>
      <c r="W7" s="2" t="s">
        <v>31</v>
      </c>
      <c r="X7" s="2" t="s">
        <v>32</v>
      </c>
      <c r="Y7" s="2"/>
      <c r="Z7" s="2"/>
    </row>
    <row r="8" spans="1:32" ht="20.100000000000001" customHeight="1" x14ac:dyDescent="0.3">
      <c r="A8" s="21" t="s">
        <v>33</v>
      </c>
      <c r="B8" s="157" t="s">
        <v>34</v>
      </c>
      <c r="C8" s="49"/>
      <c r="D8" s="49"/>
      <c r="E8" s="61" t="s">
        <v>35</v>
      </c>
      <c r="F8" s="7"/>
      <c r="G8" s="61"/>
      <c r="H8" s="61" t="s">
        <v>35</v>
      </c>
      <c r="I8" s="61"/>
      <c r="J8" s="61"/>
      <c r="K8" s="61"/>
      <c r="L8" s="61"/>
      <c r="M8" s="61"/>
      <c r="N8" s="61"/>
      <c r="O8" s="61"/>
      <c r="P8" s="61"/>
      <c r="Q8" s="61"/>
      <c r="R8" s="61" t="s">
        <v>35</v>
      </c>
      <c r="S8" s="61"/>
      <c r="T8" s="61"/>
      <c r="U8" s="61"/>
      <c r="V8" s="61"/>
      <c r="W8" s="61" t="s">
        <v>35</v>
      </c>
      <c r="X8" s="61"/>
      <c r="Y8" s="61"/>
      <c r="Z8" s="61"/>
    </row>
    <row r="9" spans="1:32" ht="20.100000000000001" customHeight="1" x14ac:dyDescent="0.3">
      <c r="A9" s="3">
        <v>1</v>
      </c>
      <c r="B9" s="84" t="s">
        <v>36</v>
      </c>
      <c r="C9" s="62" t="s">
        <v>37</v>
      </c>
      <c r="D9" s="62" t="s">
        <v>38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36">
        <f>200000</f>
        <v>200000</v>
      </c>
      <c r="N9" s="36"/>
      <c r="O9" s="36">
        <v>16048.88</v>
      </c>
      <c r="P9" s="36">
        <v>25000</v>
      </c>
      <c r="Q9" s="36">
        <v>25235</v>
      </c>
      <c r="R9" s="36">
        <f>SUM(E9:Q9)</f>
        <v>1108849.8399999999</v>
      </c>
      <c r="S9" s="36"/>
      <c r="T9" s="36"/>
      <c r="U9" s="36"/>
      <c r="V9" s="36"/>
      <c r="W9" s="36">
        <v>113176.97</v>
      </c>
      <c r="X9" s="36">
        <f>T9+U9+V9+W9</f>
        <v>113176.97</v>
      </c>
      <c r="Y9" s="36">
        <v>995672.86999999988</v>
      </c>
      <c r="Z9" s="36">
        <f>R9-X9</f>
        <v>995672.86999999988</v>
      </c>
    </row>
    <row r="10" spans="1:32" ht="20.100000000000001" customHeight="1" x14ac:dyDescent="0.3">
      <c r="A10" s="3">
        <v>2</v>
      </c>
      <c r="B10" s="84" t="s">
        <v>39</v>
      </c>
      <c r="C10" s="62" t="s">
        <v>40</v>
      </c>
      <c r="D10" s="67" t="s">
        <v>41</v>
      </c>
      <c r="E10" s="63">
        <v>81740.02</v>
      </c>
      <c r="F10" s="63"/>
      <c r="G10" s="63">
        <f>E10*300%</f>
        <v>245220.06</v>
      </c>
      <c r="H10" s="63">
        <f>E10*7.5%</f>
        <v>6130.5015000000003</v>
      </c>
      <c r="I10" s="63">
        <v>80244.38</v>
      </c>
      <c r="J10" s="63">
        <f>E10*50%</f>
        <v>40870.01</v>
      </c>
      <c r="K10" s="63">
        <f>E10*350%</f>
        <v>286090.07</v>
      </c>
      <c r="L10" s="63">
        <f>E10*100%</f>
        <v>81740.02</v>
      </c>
      <c r="M10" s="63">
        <f t="shared" ref="M10:M76" si="0">150000</f>
        <v>150000</v>
      </c>
      <c r="N10" s="63"/>
      <c r="O10" s="63">
        <f>E10*10%</f>
        <v>8174.0020000000004</v>
      </c>
      <c r="P10" s="63">
        <v>20000</v>
      </c>
      <c r="Q10" s="63">
        <v>0</v>
      </c>
      <c r="R10" s="36">
        <f>SUM(E10:Q10)</f>
        <v>1000209.0635</v>
      </c>
      <c r="S10" s="36"/>
      <c r="T10" s="36">
        <v>200000</v>
      </c>
      <c r="U10" s="36">
        <f>59722.22</f>
        <v>59722.22</v>
      </c>
      <c r="V10" s="36">
        <f>'[2]Jan 2021'!$H$38</f>
        <v>806.58</v>
      </c>
      <c r="W10" s="63">
        <v>52776.63</v>
      </c>
      <c r="X10" s="36">
        <f>SUM(T10:W10)</f>
        <v>313305.43</v>
      </c>
      <c r="Y10" s="36">
        <v>685666.71299999999</v>
      </c>
      <c r="Z10" s="36">
        <f>R10-X10</f>
        <v>686903.6335</v>
      </c>
    </row>
    <row r="11" spans="1:32" ht="20.100000000000001" customHeight="1" x14ac:dyDescent="0.3">
      <c r="A11" s="3">
        <v>3</v>
      </c>
      <c r="B11" s="156" t="s">
        <v>42</v>
      </c>
      <c r="C11" s="33" t="s">
        <v>43</v>
      </c>
      <c r="D11" s="38" t="s">
        <v>44</v>
      </c>
      <c r="E11" s="63">
        <v>33507.5</v>
      </c>
      <c r="F11" s="63"/>
      <c r="G11" s="63">
        <f>E11*300%</f>
        <v>100522.5</v>
      </c>
      <c r="H11" s="63">
        <f>E11*7.5%</f>
        <v>2513.0625</v>
      </c>
      <c r="I11" s="63">
        <v>40122.19</v>
      </c>
      <c r="J11" s="63">
        <f>E11*50%</f>
        <v>16753.75</v>
      </c>
      <c r="K11" s="63">
        <f>E11*350%</f>
        <v>117276.25</v>
      </c>
      <c r="L11" s="63">
        <f>E11*100%</f>
        <v>33507.5</v>
      </c>
      <c r="M11" s="63">
        <f>100000</f>
        <v>100000</v>
      </c>
      <c r="N11" s="63"/>
      <c r="O11" s="63">
        <f>E11*10%</f>
        <v>3350.75</v>
      </c>
      <c r="P11" s="63">
        <v>20000</v>
      </c>
      <c r="Q11" s="63">
        <f>100000</f>
        <v>100000</v>
      </c>
      <c r="R11" s="36">
        <f>SUM(E11:Q11)</f>
        <v>567553.50249999994</v>
      </c>
      <c r="S11" s="36"/>
      <c r="T11" s="36">
        <f>0</f>
        <v>0</v>
      </c>
      <c r="U11" s="36">
        <v>0</v>
      </c>
      <c r="V11" s="36">
        <f>'[2]Jan 2021'!$H$29</f>
        <v>806.58</v>
      </c>
      <c r="W11" s="36">
        <v>15548.33</v>
      </c>
      <c r="X11" s="36">
        <f t="shared" ref="X11:X22" si="1">T11+U11+V11+W11</f>
        <v>16354.91</v>
      </c>
      <c r="Y11" s="36">
        <v>551167.48499999999</v>
      </c>
      <c r="Z11" s="36">
        <f t="shared" ref="Z11:Z24" si="2">R11-X11</f>
        <v>551198.59249999991</v>
      </c>
    </row>
    <row r="12" spans="1:32" ht="20.100000000000001" customHeight="1" x14ac:dyDescent="0.3">
      <c r="A12" s="3">
        <v>4</v>
      </c>
      <c r="B12" s="155" t="s">
        <v>45</v>
      </c>
      <c r="C12" s="48" t="s">
        <v>46</v>
      </c>
      <c r="D12" s="29" t="s">
        <v>44</v>
      </c>
      <c r="E12" s="26">
        <f>33507.5</f>
        <v>33507.5</v>
      </c>
      <c r="F12" s="26"/>
      <c r="G12" s="26">
        <f>E12*300%</f>
        <v>100522.5</v>
      </c>
      <c r="H12" s="26">
        <f>E12*7.5%</f>
        <v>2513.0625</v>
      </c>
      <c r="I12" s="26">
        <v>40122.19</v>
      </c>
      <c r="J12" s="26">
        <f>E12*50%</f>
        <v>16753.75</v>
      </c>
      <c r="K12" s="26">
        <f>E12*350%</f>
        <v>117276.25</v>
      </c>
      <c r="L12" s="26">
        <f>E12*100%</f>
        <v>33507.5</v>
      </c>
      <c r="M12" s="26">
        <f>100000</f>
        <v>100000</v>
      </c>
      <c r="N12" s="26"/>
      <c r="O12" s="26">
        <f>E12*10%</f>
        <v>3350.75</v>
      </c>
      <c r="P12" s="26">
        <v>20000</v>
      </c>
      <c r="Q12" s="26">
        <v>0</v>
      </c>
      <c r="R12" s="26">
        <f>SUM(E12:Q12)</f>
        <v>467553.5025</v>
      </c>
      <c r="S12" s="26"/>
      <c r="T12" s="26">
        <v>50000</v>
      </c>
      <c r="U12" s="26">
        <f>212642</f>
        <v>212642</v>
      </c>
      <c r="V12" s="26">
        <f>'[3]DECEMBER 2019'!$H$38</f>
        <v>837.6875</v>
      </c>
      <c r="W12" s="26">
        <v>15548.33</v>
      </c>
      <c r="X12" s="26">
        <f>SUM(T12:W12)</f>
        <v>279028.01750000002</v>
      </c>
      <c r="Y12" s="26">
        <v>188525.48499999999</v>
      </c>
      <c r="Z12" s="26">
        <f>R12-X12</f>
        <v>188525.48499999999</v>
      </c>
    </row>
    <row r="13" spans="1:32" ht="20.100000000000001" customHeight="1" x14ac:dyDescent="0.3">
      <c r="A13" s="3">
        <v>5</v>
      </c>
      <c r="B13" s="156" t="s">
        <v>47</v>
      </c>
      <c r="C13" s="33" t="s">
        <v>48</v>
      </c>
      <c r="D13" s="3" t="s">
        <v>44</v>
      </c>
      <c r="E13" s="36">
        <f>33507.5</f>
        <v>33507.5</v>
      </c>
      <c r="F13" s="63"/>
      <c r="G13" s="63">
        <f>E13*300%</f>
        <v>100522.5</v>
      </c>
      <c r="H13" s="63">
        <f>E13*7.5%</f>
        <v>2513.0625</v>
      </c>
      <c r="I13" s="63">
        <v>40122.19</v>
      </c>
      <c r="J13" s="63">
        <f>E13*50%</f>
        <v>16753.75</v>
      </c>
      <c r="K13" s="63">
        <f>E13*350%</f>
        <v>117276.25</v>
      </c>
      <c r="L13" s="63">
        <f>E13*100%</f>
        <v>33507.5</v>
      </c>
      <c r="M13" s="36">
        <f>100000</f>
        <v>100000</v>
      </c>
      <c r="N13" s="36"/>
      <c r="O13" s="63">
        <f>E13*10%</f>
        <v>3350.75</v>
      </c>
      <c r="P13" s="63">
        <v>20000</v>
      </c>
      <c r="Q13" s="64">
        <v>0</v>
      </c>
      <c r="R13" s="36">
        <f>SUM(E13:Q13)</f>
        <v>467553.5025</v>
      </c>
      <c r="S13" s="36"/>
      <c r="T13" s="36">
        <f>5000</f>
        <v>5000</v>
      </c>
      <c r="U13" s="36">
        <f>179017.51</f>
        <v>179017.51</v>
      </c>
      <c r="V13" s="36">
        <f>'[3]DECEMBER 2019'!$H$35</f>
        <v>837.6875</v>
      </c>
      <c r="W13" s="36">
        <v>15548.33</v>
      </c>
      <c r="X13" s="36">
        <f t="shared" si="1"/>
        <v>200403.5275</v>
      </c>
      <c r="Y13" s="36">
        <v>267149.97499999998</v>
      </c>
      <c r="Z13" s="36">
        <f t="shared" si="2"/>
        <v>267149.97499999998</v>
      </c>
    </row>
    <row r="14" spans="1:32" ht="20.100000000000001" customHeight="1" x14ac:dyDescent="0.3">
      <c r="A14" s="3">
        <v>6</v>
      </c>
      <c r="B14" s="156" t="s">
        <v>49</v>
      </c>
      <c r="C14" s="44" t="s">
        <v>50</v>
      </c>
      <c r="D14" s="81" t="s">
        <v>51</v>
      </c>
      <c r="E14" s="66">
        <f>42653.17</f>
        <v>42653.17</v>
      </c>
      <c r="F14" s="65"/>
      <c r="G14" s="63">
        <f>E14*300%</f>
        <v>127959.51</v>
      </c>
      <c r="H14" s="63">
        <f>E14*7.5%</f>
        <v>3198.9877499999998</v>
      </c>
      <c r="I14" s="63">
        <v>40122.19</v>
      </c>
      <c r="J14" s="63">
        <f>E14*50%</f>
        <v>21326.584999999999</v>
      </c>
      <c r="K14" s="63">
        <f>E14*350%</f>
        <v>149286.095</v>
      </c>
      <c r="L14" s="63">
        <f>E14*100%</f>
        <v>42653.17</v>
      </c>
      <c r="M14" s="63">
        <f>100000</f>
        <v>100000</v>
      </c>
      <c r="N14" s="63"/>
      <c r="O14" s="63">
        <f>E14*10%</f>
        <v>4265.317</v>
      </c>
      <c r="P14" s="63">
        <v>20000</v>
      </c>
      <c r="Q14" s="82"/>
      <c r="R14" s="36">
        <f>SUM(E14:Q14)</f>
        <v>551465.0247500001</v>
      </c>
      <c r="S14" s="66"/>
      <c r="T14" s="66">
        <f>100000</f>
        <v>100000</v>
      </c>
      <c r="U14" s="66">
        <f>137500</f>
        <v>137500</v>
      </c>
      <c r="V14" s="66"/>
      <c r="W14" s="36">
        <v>21618.09</v>
      </c>
      <c r="X14" s="36">
        <f t="shared" si="1"/>
        <v>259118.09</v>
      </c>
      <c r="Y14" s="36">
        <v>278625.90575000003</v>
      </c>
      <c r="Z14" s="36">
        <f t="shared" si="2"/>
        <v>292346.93475000013</v>
      </c>
    </row>
    <row r="15" spans="1:32" ht="20.100000000000001" customHeight="1" x14ac:dyDescent="0.3">
      <c r="A15" s="3">
        <v>7</v>
      </c>
      <c r="B15" s="156" t="s">
        <v>52</v>
      </c>
      <c r="C15" s="44" t="s">
        <v>53</v>
      </c>
      <c r="D15" s="81" t="s">
        <v>54</v>
      </c>
      <c r="E15" s="66">
        <f>39662.25</f>
        <v>39662.25</v>
      </c>
      <c r="F15" s="65"/>
      <c r="G15" s="63">
        <f>E15*300%</f>
        <v>118986.75</v>
      </c>
      <c r="H15" s="63">
        <f>E15*7.5%</f>
        <v>2974.6687499999998</v>
      </c>
      <c r="I15" s="63">
        <v>40122.19</v>
      </c>
      <c r="J15" s="63">
        <f>E15*50%</f>
        <v>19831.125</v>
      </c>
      <c r="K15" s="63">
        <f>E15*350%</f>
        <v>138817.875</v>
      </c>
      <c r="L15" s="63">
        <f>E15*100%</f>
        <v>39662.25</v>
      </c>
      <c r="M15" s="66">
        <f>150000</f>
        <v>150000</v>
      </c>
      <c r="N15" s="66"/>
      <c r="O15" s="63">
        <f>E15*10%</f>
        <v>3966.2250000000004</v>
      </c>
      <c r="P15" s="63">
        <v>20000</v>
      </c>
      <c r="Q15" s="66">
        <f>100000</f>
        <v>100000</v>
      </c>
      <c r="R15" s="36">
        <f>SUM(E15:Q15)</f>
        <v>674023.33374999999</v>
      </c>
      <c r="S15" s="66"/>
      <c r="T15" s="66"/>
      <c r="U15" s="66"/>
      <c r="V15" s="66"/>
      <c r="W15" s="36">
        <f>21618.09</f>
        <v>21618.09</v>
      </c>
      <c r="X15" s="36">
        <f t="shared" si="1"/>
        <v>21618.09</v>
      </c>
      <c r="Y15" s="36">
        <v>590588.72000000009</v>
      </c>
      <c r="Z15" s="36">
        <f t="shared" si="2"/>
        <v>652405.24375000002</v>
      </c>
    </row>
    <row r="16" spans="1:32" ht="20.100000000000001" customHeight="1" x14ac:dyDescent="0.3">
      <c r="A16" s="3">
        <v>8</v>
      </c>
      <c r="B16" s="156" t="s">
        <v>55</v>
      </c>
      <c r="C16" s="44" t="s">
        <v>56</v>
      </c>
      <c r="D16" s="45" t="s">
        <v>57</v>
      </c>
      <c r="E16" s="65">
        <f>25523.45</f>
        <v>25523.45</v>
      </c>
      <c r="F16" s="65"/>
      <c r="G16" s="65">
        <f>E16*300%</f>
        <v>76570.350000000006</v>
      </c>
      <c r="H16" s="65">
        <f>E16*7.5%</f>
        <v>1914.25875</v>
      </c>
      <c r="I16" s="65"/>
      <c r="J16" s="65">
        <f>E16*50%</f>
        <v>12761.725</v>
      </c>
      <c r="K16" s="65">
        <f>E16*350%</f>
        <v>89332.074999999997</v>
      </c>
      <c r="L16" s="65">
        <f>E16*100%</f>
        <v>25523.45</v>
      </c>
      <c r="M16" s="65">
        <f>100000</f>
        <v>100000</v>
      </c>
      <c r="N16" s="65"/>
      <c r="O16" s="65">
        <f>E16*10%</f>
        <v>2552.3450000000003</v>
      </c>
      <c r="P16" s="65">
        <v>15000</v>
      </c>
      <c r="Q16" s="65">
        <f>100000</f>
        <v>100000</v>
      </c>
      <c r="R16" s="36">
        <f>SUM(E16:Q16)</f>
        <v>449177.65375</v>
      </c>
      <c r="S16" s="66"/>
      <c r="T16" s="66">
        <f>100000</f>
        <v>100000</v>
      </c>
      <c r="U16" s="66">
        <f>0</f>
        <v>0</v>
      </c>
      <c r="V16" s="66">
        <f>'[2]Jan 2021'!$H$22</f>
        <v>806.58</v>
      </c>
      <c r="W16" s="66">
        <v>7709.76</v>
      </c>
      <c r="X16" s="36">
        <f t="shared" si="1"/>
        <v>108516.34</v>
      </c>
      <c r="Y16" s="36">
        <v>333672.76899999997</v>
      </c>
      <c r="Z16" s="36">
        <f t="shared" si="2"/>
        <v>340661.31374999997</v>
      </c>
      <c r="AA16" s="34"/>
    </row>
    <row r="17" spans="1:27" ht="20.100000000000001" customHeight="1" x14ac:dyDescent="0.3">
      <c r="A17" s="3">
        <v>9</v>
      </c>
      <c r="B17" s="156" t="s">
        <v>58</v>
      </c>
      <c r="C17" s="44" t="s">
        <v>59</v>
      </c>
      <c r="D17" s="45" t="s">
        <v>57</v>
      </c>
      <c r="E17" s="65">
        <f>25523.45</f>
        <v>25523.45</v>
      </c>
      <c r="F17" s="65"/>
      <c r="G17" s="65">
        <f>E17*300%</f>
        <v>76570.350000000006</v>
      </c>
      <c r="H17" s="65">
        <f>E17*7.5%</f>
        <v>1914.25875</v>
      </c>
      <c r="I17" s="65"/>
      <c r="J17" s="65">
        <f>E17*50%</f>
        <v>12761.725</v>
      </c>
      <c r="K17" s="65">
        <f>E17*350%</f>
        <v>89332.074999999997</v>
      </c>
      <c r="L17" s="65">
        <f>E17*100%</f>
        <v>25523.45</v>
      </c>
      <c r="M17" s="65">
        <f>100000</f>
        <v>100000</v>
      </c>
      <c r="N17" s="65"/>
      <c r="O17" s="65">
        <f>E17*10%</f>
        <v>2552.3450000000003</v>
      </c>
      <c r="P17" s="65">
        <v>15000</v>
      </c>
      <c r="Q17" s="65">
        <v>50000</v>
      </c>
      <c r="R17" s="36">
        <f>SUM(E17:Q17)</f>
        <v>399177.65375</v>
      </c>
      <c r="S17" s="66"/>
      <c r="T17" s="66">
        <v>10000</v>
      </c>
      <c r="U17" s="66">
        <f>103000</f>
        <v>103000</v>
      </c>
      <c r="V17" s="66">
        <v>0</v>
      </c>
      <c r="W17" s="66">
        <v>7709.76</v>
      </c>
      <c r="X17" s="36">
        <f t="shared" si="1"/>
        <v>120709.75999999999</v>
      </c>
      <c r="Y17" s="36">
        <v>271291.30049999995</v>
      </c>
      <c r="Z17" s="36">
        <f t="shared" si="2"/>
        <v>278467.89374999999</v>
      </c>
      <c r="AA17" s="34"/>
    </row>
    <row r="18" spans="1:27" ht="19.5" customHeight="1" x14ac:dyDescent="0.3">
      <c r="A18" s="3">
        <v>10</v>
      </c>
      <c r="B18" s="156" t="s">
        <v>60</v>
      </c>
      <c r="C18" s="33" t="s">
        <v>61</v>
      </c>
      <c r="D18" s="3" t="s">
        <v>62</v>
      </c>
      <c r="E18" s="63">
        <v>26339.3</v>
      </c>
      <c r="F18" s="63"/>
      <c r="G18" s="63">
        <f>E18*300%</f>
        <v>79017.899999999994</v>
      </c>
      <c r="H18" s="63">
        <f>E18*7.5%</f>
        <v>1975.4474999999998</v>
      </c>
      <c r="I18" s="63"/>
      <c r="J18" s="63">
        <f>E18*50%</f>
        <v>13169.65</v>
      </c>
      <c r="K18" s="36">
        <f>E18*350%</f>
        <v>92187.55</v>
      </c>
      <c r="L18" s="63">
        <f>E18*100%</f>
        <v>26339.3</v>
      </c>
      <c r="M18" s="65">
        <f t="shared" ref="M18:M27" si="3">100000</f>
        <v>100000</v>
      </c>
      <c r="N18" s="65"/>
      <c r="O18" s="63">
        <f>E18*10%</f>
        <v>2633.9300000000003</v>
      </c>
      <c r="P18" s="63">
        <v>15000</v>
      </c>
      <c r="Q18" s="63">
        <v>0</v>
      </c>
      <c r="R18" s="36">
        <f>SUM(E18:Q18)</f>
        <v>356663.07749999996</v>
      </c>
      <c r="S18" s="36"/>
      <c r="T18" s="36"/>
      <c r="U18" s="36"/>
      <c r="V18" s="36">
        <f>'[2]Jan 2021'!$H$31</f>
        <v>457.041</v>
      </c>
      <c r="W18" s="36">
        <v>7709.76</v>
      </c>
      <c r="X18" s="36">
        <f t="shared" si="1"/>
        <v>8166.8010000000004</v>
      </c>
      <c r="Y18" s="36">
        <v>348294.83499999996</v>
      </c>
      <c r="Z18" s="36">
        <f t="shared" si="2"/>
        <v>348496.27649999998</v>
      </c>
      <c r="AA18" s="34"/>
    </row>
    <row r="19" spans="1:27" ht="19.5" customHeight="1" x14ac:dyDescent="0.3">
      <c r="A19" s="3">
        <v>11</v>
      </c>
      <c r="B19" s="156" t="s">
        <v>63</v>
      </c>
      <c r="C19" s="33" t="s">
        <v>64</v>
      </c>
      <c r="D19" s="3" t="s">
        <v>57</v>
      </c>
      <c r="E19" s="26">
        <f>25523.45</f>
        <v>25523.45</v>
      </c>
      <c r="F19" s="63"/>
      <c r="G19" s="63">
        <f>E19*300%</f>
        <v>76570.350000000006</v>
      </c>
      <c r="H19" s="63">
        <f>E19*7.5%</f>
        <v>1914.25875</v>
      </c>
      <c r="I19" s="63"/>
      <c r="J19" s="63">
        <f>E19*50%</f>
        <v>12761.725</v>
      </c>
      <c r="K19" s="36">
        <f>E19*350%</f>
        <v>89332.074999999997</v>
      </c>
      <c r="L19" s="63">
        <f>E19*100%</f>
        <v>25523.45</v>
      </c>
      <c r="M19" s="26">
        <v>150000</v>
      </c>
      <c r="N19" s="26"/>
      <c r="O19" s="63">
        <f>E19*10%</f>
        <v>2552.3450000000003</v>
      </c>
      <c r="P19" s="63">
        <v>15000</v>
      </c>
      <c r="Q19" s="63">
        <f>50000+100000</f>
        <v>150000</v>
      </c>
      <c r="R19" s="36">
        <f>SUM(E19:Q19)</f>
        <v>549177.65375000006</v>
      </c>
      <c r="S19" s="36"/>
      <c r="T19" s="36"/>
      <c r="U19" s="36"/>
      <c r="V19" s="36"/>
      <c r="W19" s="36">
        <f t="shared" ref="W19:W81" si="4">7709.76</f>
        <v>7709.76</v>
      </c>
      <c r="X19" s="36">
        <f>SUM(T19:W19)</f>
        <v>7709.76</v>
      </c>
      <c r="Y19" s="36">
        <v>534291.3004999999</v>
      </c>
      <c r="Z19" s="36">
        <f>R19-X19</f>
        <v>541467.89375000005</v>
      </c>
      <c r="AA19" s="34"/>
    </row>
    <row r="20" spans="1:27" ht="20.100000000000001" customHeight="1" x14ac:dyDescent="0.3">
      <c r="A20" s="3">
        <v>12</v>
      </c>
      <c r="B20" s="84" t="s">
        <v>65</v>
      </c>
      <c r="C20" s="62" t="s">
        <v>61</v>
      </c>
      <c r="D20" s="67" t="s">
        <v>62</v>
      </c>
      <c r="E20" s="63">
        <f>26339.3</f>
        <v>26339.3</v>
      </c>
      <c r="F20" s="63">
        <v>0</v>
      </c>
      <c r="G20" s="63">
        <f>E20*300%</f>
        <v>79017.899999999994</v>
      </c>
      <c r="H20" s="63">
        <f>E20*7.5%</f>
        <v>1975.4474999999998</v>
      </c>
      <c r="I20" s="36">
        <v>0</v>
      </c>
      <c r="J20" s="63">
        <f>E20*50%</f>
        <v>13169.65</v>
      </c>
      <c r="K20" s="36">
        <f>E20*350%</f>
        <v>92187.55</v>
      </c>
      <c r="L20" s="63">
        <f>E20*100%</f>
        <v>26339.3</v>
      </c>
      <c r="M20" s="65">
        <f t="shared" si="3"/>
        <v>100000</v>
      </c>
      <c r="N20" s="65"/>
      <c r="O20" s="63">
        <f>E20*10%</f>
        <v>2633.9300000000003</v>
      </c>
      <c r="P20" s="63">
        <v>15000</v>
      </c>
      <c r="Q20" s="63">
        <f>0</f>
        <v>0</v>
      </c>
      <c r="R20" s="36">
        <f>SUM(E20:Q20)</f>
        <v>356663.07749999996</v>
      </c>
      <c r="S20" s="36"/>
      <c r="T20" s="36"/>
      <c r="U20" s="36"/>
      <c r="V20" s="36"/>
      <c r="W20" s="63">
        <f>7709.76</f>
        <v>7709.76</v>
      </c>
      <c r="X20" s="36">
        <f t="shared" si="1"/>
        <v>7709.76</v>
      </c>
      <c r="Y20" s="36">
        <v>348953.31749999995</v>
      </c>
      <c r="Z20" s="36">
        <f t="shared" si="2"/>
        <v>348953.31749999995</v>
      </c>
    </row>
    <row r="21" spans="1:27" ht="20.100000000000001" customHeight="1" x14ac:dyDescent="0.3">
      <c r="A21" s="3">
        <v>13</v>
      </c>
      <c r="B21" s="84" t="s">
        <v>66</v>
      </c>
      <c r="C21" s="62" t="s">
        <v>67</v>
      </c>
      <c r="D21" s="67" t="s">
        <v>68</v>
      </c>
      <c r="E21" s="63">
        <f>18281.64</f>
        <v>18281.64</v>
      </c>
      <c r="F21" s="63"/>
      <c r="G21" s="63">
        <f>E21*300%</f>
        <v>54844.92</v>
      </c>
      <c r="H21" s="63">
        <f>E21*7.5%</f>
        <v>1371.1229999999998</v>
      </c>
      <c r="I21" s="36"/>
      <c r="J21" s="63">
        <f>E21*50%</f>
        <v>9140.82</v>
      </c>
      <c r="K21" s="36">
        <f>E21*350%</f>
        <v>63985.74</v>
      </c>
      <c r="L21" s="63">
        <f>E21*100%</f>
        <v>18281.64</v>
      </c>
      <c r="M21" s="65">
        <f t="shared" si="3"/>
        <v>100000</v>
      </c>
      <c r="N21" s="65"/>
      <c r="O21" s="63">
        <f>E21*10%</f>
        <v>1828.164</v>
      </c>
      <c r="P21" s="63">
        <v>10000</v>
      </c>
      <c r="Q21" s="63"/>
      <c r="R21" s="36">
        <f>SUM(E21:Q21)</f>
        <v>277734.04699999996</v>
      </c>
      <c r="S21" s="36"/>
      <c r="T21" s="36">
        <f>50000</f>
        <v>50000</v>
      </c>
      <c r="U21" s="36">
        <f>111833.33</f>
        <v>111833.33</v>
      </c>
      <c r="V21" s="36"/>
      <c r="W21" s="63">
        <v>3369.51</v>
      </c>
      <c r="X21" s="36">
        <f>T21+U21+V21+W21</f>
        <v>165202.84000000003</v>
      </c>
      <c r="Y21" s="36">
        <v>107965.35999999999</v>
      </c>
      <c r="Z21" s="36">
        <f t="shared" si="2"/>
        <v>112531.20699999994</v>
      </c>
    </row>
    <row r="22" spans="1:27" ht="18.75" customHeight="1" x14ac:dyDescent="0.3">
      <c r="A22" s="3">
        <v>14</v>
      </c>
      <c r="B22" s="84" t="s">
        <v>69</v>
      </c>
      <c r="C22" s="62" t="s">
        <v>70</v>
      </c>
      <c r="D22" s="67" t="s">
        <v>71</v>
      </c>
      <c r="E22" s="63">
        <f>19276.95</f>
        <v>19276.95</v>
      </c>
      <c r="F22" s="63"/>
      <c r="G22" s="63">
        <f>E22*300%</f>
        <v>57830.850000000006</v>
      </c>
      <c r="H22" s="63">
        <f>E22*7.5%</f>
        <v>1445.77125</v>
      </c>
      <c r="I22" s="36"/>
      <c r="J22" s="63">
        <f>E22*50%</f>
        <v>9638.4750000000004</v>
      </c>
      <c r="K22" s="36">
        <f>E22*350%</f>
        <v>67469.324999999997</v>
      </c>
      <c r="L22" s="63">
        <f>E22*100%</f>
        <v>19276.95</v>
      </c>
      <c r="M22" s="65">
        <f t="shared" si="3"/>
        <v>100000</v>
      </c>
      <c r="N22" s="65"/>
      <c r="O22" s="63">
        <f>E22*10%</f>
        <v>1927.6950000000002</v>
      </c>
      <c r="P22" s="63">
        <v>10000</v>
      </c>
      <c r="Q22" s="63"/>
      <c r="R22" s="36">
        <f>SUM(E22:Q22)</f>
        <v>286866.01625000004</v>
      </c>
      <c r="S22" s="36"/>
      <c r="T22" s="36">
        <f>20000</f>
        <v>20000</v>
      </c>
      <c r="U22" s="36">
        <f>82500</f>
        <v>82500</v>
      </c>
      <c r="V22" s="36">
        <f>'[2]Jan 2021'!$H$50</f>
        <v>646.35249999999996</v>
      </c>
      <c r="W22" s="63">
        <v>3369.51</v>
      </c>
      <c r="X22" s="36">
        <f t="shared" si="1"/>
        <v>106515.86249999999</v>
      </c>
      <c r="Y22" s="36">
        <v>175961.08499999996</v>
      </c>
      <c r="Z22" s="36">
        <f t="shared" si="2"/>
        <v>180350.15375000006</v>
      </c>
    </row>
    <row r="23" spans="1:27" ht="18.75" customHeight="1" x14ac:dyDescent="0.3">
      <c r="A23" s="3">
        <v>15</v>
      </c>
      <c r="B23" s="84" t="s">
        <v>72</v>
      </c>
      <c r="C23" s="62" t="s">
        <v>70</v>
      </c>
      <c r="D23" s="67" t="s">
        <v>73</v>
      </c>
      <c r="E23" s="68">
        <f>13112.16</f>
        <v>13112.16</v>
      </c>
      <c r="F23" s="63"/>
      <c r="G23" s="63">
        <f>E23*300%</f>
        <v>39336.479999999996</v>
      </c>
      <c r="H23" s="63">
        <f>E23*7.5%</f>
        <v>983.41199999999992</v>
      </c>
      <c r="I23" s="63"/>
      <c r="J23" s="63">
        <f>E23*50%</f>
        <v>6556.08</v>
      </c>
      <c r="K23" s="36">
        <f>E23*350%</f>
        <v>45892.56</v>
      </c>
      <c r="L23" s="63">
        <f>E23*100%</f>
        <v>13112.16</v>
      </c>
      <c r="M23" s="65">
        <f t="shared" si="3"/>
        <v>100000</v>
      </c>
      <c r="N23" s="65"/>
      <c r="O23" s="63">
        <f>E23*10%</f>
        <v>1311.2160000000001</v>
      </c>
      <c r="P23" s="63">
        <v>10000</v>
      </c>
      <c r="Q23" s="63"/>
      <c r="R23" s="36">
        <f>SUM(E23:Q23)</f>
        <v>230304.068</v>
      </c>
      <c r="S23" s="36"/>
      <c r="T23" s="36">
        <f>10000</f>
        <v>10000</v>
      </c>
      <c r="U23" s="36"/>
      <c r="V23" s="36"/>
      <c r="W23" s="63">
        <v>1484.37</v>
      </c>
      <c r="X23" s="36">
        <f>T23+U23+V23+W23</f>
        <v>11484.369999999999</v>
      </c>
      <c r="Y23" s="36">
        <v>215331.73</v>
      </c>
      <c r="Z23" s="36">
        <f t="shared" si="2"/>
        <v>218819.698</v>
      </c>
    </row>
    <row r="24" spans="1:27" ht="18.75" customHeight="1" x14ac:dyDescent="0.3">
      <c r="A24" s="3">
        <v>16</v>
      </c>
      <c r="B24" s="84" t="s">
        <v>74</v>
      </c>
      <c r="C24" s="62" t="s">
        <v>75</v>
      </c>
      <c r="D24" s="67" t="s">
        <v>76</v>
      </c>
      <c r="E24" s="26">
        <f>12351.94</f>
        <v>12351.94</v>
      </c>
      <c r="F24" s="26">
        <f>0</f>
        <v>0</v>
      </c>
      <c r="G24" s="26">
        <f>E24*300%</f>
        <v>37055.82</v>
      </c>
      <c r="H24" s="26">
        <f>E24*7.5%</f>
        <v>926.39549999999997</v>
      </c>
      <c r="I24" s="26"/>
      <c r="J24" s="26">
        <f>E24*50%</f>
        <v>6175.97</v>
      </c>
      <c r="K24" s="26">
        <f>E24*350%</f>
        <v>43231.79</v>
      </c>
      <c r="L24" s="26">
        <f>E24*100%</f>
        <v>12351.94</v>
      </c>
      <c r="M24" s="65">
        <f t="shared" si="3"/>
        <v>100000</v>
      </c>
      <c r="N24" s="65"/>
      <c r="O24" s="26">
        <f>E24*10%</f>
        <v>1235.1940000000002</v>
      </c>
      <c r="P24" s="26">
        <v>10000</v>
      </c>
      <c r="Q24" s="26"/>
      <c r="R24" s="26">
        <f>SUM(E24:Q24)</f>
        <v>223329.04949999999</v>
      </c>
      <c r="S24" s="26"/>
      <c r="T24" s="26"/>
      <c r="U24" s="26"/>
      <c r="V24" s="26"/>
      <c r="W24" s="26">
        <f>1235.19</f>
        <v>1235.19</v>
      </c>
      <c r="X24" s="26">
        <f t="shared" ref="X24" si="5">SUM(T24:W24)</f>
        <v>1235.19</v>
      </c>
      <c r="Y24" s="26">
        <v>222093.85949999999</v>
      </c>
      <c r="Z24" s="26">
        <f t="shared" si="2"/>
        <v>222093.85949999999</v>
      </c>
    </row>
    <row r="25" spans="1:27" ht="18.75" customHeight="1" x14ac:dyDescent="0.3">
      <c r="A25" s="3">
        <v>17</v>
      </c>
      <c r="B25" s="84" t="s">
        <v>77</v>
      </c>
      <c r="C25" s="62" t="s">
        <v>75</v>
      </c>
      <c r="D25" s="67" t="s">
        <v>76</v>
      </c>
      <c r="E25" s="26">
        <f>12351.94</f>
        <v>12351.94</v>
      </c>
      <c r="F25" s="26">
        <f>0</f>
        <v>0</v>
      </c>
      <c r="G25" s="26">
        <f>E25*300%</f>
        <v>37055.82</v>
      </c>
      <c r="H25" s="26">
        <f>E25*7.5%</f>
        <v>926.39549999999997</v>
      </c>
      <c r="I25" s="26"/>
      <c r="J25" s="26">
        <f>E25*50%</f>
        <v>6175.97</v>
      </c>
      <c r="K25" s="26">
        <f>E25*350%</f>
        <v>43231.79</v>
      </c>
      <c r="L25" s="26">
        <f>E25*100%</f>
        <v>12351.94</v>
      </c>
      <c r="M25" s="65">
        <f t="shared" si="3"/>
        <v>100000</v>
      </c>
      <c r="N25" s="65"/>
      <c r="O25" s="26">
        <f>E25*10%</f>
        <v>1235.1940000000002</v>
      </c>
      <c r="P25" s="26">
        <v>10000</v>
      </c>
      <c r="Q25" s="26"/>
      <c r="R25" s="26">
        <f>SUM(E25:Q25)</f>
        <v>223329.04949999999</v>
      </c>
      <c r="S25" s="26"/>
      <c r="T25" s="26">
        <f>10000</f>
        <v>10000</v>
      </c>
      <c r="U25" s="26"/>
      <c r="V25" s="26"/>
      <c r="W25" s="26">
        <f>1235.19</f>
        <v>1235.19</v>
      </c>
      <c r="X25" s="26">
        <f t="shared" ref="X25" si="6">SUM(T25:W25)</f>
        <v>11235.19</v>
      </c>
      <c r="Y25" s="26">
        <v>112093.85949999999</v>
      </c>
      <c r="Z25" s="26">
        <f t="shared" ref="Z25" si="7">R25-X25</f>
        <v>212093.85949999999</v>
      </c>
    </row>
    <row r="26" spans="1:27" ht="18.75" customHeight="1" x14ac:dyDescent="0.3">
      <c r="A26" s="3">
        <v>18</v>
      </c>
      <c r="B26" s="62" t="s">
        <v>78</v>
      </c>
      <c r="C26" s="33" t="s">
        <v>79</v>
      </c>
      <c r="D26" s="67" t="s">
        <v>80</v>
      </c>
      <c r="E26" s="63">
        <f>23891.12</f>
        <v>23891.119999999999</v>
      </c>
      <c r="F26" s="63">
        <f>ARREARS!V9</f>
        <v>423372</v>
      </c>
      <c r="G26" s="63">
        <f>E26*300%</f>
        <v>71673.36</v>
      </c>
      <c r="H26" s="63">
        <f>E26*7.5%</f>
        <v>1791.8339999999998</v>
      </c>
      <c r="I26" s="63">
        <v>0</v>
      </c>
      <c r="J26" s="63">
        <f>E26*50%</f>
        <v>11945.56</v>
      </c>
      <c r="K26" s="36">
        <f>E26*350%</f>
        <v>83618.92</v>
      </c>
      <c r="L26" s="63">
        <f>E26*100%</f>
        <v>23891.119999999999</v>
      </c>
      <c r="M26" s="65">
        <f t="shared" si="3"/>
        <v>100000</v>
      </c>
      <c r="N26" s="65"/>
      <c r="O26" s="63">
        <f>E26*10%</f>
        <v>2389.1120000000001</v>
      </c>
      <c r="P26" s="63">
        <v>15000</v>
      </c>
      <c r="Q26" s="63">
        <v>0</v>
      </c>
      <c r="R26" s="36">
        <f>SUM(E26:Q26)</f>
        <v>757573.02599999995</v>
      </c>
      <c r="S26" s="36"/>
      <c r="T26" s="36">
        <v>10000</v>
      </c>
      <c r="U26" s="36"/>
      <c r="V26" s="36">
        <f>'[2]Jan 2021'!$H$42</f>
        <v>638.08625000000006</v>
      </c>
      <c r="W26" s="63">
        <f>7709.76+ARREARS!AJ9</f>
        <v>59792.76</v>
      </c>
      <c r="X26" s="36">
        <f>SUM(T26:W26)</f>
        <v>70430.846250000002</v>
      </c>
      <c r="Y26" s="36">
        <v>277568.26299999998</v>
      </c>
      <c r="Z26" s="36">
        <f>R26-X26</f>
        <v>687142.17974999989</v>
      </c>
    </row>
    <row r="27" spans="1:27" ht="18.75" customHeight="1" x14ac:dyDescent="0.3">
      <c r="A27" s="3">
        <v>19</v>
      </c>
      <c r="B27" s="84" t="s">
        <v>81</v>
      </c>
      <c r="C27" s="33" t="s">
        <v>82</v>
      </c>
      <c r="D27" s="67" t="s">
        <v>68</v>
      </c>
      <c r="E27" s="63">
        <f>18281.64</f>
        <v>18281.64</v>
      </c>
      <c r="F27" s="63"/>
      <c r="G27" s="63">
        <f>E27*300%</f>
        <v>54844.92</v>
      </c>
      <c r="H27" s="63">
        <f>E27*7.5%</f>
        <v>1371.1229999999998</v>
      </c>
      <c r="I27" s="63"/>
      <c r="J27" s="63">
        <f>E27*50%</f>
        <v>9140.82</v>
      </c>
      <c r="K27" s="36">
        <f>E27*350%</f>
        <v>63985.74</v>
      </c>
      <c r="L27" s="63">
        <f>E27*100%</f>
        <v>18281.64</v>
      </c>
      <c r="M27" s="65">
        <f t="shared" si="3"/>
        <v>100000</v>
      </c>
      <c r="N27" s="65"/>
      <c r="O27" s="63">
        <f>E27*10%</f>
        <v>1828.164</v>
      </c>
      <c r="P27" s="63">
        <v>10000</v>
      </c>
      <c r="Q27" s="63"/>
      <c r="R27" s="36">
        <f>SUM(E27:Q27)</f>
        <v>277734.04699999996</v>
      </c>
      <c r="S27" s="36"/>
      <c r="T27" s="36">
        <f>20000</f>
        <v>20000</v>
      </c>
      <c r="U27" s="36">
        <f>87500+43750</f>
        <v>131250</v>
      </c>
      <c r="V27" s="36"/>
      <c r="W27" s="63">
        <v>3369.51</v>
      </c>
      <c r="X27" s="36">
        <f>SUM(T27:W27)</f>
        <v>154619.51</v>
      </c>
      <c r="Y27" s="36">
        <v>118548.69</v>
      </c>
      <c r="Z27" s="36">
        <f>R27-X27</f>
        <v>123114.53699999995</v>
      </c>
    </row>
    <row r="28" spans="1:27" ht="18.75" customHeight="1" x14ac:dyDescent="0.3">
      <c r="A28" s="3">
        <v>20</v>
      </c>
      <c r="B28" s="84" t="s">
        <v>83</v>
      </c>
      <c r="C28" s="33" t="s">
        <v>84</v>
      </c>
      <c r="D28" s="67" t="s">
        <v>85</v>
      </c>
      <c r="E28" s="26">
        <f>17784</f>
        <v>17784</v>
      </c>
      <c r="F28" s="26">
        <f>0</f>
        <v>0</v>
      </c>
      <c r="G28" s="26">
        <f>E28*300%</f>
        <v>53352</v>
      </c>
      <c r="H28" s="26">
        <f>E28*7.5%</f>
        <v>1333.8</v>
      </c>
      <c r="I28" s="26"/>
      <c r="J28" s="26">
        <f>E28*50%</f>
        <v>8892</v>
      </c>
      <c r="K28" s="26">
        <f>E28*350%</f>
        <v>62244</v>
      </c>
      <c r="L28" s="26">
        <f>E28*100%</f>
        <v>17784</v>
      </c>
      <c r="M28" s="26">
        <v>100000</v>
      </c>
      <c r="N28" s="26"/>
      <c r="O28" s="26">
        <f>E28*10%</f>
        <v>1778.4</v>
      </c>
      <c r="P28" s="26">
        <v>10000</v>
      </c>
      <c r="Q28" s="26"/>
      <c r="R28" s="26">
        <f>SUM(E28:Q28)</f>
        <v>273168.2</v>
      </c>
      <c r="S28" s="26"/>
      <c r="T28" s="36">
        <f>30000+20000</f>
        <v>50000</v>
      </c>
      <c r="U28" s="36"/>
      <c r="V28" s="36">
        <f>0</f>
        <v>0</v>
      </c>
      <c r="W28" s="63">
        <v>3369.51</v>
      </c>
      <c r="X28" s="36">
        <f>T28+U28+V28+W28</f>
        <v>53369.51</v>
      </c>
      <c r="Y28" s="36">
        <v>255232.56775000005</v>
      </c>
      <c r="Z28" s="36">
        <f>R28-X28</f>
        <v>219798.69</v>
      </c>
    </row>
    <row r="29" spans="1:27" ht="18.75" customHeight="1" x14ac:dyDescent="0.3">
      <c r="A29" s="3"/>
      <c r="B29" s="101" t="s">
        <v>32</v>
      </c>
      <c r="C29" s="7">
        <v>20</v>
      </c>
      <c r="D29" s="67"/>
      <c r="E29" s="69">
        <f t="shared" ref="E29:Z29" si="8">SUM(E9:E28)</f>
        <v>689647.02999999991</v>
      </c>
      <c r="F29" s="69">
        <f t="shared" si="8"/>
        <v>423372</v>
      </c>
      <c r="G29" s="69">
        <f t="shared" si="8"/>
        <v>1908452.3400000003</v>
      </c>
      <c r="H29" s="69">
        <f t="shared" si="8"/>
        <v>87833.500999999989</v>
      </c>
      <c r="I29" s="69">
        <f t="shared" si="8"/>
        <v>401221.9</v>
      </c>
      <c r="J29" s="69">
        <f t="shared" si="8"/>
        <v>336799.07999999996</v>
      </c>
      <c r="K29" s="69">
        <f t="shared" si="8"/>
        <v>1852053.98</v>
      </c>
      <c r="L29" s="69">
        <f t="shared" si="8"/>
        <v>649524.84999999986</v>
      </c>
      <c r="M29" s="69">
        <f t="shared" si="8"/>
        <v>2250000</v>
      </c>
      <c r="N29" s="69"/>
      <c r="O29" s="69">
        <f t="shared" si="8"/>
        <v>68964.707999999999</v>
      </c>
      <c r="P29" s="69">
        <f t="shared" si="8"/>
        <v>305000</v>
      </c>
      <c r="Q29" s="69">
        <f t="shared" si="8"/>
        <v>525235</v>
      </c>
      <c r="R29" s="69">
        <f t="shared" si="8"/>
        <v>9498104.3889999986</v>
      </c>
      <c r="S29" s="69"/>
      <c r="T29" s="69">
        <f t="shared" si="8"/>
        <v>635000</v>
      </c>
      <c r="U29" s="69">
        <f t="shared" si="8"/>
        <v>1017465.0599999999</v>
      </c>
      <c r="V29" s="69">
        <f t="shared" si="8"/>
        <v>5836.5947500000002</v>
      </c>
      <c r="W29" s="69">
        <f t="shared" si="8"/>
        <v>371609.12000000005</v>
      </c>
      <c r="X29" s="69">
        <f t="shared" si="8"/>
        <v>2029910.7747500003</v>
      </c>
      <c r="Y29" s="69">
        <f t="shared" si="8"/>
        <v>6878696.0910000019</v>
      </c>
      <c r="Z29" s="69">
        <f t="shared" si="8"/>
        <v>7468193.6142500006</v>
      </c>
    </row>
    <row r="30" spans="1:27" ht="18.75" customHeight="1" x14ac:dyDescent="0.3">
      <c r="A30" s="3"/>
      <c r="B30" s="101"/>
      <c r="C30" s="33"/>
      <c r="D30" s="67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7" ht="18.75" customHeight="1" x14ac:dyDescent="0.3">
      <c r="A31" s="3"/>
      <c r="B31" s="101" t="s">
        <v>86</v>
      </c>
      <c r="C31" s="33"/>
      <c r="D31" s="67"/>
      <c r="E31" s="63"/>
      <c r="F31" s="63"/>
      <c r="G31" s="63"/>
      <c r="H31" s="63"/>
      <c r="I31" s="63"/>
      <c r="J31" s="63"/>
      <c r="K31" s="36"/>
      <c r="L31" s="63"/>
      <c r="M31" s="63"/>
      <c r="N31" s="63"/>
      <c r="O31" s="63"/>
      <c r="P31" s="63"/>
      <c r="Q31" s="63"/>
      <c r="R31" s="36"/>
      <c r="S31" s="36"/>
      <c r="T31" s="36"/>
      <c r="U31" s="36"/>
      <c r="V31" s="36"/>
      <c r="W31" s="63"/>
      <c r="X31" s="36"/>
      <c r="Y31" s="36"/>
      <c r="Z31" s="36"/>
    </row>
    <row r="32" spans="1:27" ht="18.75" customHeight="1" x14ac:dyDescent="0.3">
      <c r="A32" s="3">
        <v>1</v>
      </c>
      <c r="B32" s="107" t="s">
        <v>87</v>
      </c>
      <c r="C32" s="62" t="s">
        <v>88</v>
      </c>
      <c r="D32" s="67" t="s">
        <v>89</v>
      </c>
      <c r="E32" s="63">
        <f>79039.64</f>
        <v>79039.64</v>
      </c>
      <c r="F32" s="63"/>
      <c r="G32" s="63">
        <f>E32*300%</f>
        <v>237118.91999999998</v>
      </c>
      <c r="H32" s="63">
        <f>E32*7.5%</f>
        <v>5927.973</v>
      </c>
      <c r="I32" s="63">
        <f>80244.38</f>
        <v>80244.38</v>
      </c>
      <c r="J32" s="63">
        <f>E32*50%</f>
        <v>39519.82</v>
      </c>
      <c r="K32" s="63">
        <f>E32*350%</f>
        <v>276638.74</v>
      </c>
      <c r="L32" s="63">
        <f>E32*100%</f>
        <v>79039.64</v>
      </c>
      <c r="M32" s="65">
        <f t="shared" ref="M32:M33" si="9">100000</f>
        <v>100000</v>
      </c>
      <c r="N32" s="65"/>
      <c r="O32" s="63">
        <f>E32*10%</f>
        <v>7903.9639999999999</v>
      </c>
      <c r="P32" s="63">
        <v>20000</v>
      </c>
      <c r="Q32" s="63">
        <v>0</v>
      </c>
      <c r="R32" s="36">
        <f>SUM(E32:Q32)</f>
        <v>925433.07700000005</v>
      </c>
      <c r="S32" s="36"/>
      <c r="T32" s="63">
        <f>100000</f>
        <v>100000</v>
      </c>
      <c r="U32" s="63">
        <f>287500</f>
        <v>287500</v>
      </c>
      <c r="V32" s="63">
        <f>'[2]Jan 2021'!$H$26</f>
        <v>837.6875</v>
      </c>
      <c r="W32" s="63">
        <f>52776.63</f>
        <v>52776.63</v>
      </c>
      <c r="X32" s="36">
        <f>T32+U32+V32+W32</f>
        <v>441114.3175</v>
      </c>
      <c r="Y32" s="36">
        <v>459351.88525000011</v>
      </c>
      <c r="Z32" s="36">
        <f>R32-X32</f>
        <v>484318.75950000004</v>
      </c>
    </row>
    <row r="33" spans="1:27" ht="18.75" customHeight="1" x14ac:dyDescent="0.3">
      <c r="A33" s="3">
        <v>2</v>
      </c>
      <c r="B33" s="107" t="s">
        <v>90</v>
      </c>
      <c r="C33" s="62" t="s">
        <v>91</v>
      </c>
      <c r="D33" s="67" t="s">
        <v>92</v>
      </c>
      <c r="E33" s="63">
        <f>18779.3</f>
        <v>18779.3</v>
      </c>
      <c r="F33" s="63"/>
      <c r="G33" s="63">
        <f>E33*300%</f>
        <v>56337.899999999994</v>
      </c>
      <c r="H33" s="63">
        <f>E33*7.5%</f>
        <v>1408.4475</v>
      </c>
      <c r="I33" s="63">
        <v>0</v>
      </c>
      <c r="J33" s="63">
        <f>E33*50%</f>
        <v>9389.65</v>
      </c>
      <c r="K33" s="36">
        <f>E33*350%</f>
        <v>65727.55</v>
      </c>
      <c r="L33" s="63">
        <f>E33*100%</f>
        <v>18779.3</v>
      </c>
      <c r="M33" s="65">
        <f t="shared" si="9"/>
        <v>100000</v>
      </c>
      <c r="N33" s="65"/>
      <c r="O33" s="63">
        <f>E33*10%</f>
        <v>1877.93</v>
      </c>
      <c r="P33" s="63">
        <v>10000</v>
      </c>
      <c r="Q33" s="63">
        <v>0</v>
      </c>
      <c r="R33" s="36">
        <f>0</f>
        <v>0</v>
      </c>
      <c r="S33" s="36"/>
      <c r="T33" s="36">
        <f>0</f>
        <v>0</v>
      </c>
      <c r="U33" s="36">
        <f>0</f>
        <v>0</v>
      </c>
      <c r="V33" s="36"/>
      <c r="W33" s="63">
        <f>0</f>
        <v>0</v>
      </c>
      <c r="X33" s="36">
        <f>T33+U33+V33+W33</f>
        <v>0</v>
      </c>
      <c r="Y33" s="36">
        <v>278930.56749999995</v>
      </c>
      <c r="Z33" s="36">
        <f>R33-X33</f>
        <v>0</v>
      </c>
    </row>
    <row r="34" spans="1:27" ht="19.5" customHeight="1" x14ac:dyDescent="0.3">
      <c r="A34" s="3"/>
      <c r="B34" s="33"/>
      <c r="C34" s="7">
        <v>2</v>
      </c>
      <c r="D34" s="3"/>
      <c r="E34" s="69">
        <f>SUM(E32:E33)</f>
        <v>97818.94</v>
      </c>
      <c r="F34" s="69"/>
      <c r="G34" s="69">
        <f t="shared" ref="G34:Z34" si="10">SUM(G32:G33)</f>
        <v>293456.81999999995</v>
      </c>
      <c r="H34" s="69">
        <f t="shared" si="10"/>
        <v>7336.4205000000002</v>
      </c>
      <c r="I34" s="69">
        <f t="shared" si="10"/>
        <v>80244.38</v>
      </c>
      <c r="J34" s="69">
        <f t="shared" si="10"/>
        <v>48909.47</v>
      </c>
      <c r="K34" s="69">
        <f t="shared" si="10"/>
        <v>342366.29</v>
      </c>
      <c r="L34" s="69">
        <f t="shared" si="10"/>
        <v>97818.94</v>
      </c>
      <c r="M34" s="69">
        <f t="shared" si="10"/>
        <v>200000</v>
      </c>
      <c r="N34" s="69"/>
      <c r="O34" s="69">
        <f t="shared" si="10"/>
        <v>9781.8940000000002</v>
      </c>
      <c r="P34" s="69">
        <f t="shared" si="10"/>
        <v>30000</v>
      </c>
      <c r="Q34" s="69">
        <f t="shared" si="10"/>
        <v>0</v>
      </c>
      <c r="R34" s="69">
        <f t="shared" si="10"/>
        <v>925433.07700000005</v>
      </c>
      <c r="S34" s="69"/>
      <c r="T34" s="69">
        <f t="shared" si="10"/>
        <v>100000</v>
      </c>
      <c r="U34" s="69">
        <f t="shared" si="10"/>
        <v>287500</v>
      </c>
      <c r="V34" s="69">
        <f t="shared" si="10"/>
        <v>837.6875</v>
      </c>
      <c r="W34" s="69">
        <f t="shared" si="10"/>
        <v>52776.63</v>
      </c>
      <c r="X34" s="69">
        <f t="shared" si="10"/>
        <v>441114.3175</v>
      </c>
      <c r="Y34" s="69">
        <f t="shared" si="10"/>
        <v>738282.45275000005</v>
      </c>
      <c r="Z34" s="69">
        <f t="shared" si="10"/>
        <v>484318.75950000004</v>
      </c>
    </row>
    <row r="35" spans="1:27" ht="20.100000000000001" customHeight="1" x14ac:dyDescent="0.3">
      <c r="A35" s="3"/>
      <c r="B35" s="163"/>
      <c r="C35" s="33"/>
      <c r="D35" s="3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36"/>
      <c r="Y35" s="36"/>
      <c r="Z35" s="36"/>
      <c r="AA35" s="34"/>
    </row>
    <row r="36" spans="1:27" ht="20.100000000000001" customHeight="1" x14ac:dyDescent="0.3">
      <c r="A36" s="3"/>
      <c r="B36" s="158" t="s">
        <v>93</v>
      </c>
      <c r="C36" s="51"/>
      <c r="D36" s="2"/>
      <c r="E36" s="69"/>
      <c r="F36" s="69"/>
      <c r="G36" s="69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7" ht="20.100000000000001" customHeight="1" x14ac:dyDescent="0.3">
      <c r="A37" s="3">
        <v>1</v>
      </c>
      <c r="B37" s="84" t="s">
        <v>94</v>
      </c>
      <c r="C37" s="33" t="s">
        <v>95</v>
      </c>
      <c r="D37" s="3" t="s">
        <v>41</v>
      </c>
      <c r="E37" s="63">
        <f>81740.02</f>
        <v>81740.02</v>
      </c>
      <c r="F37" s="63"/>
      <c r="G37" s="63">
        <f>E37*300%</f>
        <v>245220.06</v>
      </c>
      <c r="H37" s="63">
        <f>E37*7.5%</f>
        <v>6130.5015000000003</v>
      </c>
      <c r="I37" s="63">
        <v>80244.38</v>
      </c>
      <c r="J37" s="63">
        <f>E37*50%</f>
        <v>40870.01</v>
      </c>
      <c r="K37" s="63">
        <f>E37*350%</f>
        <v>286090.07</v>
      </c>
      <c r="L37" s="63">
        <f>E37*100%</f>
        <v>81740.02</v>
      </c>
      <c r="M37" s="63">
        <f>150000</f>
        <v>150000</v>
      </c>
      <c r="N37" s="63"/>
      <c r="O37" s="63">
        <f>E37*10%</f>
        <v>8174.0020000000004</v>
      </c>
      <c r="P37" s="63">
        <v>20000</v>
      </c>
      <c r="Q37" s="63"/>
      <c r="R37" s="36">
        <f>SUM(E37:Q37)</f>
        <v>1000209.0635</v>
      </c>
      <c r="S37" s="36"/>
      <c r="T37" s="36">
        <f>100000+2000</f>
        <v>102000</v>
      </c>
      <c r="U37" s="36"/>
      <c r="V37" s="36"/>
      <c r="W37" s="63">
        <f>52776.63</f>
        <v>52776.63</v>
      </c>
      <c r="X37" s="36">
        <f t="shared" ref="X37:X47" si="11">W37+T37+U37+V37</f>
        <v>154776.63</v>
      </c>
      <c r="Y37" s="36">
        <v>922656.44700000004</v>
      </c>
      <c r="Z37" s="36">
        <f t="shared" ref="Z37:Z47" si="12">R37-X37</f>
        <v>845432.43350000004</v>
      </c>
    </row>
    <row r="38" spans="1:27" ht="20.100000000000001" customHeight="1" x14ac:dyDescent="0.3">
      <c r="A38" s="3">
        <v>2</v>
      </c>
      <c r="B38" s="84" t="s">
        <v>96</v>
      </c>
      <c r="C38" s="33" t="s">
        <v>97</v>
      </c>
      <c r="D38" s="3" t="s">
        <v>44</v>
      </c>
      <c r="E38" s="63">
        <f>33507.5</f>
        <v>33507.5</v>
      </c>
      <c r="F38" s="63"/>
      <c r="G38" s="63">
        <f>E38*300%</f>
        <v>100522.5</v>
      </c>
      <c r="H38" s="63">
        <f>E38*7.5%</f>
        <v>2513.0625</v>
      </c>
      <c r="I38" s="63">
        <v>40122.19</v>
      </c>
      <c r="J38" s="63">
        <f>E38*50%</f>
        <v>16753.75</v>
      </c>
      <c r="K38" s="63">
        <f>E38*350%</f>
        <v>117276.25</v>
      </c>
      <c r="L38" s="63">
        <f>E38*100%</f>
        <v>33507.5</v>
      </c>
      <c r="M38" s="63">
        <f t="shared" ref="M38:M47" si="13">150000</f>
        <v>150000</v>
      </c>
      <c r="N38" s="63"/>
      <c r="O38" s="63">
        <f>E38*10%</f>
        <v>3350.75</v>
      </c>
      <c r="P38" s="63">
        <v>20000</v>
      </c>
      <c r="Q38" s="63">
        <v>0</v>
      </c>
      <c r="R38" s="36">
        <f>SUM(E38:Q38)</f>
        <v>517553.5025</v>
      </c>
      <c r="S38" s="36"/>
      <c r="T38" s="36">
        <v>50000</v>
      </c>
      <c r="U38" s="36">
        <f>240909.11</f>
        <v>240909.11</v>
      </c>
      <c r="V38" s="36"/>
      <c r="W38" s="63">
        <v>15548.33</v>
      </c>
      <c r="X38" s="36">
        <f>SUM(T38:W38)</f>
        <v>306457.44</v>
      </c>
      <c r="Y38" s="36">
        <v>211096.0625</v>
      </c>
      <c r="Z38" s="36">
        <f>R38-X38</f>
        <v>211096.0625</v>
      </c>
    </row>
    <row r="39" spans="1:27" ht="20.100000000000001" customHeight="1" x14ac:dyDescent="0.3">
      <c r="A39" s="3">
        <v>3</v>
      </c>
      <c r="B39" s="84" t="s">
        <v>98</v>
      </c>
      <c r="C39" s="33" t="s">
        <v>99</v>
      </c>
      <c r="D39" s="3" t="s">
        <v>44</v>
      </c>
      <c r="E39" s="63">
        <f>33507.5</f>
        <v>33507.5</v>
      </c>
      <c r="F39" s="63"/>
      <c r="G39" s="63">
        <f>E39*300%</f>
        <v>100522.5</v>
      </c>
      <c r="H39" s="63">
        <f>E39*7.5%</f>
        <v>2513.0625</v>
      </c>
      <c r="I39" s="63">
        <v>40122.19</v>
      </c>
      <c r="J39" s="63">
        <f>E39*50%</f>
        <v>16753.75</v>
      </c>
      <c r="K39" s="63">
        <f>E39*350%</f>
        <v>117276.25</v>
      </c>
      <c r="L39" s="63">
        <f>E39*100%</f>
        <v>33507.5</v>
      </c>
      <c r="M39" s="63">
        <f t="shared" si="13"/>
        <v>150000</v>
      </c>
      <c r="N39" s="63"/>
      <c r="O39" s="63">
        <f>E39*10%</f>
        <v>3350.75</v>
      </c>
      <c r="P39" s="63">
        <v>20000</v>
      </c>
      <c r="Q39" s="63"/>
      <c r="R39" s="36">
        <f>SUM(E39:Q39)</f>
        <v>517553.5025</v>
      </c>
      <c r="S39" s="36"/>
      <c r="T39" s="36">
        <f>30000+13000</f>
        <v>43000</v>
      </c>
      <c r="U39" s="36">
        <f>246905.96</f>
        <v>246905.96</v>
      </c>
      <c r="V39" s="36"/>
      <c r="W39" s="63">
        <v>15548.33</v>
      </c>
      <c r="X39" s="36">
        <f>W39+T39+U39+V39</f>
        <v>305454.28999999998</v>
      </c>
      <c r="Y39" s="36">
        <v>200682.76000000007</v>
      </c>
      <c r="Z39" s="36">
        <f>R39-X39</f>
        <v>212099.21250000002</v>
      </c>
    </row>
    <row r="40" spans="1:27" ht="20.100000000000001" customHeight="1" x14ac:dyDescent="0.3">
      <c r="A40" s="3">
        <v>4</v>
      </c>
      <c r="B40" s="84" t="s">
        <v>100</v>
      </c>
      <c r="C40" s="33" t="s">
        <v>101</v>
      </c>
      <c r="D40" s="3" t="s">
        <v>102</v>
      </c>
      <c r="E40" s="63">
        <v>28489.81</v>
      </c>
      <c r="F40" s="63"/>
      <c r="G40" s="63">
        <f>E40*300%</f>
        <v>85469.430000000008</v>
      </c>
      <c r="H40" s="63">
        <f>E40*7.5%</f>
        <v>2136.7357499999998</v>
      </c>
      <c r="I40" s="63"/>
      <c r="J40" s="63">
        <f>E40*50%</f>
        <v>14244.905000000001</v>
      </c>
      <c r="K40" s="63">
        <f>E40*350%</f>
        <v>99714.335000000006</v>
      </c>
      <c r="L40" s="63">
        <f>E40*100%</f>
        <v>28489.81</v>
      </c>
      <c r="M40" s="63">
        <f t="shared" si="13"/>
        <v>150000</v>
      </c>
      <c r="N40" s="63"/>
      <c r="O40" s="63">
        <f>E40*10%</f>
        <v>2848.9810000000002</v>
      </c>
      <c r="P40" s="63">
        <v>20000</v>
      </c>
      <c r="Q40" s="63"/>
      <c r="R40" s="36">
        <f>SUM(E40:Q40)</f>
        <v>431394.00675000006</v>
      </c>
      <c r="S40" s="36"/>
      <c r="T40" s="36">
        <f>30000</f>
        <v>30000</v>
      </c>
      <c r="U40" s="36">
        <f>179165.6+26250</f>
        <v>205415.6</v>
      </c>
      <c r="V40" s="36"/>
      <c r="W40" s="63">
        <v>7709.76</v>
      </c>
      <c r="X40" s="36">
        <f>SUM(T40:W40)</f>
        <v>243125.36000000002</v>
      </c>
      <c r="Y40" s="36">
        <v>188268.64675000004</v>
      </c>
      <c r="Z40" s="36">
        <f>R40-X40</f>
        <v>188268.64675000004</v>
      </c>
    </row>
    <row r="41" spans="1:27" ht="20.100000000000001" customHeight="1" x14ac:dyDescent="0.3">
      <c r="A41" s="3">
        <v>5</v>
      </c>
      <c r="B41" s="84" t="s">
        <v>103</v>
      </c>
      <c r="C41" s="33" t="s">
        <v>101</v>
      </c>
      <c r="D41" s="3" t="s">
        <v>102</v>
      </c>
      <c r="E41" s="63">
        <f>28489.81</f>
        <v>28489.81</v>
      </c>
      <c r="F41" s="63"/>
      <c r="G41" s="63">
        <f>E41*300%</f>
        <v>85469.430000000008</v>
      </c>
      <c r="H41" s="63">
        <f>E41*7.5%</f>
        <v>2136.7357499999998</v>
      </c>
      <c r="I41" s="63">
        <v>0</v>
      </c>
      <c r="J41" s="63">
        <f>E41*50%</f>
        <v>14244.905000000001</v>
      </c>
      <c r="K41" s="63">
        <f>E41*350%</f>
        <v>99714.335000000006</v>
      </c>
      <c r="L41" s="63">
        <f>E41*100%</f>
        <v>28489.81</v>
      </c>
      <c r="M41" s="63">
        <f t="shared" si="13"/>
        <v>150000</v>
      </c>
      <c r="N41" s="63"/>
      <c r="O41" s="63">
        <f>E41*10%</f>
        <v>2848.9810000000002</v>
      </c>
      <c r="P41" s="63">
        <v>20000</v>
      </c>
      <c r="Q41" s="63">
        <v>0</v>
      </c>
      <c r="R41" s="36">
        <f>SUM(E41:Q41)</f>
        <v>431394.00675000006</v>
      </c>
      <c r="S41" s="36"/>
      <c r="T41" s="36"/>
      <c r="U41" s="36"/>
      <c r="V41" s="36">
        <f>'[2]Jan 2021'!$H$27</f>
        <v>991.55625000000009</v>
      </c>
      <c r="W41" s="63">
        <v>7709.76</v>
      </c>
      <c r="X41" s="36">
        <f t="shared" si="11"/>
        <v>8701.3162499999999</v>
      </c>
      <c r="Y41" s="36">
        <v>414932.99450000009</v>
      </c>
      <c r="Z41" s="36">
        <f t="shared" si="12"/>
        <v>422692.69050000008</v>
      </c>
    </row>
    <row r="42" spans="1:27" ht="20.100000000000001" customHeight="1" x14ac:dyDescent="0.3">
      <c r="A42" s="3">
        <v>6</v>
      </c>
      <c r="B42" s="84" t="s">
        <v>104</v>
      </c>
      <c r="C42" s="33" t="s">
        <v>101</v>
      </c>
      <c r="D42" s="3" t="s">
        <v>105</v>
      </c>
      <c r="E42" s="63">
        <f>25854.1</f>
        <v>25854.1</v>
      </c>
      <c r="F42" s="63">
        <f>ARREARS!V12</f>
        <v>14304</v>
      </c>
      <c r="G42" s="63">
        <f>E42*300%</f>
        <v>77562.299999999988</v>
      </c>
      <c r="H42" s="63">
        <f>E42*7.5%</f>
        <v>1939.0574999999999</v>
      </c>
      <c r="I42" s="63"/>
      <c r="J42" s="63">
        <f>E42*50%</f>
        <v>12927.05</v>
      </c>
      <c r="K42" s="63">
        <f>E42*350%</f>
        <v>90489.349999999991</v>
      </c>
      <c r="L42" s="63">
        <f>E42*100%</f>
        <v>25854.1</v>
      </c>
      <c r="M42" s="63">
        <f t="shared" si="13"/>
        <v>150000</v>
      </c>
      <c r="N42" s="63"/>
      <c r="O42" s="63">
        <f>E42*10%</f>
        <v>2585.41</v>
      </c>
      <c r="P42" s="63">
        <v>20000</v>
      </c>
      <c r="Q42" s="63"/>
      <c r="R42" s="36">
        <f>SUM(E42:Q42)</f>
        <v>421515.36749999999</v>
      </c>
      <c r="S42" s="36"/>
      <c r="T42" s="36">
        <f>15000</f>
        <v>15000</v>
      </c>
      <c r="U42" s="36">
        <f>106666.67</f>
        <v>106666.67</v>
      </c>
      <c r="V42" s="36"/>
      <c r="W42" s="63">
        <v>7709.76</v>
      </c>
      <c r="X42" s="36">
        <f t="shared" si="11"/>
        <v>129376.43</v>
      </c>
      <c r="Y42" s="36">
        <v>262624.63049999997</v>
      </c>
      <c r="Z42" s="36">
        <f t="shared" si="12"/>
        <v>292138.9375</v>
      </c>
    </row>
    <row r="43" spans="1:27" ht="20.100000000000001" customHeight="1" x14ac:dyDescent="0.3">
      <c r="A43" s="3">
        <v>7</v>
      </c>
      <c r="B43" s="161" t="s">
        <v>106</v>
      </c>
      <c r="C43" s="20" t="s">
        <v>107</v>
      </c>
      <c r="D43" s="25" t="s">
        <v>62</v>
      </c>
      <c r="E43" s="26">
        <f>26339.3</f>
        <v>26339.3</v>
      </c>
      <c r="F43" s="26"/>
      <c r="G43" s="26">
        <f>E43*300%</f>
        <v>79017.899999999994</v>
      </c>
      <c r="H43" s="26">
        <f>E43*7.5%</f>
        <v>1975.4474999999998</v>
      </c>
      <c r="I43" s="26"/>
      <c r="J43" s="26">
        <f>E43*50%</f>
        <v>13169.65</v>
      </c>
      <c r="K43" s="26">
        <f>E43*350%</f>
        <v>92187.55</v>
      </c>
      <c r="L43" s="26">
        <f>E43*100%</f>
        <v>26339.3</v>
      </c>
      <c r="M43" s="63">
        <f t="shared" si="13"/>
        <v>150000</v>
      </c>
      <c r="N43" s="63"/>
      <c r="O43" s="26">
        <f>E43*10%</f>
        <v>2633.9300000000003</v>
      </c>
      <c r="P43" s="26">
        <v>15000</v>
      </c>
      <c r="Q43" s="26"/>
      <c r="R43" s="36">
        <f>SUM(E43:Q43)</f>
        <v>406663.07749999996</v>
      </c>
      <c r="S43" s="36"/>
      <c r="T43" s="24"/>
      <c r="U43" s="24"/>
      <c r="V43" s="24">
        <v>0</v>
      </c>
      <c r="W43" s="24">
        <v>7709.76</v>
      </c>
      <c r="X43" s="36">
        <f>W43+U43+T43+V43</f>
        <v>7709.76</v>
      </c>
      <c r="Y43" s="36">
        <v>398953.31749999995</v>
      </c>
      <c r="Z43" s="36">
        <f>R43-X43</f>
        <v>398953.31749999995</v>
      </c>
    </row>
    <row r="44" spans="1:27" ht="20.100000000000001" customHeight="1" x14ac:dyDescent="0.3">
      <c r="A44" s="3">
        <v>8</v>
      </c>
      <c r="B44" s="84" t="s">
        <v>108</v>
      </c>
      <c r="C44" s="33" t="s">
        <v>109</v>
      </c>
      <c r="D44" s="3" t="s">
        <v>110</v>
      </c>
      <c r="E44" s="63">
        <f>24741.26</f>
        <v>24741.26</v>
      </c>
      <c r="F44" s="63"/>
      <c r="G44" s="63">
        <f>E44*300%</f>
        <v>74223.78</v>
      </c>
      <c r="H44" s="63">
        <f>E44*7.5%</f>
        <v>1855.5944999999997</v>
      </c>
      <c r="I44" s="63">
        <v>0</v>
      </c>
      <c r="J44" s="63">
        <f>E44*50%</f>
        <v>12370.63</v>
      </c>
      <c r="K44" s="63">
        <f>E44*350%</f>
        <v>86594.409999999989</v>
      </c>
      <c r="L44" s="63">
        <f>E44*100%</f>
        <v>24741.26</v>
      </c>
      <c r="M44" s="63">
        <f t="shared" si="13"/>
        <v>150000</v>
      </c>
      <c r="N44" s="63"/>
      <c r="O44" s="63">
        <f>E44*10%</f>
        <v>2474.1260000000002</v>
      </c>
      <c r="P44" s="63">
        <v>15000</v>
      </c>
      <c r="Q44" s="63">
        <v>0</v>
      </c>
      <c r="R44" s="36">
        <f>SUM(E44:Q44)</f>
        <v>392001.06049999996</v>
      </c>
      <c r="S44" s="36"/>
      <c r="T44" s="36"/>
      <c r="U44" s="36"/>
      <c r="V44" s="36"/>
      <c r="W44" s="63">
        <v>7709.76</v>
      </c>
      <c r="X44" s="36">
        <f t="shared" si="11"/>
        <v>7709.76</v>
      </c>
      <c r="Y44" s="36">
        <v>376493.266</v>
      </c>
      <c r="Z44" s="36">
        <f t="shared" si="12"/>
        <v>384291.30049999995</v>
      </c>
    </row>
    <row r="45" spans="1:27" ht="20.100000000000001" customHeight="1" x14ac:dyDescent="0.3">
      <c r="A45" s="3">
        <v>9</v>
      </c>
      <c r="B45" s="84" t="s">
        <v>111</v>
      </c>
      <c r="C45" s="33" t="s">
        <v>112</v>
      </c>
      <c r="D45" s="3" t="s">
        <v>57</v>
      </c>
      <c r="E45" s="63">
        <f>25523.45</f>
        <v>25523.45</v>
      </c>
      <c r="F45" s="63"/>
      <c r="G45" s="63">
        <f>E45*300%</f>
        <v>76570.350000000006</v>
      </c>
      <c r="H45" s="63">
        <f>E45*7.5%</f>
        <v>1914.25875</v>
      </c>
      <c r="I45" s="63">
        <v>0</v>
      </c>
      <c r="J45" s="63">
        <f>E45*50%</f>
        <v>12761.725</v>
      </c>
      <c r="K45" s="63">
        <f>E45*350%</f>
        <v>89332.074999999997</v>
      </c>
      <c r="L45" s="63">
        <f>E45*100%</f>
        <v>25523.45</v>
      </c>
      <c r="M45" s="63">
        <f t="shared" si="13"/>
        <v>150000</v>
      </c>
      <c r="N45" s="63"/>
      <c r="O45" s="63">
        <f>E45*10%</f>
        <v>2552.3450000000003</v>
      </c>
      <c r="P45" s="63">
        <v>15000</v>
      </c>
      <c r="Q45" s="63">
        <v>0</v>
      </c>
      <c r="R45" s="36">
        <f>SUM(E45:Q45)</f>
        <v>399177.65375</v>
      </c>
      <c r="S45" s="36"/>
      <c r="T45" s="36"/>
      <c r="U45" s="36"/>
      <c r="V45" s="36"/>
      <c r="W45" s="63">
        <v>7709.76</v>
      </c>
      <c r="X45" s="36">
        <f t="shared" si="11"/>
        <v>7709.76</v>
      </c>
      <c r="Y45" s="36">
        <v>384291.30049999995</v>
      </c>
      <c r="Z45" s="36">
        <f t="shared" si="12"/>
        <v>391467.89374999999</v>
      </c>
    </row>
    <row r="46" spans="1:27" ht="20.100000000000001" customHeight="1" x14ac:dyDescent="0.3">
      <c r="A46" s="3">
        <v>10</v>
      </c>
      <c r="B46" s="84" t="s">
        <v>113</v>
      </c>
      <c r="C46" s="33" t="s">
        <v>112</v>
      </c>
      <c r="D46" s="3" t="s">
        <v>57</v>
      </c>
      <c r="E46" s="63">
        <f>25523.45</f>
        <v>25523.45</v>
      </c>
      <c r="F46" s="63"/>
      <c r="G46" s="63">
        <f>E46*300%</f>
        <v>76570.350000000006</v>
      </c>
      <c r="H46" s="63">
        <f>E46*7.5%</f>
        <v>1914.25875</v>
      </c>
      <c r="I46" s="63">
        <f>I20</f>
        <v>0</v>
      </c>
      <c r="J46" s="63">
        <f>E46*50%</f>
        <v>12761.725</v>
      </c>
      <c r="K46" s="63">
        <f>E46*350%</f>
        <v>89332.074999999997</v>
      </c>
      <c r="L46" s="63">
        <f>E46*100%</f>
        <v>25523.45</v>
      </c>
      <c r="M46" s="63">
        <f t="shared" si="13"/>
        <v>150000</v>
      </c>
      <c r="N46" s="63"/>
      <c r="O46" s="63">
        <f>E46*10%</f>
        <v>2552.3450000000003</v>
      </c>
      <c r="P46" s="63">
        <v>15000</v>
      </c>
      <c r="Q46" s="63">
        <v>0</v>
      </c>
      <c r="R46" s="36">
        <f>SUM(E46:Q46)</f>
        <v>399177.65375</v>
      </c>
      <c r="S46" s="36"/>
      <c r="T46" s="36">
        <f>30000</f>
        <v>30000</v>
      </c>
      <c r="U46" s="36">
        <f>182107.04</f>
        <v>182107.04</v>
      </c>
      <c r="V46" s="36">
        <f>'[2]Jan 2021'!$H$45</f>
        <v>444.6</v>
      </c>
      <c r="W46" s="63">
        <v>7709.76</v>
      </c>
      <c r="X46" s="36">
        <f t="shared" si="11"/>
        <v>220261.40000000002</v>
      </c>
      <c r="Y46" s="36">
        <v>71565.728999999934</v>
      </c>
      <c r="Z46" s="36">
        <f t="shared" si="12"/>
        <v>178916.25374999997</v>
      </c>
    </row>
    <row r="47" spans="1:27" ht="20.100000000000001" customHeight="1" x14ac:dyDescent="0.3">
      <c r="A47" s="3">
        <v>11</v>
      </c>
      <c r="B47" s="155" t="s">
        <v>114</v>
      </c>
      <c r="C47" s="33" t="s">
        <v>112</v>
      </c>
      <c r="D47" s="29" t="s">
        <v>80</v>
      </c>
      <c r="E47" s="26">
        <f>23891.12</f>
        <v>23891.119999999999</v>
      </c>
      <c r="F47" s="63">
        <f>ARREARS!V13</f>
        <v>244895</v>
      </c>
      <c r="G47" s="26">
        <f>E47*300%</f>
        <v>71673.36</v>
      </c>
      <c r="H47" s="26">
        <f>E47*7.5%</f>
        <v>1791.8339999999998</v>
      </c>
      <c r="I47" s="26"/>
      <c r="J47" s="26">
        <f>E47*50%</f>
        <v>11945.56</v>
      </c>
      <c r="K47" s="26">
        <f>E47*350%</f>
        <v>83618.92</v>
      </c>
      <c r="L47" s="26">
        <f>E47*100%</f>
        <v>23891.119999999999</v>
      </c>
      <c r="M47" s="63">
        <f t="shared" si="13"/>
        <v>150000</v>
      </c>
      <c r="N47" s="63"/>
      <c r="O47" s="26">
        <f>E47*10%</f>
        <v>2389.1120000000001</v>
      </c>
      <c r="P47" s="26">
        <v>15000</v>
      </c>
      <c r="Q47" s="26"/>
      <c r="R47" s="36">
        <f>SUM(E47:Q47)</f>
        <v>629096.02599999984</v>
      </c>
      <c r="S47" s="36"/>
      <c r="T47" s="24">
        <f>50000+10000</f>
        <v>60000</v>
      </c>
      <c r="U47" s="24"/>
      <c r="V47" s="24">
        <f>'[2]Jan 2021'!$H$51</f>
        <v>597.27800000000002</v>
      </c>
      <c r="W47" s="26">
        <f>7709.76+ARREARS!AJ14</f>
        <v>29411.010000000002</v>
      </c>
      <c r="X47" s="36">
        <f t="shared" si="11"/>
        <v>90008.288000000015</v>
      </c>
      <c r="Y47" s="36">
        <v>263907.49599999998</v>
      </c>
      <c r="Z47" s="36">
        <f t="shared" si="12"/>
        <v>539087.73799999978</v>
      </c>
    </row>
    <row r="48" spans="1:27" ht="20.100000000000001" customHeight="1" x14ac:dyDescent="0.6">
      <c r="A48" s="3"/>
      <c r="B48" s="70" t="s">
        <v>32</v>
      </c>
      <c r="C48" s="30">
        <v>11</v>
      </c>
      <c r="D48" s="30"/>
      <c r="E48" s="103">
        <f t="shared" ref="E48:Z48" si="14">SUM(E37:E47)</f>
        <v>357607.32</v>
      </c>
      <c r="F48" s="103">
        <f t="shared" si="14"/>
        <v>259199</v>
      </c>
      <c r="G48" s="103">
        <f t="shared" si="14"/>
        <v>1072821.96</v>
      </c>
      <c r="H48" s="103">
        <f t="shared" si="14"/>
        <v>26820.548999999999</v>
      </c>
      <c r="I48" s="103">
        <f t="shared" si="14"/>
        <v>160488.76</v>
      </c>
      <c r="J48" s="103">
        <f t="shared" si="14"/>
        <v>178803.66</v>
      </c>
      <c r="K48" s="103">
        <f t="shared" si="14"/>
        <v>1251625.6199999999</v>
      </c>
      <c r="L48" s="103">
        <f t="shared" si="14"/>
        <v>357607.32</v>
      </c>
      <c r="M48" s="103">
        <f t="shared" si="14"/>
        <v>1650000</v>
      </c>
      <c r="N48" s="103"/>
      <c r="O48" s="103">
        <f t="shared" si="14"/>
        <v>35760.732000000004</v>
      </c>
      <c r="P48" s="103">
        <f t="shared" si="14"/>
        <v>195000</v>
      </c>
      <c r="Q48" s="103">
        <f t="shared" si="14"/>
        <v>0</v>
      </c>
      <c r="R48" s="103">
        <f t="shared" si="14"/>
        <v>5545734.9210000001</v>
      </c>
      <c r="S48" s="103"/>
      <c r="T48" s="103">
        <f t="shared" si="14"/>
        <v>330000</v>
      </c>
      <c r="U48" s="103">
        <f t="shared" si="14"/>
        <v>982004.38</v>
      </c>
      <c r="V48" s="103">
        <f t="shared" si="14"/>
        <v>2033.43425</v>
      </c>
      <c r="W48" s="103">
        <f t="shared" si="14"/>
        <v>167252.61999999997</v>
      </c>
      <c r="X48" s="103">
        <f t="shared" si="14"/>
        <v>1481290.4342500002</v>
      </c>
      <c r="Y48" s="103">
        <f t="shared" si="14"/>
        <v>3695472.6502499995</v>
      </c>
      <c r="Z48" s="103">
        <f t="shared" si="14"/>
        <v>4064444.4867500002</v>
      </c>
      <c r="AA48" s="34"/>
    </row>
    <row r="49" spans="1:27" ht="20.100000000000001" customHeight="1" x14ac:dyDescent="0.3">
      <c r="A49" s="3"/>
      <c r="B49" s="83"/>
      <c r="C49" s="30"/>
      <c r="D49" s="30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4"/>
    </row>
    <row r="50" spans="1:27" ht="20.100000000000001" customHeight="1" x14ac:dyDescent="0.3">
      <c r="A50" s="3"/>
      <c r="B50" s="70" t="s">
        <v>115</v>
      </c>
      <c r="C50" s="30"/>
      <c r="D50" s="30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4"/>
    </row>
    <row r="51" spans="1:27" ht="20.100000000000001" customHeight="1" x14ac:dyDescent="0.3">
      <c r="A51" s="3">
        <v>1</v>
      </c>
      <c r="B51" s="84" t="s">
        <v>116</v>
      </c>
      <c r="C51" s="62" t="s">
        <v>117</v>
      </c>
      <c r="D51" s="67" t="s">
        <v>41</v>
      </c>
      <c r="E51" s="63">
        <f>81740.02</f>
        <v>81740.02</v>
      </c>
      <c r="F51" s="63"/>
      <c r="G51" s="63">
        <f>E51*300%</f>
        <v>245220.06</v>
      </c>
      <c r="H51" s="63">
        <f>E51*7.5%</f>
        <v>6130.5015000000003</v>
      </c>
      <c r="I51" s="63">
        <v>80244.38</v>
      </c>
      <c r="J51" s="63">
        <f>E51*50%</f>
        <v>40870.01</v>
      </c>
      <c r="K51" s="63">
        <f>E51*350%</f>
        <v>286090.07</v>
      </c>
      <c r="L51" s="63">
        <f>E51*100%</f>
        <v>81740.02</v>
      </c>
      <c r="M51" s="63">
        <f>150000</f>
        <v>150000</v>
      </c>
      <c r="N51" s="63"/>
      <c r="O51" s="63">
        <f>E51*10%</f>
        <v>8174.0020000000004</v>
      </c>
      <c r="P51" s="63">
        <v>20000</v>
      </c>
      <c r="Q51" s="63">
        <v>0</v>
      </c>
      <c r="R51" s="36">
        <f>SUM(E51:Q51)</f>
        <v>1000209.0635</v>
      </c>
      <c r="S51" s="36"/>
      <c r="T51" s="36"/>
      <c r="U51" s="36"/>
      <c r="V51" s="36">
        <v>0</v>
      </c>
      <c r="W51" s="63">
        <v>52776.63</v>
      </c>
      <c r="X51" s="36">
        <f>T51+U51+V51+W51</f>
        <v>52776.63</v>
      </c>
      <c r="Y51" s="36">
        <v>947432.43350000004</v>
      </c>
      <c r="Z51" s="36">
        <f>R51-X51</f>
        <v>947432.43350000004</v>
      </c>
      <c r="AA51" s="34"/>
    </row>
    <row r="52" spans="1:27" ht="20.100000000000001" customHeight="1" x14ac:dyDescent="0.6">
      <c r="A52" s="3"/>
      <c r="B52" s="70" t="s">
        <v>32</v>
      </c>
      <c r="C52" s="30">
        <v>1</v>
      </c>
      <c r="D52" s="30"/>
      <c r="E52" s="103">
        <f t="shared" ref="E52:R52" si="15">SUM(E51:E51)</f>
        <v>81740.02</v>
      </c>
      <c r="F52" s="103">
        <f t="shared" si="15"/>
        <v>0</v>
      </c>
      <c r="G52" s="103">
        <f t="shared" si="15"/>
        <v>245220.06</v>
      </c>
      <c r="H52" s="103">
        <f t="shared" si="15"/>
        <v>6130.5015000000003</v>
      </c>
      <c r="I52" s="103">
        <f t="shared" si="15"/>
        <v>80244.38</v>
      </c>
      <c r="J52" s="103">
        <f t="shared" si="15"/>
        <v>40870.01</v>
      </c>
      <c r="K52" s="103">
        <f t="shared" si="15"/>
        <v>286090.07</v>
      </c>
      <c r="L52" s="103">
        <f t="shared" si="15"/>
        <v>81740.02</v>
      </c>
      <c r="M52" s="103">
        <f t="shared" si="15"/>
        <v>150000</v>
      </c>
      <c r="N52" s="103"/>
      <c r="O52" s="103">
        <f t="shared" si="15"/>
        <v>8174.0020000000004</v>
      </c>
      <c r="P52" s="103">
        <f t="shared" si="15"/>
        <v>20000</v>
      </c>
      <c r="Q52" s="103">
        <f t="shared" si="15"/>
        <v>0</v>
      </c>
      <c r="R52" s="103">
        <f t="shared" si="15"/>
        <v>1000209.0635</v>
      </c>
      <c r="S52" s="103"/>
      <c r="T52" s="103"/>
      <c r="U52" s="103"/>
      <c r="V52" s="103">
        <f>SUM(V51:V51)</f>
        <v>0</v>
      </c>
      <c r="W52" s="103">
        <f>SUM(W51:W51)</f>
        <v>52776.63</v>
      </c>
      <c r="X52" s="103">
        <f>SUM(X51:X51)</f>
        <v>52776.63</v>
      </c>
      <c r="Y52" s="103">
        <v>947432.43350000004</v>
      </c>
      <c r="Z52" s="103">
        <f>R52-X52</f>
        <v>947432.43350000004</v>
      </c>
      <c r="AA52" s="34"/>
    </row>
    <row r="53" spans="1:27" ht="20.100000000000001" customHeight="1" x14ac:dyDescent="0.3">
      <c r="A53" s="3"/>
      <c r="B53" s="70"/>
      <c r="C53" s="30"/>
      <c r="D53" s="30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4"/>
    </row>
    <row r="54" spans="1:27" ht="20.100000000000001" customHeight="1" x14ac:dyDescent="0.3">
      <c r="A54" s="3"/>
      <c r="B54" s="70" t="s">
        <v>118</v>
      </c>
      <c r="C54" s="30"/>
      <c r="D54" s="30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4"/>
    </row>
    <row r="55" spans="1:27" ht="20.100000000000001" customHeight="1" x14ac:dyDescent="0.3">
      <c r="A55" s="3">
        <v>1</v>
      </c>
      <c r="B55" s="155" t="s">
        <v>119</v>
      </c>
      <c r="C55" s="48" t="s">
        <v>120</v>
      </c>
      <c r="D55" s="29" t="s">
        <v>89</v>
      </c>
      <c r="E55" s="26">
        <f>79039.64</f>
        <v>79039.64</v>
      </c>
      <c r="F55" s="26">
        <f>0</f>
        <v>0</v>
      </c>
      <c r="G55" s="26">
        <f>E55*300%</f>
        <v>237118.91999999998</v>
      </c>
      <c r="H55" s="26">
        <f>E55*7.5%</f>
        <v>5927.973</v>
      </c>
      <c r="I55" s="26">
        <f>80244.38</f>
        <v>80244.38</v>
      </c>
      <c r="J55" s="26">
        <f>E55*50%</f>
        <v>39519.82</v>
      </c>
      <c r="K55" s="26">
        <f>E55*350%</f>
        <v>276638.74</v>
      </c>
      <c r="L55" s="26">
        <f>E55*100%</f>
        <v>79039.64</v>
      </c>
      <c r="M55" s="63">
        <f t="shared" ref="M55:M73" si="16">150000</f>
        <v>150000</v>
      </c>
      <c r="N55" s="63"/>
      <c r="O55" s="26">
        <f>E55*10%</f>
        <v>7903.9639999999999</v>
      </c>
      <c r="P55" s="26">
        <v>20000</v>
      </c>
      <c r="Q55" s="26">
        <v>0</v>
      </c>
      <c r="R55" s="26">
        <f>SUM(E55:Q55)</f>
        <v>975433.07700000005</v>
      </c>
      <c r="S55" s="26"/>
      <c r="T55" s="26">
        <f>100000</f>
        <v>100000</v>
      </c>
      <c r="U55" s="26"/>
      <c r="V55" s="26"/>
      <c r="W55" s="26">
        <f>52776.63</f>
        <v>52776.63</v>
      </c>
      <c r="X55" s="26">
        <f>T55+U55+V55+W55</f>
        <v>152776.63</v>
      </c>
      <c r="Y55" s="26">
        <v>797880.82750000013</v>
      </c>
      <c r="Z55" s="26">
        <f t="shared" ref="Z55:Z60" si="17">R55-X55</f>
        <v>822656.44700000004</v>
      </c>
      <c r="AA55" s="34"/>
    </row>
    <row r="56" spans="1:27" ht="20.100000000000001" customHeight="1" x14ac:dyDescent="0.3">
      <c r="A56" s="3">
        <v>2</v>
      </c>
      <c r="B56" s="155" t="s">
        <v>121</v>
      </c>
      <c r="C56" s="20" t="s">
        <v>112</v>
      </c>
      <c r="D56" s="29" t="s">
        <v>57</v>
      </c>
      <c r="E56" s="26">
        <f>25523.45</f>
        <v>25523.45</v>
      </c>
      <c r="F56" s="26"/>
      <c r="G56" s="26">
        <f>E56*300%</f>
        <v>76570.350000000006</v>
      </c>
      <c r="H56" s="26">
        <f>E56*7.5%</f>
        <v>1914.25875</v>
      </c>
      <c r="I56" s="26"/>
      <c r="J56" s="26">
        <f>E56*50%</f>
        <v>12761.725</v>
      </c>
      <c r="K56" s="26">
        <f>E56*350%</f>
        <v>89332.074999999997</v>
      </c>
      <c r="L56" s="26">
        <f>E56*100%</f>
        <v>25523.45</v>
      </c>
      <c r="M56" s="63">
        <f t="shared" si="0"/>
        <v>150000</v>
      </c>
      <c r="N56" s="63"/>
      <c r="O56" s="26">
        <f>E56*10%</f>
        <v>2552.3450000000003</v>
      </c>
      <c r="P56" s="26">
        <v>15000</v>
      </c>
      <c r="Q56" s="26"/>
      <c r="R56" s="36">
        <f>SUM(E56:Q56)</f>
        <v>399177.65375</v>
      </c>
      <c r="S56" s="36"/>
      <c r="T56" s="24">
        <f>50000</f>
        <v>50000</v>
      </c>
      <c r="U56" s="24">
        <f>45833.33</f>
        <v>45833.33</v>
      </c>
      <c r="V56" s="24"/>
      <c r="W56" s="26">
        <v>7709.76</v>
      </c>
      <c r="X56" s="36">
        <f>SUM(T56:W56)</f>
        <v>103543.09</v>
      </c>
      <c r="Y56" s="36">
        <v>288457.97049999994</v>
      </c>
      <c r="Z56" s="36">
        <f t="shared" si="17"/>
        <v>295634.56374999997</v>
      </c>
      <c r="AA56" s="34"/>
    </row>
    <row r="57" spans="1:27" ht="20.100000000000001" customHeight="1" x14ac:dyDescent="0.3">
      <c r="A57" s="3">
        <v>3</v>
      </c>
      <c r="B57" s="155" t="s">
        <v>122</v>
      </c>
      <c r="C57" s="33" t="s">
        <v>109</v>
      </c>
      <c r="D57" s="29" t="s">
        <v>80</v>
      </c>
      <c r="E57" s="26">
        <f>23891.12</f>
        <v>23891.119999999999</v>
      </c>
      <c r="F57" s="26">
        <f>ARREARS!V18</f>
        <v>244895</v>
      </c>
      <c r="G57" s="26">
        <f>E57*300%</f>
        <v>71673.36</v>
      </c>
      <c r="H57" s="26">
        <f>E57*7.5%</f>
        <v>1791.8339999999998</v>
      </c>
      <c r="I57" s="26"/>
      <c r="J57" s="26">
        <f>E57*50%</f>
        <v>11945.56</v>
      </c>
      <c r="K57" s="26">
        <f>E57*350%</f>
        <v>83618.92</v>
      </c>
      <c r="L57" s="26">
        <f>E57*100%</f>
        <v>23891.119999999999</v>
      </c>
      <c r="M57" s="63">
        <f t="shared" si="16"/>
        <v>150000</v>
      </c>
      <c r="N57" s="63"/>
      <c r="O57" s="26">
        <f>E57*10%</f>
        <v>2389.1120000000001</v>
      </c>
      <c r="P57" s="26">
        <v>15000</v>
      </c>
      <c r="Q57" s="26"/>
      <c r="R57" s="26">
        <f>SUM(E57:Q57)</f>
        <v>629096.02599999984</v>
      </c>
      <c r="S57" s="26"/>
      <c r="T57" s="26">
        <f>110000</f>
        <v>110000</v>
      </c>
      <c r="U57" s="26"/>
      <c r="V57" s="26"/>
      <c r="W57" s="26">
        <f>7709.76+ARREARS!AJ18</f>
        <v>29411.010000000002</v>
      </c>
      <c r="X57" s="26">
        <f t="shared" ref="X57:X59" si="18">T57+U57+V57+W57</f>
        <v>139411.01</v>
      </c>
      <c r="Y57" s="26">
        <v>214364.53699999995</v>
      </c>
      <c r="Z57" s="26">
        <f t="shared" si="17"/>
        <v>489685.01599999983</v>
      </c>
      <c r="AA57" s="34"/>
    </row>
    <row r="58" spans="1:27" ht="20.100000000000001" customHeight="1" x14ac:dyDescent="0.3">
      <c r="A58" s="3">
        <v>4</v>
      </c>
      <c r="B58" s="155" t="s">
        <v>123</v>
      </c>
      <c r="C58" s="20" t="s">
        <v>124</v>
      </c>
      <c r="D58" s="29" t="s">
        <v>125</v>
      </c>
      <c r="E58" s="26">
        <f>19774.62</f>
        <v>19774.62</v>
      </c>
      <c r="F58" s="26"/>
      <c r="G58" s="26">
        <f>E58*300%</f>
        <v>59323.86</v>
      </c>
      <c r="H58" s="26">
        <f>E58*7.5%</f>
        <v>1483.0964999999999</v>
      </c>
      <c r="I58" s="26">
        <v>0</v>
      </c>
      <c r="J58" s="26">
        <f>E58*50%</f>
        <v>9887.31</v>
      </c>
      <c r="K58" s="26">
        <f>E58*350%</f>
        <v>69211.17</v>
      </c>
      <c r="L58" s="26">
        <f>E58*100%</f>
        <v>19774.62</v>
      </c>
      <c r="M58" s="63">
        <f t="shared" si="0"/>
        <v>150000</v>
      </c>
      <c r="N58" s="63"/>
      <c r="O58" s="26">
        <f>E58*10%</f>
        <v>1977.462</v>
      </c>
      <c r="P58" s="26">
        <v>10000</v>
      </c>
      <c r="Q58" s="26">
        <v>0</v>
      </c>
      <c r="R58" s="36">
        <f>SUM(E58:Q58)</f>
        <v>341432.1385</v>
      </c>
      <c r="S58" s="36"/>
      <c r="T58" s="24">
        <f>10000</f>
        <v>10000</v>
      </c>
      <c r="U58" s="24">
        <f>131771.66</f>
        <v>131771.66</v>
      </c>
      <c r="V58" s="24"/>
      <c r="W58" s="26">
        <v>3369.51</v>
      </c>
      <c r="X58" s="36">
        <f>SUM(T58:W58)</f>
        <v>145141.17000000001</v>
      </c>
      <c r="Y58" s="36">
        <v>76290.968500000017</v>
      </c>
      <c r="Z58" s="36">
        <f t="shared" si="17"/>
        <v>196290.96849999999</v>
      </c>
      <c r="AA58" s="34"/>
    </row>
    <row r="59" spans="1:27" ht="20.100000000000001" customHeight="1" x14ac:dyDescent="0.3">
      <c r="A59" s="3">
        <v>5</v>
      </c>
      <c r="B59" s="62" t="s">
        <v>126</v>
      </c>
      <c r="C59" s="62" t="s">
        <v>127</v>
      </c>
      <c r="D59" s="67" t="s">
        <v>71</v>
      </c>
      <c r="E59" s="63">
        <f>19276.95</f>
        <v>19276.95</v>
      </c>
      <c r="F59" s="63"/>
      <c r="G59" s="63">
        <f>E59*300%</f>
        <v>57830.850000000006</v>
      </c>
      <c r="H59" s="63">
        <f>E59*7.5%</f>
        <v>1445.77125</v>
      </c>
      <c r="I59" s="63">
        <v>0</v>
      </c>
      <c r="J59" s="63">
        <f>E59*50%</f>
        <v>9638.4750000000004</v>
      </c>
      <c r="K59" s="36">
        <f>E59*350%</f>
        <v>67469.324999999997</v>
      </c>
      <c r="L59" s="63">
        <f>E59*100%</f>
        <v>19276.95</v>
      </c>
      <c r="M59" s="63">
        <f t="shared" si="16"/>
        <v>150000</v>
      </c>
      <c r="N59" s="63"/>
      <c r="O59" s="63">
        <f>E59*10%</f>
        <v>1927.6950000000002</v>
      </c>
      <c r="P59" s="63">
        <v>10000</v>
      </c>
      <c r="Q59" s="63">
        <v>0</v>
      </c>
      <c r="R59" s="36">
        <f>SUM(E59:Q59)</f>
        <v>336866.01625000004</v>
      </c>
      <c r="S59" s="36"/>
      <c r="T59" s="36">
        <f>20000</f>
        <v>20000</v>
      </c>
      <c r="U59" s="36">
        <f>100000</f>
        <v>100000</v>
      </c>
      <c r="V59" s="36">
        <f>'[2]Jan 2021'!$H$46</f>
        <v>668.31625000000008</v>
      </c>
      <c r="W59" s="63">
        <f>3369.51</f>
        <v>3369.51</v>
      </c>
      <c r="X59" s="26">
        <f t="shared" si="18"/>
        <v>124037.82625</v>
      </c>
      <c r="Y59" s="36">
        <v>108461.08499999993</v>
      </c>
      <c r="Z59" s="36">
        <f t="shared" si="17"/>
        <v>212828.19000000006</v>
      </c>
      <c r="AA59" s="34"/>
    </row>
    <row r="60" spans="1:27" ht="20.100000000000001" customHeight="1" x14ac:dyDescent="0.3">
      <c r="A60" s="3">
        <v>6</v>
      </c>
      <c r="B60" s="84" t="s">
        <v>128</v>
      </c>
      <c r="C60" s="33" t="s">
        <v>129</v>
      </c>
      <c r="D60" s="3" t="s">
        <v>68</v>
      </c>
      <c r="E60" s="63">
        <f>18281.64</f>
        <v>18281.64</v>
      </c>
      <c r="F60" s="63"/>
      <c r="G60" s="63">
        <f>E60*300%</f>
        <v>54844.92</v>
      </c>
      <c r="H60" s="63">
        <f>E60*7.5%</f>
        <v>1371.1229999999998</v>
      </c>
      <c r="I60" s="63"/>
      <c r="J60" s="63">
        <f>E60*50%</f>
        <v>9140.82</v>
      </c>
      <c r="K60" s="63">
        <f>E60*350%</f>
        <v>63985.74</v>
      </c>
      <c r="L60" s="63">
        <f>E60*100%</f>
        <v>18281.64</v>
      </c>
      <c r="M60" s="63">
        <f t="shared" ref="M60:M71" si="19">150000</f>
        <v>150000</v>
      </c>
      <c r="N60" s="63"/>
      <c r="O60" s="63">
        <f>E60*10%</f>
        <v>1828.164</v>
      </c>
      <c r="P60" s="63">
        <v>10000</v>
      </c>
      <c r="Q60" s="63"/>
      <c r="R60" s="36">
        <f>SUM(E60:Q60)</f>
        <v>327734.04699999996</v>
      </c>
      <c r="S60" s="36"/>
      <c r="T60" s="36">
        <f>70000+20000</f>
        <v>90000</v>
      </c>
      <c r="U60" s="36">
        <f>31500</f>
        <v>31500</v>
      </c>
      <c r="V60" s="36"/>
      <c r="W60" s="63">
        <v>3369.51</v>
      </c>
      <c r="X60" s="36">
        <f>SUM(T60:W60)</f>
        <v>124869.51</v>
      </c>
      <c r="Y60" s="36">
        <v>238298.69</v>
      </c>
      <c r="Z60" s="36">
        <f t="shared" si="17"/>
        <v>202864.53699999995</v>
      </c>
      <c r="AA60" s="34"/>
    </row>
    <row r="61" spans="1:27" ht="20.100000000000001" customHeight="1" x14ac:dyDescent="0.6">
      <c r="A61" s="3"/>
      <c r="B61" s="70" t="s">
        <v>32</v>
      </c>
      <c r="C61" s="30">
        <v>6</v>
      </c>
      <c r="D61" s="30"/>
      <c r="E61" s="103">
        <f t="shared" ref="E61:Z61" si="20">SUM(E55:E60)</f>
        <v>185787.41999999998</v>
      </c>
      <c r="F61" s="103">
        <f t="shared" si="20"/>
        <v>244895</v>
      </c>
      <c r="G61" s="103">
        <f t="shared" si="20"/>
        <v>557362.26</v>
      </c>
      <c r="H61" s="103">
        <f t="shared" si="20"/>
        <v>13934.056499999999</v>
      </c>
      <c r="I61" s="103">
        <f t="shared" si="20"/>
        <v>80244.38</v>
      </c>
      <c r="J61" s="103">
        <f t="shared" si="20"/>
        <v>92893.709999999992</v>
      </c>
      <c r="K61" s="103">
        <f t="shared" si="20"/>
        <v>650255.97</v>
      </c>
      <c r="L61" s="103">
        <f t="shared" si="20"/>
        <v>185787.41999999998</v>
      </c>
      <c r="M61" s="103">
        <f t="shared" si="20"/>
        <v>900000</v>
      </c>
      <c r="N61" s="103"/>
      <c r="O61" s="103">
        <f t="shared" si="20"/>
        <v>18578.742000000002</v>
      </c>
      <c r="P61" s="103">
        <f t="shared" si="20"/>
        <v>80000</v>
      </c>
      <c r="Q61" s="103">
        <f t="shared" si="20"/>
        <v>0</v>
      </c>
      <c r="R61" s="103">
        <f t="shared" si="20"/>
        <v>3009738.9584999997</v>
      </c>
      <c r="S61" s="103"/>
      <c r="T61" s="103">
        <f t="shared" si="20"/>
        <v>380000</v>
      </c>
      <c r="U61" s="103">
        <f t="shared" si="20"/>
        <v>309104.99</v>
      </c>
      <c r="V61" s="103">
        <f t="shared" si="20"/>
        <v>668.31625000000008</v>
      </c>
      <c r="W61" s="103">
        <f t="shared" si="20"/>
        <v>100005.92999999998</v>
      </c>
      <c r="X61" s="103">
        <f t="shared" si="20"/>
        <v>789779.23625000007</v>
      </c>
      <c r="Y61" s="103">
        <f t="shared" si="20"/>
        <v>1723754.0784999998</v>
      </c>
      <c r="Z61" s="103">
        <f t="shared" si="20"/>
        <v>2219959.7222499996</v>
      </c>
      <c r="AA61" s="34"/>
    </row>
    <row r="62" spans="1:27" ht="20.100000000000001" customHeight="1" x14ac:dyDescent="0.3">
      <c r="A62" s="3"/>
      <c r="B62" s="70"/>
      <c r="C62" s="30"/>
      <c r="D62" s="30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4"/>
    </row>
    <row r="63" spans="1:27" ht="20.100000000000001" customHeight="1" x14ac:dyDescent="0.3">
      <c r="A63" s="3"/>
      <c r="B63" s="70" t="s">
        <v>130</v>
      </c>
      <c r="C63" s="30"/>
      <c r="D63" s="30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4"/>
    </row>
    <row r="64" spans="1:27" ht="20.100000000000001" customHeight="1" x14ac:dyDescent="0.3">
      <c r="A64" s="3">
        <v>1</v>
      </c>
      <c r="B64" s="84" t="s">
        <v>131</v>
      </c>
      <c r="C64" s="33" t="s">
        <v>132</v>
      </c>
      <c r="D64" s="3" t="s">
        <v>41</v>
      </c>
      <c r="E64" s="63">
        <f>81740.02</f>
        <v>81740.02</v>
      </c>
      <c r="F64" s="63"/>
      <c r="G64" s="63">
        <f>E64*300%</f>
        <v>245220.06</v>
      </c>
      <c r="H64" s="63">
        <f>E64*7.5%</f>
        <v>6130.5015000000003</v>
      </c>
      <c r="I64" s="63">
        <v>80244.38</v>
      </c>
      <c r="J64" s="63">
        <f>E64*50%</f>
        <v>40870.01</v>
      </c>
      <c r="K64" s="63">
        <f>E64*350%</f>
        <v>286090.07</v>
      </c>
      <c r="L64" s="63">
        <f>E64*100%</f>
        <v>81740.02</v>
      </c>
      <c r="M64" s="63">
        <f t="shared" si="19"/>
        <v>150000</v>
      </c>
      <c r="N64" s="63"/>
      <c r="O64" s="63">
        <f>E64*10%</f>
        <v>8174.0020000000004</v>
      </c>
      <c r="P64" s="63">
        <v>20000</v>
      </c>
      <c r="Q64" s="63">
        <v>0</v>
      </c>
      <c r="R64" s="36">
        <f>SUM(E64:Q64)</f>
        <v>1000209.0635</v>
      </c>
      <c r="S64" s="36"/>
      <c r="T64" s="36">
        <v>150000</v>
      </c>
      <c r="U64" s="36">
        <f>451815.1</f>
        <v>451815.1</v>
      </c>
      <c r="V64" s="36">
        <v>0</v>
      </c>
      <c r="W64" s="63">
        <v>52776.63</v>
      </c>
      <c r="X64" s="36">
        <f>SUM(T64:W64)</f>
        <v>654591.73</v>
      </c>
      <c r="Y64" s="36">
        <v>345617.33350000007</v>
      </c>
      <c r="Z64" s="36">
        <f>R64-X64</f>
        <v>345617.33350000007</v>
      </c>
      <c r="AA64" s="34"/>
    </row>
    <row r="65" spans="1:27" ht="20.100000000000001" customHeight="1" x14ac:dyDescent="0.3">
      <c r="A65" s="3">
        <v>2</v>
      </c>
      <c r="B65" s="84" t="s">
        <v>133</v>
      </c>
      <c r="C65" s="33" t="s">
        <v>112</v>
      </c>
      <c r="D65" s="67" t="s">
        <v>80</v>
      </c>
      <c r="E65" s="63">
        <f>23891.12</f>
        <v>23891.119999999999</v>
      </c>
      <c r="F65" s="63">
        <f>ARREARS!V23</f>
        <v>532956</v>
      </c>
      <c r="G65" s="63">
        <f>E65*300%</f>
        <v>71673.36</v>
      </c>
      <c r="H65" s="63">
        <f>E65*7.5%</f>
        <v>1791.8339999999998</v>
      </c>
      <c r="I65" s="36">
        <v>0</v>
      </c>
      <c r="J65" s="63">
        <f>E65*50%</f>
        <v>11945.56</v>
      </c>
      <c r="K65" s="36">
        <f>E65*350%</f>
        <v>83618.92</v>
      </c>
      <c r="L65" s="63">
        <f>E65*100%</f>
        <v>23891.119999999999</v>
      </c>
      <c r="M65" s="63">
        <f t="shared" si="19"/>
        <v>150000</v>
      </c>
      <c r="N65" s="63"/>
      <c r="O65" s="63">
        <f>E65*10%</f>
        <v>2389.1120000000001</v>
      </c>
      <c r="P65" s="63">
        <v>15000</v>
      </c>
      <c r="Q65" s="63">
        <v>0</v>
      </c>
      <c r="R65" s="36">
        <f>SUM(E65:Q65)</f>
        <v>917157.02600000007</v>
      </c>
      <c r="S65" s="36"/>
      <c r="T65" s="36">
        <f>0</f>
        <v>0</v>
      </c>
      <c r="U65" s="36">
        <f>0</f>
        <v>0</v>
      </c>
      <c r="V65" s="36">
        <f>'[2]Jan 2021'!$H$47</f>
        <v>481.92375000000004</v>
      </c>
      <c r="W65" s="63">
        <f>7709.76+ARREARS!AJ23</f>
        <v>59792.76</v>
      </c>
      <c r="X65" s="36">
        <f>T65+U65+V65+W65</f>
        <v>60274.683750000004</v>
      </c>
      <c r="Y65" s="36">
        <v>328461.08499999996</v>
      </c>
      <c r="Z65" s="36">
        <f>R65-X65</f>
        <v>856882.3422500001</v>
      </c>
      <c r="AA65" s="34"/>
    </row>
    <row r="66" spans="1:27" ht="20.100000000000001" customHeight="1" x14ac:dyDescent="0.6">
      <c r="A66" s="3"/>
      <c r="B66" s="70" t="s">
        <v>32</v>
      </c>
      <c r="C66" s="30">
        <v>2</v>
      </c>
      <c r="D66" s="30"/>
      <c r="E66" s="103">
        <f t="shared" ref="E66:Z66" si="21">SUM(E64:E65)</f>
        <v>105631.14</v>
      </c>
      <c r="F66" s="103">
        <f t="shared" si="21"/>
        <v>532956</v>
      </c>
      <c r="G66" s="103">
        <f t="shared" si="21"/>
        <v>316893.42</v>
      </c>
      <c r="H66" s="103">
        <f t="shared" si="21"/>
        <v>7922.3355000000001</v>
      </c>
      <c r="I66" s="103">
        <f t="shared" si="21"/>
        <v>80244.38</v>
      </c>
      <c r="J66" s="103">
        <f t="shared" si="21"/>
        <v>52815.57</v>
      </c>
      <c r="K66" s="103">
        <f t="shared" si="21"/>
        <v>369708.99</v>
      </c>
      <c r="L66" s="103">
        <f t="shared" si="21"/>
        <v>105631.14</v>
      </c>
      <c r="M66" s="106">
        <f t="shared" si="21"/>
        <v>300000</v>
      </c>
      <c r="N66" s="106"/>
      <c r="O66" s="103">
        <f t="shared" si="21"/>
        <v>10563.114000000001</v>
      </c>
      <c r="P66" s="103">
        <f t="shared" si="21"/>
        <v>35000</v>
      </c>
      <c r="Q66" s="103">
        <f t="shared" si="21"/>
        <v>0</v>
      </c>
      <c r="R66" s="103">
        <f t="shared" si="21"/>
        <v>1917366.0895000002</v>
      </c>
      <c r="S66" s="103"/>
      <c r="T66" s="103">
        <f t="shared" si="21"/>
        <v>150000</v>
      </c>
      <c r="U66" s="103">
        <f t="shared" si="21"/>
        <v>451815.1</v>
      </c>
      <c r="V66" s="103">
        <f t="shared" si="21"/>
        <v>481.92375000000004</v>
      </c>
      <c r="W66" s="103">
        <f t="shared" si="21"/>
        <v>112569.39</v>
      </c>
      <c r="X66" s="103">
        <f t="shared" si="21"/>
        <v>714866.41374999995</v>
      </c>
      <c r="Y66" s="103">
        <f t="shared" si="21"/>
        <v>674078.41850000003</v>
      </c>
      <c r="Z66" s="103">
        <f t="shared" si="21"/>
        <v>1202499.6757500002</v>
      </c>
      <c r="AA66" s="34"/>
    </row>
    <row r="67" spans="1:27" ht="20.100000000000001" customHeight="1" x14ac:dyDescent="0.3">
      <c r="A67" s="3"/>
      <c r="B67" s="164"/>
      <c r="C67" s="7"/>
      <c r="D67" s="7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4"/>
      <c r="S67" s="64"/>
      <c r="T67" s="64"/>
      <c r="U67" s="64"/>
      <c r="V67" s="64"/>
      <c r="W67" s="39"/>
      <c r="X67" s="36"/>
      <c r="Y67" s="36"/>
      <c r="Z67" s="36"/>
      <c r="AA67" s="34"/>
    </row>
    <row r="68" spans="1:27" ht="20.100000000000001" customHeight="1" x14ac:dyDescent="0.3">
      <c r="A68" s="3"/>
      <c r="B68" s="159" t="s">
        <v>134</v>
      </c>
      <c r="C68" s="72"/>
      <c r="D68" s="7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64"/>
      <c r="S68" s="64"/>
      <c r="T68" s="64"/>
      <c r="U68" s="64"/>
      <c r="V68" s="64"/>
      <c r="W68" s="39"/>
      <c r="X68" s="36"/>
      <c r="Y68" s="36"/>
      <c r="Z68" s="36"/>
    </row>
    <row r="69" spans="1:27" ht="20.100000000000001" customHeight="1" x14ac:dyDescent="0.3">
      <c r="A69" s="3">
        <v>1</v>
      </c>
      <c r="B69" s="84" t="s">
        <v>135</v>
      </c>
      <c r="C69" s="33" t="s">
        <v>136</v>
      </c>
      <c r="D69" s="3" t="s">
        <v>44</v>
      </c>
      <c r="E69" s="63">
        <f>33507.5</f>
        <v>33507.5</v>
      </c>
      <c r="F69" s="63"/>
      <c r="G69" s="63">
        <f>E69*300%</f>
        <v>100522.5</v>
      </c>
      <c r="H69" s="63">
        <f>E69*7.5%</f>
        <v>2513.0625</v>
      </c>
      <c r="I69" s="63">
        <v>40122.19</v>
      </c>
      <c r="J69" s="63">
        <f>E69*50%</f>
        <v>16753.75</v>
      </c>
      <c r="K69" s="63">
        <f>E69*350%</f>
        <v>117276.25</v>
      </c>
      <c r="L69" s="63">
        <f>E69*100%</f>
        <v>33507.5</v>
      </c>
      <c r="M69" s="63">
        <f t="shared" si="0"/>
        <v>150000</v>
      </c>
      <c r="N69" s="63"/>
      <c r="O69" s="63">
        <f>E69*10%</f>
        <v>3350.75</v>
      </c>
      <c r="P69" s="63">
        <v>20000</v>
      </c>
      <c r="Q69" s="63"/>
      <c r="R69" s="36">
        <f>SUM(E69:Q69)</f>
        <v>517553.5025</v>
      </c>
      <c r="S69" s="36"/>
      <c r="T69" s="36"/>
      <c r="U69" s="36"/>
      <c r="V69" s="36"/>
      <c r="W69" s="63">
        <v>15548.33</v>
      </c>
      <c r="X69" s="36">
        <f t="shared" ref="X69:X76" si="22">SUM(T69:W69)</f>
        <v>15548.33</v>
      </c>
      <c r="Y69" s="36">
        <v>502005.17249999999</v>
      </c>
      <c r="Z69" s="36">
        <f t="shared" ref="Z69:Z76" si="23">R69-X69</f>
        <v>502005.17249999999</v>
      </c>
    </row>
    <row r="70" spans="1:27" ht="20.100000000000001" customHeight="1" x14ac:dyDescent="0.3">
      <c r="A70" s="3">
        <v>2</v>
      </c>
      <c r="B70" s="84" t="s">
        <v>137</v>
      </c>
      <c r="C70" s="33" t="s">
        <v>99</v>
      </c>
      <c r="D70" s="3" t="s">
        <v>138</v>
      </c>
      <c r="E70" s="63">
        <f>32263.2</f>
        <v>32263.200000000001</v>
      </c>
      <c r="F70" s="63">
        <f>ARREARS!V27</f>
        <v>189978</v>
      </c>
      <c r="G70" s="63">
        <f>E70*300%</f>
        <v>96789.6</v>
      </c>
      <c r="H70" s="63">
        <f>E70*7.5%</f>
        <v>2419.7399999999998</v>
      </c>
      <c r="I70" s="63">
        <f>40122.19</f>
        <v>40122.19</v>
      </c>
      <c r="J70" s="63">
        <f>E70*50%</f>
        <v>16131.6</v>
      </c>
      <c r="K70" s="63">
        <f>E70*350%</f>
        <v>112921.2</v>
      </c>
      <c r="L70" s="63">
        <f>E70*100%</f>
        <v>32263.200000000001</v>
      </c>
      <c r="M70" s="63">
        <f t="shared" si="0"/>
        <v>150000</v>
      </c>
      <c r="N70" s="63"/>
      <c r="O70" s="63">
        <f>E70*10%</f>
        <v>3226.32</v>
      </c>
      <c r="P70" s="63">
        <v>20000</v>
      </c>
      <c r="Q70" s="63"/>
      <c r="R70" s="36">
        <f>SUM(E70:Q70)</f>
        <v>696115.04999999993</v>
      </c>
      <c r="S70" s="36"/>
      <c r="T70" s="36"/>
      <c r="U70" s="36"/>
      <c r="V70" s="36"/>
      <c r="W70" s="63">
        <f>15548.33+ARREARS!AJ27</f>
        <v>39064.04</v>
      </c>
      <c r="X70" s="36">
        <f t="shared" si="22"/>
        <v>39064.04</v>
      </c>
      <c r="Y70" s="36">
        <v>423684.24675000005</v>
      </c>
      <c r="Z70" s="36">
        <f t="shared" si="23"/>
        <v>657051.00999999989</v>
      </c>
    </row>
    <row r="71" spans="1:27" ht="20.100000000000001" customHeight="1" x14ac:dyDescent="0.3">
      <c r="A71" s="3">
        <v>3</v>
      </c>
      <c r="B71" s="84" t="s">
        <v>139</v>
      </c>
      <c r="C71" s="33" t="s">
        <v>99</v>
      </c>
      <c r="D71" s="3" t="s">
        <v>138</v>
      </c>
      <c r="E71" s="63">
        <f>32263.2</f>
        <v>32263.200000000001</v>
      </c>
      <c r="F71" s="63">
        <f>ARREARS!V22</f>
        <v>238344</v>
      </c>
      <c r="G71" s="63">
        <f>E71*300%</f>
        <v>96789.6</v>
      </c>
      <c r="H71" s="63">
        <f>E71*7.5%</f>
        <v>2419.7399999999998</v>
      </c>
      <c r="I71" s="63">
        <f>40122.19</f>
        <v>40122.19</v>
      </c>
      <c r="J71" s="63">
        <f>E71*50%</f>
        <v>16131.6</v>
      </c>
      <c r="K71" s="63">
        <f>E71*350%</f>
        <v>112921.2</v>
      </c>
      <c r="L71" s="63">
        <f>E71*100%</f>
        <v>32263.200000000001</v>
      </c>
      <c r="M71" s="63">
        <f t="shared" si="19"/>
        <v>150000</v>
      </c>
      <c r="N71" s="63"/>
      <c r="O71" s="63">
        <f>E71*10%</f>
        <v>3226.32</v>
      </c>
      <c r="P71" s="63">
        <v>20000</v>
      </c>
      <c r="Q71" s="63"/>
      <c r="R71" s="36">
        <f>SUM(E71:Q71)</f>
        <v>744481.04999999993</v>
      </c>
      <c r="S71" s="36"/>
      <c r="T71" s="36">
        <f>20000</f>
        <v>20000</v>
      </c>
      <c r="U71" s="36">
        <f>150000</f>
        <v>150000</v>
      </c>
      <c r="V71" s="36">
        <f>'[2]Jan 2021'!$H$41</f>
        <v>481.92375000000004</v>
      </c>
      <c r="W71" s="63">
        <f>15548.33+ARREARS!AJ22</f>
        <v>39064.04</v>
      </c>
      <c r="X71" s="36">
        <f>SUM(T71:W71)</f>
        <v>209545.96375</v>
      </c>
      <c r="Y71" s="36">
        <v>244932.99450000006</v>
      </c>
      <c r="Z71" s="36">
        <f>R71-X71</f>
        <v>534935.08624999993</v>
      </c>
    </row>
    <row r="72" spans="1:27" ht="20.100000000000001" customHeight="1" x14ac:dyDescent="0.3">
      <c r="A72" s="3">
        <v>4</v>
      </c>
      <c r="B72" s="84" t="s">
        <v>140</v>
      </c>
      <c r="C72" s="33" t="s">
        <v>101</v>
      </c>
      <c r="D72" s="3" t="s">
        <v>105</v>
      </c>
      <c r="E72" s="63">
        <f>25854.1</f>
        <v>25854.1</v>
      </c>
      <c r="F72" s="63">
        <f>ARREARS!V28</f>
        <v>96408</v>
      </c>
      <c r="G72" s="63">
        <f>E72*300%</f>
        <v>77562.299999999988</v>
      </c>
      <c r="H72" s="63">
        <f>E72*7.5%</f>
        <v>1939.0574999999999</v>
      </c>
      <c r="I72" s="63">
        <v>0</v>
      </c>
      <c r="J72" s="63">
        <f>E72*50%</f>
        <v>12927.05</v>
      </c>
      <c r="K72" s="63">
        <f>E72*350%</f>
        <v>90489.349999999991</v>
      </c>
      <c r="L72" s="63">
        <f>E72*100%</f>
        <v>25854.1</v>
      </c>
      <c r="M72" s="63">
        <f t="shared" si="0"/>
        <v>150000</v>
      </c>
      <c r="N72" s="63"/>
      <c r="O72" s="63">
        <f>E72*10%</f>
        <v>2585.41</v>
      </c>
      <c r="P72" s="63">
        <v>20000</v>
      </c>
      <c r="Q72" s="63">
        <v>0</v>
      </c>
      <c r="R72" s="36">
        <f>SUM(E72:Q72)</f>
        <v>503619.36749999993</v>
      </c>
      <c r="S72" s="36"/>
      <c r="T72" s="36">
        <v>5000</v>
      </c>
      <c r="U72" s="36"/>
      <c r="V72" s="36"/>
      <c r="W72" s="36">
        <f t="shared" si="4"/>
        <v>7709.76</v>
      </c>
      <c r="X72" s="36">
        <f t="shared" si="22"/>
        <v>12709.76</v>
      </c>
      <c r="Y72" s="36">
        <v>386467.89374999999</v>
      </c>
      <c r="Z72" s="36">
        <f t="shared" si="23"/>
        <v>490909.60749999993</v>
      </c>
    </row>
    <row r="73" spans="1:27" ht="20.100000000000001" customHeight="1" x14ac:dyDescent="0.3">
      <c r="A73" s="3">
        <v>5</v>
      </c>
      <c r="B73" s="156" t="s">
        <v>141</v>
      </c>
      <c r="C73" s="33" t="s">
        <v>142</v>
      </c>
      <c r="D73" s="3" t="s">
        <v>143</v>
      </c>
      <c r="E73" s="63">
        <f>26732.65</f>
        <v>26732.65</v>
      </c>
      <c r="F73" s="63">
        <f>ARREARS!V17</f>
        <v>96408</v>
      </c>
      <c r="G73" s="63">
        <f>E73*300%</f>
        <v>80197.950000000012</v>
      </c>
      <c r="H73" s="63">
        <f>E73*7.5%</f>
        <v>2004.94875</v>
      </c>
      <c r="I73" s="63"/>
      <c r="J73" s="63">
        <f>E73*50%</f>
        <v>13366.325000000001</v>
      </c>
      <c r="K73" s="36">
        <f>E73*350%</f>
        <v>93564.275000000009</v>
      </c>
      <c r="L73" s="63">
        <f>E73*100%</f>
        <v>26732.65</v>
      </c>
      <c r="M73" s="63">
        <f t="shared" si="16"/>
        <v>150000</v>
      </c>
      <c r="N73" s="63"/>
      <c r="O73" s="63">
        <f>E73*10%</f>
        <v>2673.2650000000003</v>
      </c>
      <c r="P73" s="63">
        <v>20000</v>
      </c>
      <c r="Q73" s="63">
        <v>0</v>
      </c>
      <c r="R73" s="26">
        <f>SUM(E73:Q73)</f>
        <v>511680.06375000009</v>
      </c>
      <c r="S73" s="26"/>
      <c r="T73" s="36">
        <f>20000</f>
        <v>20000</v>
      </c>
      <c r="U73" s="36">
        <f>163103.59</f>
        <v>163103.59</v>
      </c>
      <c r="V73" s="36">
        <f>'[2]Jan 2021'!$H$49</f>
        <v>638.08625000000006</v>
      </c>
      <c r="W73" s="36">
        <f>7709.76</f>
        <v>7709.76</v>
      </c>
      <c r="X73" s="26">
        <f>T73+U73+V73+W73</f>
        <v>191451.43625</v>
      </c>
      <c r="Y73" s="26">
        <v>207726.2175</v>
      </c>
      <c r="Z73" s="26">
        <f>R73-X73</f>
        <v>320228.62750000006</v>
      </c>
    </row>
    <row r="74" spans="1:27" ht="20.100000000000001" customHeight="1" x14ac:dyDescent="0.3">
      <c r="A74" s="3">
        <v>6</v>
      </c>
      <c r="B74" s="155" t="s">
        <v>144</v>
      </c>
      <c r="C74" s="33" t="s">
        <v>101</v>
      </c>
      <c r="D74" s="3" t="s">
        <v>105</v>
      </c>
      <c r="E74" s="26">
        <f>25854.1</f>
        <v>25854.1</v>
      </c>
      <c r="F74" s="63">
        <f>ARREARS!V29</f>
        <v>28608</v>
      </c>
      <c r="G74" s="26">
        <f>E74*300%</f>
        <v>77562.299999999988</v>
      </c>
      <c r="H74" s="26">
        <f>E74*7.5%</f>
        <v>1939.0574999999999</v>
      </c>
      <c r="I74" s="26"/>
      <c r="J74" s="26">
        <f>E74*50%</f>
        <v>12927.05</v>
      </c>
      <c r="K74" s="26">
        <f>E74*350%</f>
        <v>90489.349999999991</v>
      </c>
      <c r="L74" s="26">
        <f>E74*100%</f>
        <v>25854.1</v>
      </c>
      <c r="M74" s="63">
        <f t="shared" si="0"/>
        <v>150000</v>
      </c>
      <c r="N74" s="63"/>
      <c r="O74" s="26">
        <f>E74*10%</f>
        <v>2585.41</v>
      </c>
      <c r="P74" s="26">
        <v>20000</v>
      </c>
      <c r="Q74" s="26"/>
      <c r="R74" s="36">
        <f>SUM(E74:Q74)</f>
        <v>435819.36749999993</v>
      </c>
      <c r="S74" s="36"/>
      <c r="T74" s="24">
        <f>50000</f>
        <v>50000</v>
      </c>
      <c r="U74" s="24">
        <f>87500</f>
        <v>87500</v>
      </c>
      <c r="V74" s="24"/>
      <c r="W74" s="36">
        <f t="shared" si="4"/>
        <v>7709.76</v>
      </c>
      <c r="X74" s="36">
        <f t="shared" si="22"/>
        <v>145209.76</v>
      </c>
      <c r="Y74" s="36">
        <v>246791.30049999995</v>
      </c>
      <c r="Z74" s="36">
        <f t="shared" si="23"/>
        <v>290609.60749999993</v>
      </c>
    </row>
    <row r="75" spans="1:27" ht="20.100000000000001" customHeight="1" x14ac:dyDescent="0.3">
      <c r="A75" s="3">
        <v>7</v>
      </c>
      <c r="B75" s="155" t="s">
        <v>145</v>
      </c>
      <c r="C75" s="33" t="s">
        <v>101</v>
      </c>
      <c r="D75" s="3" t="s">
        <v>105</v>
      </c>
      <c r="E75" s="26">
        <f>25854.1</f>
        <v>25854.1</v>
      </c>
      <c r="F75" s="26">
        <f>ARREARS!V30</f>
        <v>14304</v>
      </c>
      <c r="G75" s="26">
        <f>E75*300%</f>
        <v>77562.299999999988</v>
      </c>
      <c r="H75" s="26">
        <f>E75*7.5%</f>
        <v>1939.0574999999999</v>
      </c>
      <c r="I75" s="26"/>
      <c r="J75" s="26">
        <f>E75*50%</f>
        <v>12927.05</v>
      </c>
      <c r="K75" s="26">
        <f>E75*350%</f>
        <v>90489.349999999991</v>
      </c>
      <c r="L75" s="26">
        <f>E75*100%</f>
        <v>25854.1</v>
      </c>
      <c r="M75" s="63">
        <f t="shared" si="0"/>
        <v>150000</v>
      </c>
      <c r="N75" s="63"/>
      <c r="O75" s="26">
        <f>E75*10%</f>
        <v>2585.41</v>
      </c>
      <c r="P75" s="26">
        <v>20000</v>
      </c>
      <c r="Q75" s="26"/>
      <c r="R75" s="36">
        <f>SUM(E75:Q75)</f>
        <v>421515.36749999999</v>
      </c>
      <c r="S75" s="36"/>
      <c r="T75" s="24">
        <f>50000</f>
        <v>50000</v>
      </c>
      <c r="U75" s="24"/>
      <c r="V75" s="24">
        <f>'[2]Jan 2021'!$H$53</f>
        <v>638.08625000000006</v>
      </c>
      <c r="W75" s="26">
        <v>7709.76</v>
      </c>
      <c r="X75" s="36">
        <f t="shared" si="22"/>
        <v>58347.846250000002</v>
      </c>
      <c r="Y75" s="36">
        <v>333672.76899999997</v>
      </c>
      <c r="Z75" s="36">
        <f t="shared" si="23"/>
        <v>363167.52124999999</v>
      </c>
    </row>
    <row r="76" spans="1:27" ht="21.6" customHeight="1" x14ac:dyDescent="0.3">
      <c r="A76" s="3">
        <v>8</v>
      </c>
      <c r="B76" s="62" t="s">
        <v>146</v>
      </c>
      <c r="C76" s="33" t="s">
        <v>112</v>
      </c>
      <c r="D76" s="67" t="s">
        <v>80</v>
      </c>
      <c r="E76" s="63">
        <f>23891.12</f>
        <v>23891.119999999999</v>
      </c>
      <c r="F76" s="63">
        <f>ARREARS!V31</f>
        <v>146937</v>
      </c>
      <c r="G76" s="63">
        <f>E76*300%</f>
        <v>71673.36</v>
      </c>
      <c r="H76" s="63">
        <f>E76*7.5%</f>
        <v>1791.8339999999998</v>
      </c>
      <c r="I76" s="63">
        <v>0</v>
      </c>
      <c r="J76" s="63">
        <f>E76*50%</f>
        <v>11945.56</v>
      </c>
      <c r="K76" s="36">
        <f>E76*350%</f>
        <v>83618.92</v>
      </c>
      <c r="L76" s="63">
        <f>E76*100%</f>
        <v>23891.119999999999</v>
      </c>
      <c r="M76" s="63">
        <f t="shared" si="0"/>
        <v>150000</v>
      </c>
      <c r="N76" s="63"/>
      <c r="O76" s="63">
        <f>E76*10%</f>
        <v>2389.1120000000001</v>
      </c>
      <c r="P76" s="63">
        <v>15000</v>
      </c>
      <c r="Q76" s="63">
        <v>0</v>
      </c>
      <c r="R76" s="36">
        <f>SUM(E76:Q76)</f>
        <v>531138.02600000007</v>
      </c>
      <c r="S76" s="36"/>
      <c r="T76" s="36">
        <f>50000</f>
        <v>50000</v>
      </c>
      <c r="U76" s="36"/>
      <c r="V76" s="36"/>
      <c r="W76" s="63">
        <f>7709.76+ARREARS!AJ31</f>
        <v>20730.510000000002</v>
      </c>
      <c r="X76" s="36">
        <f t="shared" si="22"/>
        <v>70730.510000000009</v>
      </c>
      <c r="Y76" s="36">
        <v>299364.53699999995</v>
      </c>
      <c r="Z76" s="36">
        <f t="shared" si="23"/>
        <v>460407.51600000006</v>
      </c>
    </row>
    <row r="77" spans="1:27" ht="20.100000000000001" customHeight="1" x14ac:dyDescent="0.6">
      <c r="A77" s="33"/>
      <c r="B77" s="101" t="s">
        <v>32</v>
      </c>
      <c r="C77" s="7">
        <v>8</v>
      </c>
      <c r="D77" s="7"/>
      <c r="E77" s="106">
        <f t="shared" ref="E77:Z77" si="24">SUM(E69:E76)</f>
        <v>226219.97</v>
      </c>
      <c r="F77" s="106">
        <f t="shared" si="24"/>
        <v>810987</v>
      </c>
      <c r="G77" s="106">
        <f t="shared" si="24"/>
        <v>678659.91</v>
      </c>
      <c r="H77" s="106">
        <f t="shared" si="24"/>
        <v>16966.497749999995</v>
      </c>
      <c r="I77" s="106">
        <f t="shared" si="24"/>
        <v>120366.57</v>
      </c>
      <c r="J77" s="106">
        <f t="shared" si="24"/>
        <v>113109.985</v>
      </c>
      <c r="K77" s="106">
        <f t="shared" si="24"/>
        <v>791769.89500000002</v>
      </c>
      <c r="L77" s="106">
        <f t="shared" si="24"/>
        <v>226219.97</v>
      </c>
      <c r="M77" s="106">
        <f t="shared" si="24"/>
        <v>1200000</v>
      </c>
      <c r="N77" s="106"/>
      <c r="O77" s="106">
        <f t="shared" si="24"/>
        <v>22621.996999999999</v>
      </c>
      <c r="P77" s="106">
        <f t="shared" si="24"/>
        <v>155000</v>
      </c>
      <c r="Q77" s="106">
        <f t="shared" si="24"/>
        <v>0</v>
      </c>
      <c r="R77" s="106">
        <f t="shared" si="24"/>
        <v>4361921.7947500004</v>
      </c>
      <c r="S77" s="106"/>
      <c r="T77" s="106">
        <f t="shared" si="24"/>
        <v>195000</v>
      </c>
      <c r="U77" s="106">
        <f t="shared" si="24"/>
        <v>400603.58999999997</v>
      </c>
      <c r="V77" s="106">
        <f t="shared" si="24"/>
        <v>1758.0962500000003</v>
      </c>
      <c r="W77" s="106">
        <f t="shared" si="24"/>
        <v>145245.96</v>
      </c>
      <c r="X77" s="106">
        <f t="shared" si="24"/>
        <v>742607.64624999999</v>
      </c>
      <c r="Y77" s="106">
        <f t="shared" si="24"/>
        <v>2644645.1315000001</v>
      </c>
      <c r="Z77" s="106">
        <f t="shared" si="24"/>
        <v>3619314.1484999992</v>
      </c>
      <c r="AA77" s="34"/>
    </row>
    <row r="78" spans="1:27" ht="20.100000000000001" customHeight="1" x14ac:dyDescent="0.3">
      <c r="A78" s="33"/>
      <c r="B78" s="101"/>
      <c r="C78" s="7"/>
      <c r="D78" s="7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4"/>
    </row>
    <row r="79" spans="1:27" ht="20.100000000000001" customHeight="1" x14ac:dyDescent="0.3">
      <c r="A79" s="33"/>
      <c r="B79" s="101" t="s">
        <v>147</v>
      </c>
      <c r="C79" s="7"/>
      <c r="D79" s="7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4"/>
    </row>
    <row r="80" spans="1:27" ht="20.100000000000001" customHeight="1" x14ac:dyDescent="0.3">
      <c r="A80" s="33">
        <v>1</v>
      </c>
      <c r="B80" s="84" t="s">
        <v>148</v>
      </c>
      <c r="C80" s="33" t="s">
        <v>149</v>
      </c>
      <c r="D80" s="3" t="s">
        <v>54</v>
      </c>
      <c r="E80" s="63">
        <f>39662.25</f>
        <v>39662.25</v>
      </c>
      <c r="F80" s="63"/>
      <c r="G80" s="63">
        <f>E80*300%</f>
        <v>118986.75</v>
      </c>
      <c r="H80" s="63">
        <f>E80*7.5%</f>
        <v>2974.6687499999998</v>
      </c>
      <c r="I80" s="63">
        <v>40122.19</v>
      </c>
      <c r="J80" s="63">
        <f>E80*50%</f>
        <v>19831.125</v>
      </c>
      <c r="K80" s="63">
        <f>E80*350%</f>
        <v>138817.875</v>
      </c>
      <c r="L80" s="63">
        <f>E80*100%</f>
        <v>39662.25</v>
      </c>
      <c r="M80" s="63">
        <v>150000</v>
      </c>
      <c r="N80" s="63"/>
      <c r="O80" s="63">
        <f>E80*10%</f>
        <v>3966.2250000000004</v>
      </c>
      <c r="P80" s="63">
        <v>20000</v>
      </c>
      <c r="Q80" s="63">
        <v>150000</v>
      </c>
      <c r="R80" s="36">
        <f>SUM(E80:Q80)</f>
        <v>724023.33374999999</v>
      </c>
      <c r="S80" s="36"/>
      <c r="T80" s="36"/>
      <c r="U80" s="36"/>
      <c r="V80" s="36">
        <f>'[2]Jan 2021'!$H$30</f>
        <v>2043.5005000000001</v>
      </c>
      <c r="W80" s="63">
        <v>15548.33</v>
      </c>
      <c r="X80" s="36">
        <f>SUM(T80:W80)</f>
        <v>17591.8305</v>
      </c>
      <c r="Y80" s="36">
        <v>651167.48499999999</v>
      </c>
      <c r="Z80" s="36">
        <f>R80-X80</f>
        <v>706431.50324999995</v>
      </c>
      <c r="AA80" s="34"/>
    </row>
    <row r="81" spans="1:27" ht="20.100000000000001" customHeight="1" x14ac:dyDescent="0.3">
      <c r="A81" s="33">
        <v>2</v>
      </c>
      <c r="B81" s="155" t="s">
        <v>150</v>
      </c>
      <c r="C81" s="20" t="s">
        <v>151</v>
      </c>
      <c r="D81" s="29" t="s">
        <v>105</v>
      </c>
      <c r="E81" s="26">
        <f>25854.1</f>
        <v>25854.1</v>
      </c>
      <c r="F81" s="63">
        <f>ARREARS!V35</f>
        <v>42912</v>
      </c>
      <c r="G81" s="26">
        <f>E81*300%</f>
        <v>77562.299999999988</v>
      </c>
      <c r="H81" s="26">
        <f>E81*7.5%</f>
        <v>1939.0574999999999</v>
      </c>
      <c r="I81" s="26"/>
      <c r="J81" s="26">
        <f>E81*50%</f>
        <v>12927.05</v>
      </c>
      <c r="K81" s="26">
        <f>E81*350%</f>
        <v>90489.349999999991</v>
      </c>
      <c r="L81" s="26">
        <f>E81*100%</f>
        <v>25854.1</v>
      </c>
      <c r="M81" s="26">
        <v>100000</v>
      </c>
      <c r="N81" s="26"/>
      <c r="O81" s="26">
        <f>E81*10%</f>
        <v>2585.41</v>
      </c>
      <c r="P81" s="26">
        <v>20000</v>
      </c>
      <c r="Q81" s="26"/>
      <c r="R81" s="36">
        <f>SUM(E81:Q81)</f>
        <v>400123.36749999993</v>
      </c>
      <c r="S81" s="36"/>
      <c r="T81" s="24"/>
      <c r="U81" s="24"/>
      <c r="V81" s="24"/>
      <c r="W81" s="36">
        <f t="shared" si="4"/>
        <v>7709.76</v>
      </c>
      <c r="X81" s="36">
        <f>SUM(T81:W81)</f>
        <v>7709.76</v>
      </c>
      <c r="Y81" s="36">
        <v>334291.30049999995</v>
      </c>
      <c r="Z81" s="36">
        <f>R81-X81</f>
        <v>392413.60749999993</v>
      </c>
      <c r="AA81" s="34"/>
    </row>
    <row r="82" spans="1:27" ht="20.100000000000001" customHeight="1" x14ac:dyDescent="0.3">
      <c r="A82" s="33">
        <v>3</v>
      </c>
      <c r="B82" s="84" t="s">
        <v>152</v>
      </c>
      <c r="C82" s="33" t="s">
        <v>153</v>
      </c>
      <c r="D82" s="67" t="s">
        <v>68</v>
      </c>
      <c r="E82" s="26">
        <f>18281.64</f>
        <v>18281.64</v>
      </c>
      <c r="F82" s="63"/>
      <c r="G82" s="63">
        <f>E82*300%</f>
        <v>54844.92</v>
      </c>
      <c r="H82" s="63">
        <f>E82*7.5%</f>
        <v>1371.1229999999998</v>
      </c>
      <c r="I82" s="63"/>
      <c r="J82" s="63">
        <f>E82*50%</f>
        <v>9140.82</v>
      </c>
      <c r="K82" s="36">
        <f>E82*350%</f>
        <v>63985.74</v>
      </c>
      <c r="L82" s="26">
        <f>E82*100%</f>
        <v>18281.64</v>
      </c>
      <c r="M82" s="63">
        <f t="shared" ref="M82" si="25">100000</f>
        <v>100000</v>
      </c>
      <c r="N82" s="63"/>
      <c r="O82" s="63">
        <f>E82*10%</f>
        <v>1828.164</v>
      </c>
      <c r="P82" s="63">
        <v>10000</v>
      </c>
      <c r="Q82" s="63"/>
      <c r="R82" s="36">
        <f>SUM(E82:Q82)</f>
        <v>277734.04699999996</v>
      </c>
      <c r="S82" s="36"/>
      <c r="T82" s="36">
        <f>5000</f>
        <v>5000</v>
      </c>
      <c r="U82" s="36">
        <f>0</f>
        <v>0</v>
      </c>
      <c r="V82" s="36"/>
      <c r="W82" s="63">
        <v>3369.51</v>
      </c>
      <c r="X82" s="36">
        <f>SUM(T82:W82)</f>
        <v>8369.51</v>
      </c>
      <c r="Y82" s="36">
        <v>264798.69</v>
      </c>
      <c r="Z82" s="36">
        <f>R82-X82</f>
        <v>269364.53699999995</v>
      </c>
      <c r="AA82" s="34"/>
    </row>
    <row r="83" spans="1:27" ht="20.100000000000001" customHeight="1" x14ac:dyDescent="0.3">
      <c r="A83" s="33">
        <v>4</v>
      </c>
      <c r="B83" s="84" t="s">
        <v>154</v>
      </c>
      <c r="C83" s="33" t="s">
        <v>153</v>
      </c>
      <c r="D83" s="67" t="s">
        <v>85</v>
      </c>
      <c r="E83" s="26">
        <f>17784</f>
        <v>17784</v>
      </c>
      <c r="F83" s="26">
        <f>0</f>
        <v>0</v>
      </c>
      <c r="G83" s="26">
        <f>E83*300%</f>
        <v>53352</v>
      </c>
      <c r="H83" s="26">
        <f>E83*7.5%</f>
        <v>1333.8</v>
      </c>
      <c r="I83" s="26"/>
      <c r="J83" s="26">
        <f>E83*50%</f>
        <v>8892</v>
      </c>
      <c r="K83" s="26">
        <f>E83*350%</f>
        <v>62244</v>
      </c>
      <c r="L83" s="26">
        <f>E83*100%</f>
        <v>17784</v>
      </c>
      <c r="M83" s="26">
        <v>100000</v>
      </c>
      <c r="N83" s="26"/>
      <c r="O83" s="26">
        <f>E83*10%</f>
        <v>1778.4</v>
      </c>
      <c r="P83" s="26">
        <v>10000</v>
      </c>
      <c r="Q83" s="26"/>
      <c r="R83" s="26">
        <f>SUM(E83:Q83)</f>
        <v>273168.2</v>
      </c>
      <c r="S83" s="26"/>
      <c r="T83" s="26">
        <f>30000</f>
        <v>30000</v>
      </c>
      <c r="U83" s="26"/>
      <c r="V83" s="26">
        <f>'[2]Jan 2021'!$H$58</f>
        <v>0</v>
      </c>
      <c r="W83" s="26">
        <v>3369.51</v>
      </c>
      <c r="X83" s="26">
        <f t="shared" ref="X83" si="26">SUM(T83:W83)</f>
        <v>33369.51</v>
      </c>
      <c r="Y83" s="26">
        <v>234787.96775000007</v>
      </c>
      <c r="Z83" s="26">
        <f>R83-X83</f>
        <v>239798.69</v>
      </c>
      <c r="AA83" s="34"/>
    </row>
    <row r="84" spans="1:27" ht="20.100000000000001" customHeight="1" x14ac:dyDescent="0.6">
      <c r="A84" s="33"/>
      <c r="B84" s="101" t="s">
        <v>32</v>
      </c>
      <c r="C84" s="7">
        <v>4</v>
      </c>
      <c r="D84" s="102"/>
      <c r="E84" s="103">
        <f t="shared" ref="E84:Z84" si="27">SUM(E80:E83)</f>
        <v>101581.98999999999</v>
      </c>
      <c r="F84" s="103">
        <f t="shared" si="27"/>
        <v>42912</v>
      </c>
      <c r="G84" s="103">
        <f t="shared" si="27"/>
        <v>304745.96999999997</v>
      </c>
      <c r="H84" s="103">
        <f t="shared" si="27"/>
        <v>7618.6492499999995</v>
      </c>
      <c r="I84" s="103">
        <f t="shared" si="27"/>
        <v>40122.19</v>
      </c>
      <c r="J84" s="103">
        <f t="shared" si="27"/>
        <v>50790.994999999995</v>
      </c>
      <c r="K84" s="103">
        <f t="shared" si="27"/>
        <v>355536.96499999997</v>
      </c>
      <c r="L84" s="103">
        <f t="shared" si="27"/>
        <v>101581.98999999999</v>
      </c>
      <c r="M84" s="103">
        <f t="shared" si="27"/>
        <v>450000</v>
      </c>
      <c r="N84" s="103"/>
      <c r="O84" s="103">
        <f t="shared" si="27"/>
        <v>10158.199000000001</v>
      </c>
      <c r="P84" s="103">
        <f t="shared" si="27"/>
        <v>60000</v>
      </c>
      <c r="Q84" s="103">
        <f t="shared" si="27"/>
        <v>150000</v>
      </c>
      <c r="R84" s="103">
        <f t="shared" si="27"/>
        <v>1675048.9482499999</v>
      </c>
      <c r="S84" s="103"/>
      <c r="T84" s="103">
        <f t="shared" si="27"/>
        <v>35000</v>
      </c>
      <c r="U84" s="103">
        <f t="shared" si="27"/>
        <v>0</v>
      </c>
      <c r="V84" s="103">
        <f t="shared" si="27"/>
        <v>2043.5005000000001</v>
      </c>
      <c r="W84" s="103">
        <f t="shared" si="27"/>
        <v>29997.11</v>
      </c>
      <c r="X84" s="103">
        <f t="shared" si="27"/>
        <v>67040.61050000001</v>
      </c>
      <c r="Y84" s="103">
        <f t="shared" si="27"/>
        <v>1485045.44325</v>
      </c>
      <c r="Z84" s="103">
        <f t="shared" si="27"/>
        <v>1608008.3377499999</v>
      </c>
      <c r="AA84" s="34"/>
    </row>
    <row r="85" spans="1:27" ht="20.100000000000001" customHeight="1" x14ac:dyDescent="0.3">
      <c r="A85" s="33"/>
      <c r="B85" s="101"/>
      <c r="C85" s="7"/>
      <c r="D85" s="102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4"/>
    </row>
    <row r="86" spans="1:27" ht="20.100000000000001" customHeight="1" x14ac:dyDescent="0.3">
      <c r="A86" s="33"/>
      <c r="B86" s="101" t="s">
        <v>155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4"/>
    </row>
    <row r="87" spans="1:27" ht="20.100000000000001" customHeight="1" x14ac:dyDescent="0.3">
      <c r="A87" s="33">
        <v>1</v>
      </c>
      <c r="B87" s="84" t="s">
        <v>156</v>
      </c>
      <c r="C87" s="62" t="s">
        <v>157</v>
      </c>
      <c r="D87" s="67" t="s">
        <v>89</v>
      </c>
      <c r="E87" s="63">
        <f>79039.64</f>
        <v>79039.64</v>
      </c>
      <c r="F87" s="63"/>
      <c r="G87" s="63">
        <f>E87*300%</f>
        <v>237118.91999999998</v>
      </c>
      <c r="H87" s="63">
        <f>E87*7.5%</f>
        <v>5927.973</v>
      </c>
      <c r="I87" s="63">
        <v>80244.38</v>
      </c>
      <c r="J87" s="63">
        <f>E87*50%</f>
        <v>39519.82</v>
      </c>
      <c r="K87" s="63">
        <f>E87*350%</f>
        <v>276638.74</v>
      </c>
      <c r="L87" s="63">
        <f>E87*100%</f>
        <v>79039.64</v>
      </c>
      <c r="M87" s="63">
        <v>150000</v>
      </c>
      <c r="N87" s="63"/>
      <c r="O87" s="63">
        <f>E87*10%</f>
        <v>7903.9639999999999</v>
      </c>
      <c r="P87" s="63">
        <v>20000</v>
      </c>
      <c r="Q87" s="63">
        <v>0</v>
      </c>
      <c r="R87" s="36">
        <f>SUM(E87:Q87)</f>
        <v>975433.07700000005</v>
      </c>
      <c r="S87" s="36"/>
      <c r="T87" s="36">
        <f>100000</f>
        <v>100000</v>
      </c>
      <c r="U87" s="36">
        <v>0</v>
      </c>
      <c r="V87" s="36">
        <v>0</v>
      </c>
      <c r="W87" s="63">
        <f>52776.63</f>
        <v>52776.63</v>
      </c>
      <c r="X87" s="36">
        <f>SUM(T87:W87)</f>
        <v>152776.63</v>
      </c>
      <c r="Y87" s="36">
        <v>797880.82750000013</v>
      </c>
      <c r="Z87" s="36">
        <f>R87-X87</f>
        <v>822656.44700000004</v>
      </c>
      <c r="AA87" s="34"/>
    </row>
    <row r="88" spans="1:27" ht="20.100000000000001" customHeight="1" x14ac:dyDescent="0.3">
      <c r="A88" s="33">
        <v>2</v>
      </c>
      <c r="B88" s="107" t="s">
        <v>158</v>
      </c>
      <c r="C88" s="33" t="s">
        <v>159</v>
      </c>
      <c r="D88" s="3" t="s">
        <v>44</v>
      </c>
      <c r="E88" s="63">
        <f>33507.5</f>
        <v>33507.5</v>
      </c>
      <c r="F88" s="63"/>
      <c r="G88" s="63">
        <f>E88*300%</f>
        <v>100522.5</v>
      </c>
      <c r="H88" s="63">
        <f>E88*7.5%</f>
        <v>2513.0625</v>
      </c>
      <c r="I88" s="63">
        <v>40122.19</v>
      </c>
      <c r="J88" s="63">
        <f>E88*50%</f>
        <v>16753.75</v>
      </c>
      <c r="K88" s="63">
        <f>E88*350%</f>
        <v>117276.25</v>
      </c>
      <c r="L88" s="63">
        <f>E88*100%</f>
        <v>33507.5</v>
      </c>
      <c r="M88" s="63">
        <v>150000</v>
      </c>
      <c r="N88" s="63"/>
      <c r="O88" s="63">
        <f>E88*10%</f>
        <v>3350.75</v>
      </c>
      <c r="P88" s="63">
        <v>20000</v>
      </c>
      <c r="Q88" s="63">
        <v>0</v>
      </c>
      <c r="R88" s="36">
        <f>SUM(E88:Q88)</f>
        <v>517553.5025</v>
      </c>
      <c r="S88" s="36"/>
      <c r="T88" s="36">
        <v>40000</v>
      </c>
      <c r="U88" s="36">
        <f>131250</f>
        <v>131250</v>
      </c>
      <c r="V88" s="36">
        <f>'[2]Jan 2021'!$H$36</f>
        <v>658.48250000000007</v>
      </c>
      <c r="W88" s="63">
        <v>15548.33</v>
      </c>
      <c r="X88" s="36">
        <f>SUM(T88:W88)</f>
        <v>187456.8125</v>
      </c>
      <c r="Y88" s="36">
        <v>329917.48499999999</v>
      </c>
      <c r="Z88" s="36">
        <f>R88-X88</f>
        <v>330096.69</v>
      </c>
      <c r="AA88" s="34"/>
    </row>
    <row r="89" spans="1:27" ht="20.100000000000001" customHeight="1" x14ac:dyDescent="0.3">
      <c r="A89" s="33">
        <v>3</v>
      </c>
      <c r="B89" s="84" t="s">
        <v>160</v>
      </c>
      <c r="C89" s="33" t="s">
        <v>161</v>
      </c>
      <c r="D89" s="3" t="s">
        <v>62</v>
      </c>
      <c r="E89" s="63">
        <f>26339.3</f>
        <v>26339.3</v>
      </c>
      <c r="F89" s="63"/>
      <c r="G89" s="63">
        <f>E89*300%</f>
        <v>79017.899999999994</v>
      </c>
      <c r="H89" s="63">
        <f>E89*7.5%</f>
        <v>1975.4474999999998</v>
      </c>
      <c r="I89" s="63">
        <v>0</v>
      </c>
      <c r="J89" s="63">
        <f>E89*50%</f>
        <v>13169.65</v>
      </c>
      <c r="K89" s="63">
        <f>E89*350%</f>
        <v>92187.55</v>
      </c>
      <c r="L89" s="63">
        <f>E89*100%</f>
        <v>26339.3</v>
      </c>
      <c r="M89" s="63">
        <v>150000</v>
      </c>
      <c r="N89" s="63"/>
      <c r="O89" s="63">
        <f>E89*10%</f>
        <v>2633.9300000000003</v>
      </c>
      <c r="P89" s="63">
        <v>15000</v>
      </c>
      <c r="Q89" s="63">
        <v>0</v>
      </c>
      <c r="R89" s="36">
        <f>SUM(E89:Q89)</f>
        <v>406663.07749999996</v>
      </c>
      <c r="S89" s="36"/>
      <c r="T89" s="36">
        <v>30000</v>
      </c>
      <c r="U89" s="36">
        <f>0</f>
        <v>0</v>
      </c>
      <c r="V89" s="36">
        <f>'[2]Jan 2021'!$H$39</f>
        <v>597.27800000000002</v>
      </c>
      <c r="W89" s="36">
        <f>7709.76</f>
        <v>7709.76</v>
      </c>
      <c r="X89" s="36">
        <f>SUM(T89:W89)</f>
        <v>38307.038</v>
      </c>
      <c r="Y89" s="36">
        <v>360829.8075</v>
      </c>
      <c r="Z89" s="36">
        <f>R89-X89</f>
        <v>368356.03949999996</v>
      </c>
      <c r="AA89" s="34"/>
    </row>
    <row r="90" spans="1:27" ht="20.100000000000001" customHeight="1" x14ac:dyDescent="0.3">
      <c r="A90" s="33">
        <v>4</v>
      </c>
      <c r="B90" s="155" t="s">
        <v>162</v>
      </c>
      <c r="C90" s="33" t="s">
        <v>161</v>
      </c>
      <c r="D90" s="29" t="s">
        <v>110</v>
      </c>
      <c r="E90" s="26">
        <f>24741.26</f>
        <v>24741.26</v>
      </c>
      <c r="F90" s="26">
        <f>ARREARS!V40</f>
        <v>557219</v>
      </c>
      <c r="G90" s="26">
        <f>E90*300%</f>
        <v>74223.78</v>
      </c>
      <c r="H90" s="26">
        <f>E90*7.5%</f>
        <v>1855.5944999999997</v>
      </c>
      <c r="I90" s="26">
        <v>0</v>
      </c>
      <c r="J90" s="26">
        <f>E90*50%</f>
        <v>12370.63</v>
      </c>
      <c r="K90" s="26">
        <f>E90*350%</f>
        <v>86594.409999999989</v>
      </c>
      <c r="L90" s="26">
        <f>E90*100%</f>
        <v>24741.26</v>
      </c>
      <c r="M90" s="63">
        <v>150000</v>
      </c>
      <c r="N90" s="63"/>
      <c r="O90" s="26">
        <f>E90*10%</f>
        <v>2474.1260000000002</v>
      </c>
      <c r="P90" s="26">
        <v>15000</v>
      </c>
      <c r="Q90" s="26"/>
      <c r="R90" s="36">
        <f>SUM(E90:Q90)</f>
        <v>949220.06050000014</v>
      </c>
      <c r="S90" s="36"/>
      <c r="T90" s="24">
        <f>50000</f>
        <v>50000</v>
      </c>
      <c r="U90" s="24">
        <f>43083.33</f>
        <v>43083.33</v>
      </c>
      <c r="V90" s="24"/>
      <c r="W90" s="24">
        <f>7709.76+ARREARS!AJ40</f>
        <v>81494.009999999995</v>
      </c>
      <c r="X90" s="36">
        <f>SUM(T90:W90)</f>
        <v>174577.34</v>
      </c>
      <c r="Y90" s="36">
        <v>254111.91</v>
      </c>
      <c r="Z90" s="36">
        <f>R90-X90</f>
        <v>774642.72050000017</v>
      </c>
      <c r="AA90" s="34"/>
    </row>
    <row r="91" spans="1:27" ht="20.100000000000001" customHeight="1" x14ac:dyDescent="0.6">
      <c r="A91" s="33"/>
      <c r="B91" s="101" t="s">
        <v>32</v>
      </c>
      <c r="C91" s="3">
        <v>4</v>
      </c>
      <c r="D91" s="33"/>
      <c r="E91" s="104">
        <f t="shared" ref="E91:Z91" si="28">SUM(E87:E90)</f>
        <v>163627.70000000001</v>
      </c>
      <c r="F91" s="104">
        <f t="shared" si="28"/>
        <v>557219</v>
      </c>
      <c r="G91" s="104">
        <f t="shared" si="28"/>
        <v>490883.1</v>
      </c>
      <c r="H91" s="104">
        <f t="shared" si="28"/>
        <v>12272.077499999999</v>
      </c>
      <c r="I91" s="104">
        <f t="shared" si="28"/>
        <v>120366.57</v>
      </c>
      <c r="J91" s="104">
        <f t="shared" si="28"/>
        <v>81813.850000000006</v>
      </c>
      <c r="K91" s="104">
        <f t="shared" si="28"/>
        <v>572696.94999999995</v>
      </c>
      <c r="L91" s="104">
        <f t="shared" si="28"/>
        <v>163627.70000000001</v>
      </c>
      <c r="M91" s="104">
        <f t="shared" si="28"/>
        <v>600000</v>
      </c>
      <c r="N91" s="104"/>
      <c r="O91" s="104">
        <f t="shared" si="28"/>
        <v>16362.77</v>
      </c>
      <c r="P91" s="104">
        <f t="shared" si="28"/>
        <v>70000</v>
      </c>
      <c r="Q91" s="104">
        <f t="shared" si="28"/>
        <v>0</v>
      </c>
      <c r="R91" s="104">
        <f t="shared" si="28"/>
        <v>2848869.7175000003</v>
      </c>
      <c r="S91" s="104"/>
      <c r="T91" s="104">
        <f t="shared" si="28"/>
        <v>220000</v>
      </c>
      <c r="U91" s="104">
        <f t="shared" si="28"/>
        <v>174333.33000000002</v>
      </c>
      <c r="V91" s="104">
        <f t="shared" si="28"/>
        <v>1255.7605000000001</v>
      </c>
      <c r="W91" s="104">
        <f t="shared" si="28"/>
        <v>157528.72999999998</v>
      </c>
      <c r="X91" s="104">
        <f t="shared" si="28"/>
        <v>553117.82050000003</v>
      </c>
      <c r="Y91" s="104">
        <f t="shared" si="28"/>
        <v>1742740.03</v>
      </c>
      <c r="Z91" s="104">
        <f t="shared" si="28"/>
        <v>2295751.8970000003</v>
      </c>
      <c r="AA91" s="34"/>
    </row>
    <row r="92" spans="1:27" ht="20.100000000000001" customHeight="1" x14ac:dyDescent="0.3">
      <c r="A92" s="33"/>
      <c r="B92" s="101"/>
      <c r="C92" s="3"/>
      <c r="D92" s="33"/>
      <c r="E92" s="13"/>
      <c r="F92" s="21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34"/>
    </row>
    <row r="93" spans="1:27" ht="20.100000000000001" customHeight="1" x14ac:dyDescent="0.3">
      <c r="A93" s="33"/>
      <c r="B93" s="101" t="s">
        <v>163</v>
      </c>
      <c r="C93" s="7"/>
      <c r="D93" s="7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4"/>
      <c r="S93" s="64"/>
      <c r="T93" s="64"/>
      <c r="U93" s="64"/>
      <c r="V93" s="64"/>
      <c r="W93" s="39"/>
      <c r="X93" s="36"/>
      <c r="Y93" s="36"/>
      <c r="Z93" s="36"/>
    </row>
    <row r="94" spans="1:27" ht="20.100000000000001" customHeight="1" x14ac:dyDescent="0.3">
      <c r="A94" s="33">
        <v>1</v>
      </c>
      <c r="B94" s="62" t="s">
        <v>164</v>
      </c>
      <c r="C94" s="62" t="s">
        <v>165</v>
      </c>
      <c r="D94" s="67" t="s">
        <v>41</v>
      </c>
      <c r="E94" s="63">
        <f>81740.02</f>
        <v>81740.02</v>
      </c>
      <c r="F94" s="63"/>
      <c r="G94" s="63">
        <f>E94*300%</f>
        <v>245220.06</v>
      </c>
      <c r="H94" s="63">
        <f>E94*7.5%</f>
        <v>6130.5015000000003</v>
      </c>
      <c r="I94" s="63">
        <f>80244.38</f>
        <v>80244.38</v>
      </c>
      <c r="J94" s="63">
        <f>E94*50%</f>
        <v>40870.01</v>
      </c>
      <c r="K94" s="63">
        <f>E94*350%</f>
        <v>286090.07</v>
      </c>
      <c r="L94" s="63">
        <f>E94*100%</f>
        <v>81740.02</v>
      </c>
      <c r="M94" s="63">
        <f>100000</f>
        <v>100000</v>
      </c>
      <c r="N94" s="63"/>
      <c r="O94" s="63">
        <f>E94*10%</f>
        <v>8174.0020000000004</v>
      </c>
      <c r="P94" s="63">
        <v>20000</v>
      </c>
      <c r="Q94" s="63">
        <v>100000</v>
      </c>
      <c r="R94" s="36">
        <f>SUM(E94:Q94)</f>
        <v>1050209.0635000002</v>
      </c>
      <c r="S94" s="36"/>
      <c r="T94" s="36">
        <f>200000</f>
        <v>200000</v>
      </c>
      <c r="U94" s="36">
        <f>227777.78</f>
        <v>227777.78</v>
      </c>
      <c r="V94" s="36">
        <f>'[2]Jan 2021'!$H$24</f>
        <v>712.24525000000006</v>
      </c>
      <c r="W94" s="63">
        <f>52776.63</f>
        <v>52776.63</v>
      </c>
      <c r="X94" s="36">
        <f t="shared" ref="X94:X102" si="29">SUM(T94:W94)</f>
        <v>481266.65525000001</v>
      </c>
      <c r="Y94" s="36">
        <v>542902.67599999998</v>
      </c>
      <c r="Z94" s="36">
        <f t="shared" ref="Z94:Z103" si="30">R94-X94</f>
        <v>568942.40825000009</v>
      </c>
    </row>
    <row r="95" spans="1:27" ht="20.100000000000001" customHeight="1" x14ac:dyDescent="0.3">
      <c r="A95" s="33">
        <v>2</v>
      </c>
      <c r="B95" s="62" t="s">
        <v>166</v>
      </c>
      <c r="C95" s="62" t="s">
        <v>167</v>
      </c>
      <c r="D95" s="67" t="s">
        <v>51</v>
      </c>
      <c r="E95" s="63">
        <f>42653.17</f>
        <v>42653.17</v>
      </c>
      <c r="F95" s="63"/>
      <c r="G95" s="63">
        <f>E95*300%</f>
        <v>127959.51</v>
      </c>
      <c r="H95" s="63">
        <f>E95*7.5%</f>
        <v>3198.9877499999998</v>
      </c>
      <c r="I95" s="63">
        <v>40122.19</v>
      </c>
      <c r="J95" s="63">
        <f>E95*50%</f>
        <v>21326.584999999999</v>
      </c>
      <c r="K95" s="63">
        <f>E95*350%</f>
        <v>149286.095</v>
      </c>
      <c r="L95" s="63">
        <f>E95*100%</f>
        <v>42653.17</v>
      </c>
      <c r="M95" s="63">
        <f t="shared" ref="M95:M115" si="31">100000</f>
        <v>100000</v>
      </c>
      <c r="N95" s="63"/>
      <c r="O95" s="63">
        <f>E95*10%</f>
        <v>4265.317</v>
      </c>
      <c r="P95" s="63">
        <v>20000</v>
      </c>
      <c r="Q95" s="63">
        <f>100000</f>
        <v>100000</v>
      </c>
      <c r="R95" s="36">
        <f>SUM(E95:Q95)</f>
        <v>651465.0247500001</v>
      </c>
      <c r="S95" s="36"/>
      <c r="T95" s="36">
        <f>100000</f>
        <v>100000</v>
      </c>
      <c r="U95" s="36">
        <f>0</f>
        <v>0</v>
      </c>
      <c r="V95" s="36"/>
      <c r="W95" s="63">
        <f>21618.09</f>
        <v>21618.09</v>
      </c>
      <c r="X95" s="36">
        <f t="shared" si="29"/>
        <v>121618.09</v>
      </c>
      <c r="Y95" s="36">
        <v>516125.90575000003</v>
      </c>
      <c r="Z95" s="36">
        <f t="shared" si="30"/>
        <v>529846.93475000013</v>
      </c>
    </row>
    <row r="96" spans="1:27" ht="20.100000000000001" customHeight="1" x14ac:dyDescent="0.3">
      <c r="A96" s="33">
        <v>3</v>
      </c>
      <c r="B96" s="62" t="s">
        <v>168</v>
      </c>
      <c r="C96" s="62" t="s">
        <v>169</v>
      </c>
      <c r="D96" s="67" t="s">
        <v>44</v>
      </c>
      <c r="E96" s="26">
        <f>33507.5</f>
        <v>33507.5</v>
      </c>
      <c r="F96" s="63"/>
      <c r="G96" s="63">
        <f>E96*300%</f>
        <v>100522.5</v>
      </c>
      <c r="H96" s="63">
        <f>E96*7.5%</f>
        <v>2513.0625</v>
      </c>
      <c r="I96" s="63">
        <v>40122.19</v>
      </c>
      <c r="J96" s="63">
        <f>E96*50%</f>
        <v>16753.75</v>
      </c>
      <c r="K96" s="36">
        <f>E96*350%</f>
        <v>117276.25</v>
      </c>
      <c r="L96" s="63">
        <f>E96*100%</f>
        <v>33507.5</v>
      </c>
      <c r="M96" s="63">
        <f t="shared" si="31"/>
        <v>100000</v>
      </c>
      <c r="N96" s="63"/>
      <c r="O96" s="63">
        <f>E96*10%</f>
        <v>3350.75</v>
      </c>
      <c r="P96" s="63">
        <v>20000</v>
      </c>
      <c r="Q96" s="63">
        <v>0</v>
      </c>
      <c r="R96" s="36">
        <f>SUM(E96:Q96)</f>
        <v>467553.5025</v>
      </c>
      <c r="S96" s="36"/>
      <c r="T96" s="36">
        <f>70000</f>
        <v>70000</v>
      </c>
      <c r="U96" s="36">
        <f>129166.67</f>
        <v>129166.67</v>
      </c>
      <c r="V96" s="36">
        <f>'[2]Jan 2021'!$H$23</f>
        <v>1975.991</v>
      </c>
      <c r="W96" s="63">
        <v>15548.33</v>
      </c>
      <c r="X96" s="36">
        <f t="shared" si="29"/>
        <v>216690.99099999998</v>
      </c>
      <c r="Y96" s="36">
        <v>240615.47000000009</v>
      </c>
      <c r="Z96" s="36">
        <f t="shared" si="30"/>
        <v>250862.51150000002</v>
      </c>
    </row>
    <row r="97" spans="1:27" ht="20.100000000000001" customHeight="1" x14ac:dyDescent="0.3">
      <c r="A97" s="33">
        <v>4</v>
      </c>
      <c r="B97" s="62" t="s">
        <v>170</v>
      </c>
      <c r="C97" s="62" t="s">
        <v>171</v>
      </c>
      <c r="D97" s="67" t="s">
        <v>138</v>
      </c>
      <c r="E97" s="63">
        <f>32263.2</f>
        <v>32263.200000000001</v>
      </c>
      <c r="F97" s="63">
        <f>ARREARS!V43</f>
        <v>1146516</v>
      </c>
      <c r="G97" s="63">
        <f>E97*300%</f>
        <v>96789.6</v>
      </c>
      <c r="H97" s="63">
        <f>E97*7.5%</f>
        <v>2419.7399999999998</v>
      </c>
      <c r="I97" s="63">
        <f>40122.19</f>
        <v>40122.19</v>
      </c>
      <c r="J97" s="63">
        <f>E97*50%</f>
        <v>16131.6</v>
      </c>
      <c r="K97" s="36">
        <f>E97*350%</f>
        <v>112921.2</v>
      </c>
      <c r="L97" s="63">
        <f>E97*100%</f>
        <v>32263.200000000001</v>
      </c>
      <c r="M97" s="63">
        <f t="shared" si="31"/>
        <v>100000</v>
      </c>
      <c r="N97" s="63"/>
      <c r="O97" s="63">
        <f>E97*10%</f>
        <v>3226.32</v>
      </c>
      <c r="P97" s="63">
        <v>20000</v>
      </c>
      <c r="Q97" s="63">
        <v>0</v>
      </c>
      <c r="R97" s="36">
        <f>SUM(E97:Q97)</f>
        <v>1602653.05</v>
      </c>
      <c r="S97" s="36"/>
      <c r="T97" s="36">
        <f>50000</f>
        <v>50000</v>
      </c>
      <c r="U97" s="36">
        <f>90000</f>
        <v>90000</v>
      </c>
      <c r="V97" s="36">
        <f>'[2]Jan 2021'!$H$32</f>
        <v>837.6875</v>
      </c>
      <c r="W97" s="63">
        <f>15548.33+ARREARS!AJ43</f>
        <v>109611.17</v>
      </c>
      <c r="X97" s="36">
        <f t="shared" si="29"/>
        <v>250448.85749999998</v>
      </c>
      <c r="Y97" s="36">
        <v>200829.8075</v>
      </c>
      <c r="Z97" s="36">
        <f t="shared" si="30"/>
        <v>1352204.1925000001</v>
      </c>
    </row>
    <row r="98" spans="1:27" ht="20.100000000000001" customHeight="1" x14ac:dyDescent="0.3">
      <c r="A98" s="33">
        <v>5</v>
      </c>
      <c r="B98" s="77" t="s">
        <v>172</v>
      </c>
      <c r="C98" s="33" t="s">
        <v>173</v>
      </c>
      <c r="D98" s="67" t="s">
        <v>138</v>
      </c>
      <c r="E98" s="63">
        <f>32263.2</f>
        <v>32263.200000000001</v>
      </c>
      <c r="F98" s="63">
        <f>ARREARS!V44</f>
        <v>1146516</v>
      </c>
      <c r="G98" s="63">
        <f>E98*300%</f>
        <v>96789.6</v>
      </c>
      <c r="H98" s="63">
        <f>E98*7.5%</f>
        <v>2419.7399999999998</v>
      </c>
      <c r="I98" s="63">
        <f>40122.19</f>
        <v>40122.19</v>
      </c>
      <c r="J98" s="63">
        <f>E98*50%</f>
        <v>16131.6</v>
      </c>
      <c r="K98" s="36">
        <f>E98*350%</f>
        <v>112921.2</v>
      </c>
      <c r="L98" s="63">
        <f>E98*100%</f>
        <v>32263.200000000001</v>
      </c>
      <c r="M98" s="63">
        <f t="shared" si="31"/>
        <v>100000</v>
      </c>
      <c r="N98" s="63"/>
      <c r="O98" s="63">
        <f>E98*10%</f>
        <v>3226.32</v>
      </c>
      <c r="P98" s="63">
        <v>20000</v>
      </c>
      <c r="Q98" s="63">
        <f>100000</f>
        <v>100000</v>
      </c>
      <c r="R98" s="36">
        <f>SUM(E98:Q98)</f>
        <v>1702653.05</v>
      </c>
      <c r="S98" s="36"/>
      <c r="T98" s="36">
        <f>100000</f>
        <v>100000</v>
      </c>
      <c r="U98" s="36">
        <f>100000</f>
        <v>100000</v>
      </c>
      <c r="V98" s="36">
        <f>'[2]Jan 2021'!$H$25</f>
        <v>597.27800000000002</v>
      </c>
      <c r="W98" s="36">
        <f>15548.33+ARREARS!AJ44</f>
        <v>109611.17</v>
      </c>
      <c r="X98" s="36">
        <f t="shared" si="29"/>
        <v>310208.44799999997</v>
      </c>
      <c r="Y98" s="36">
        <v>310829.8075</v>
      </c>
      <c r="Z98" s="36">
        <f t="shared" si="30"/>
        <v>1392444.602</v>
      </c>
    </row>
    <row r="99" spans="1:27" ht="20.100000000000001" customHeight="1" x14ac:dyDescent="0.3">
      <c r="A99" s="33">
        <v>6</v>
      </c>
      <c r="B99" s="160" t="s">
        <v>174</v>
      </c>
      <c r="C99" s="62" t="s">
        <v>175</v>
      </c>
      <c r="D99" s="67" t="s">
        <v>110</v>
      </c>
      <c r="E99" s="63">
        <f>24741.26</f>
        <v>24741.26</v>
      </c>
      <c r="F99" s="63">
        <v>0</v>
      </c>
      <c r="G99" s="63">
        <f>E99*300%</f>
        <v>74223.78</v>
      </c>
      <c r="H99" s="63">
        <f>E99*7.5%</f>
        <v>1855.5944999999997</v>
      </c>
      <c r="I99" s="63">
        <v>0</v>
      </c>
      <c r="J99" s="63">
        <f>E99*50%</f>
        <v>12370.63</v>
      </c>
      <c r="K99" s="36">
        <f>E99*350%</f>
        <v>86594.409999999989</v>
      </c>
      <c r="L99" s="63">
        <f>E99*100%</f>
        <v>24741.26</v>
      </c>
      <c r="M99" s="63">
        <f t="shared" si="31"/>
        <v>100000</v>
      </c>
      <c r="N99" s="63"/>
      <c r="O99" s="63">
        <f>E99*10%</f>
        <v>2474.1260000000002</v>
      </c>
      <c r="P99" s="63">
        <v>15000</v>
      </c>
      <c r="Q99" s="63">
        <v>0</v>
      </c>
      <c r="R99" s="36">
        <f>SUM(E99:Q99)</f>
        <v>342001.06049999996</v>
      </c>
      <c r="S99" s="36"/>
      <c r="T99" s="36">
        <f>30000</f>
        <v>30000</v>
      </c>
      <c r="U99" s="36">
        <f>75000</f>
        <v>75000</v>
      </c>
      <c r="V99" s="36"/>
      <c r="W99" s="63">
        <f>7709.76</f>
        <v>7709.76</v>
      </c>
      <c r="X99" s="36">
        <f t="shared" si="29"/>
        <v>112709.75999999999</v>
      </c>
      <c r="Y99" s="36">
        <v>226491.266</v>
      </c>
      <c r="Z99" s="36">
        <f t="shared" si="30"/>
        <v>229291.30049999995</v>
      </c>
    </row>
    <row r="100" spans="1:27" ht="20.100000000000001" customHeight="1" x14ac:dyDescent="0.3">
      <c r="A100" s="33">
        <v>7</v>
      </c>
      <c r="B100" s="62" t="s">
        <v>176</v>
      </c>
      <c r="C100" s="62" t="s">
        <v>177</v>
      </c>
      <c r="D100" s="67" t="s">
        <v>80</v>
      </c>
      <c r="E100" s="63">
        <f>23891.12</f>
        <v>23891.119999999999</v>
      </c>
      <c r="F100" s="63">
        <f>ARREARS!V45</f>
        <v>532956</v>
      </c>
      <c r="G100" s="63">
        <f>E100*300%</f>
        <v>71673.36</v>
      </c>
      <c r="H100" s="63">
        <f>E100*7.5%</f>
        <v>1791.8339999999998</v>
      </c>
      <c r="I100" s="63"/>
      <c r="J100" s="63">
        <f>E100*50%</f>
        <v>11945.56</v>
      </c>
      <c r="K100" s="36">
        <f>E100*350%</f>
        <v>83618.92</v>
      </c>
      <c r="L100" s="63">
        <f>E100*100%</f>
        <v>23891.119999999999</v>
      </c>
      <c r="M100" s="63">
        <f t="shared" si="31"/>
        <v>100000</v>
      </c>
      <c r="N100" s="63"/>
      <c r="O100" s="63">
        <f>E100*10%</f>
        <v>2389.1120000000001</v>
      </c>
      <c r="P100" s="63">
        <v>15000</v>
      </c>
      <c r="Q100" s="63">
        <f>30000</f>
        <v>30000</v>
      </c>
      <c r="R100" s="36">
        <f>SUM(E100:Q100)</f>
        <v>897157.02600000007</v>
      </c>
      <c r="S100" s="36"/>
      <c r="T100" s="36">
        <f>70000+70000</f>
        <v>140000</v>
      </c>
      <c r="U100" s="36">
        <f>45833.33</f>
        <v>45833.33</v>
      </c>
      <c r="V100" s="36">
        <f>'[2]Jan 2021'!$H$54</f>
        <v>218.26975000000004</v>
      </c>
      <c r="W100" s="63">
        <f>7709.76+ARREARS!AJ46</f>
        <v>59792.76</v>
      </c>
      <c r="X100" s="36">
        <f t="shared" si="29"/>
        <v>245844.35975000003</v>
      </c>
      <c r="Y100" s="36">
        <v>132627.75499999992</v>
      </c>
      <c r="Z100" s="36">
        <f t="shared" si="30"/>
        <v>651312.66625000001</v>
      </c>
    </row>
    <row r="101" spans="1:27" ht="20.100000000000001" customHeight="1" x14ac:dyDescent="0.3">
      <c r="A101" s="33">
        <v>8</v>
      </c>
      <c r="B101" s="62" t="s">
        <v>178</v>
      </c>
      <c r="C101" s="62" t="s">
        <v>177</v>
      </c>
      <c r="D101" s="67" t="s">
        <v>80</v>
      </c>
      <c r="E101" s="63">
        <f>23891.12</f>
        <v>23891.119999999999</v>
      </c>
      <c r="F101" s="63">
        <f>ARREARS!V46</f>
        <v>532956</v>
      </c>
      <c r="G101" s="63">
        <f>E101*300%</f>
        <v>71673.36</v>
      </c>
      <c r="H101" s="63">
        <f>E101*7.5%</f>
        <v>1791.8339999999998</v>
      </c>
      <c r="I101" s="63"/>
      <c r="J101" s="63">
        <f>E101*50%</f>
        <v>11945.56</v>
      </c>
      <c r="K101" s="36">
        <f>E101*350%</f>
        <v>83618.92</v>
      </c>
      <c r="L101" s="63">
        <f>E101*100%</f>
        <v>23891.119999999999</v>
      </c>
      <c r="M101" s="63">
        <f t="shared" si="31"/>
        <v>100000</v>
      </c>
      <c r="N101" s="63"/>
      <c r="O101" s="63">
        <f>E101*10%</f>
        <v>2389.1120000000001</v>
      </c>
      <c r="P101" s="63">
        <v>15000</v>
      </c>
      <c r="Q101" s="63"/>
      <c r="R101" s="36">
        <f>SUM(E101:Q101)</f>
        <v>867157.02600000007</v>
      </c>
      <c r="S101" s="36"/>
      <c r="T101" s="36">
        <f>70000+40000</f>
        <v>110000</v>
      </c>
      <c r="U101" s="36">
        <f>95555.56</f>
        <v>95555.56</v>
      </c>
      <c r="V101" s="36">
        <f>'[2]Jan 2021'!$H$28</f>
        <v>658.48250000000007</v>
      </c>
      <c r="W101" s="63">
        <f>7709.76+ARREARS!AJ46</f>
        <v>59792.76</v>
      </c>
      <c r="X101" s="36">
        <f t="shared" si="29"/>
        <v>266006.80249999999</v>
      </c>
      <c r="Y101" s="36">
        <v>112905.52499999994</v>
      </c>
      <c r="Z101" s="36">
        <f t="shared" si="30"/>
        <v>601150.22350000008</v>
      </c>
    </row>
    <row r="102" spans="1:27" ht="20.100000000000001" customHeight="1" x14ac:dyDescent="0.3">
      <c r="A102" s="33">
        <v>9</v>
      </c>
      <c r="B102" s="84" t="s">
        <v>179</v>
      </c>
      <c r="C102" s="62" t="s">
        <v>180</v>
      </c>
      <c r="D102" s="67" t="s">
        <v>181</v>
      </c>
      <c r="E102" s="68">
        <f>13112.16</f>
        <v>13112.16</v>
      </c>
      <c r="F102" s="63"/>
      <c r="G102" s="63">
        <f>E102*300%</f>
        <v>39336.479999999996</v>
      </c>
      <c r="H102" s="63">
        <f>E102*7.5%</f>
        <v>983.41199999999992</v>
      </c>
      <c r="I102" s="63"/>
      <c r="J102" s="63">
        <f>E102*50%</f>
        <v>6556.08</v>
      </c>
      <c r="K102" s="36">
        <f>E102*350%</f>
        <v>45892.56</v>
      </c>
      <c r="L102" s="63">
        <f>E102*100%</f>
        <v>13112.16</v>
      </c>
      <c r="M102" s="63">
        <f t="shared" si="31"/>
        <v>100000</v>
      </c>
      <c r="N102" s="63"/>
      <c r="O102" s="63">
        <f>E102*10%</f>
        <v>1311.2160000000001</v>
      </c>
      <c r="P102" s="63">
        <v>10000</v>
      </c>
      <c r="Q102" s="63"/>
      <c r="R102" s="36">
        <f>SUM(E102:Q102)</f>
        <v>230304.068</v>
      </c>
      <c r="S102" s="36"/>
      <c r="T102" s="36">
        <f>10000</f>
        <v>10000</v>
      </c>
      <c r="U102" s="36"/>
      <c r="V102" s="36"/>
      <c r="W102" s="63">
        <v>1484.37</v>
      </c>
      <c r="X102" s="36">
        <f t="shared" si="29"/>
        <v>11484.369999999999</v>
      </c>
      <c r="Y102" s="36">
        <v>215331.73</v>
      </c>
      <c r="Z102" s="36">
        <f t="shared" si="30"/>
        <v>218819.698</v>
      </c>
    </row>
    <row r="103" spans="1:27" ht="20.100000000000001" customHeight="1" x14ac:dyDescent="0.3">
      <c r="A103" s="33">
        <v>10</v>
      </c>
      <c r="B103" s="84" t="s">
        <v>182</v>
      </c>
      <c r="C103" s="62" t="s">
        <v>180</v>
      </c>
      <c r="D103" s="67" t="s">
        <v>183</v>
      </c>
      <c r="E103" s="68">
        <f>12732</f>
        <v>12732</v>
      </c>
      <c r="F103" s="63">
        <f>0</f>
        <v>0</v>
      </c>
      <c r="G103" s="63">
        <f>E103*300%</f>
        <v>38196</v>
      </c>
      <c r="H103" s="63">
        <f>E103*7.5%</f>
        <v>954.9</v>
      </c>
      <c r="I103" s="63"/>
      <c r="J103" s="63">
        <f>E103*50%</f>
        <v>6366</v>
      </c>
      <c r="K103" s="36">
        <f>E103*350%</f>
        <v>44562</v>
      </c>
      <c r="L103" s="63">
        <f>E103*100%</f>
        <v>12732</v>
      </c>
      <c r="M103" s="43">
        <f>100000</f>
        <v>100000</v>
      </c>
      <c r="N103" s="43"/>
      <c r="O103" s="63">
        <f>E103*10%</f>
        <v>1273.2</v>
      </c>
      <c r="P103" s="63">
        <v>10000</v>
      </c>
      <c r="R103" s="63">
        <f>SUM(E103:Q103)</f>
        <v>226816.1</v>
      </c>
      <c r="S103" s="63"/>
      <c r="T103" s="36">
        <f>20000</f>
        <v>20000</v>
      </c>
      <c r="U103" s="36"/>
      <c r="V103" s="36"/>
      <c r="W103" s="63">
        <f>(1484.37)</f>
        <v>1484.37</v>
      </c>
      <c r="X103" s="110">
        <f>T103+U103+V103+W103</f>
        <v>21484.37</v>
      </c>
      <c r="Y103" s="36">
        <v>201844.6795</v>
      </c>
      <c r="Z103" s="36">
        <f t="shared" si="30"/>
        <v>205331.73</v>
      </c>
      <c r="AA103" s="36"/>
    </row>
    <row r="104" spans="1:27" ht="20.100000000000001" customHeight="1" x14ac:dyDescent="0.6">
      <c r="A104" s="33"/>
      <c r="B104" s="101" t="s">
        <v>32</v>
      </c>
      <c r="C104" s="102" t="s">
        <v>184</v>
      </c>
      <c r="D104" s="67"/>
      <c r="E104" s="39">
        <f t="shared" ref="E104:Z104" si="32">SUM(E94:E103)</f>
        <v>320794.75</v>
      </c>
      <c r="F104" s="39">
        <f t="shared" si="32"/>
        <v>3358944</v>
      </c>
      <c r="G104" s="39">
        <f t="shared" si="32"/>
        <v>962384.25</v>
      </c>
      <c r="H104" s="39">
        <f t="shared" si="32"/>
        <v>24059.606250000001</v>
      </c>
      <c r="I104" s="39">
        <f t="shared" si="32"/>
        <v>240733.14</v>
      </c>
      <c r="J104" s="39">
        <f t="shared" si="32"/>
        <v>160397.375</v>
      </c>
      <c r="K104" s="64">
        <f t="shared" si="32"/>
        <v>1122781.625</v>
      </c>
      <c r="L104" s="39">
        <f t="shared" si="32"/>
        <v>320794.75</v>
      </c>
      <c r="M104" s="106">
        <f t="shared" si="32"/>
        <v>1000000</v>
      </c>
      <c r="N104" s="106"/>
      <c r="O104" s="39">
        <f t="shared" si="32"/>
        <v>32079.475000000002</v>
      </c>
      <c r="P104" s="39">
        <f t="shared" si="32"/>
        <v>165000</v>
      </c>
      <c r="Q104" s="39">
        <f t="shared" si="32"/>
        <v>330000</v>
      </c>
      <c r="R104" s="64">
        <f t="shared" si="32"/>
        <v>8037968.9712499995</v>
      </c>
      <c r="S104" s="64"/>
      <c r="T104" s="64">
        <f t="shared" si="32"/>
        <v>830000</v>
      </c>
      <c r="U104" s="64">
        <f t="shared" si="32"/>
        <v>763333.33999999985</v>
      </c>
      <c r="V104" s="64">
        <f t="shared" si="32"/>
        <v>4999.9540000000006</v>
      </c>
      <c r="W104" s="39">
        <f t="shared" si="32"/>
        <v>439429.41000000003</v>
      </c>
      <c r="X104" s="64">
        <f t="shared" si="32"/>
        <v>2037762.7040000001</v>
      </c>
      <c r="Y104" s="64">
        <f t="shared" si="32"/>
        <v>2700504.6222500005</v>
      </c>
      <c r="Z104" s="64">
        <f t="shared" si="32"/>
        <v>6000206.2672500005</v>
      </c>
    </row>
    <row r="105" spans="1:27" ht="20.100000000000001" customHeight="1" x14ac:dyDescent="0.3">
      <c r="A105" s="33"/>
      <c r="B105" s="101"/>
      <c r="C105" s="102"/>
      <c r="D105" s="67"/>
      <c r="E105" s="39"/>
      <c r="F105" s="39"/>
      <c r="G105" s="39"/>
      <c r="H105" s="39"/>
      <c r="I105" s="39"/>
      <c r="J105" s="39"/>
      <c r="K105" s="64"/>
      <c r="L105" s="39"/>
      <c r="M105" s="39"/>
      <c r="N105" s="39"/>
      <c r="O105" s="39"/>
      <c r="P105" s="39"/>
      <c r="Q105" s="39"/>
      <c r="R105" s="64"/>
      <c r="S105" s="64"/>
      <c r="T105" s="64"/>
      <c r="U105" s="64"/>
      <c r="V105" s="64"/>
      <c r="W105" s="39"/>
      <c r="X105" s="64"/>
      <c r="Y105" s="64"/>
      <c r="Z105" s="64"/>
    </row>
    <row r="106" spans="1:27" ht="20.100000000000001" customHeight="1" x14ac:dyDescent="0.3">
      <c r="A106" s="33"/>
      <c r="B106" s="101" t="s">
        <v>185</v>
      </c>
      <c r="C106" s="62"/>
      <c r="D106" s="67"/>
      <c r="E106" s="63"/>
      <c r="F106" s="63"/>
      <c r="G106" s="63"/>
      <c r="H106" s="63"/>
      <c r="I106" s="63"/>
      <c r="J106" s="63"/>
      <c r="K106" s="36"/>
      <c r="L106" s="63"/>
      <c r="M106" s="63"/>
      <c r="N106" s="63"/>
      <c r="O106" s="63"/>
      <c r="P106" s="63"/>
      <c r="Q106" s="63"/>
      <c r="R106" s="36"/>
      <c r="S106" s="36"/>
      <c r="T106" s="36"/>
      <c r="U106" s="36"/>
      <c r="V106" s="36"/>
      <c r="W106" s="63"/>
      <c r="X106" s="36"/>
      <c r="Y106" s="36"/>
      <c r="Z106" s="36"/>
    </row>
    <row r="107" spans="1:27" ht="20.100000000000001" customHeight="1" x14ac:dyDescent="0.3">
      <c r="A107" s="33">
        <v>1</v>
      </c>
      <c r="B107" s="62" t="s">
        <v>186</v>
      </c>
      <c r="C107" s="62" t="s">
        <v>187</v>
      </c>
      <c r="D107" s="67" t="s">
        <v>41</v>
      </c>
      <c r="E107" s="63">
        <v>81740.02</v>
      </c>
      <c r="F107" s="63">
        <v>0</v>
      </c>
      <c r="G107" s="63">
        <f>E107*300%</f>
        <v>245220.06</v>
      </c>
      <c r="H107" s="63">
        <f>E107*7.5%</f>
        <v>6130.5015000000003</v>
      </c>
      <c r="I107" s="63">
        <v>80244.38</v>
      </c>
      <c r="J107" s="63">
        <f>E107*50%</f>
        <v>40870.01</v>
      </c>
      <c r="K107" s="63">
        <f>E107*350%</f>
        <v>286090.07</v>
      </c>
      <c r="L107" s="63">
        <f>E107*100%</f>
        <v>81740.02</v>
      </c>
      <c r="M107" s="63">
        <f>100000</f>
        <v>100000</v>
      </c>
      <c r="N107" s="63"/>
      <c r="O107" s="63">
        <f>E107*10%</f>
        <v>8174.0020000000004</v>
      </c>
      <c r="P107" s="63">
        <v>20000</v>
      </c>
      <c r="Q107" s="63">
        <v>0</v>
      </c>
      <c r="R107" s="36">
        <f>SUM(E107:Q107)</f>
        <v>950209.06350000005</v>
      </c>
      <c r="S107" s="36"/>
      <c r="T107" s="36">
        <v>50000</v>
      </c>
      <c r="U107" s="36">
        <f>322916.66</f>
        <v>322916.65999999997</v>
      </c>
      <c r="V107" s="36">
        <f>2043.5</f>
        <v>2043.5</v>
      </c>
      <c r="W107" s="63">
        <v>52776.63</v>
      </c>
      <c r="X107" s="36">
        <f>SUM(T107:W107)</f>
        <v>427736.79</v>
      </c>
      <c r="Y107" s="36">
        <v>522472.27350000007</v>
      </c>
      <c r="Z107" s="36">
        <f t="shared" ref="Z107:Z140" si="33">R107-X107</f>
        <v>522472.27350000007</v>
      </c>
    </row>
    <row r="108" spans="1:27" ht="20.100000000000001" customHeight="1" x14ac:dyDescent="0.3">
      <c r="A108" s="33">
        <v>2</v>
      </c>
      <c r="B108" s="62" t="s">
        <v>188</v>
      </c>
      <c r="C108" s="62" t="s">
        <v>189</v>
      </c>
      <c r="D108" s="67" t="s">
        <v>41</v>
      </c>
      <c r="E108" s="63">
        <f>81740.02</f>
        <v>81740.02</v>
      </c>
      <c r="F108" s="63"/>
      <c r="G108" s="63">
        <f>E108*300%</f>
        <v>245220.06</v>
      </c>
      <c r="H108" s="63">
        <f>E108*7.5%</f>
        <v>6130.5015000000003</v>
      </c>
      <c r="I108" s="63">
        <f>80244.38</f>
        <v>80244.38</v>
      </c>
      <c r="J108" s="63">
        <f>E108*50%</f>
        <v>40870.01</v>
      </c>
      <c r="K108" s="63">
        <f>E108*350%</f>
        <v>286090.07</v>
      </c>
      <c r="L108" s="63">
        <f>E108*100%</f>
        <v>81740.02</v>
      </c>
      <c r="M108" s="63">
        <f t="shared" ref="M108:M129" si="34">100000</f>
        <v>100000</v>
      </c>
      <c r="N108" s="63"/>
      <c r="O108" s="63">
        <f>E108*10%</f>
        <v>8174.0020000000004</v>
      </c>
      <c r="P108" s="63">
        <v>20000</v>
      </c>
      <c r="Q108" s="63">
        <v>0</v>
      </c>
      <c r="R108" s="36">
        <f>SUM(E108:Q108)</f>
        <v>950209.06350000005</v>
      </c>
      <c r="S108" s="36"/>
      <c r="T108" s="36">
        <f>100000</f>
        <v>100000</v>
      </c>
      <c r="U108" s="36"/>
      <c r="V108" s="36"/>
      <c r="W108" s="63">
        <f>52776.63</f>
        <v>52776.63</v>
      </c>
      <c r="X108" s="36">
        <f t="shared" ref="X108:X157" si="35">SUM(T108:W108)</f>
        <v>152776.63</v>
      </c>
      <c r="Y108" s="36">
        <v>772656.44700000004</v>
      </c>
      <c r="Z108" s="36">
        <f t="shared" si="33"/>
        <v>797432.43350000004</v>
      </c>
    </row>
    <row r="109" spans="1:27" ht="20.100000000000001" customHeight="1" x14ac:dyDescent="0.3">
      <c r="A109" s="33">
        <v>3</v>
      </c>
      <c r="B109" s="160" t="s">
        <v>190</v>
      </c>
      <c r="C109" s="62" t="s">
        <v>191</v>
      </c>
      <c r="D109" s="67" t="s">
        <v>51</v>
      </c>
      <c r="E109" s="63">
        <f>42653.17</f>
        <v>42653.17</v>
      </c>
      <c r="F109" s="63"/>
      <c r="G109" s="63">
        <f>E109*300%</f>
        <v>127959.51</v>
      </c>
      <c r="H109" s="63">
        <f>E109*7.5%</f>
        <v>3198.9877499999998</v>
      </c>
      <c r="I109" s="63">
        <v>40122.19</v>
      </c>
      <c r="J109" s="63">
        <f>E109*50%</f>
        <v>21326.584999999999</v>
      </c>
      <c r="K109" s="63">
        <f>E109*350%</f>
        <v>149286.095</v>
      </c>
      <c r="L109" s="63">
        <f>E109*100%</f>
        <v>42653.17</v>
      </c>
      <c r="M109" s="63">
        <f t="shared" si="34"/>
        <v>100000</v>
      </c>
      <c r="N109" s="63"/>
      <c r="O109" s="63">
        <f>E109*10%</f>
        <v>4265.317</v>
      </c>
      <c r="P109" s="63">
        <v>20000</v>
      </c>
      <c r="Q109" s="63">
        <v>0</v>
      </c>
      <c r="R109" s="36">
        <f>SUM(E109:Q109)</f>
        <v>551465.0247500001</v>
      </c>
      <c r="S109" s="36"/>
      <c r="T109" s="36">
        <f>25000</f>
        <v>25000</v>
      </c>
      <c r="U109" s="36">
        <f>168055.54</f>
        <v>168055.54</v>
      </c>
      <c r="V109" s="36"/>
      <c r="W109" s="63">
        <f>21618.09</f>
        <v>21618.09</v>
      </c>
      <c r="X109" s="36">
        <f t="shared" si="35"/>
        <v>214673.63</v>
      </c>
      <c r="Y109" s="36">
        <v>323070.36575</v>
      </c>
      <c r="Z109" s="36">
        <f t="shared" si="33"/>
        <v>336791.39475000009</v>
      </c>
    </row>
    <row r="110" spans="1:27" ht="20.100000000000001" customHeight="1" x14ac:dyDescent="0.3">
      <c r="A110" s="33">
        <v>4</v>
      </c>
      <c r="B110" s="161" t="s">
        <v>192</v>
      </c>
      <c r="C110" s="20" t="s">
        <v>193</v>
      </c>
      <c r="D110" s="25" t="s">
        <v>44</v>
      </c>
      <c r="E110" s="63">
        <v>33507.5</v>
      </c>
      <c r="F110" s="26"/>
      <c r="G110" s="26">
        <f>E110*300%</f>
        <v>100522.5</v>
      </c>
      <c r="H110" s="26">
        <f>E110*7.5%</f>
        <v>2513.0625</v>
      </c>
      <c r="I110" s="26">
        <v>40122.19</v>
      </c>
      <c r="J110" s="26">
        <f>E110*50%</f>
        <v>16753.75</v>
      </c>
      <c r="K110" s="26">
        <f>E110*350%</f>
        <v>117276.25</v>
      </c>
      <c r="L110" s="26">
        <f>E110*100%</f>
        <v>33507.5</v>
      </c>
      <c r="M110" s="63">
        <f t="shared" si="34"/>
        <v>100000</v>
      </c>
      <c r="N110" s="63"/>
      <c r="O110" s="26">
        <f>E110*10%</f>
        <v>3350.75</v>
      </c>
      <c r="P110" s="26">
        <v>20000</v>
      </c>
      <c r="Q110" s="26">
        <v>50000</v>
      </c>
      <c r="R110" s="36">
        <f>SUM(E110:Q110)</f>
        <v>517553.5025</v>
      </c>
      <c r="S110" s="36"/>
      <c r="T110" s="24">
        <f>137500</f>
        <v>137500</v>
      </c>
      <c r="U110" s="24"/>
      <c r="V110" s="24">
        <f>'[2]Jan 2021'!$H$55</f>
        <v>444.6</v>
      </c>
      <c r="W110" s="24">
        <v>15548.33</v>
      </c>
      <c r="X110" s="36">
        <f t="shared" si="35"/>
        <v>153492.93</v>
      </c>
      <c r="Y110" s="36">
        <v>363667.48499999999</v>
      </c>
      <c r="Z110" s="36">
        <f t="shared" si="33"/>
        <v>364060.57250000001</v>
      </c>
    </row>
    <row r="111" spans="1:27" ht="20.100000000000001" customHeight="1" x14ac:dyDescent="0.3">
      <c r="A111" s="33">
        <v>5</v>
      </c>
      <c r="B111" s="156" t="s">
        <v>194</v>
      </c>
      <c r="C111" s="33" t="s">
        <v>195</v>
      </c>
      <c r="D111" s="67" t="s">
        <v>57</v>
      </c>
      <c r="E111" s="63">
        <f>25523.45</f>
        <v>25523.45</v>
      </c>
      <c r="F111" s="63"/>
      <c r="G111" s="63">
        <f>E111*300%</f>
        <v>76570.350000000006</v>
      </c>
      <c r="H111" s="63">
        <f>E111*7.5%</f>
        <v>1914.25875</v>
      </c>
      <c r="I111" s="63"/>
      <c r="J111" s="63">
        <f>E111*50%</f>
        <v>12761.725</v>
      </c>
      <c r="K111" s="36">
        <f>E111*350%</f>
        <v>89332.074999999997</v>
      </c>
      <c r="L111" s="63">
        <f>E111*100%</f>
        <v>25523.45</v>
      </c>
      <c r="M111" s="63">
        <f t="shared" si="34"/>
        <v>100000</v>
      </c>
      <c r="N111" s="63"/>
      <c r="O111" s="63">
        <f>E111*10%</f>
        <v>2552.3450000000003</v>
      </c>
      <c r="P111" s="63">
        <v>15000</v>
      </c>
      <c r="Q111" s="63"/>
      <c r="R111" s="36">
        <f>SUM(E111:Q111)</f>
        <v>349177.65375</v>
      </c>
      <c r="S111" s="36"/>
      <c r="T111" s="36">
        <f>3000</f>
        <v>3000</v>
      </c>
      <c r="U111" s="36">
        <f>49442.44</f>
        <v>49442.44</v>
      </c>
      <c r="V111" s="36"/>
      <c r="W111" s="36">
        <f>7709.76</f>
        <v>7709.76</v>
      </c>
      <c r="X111" s="36">
        <f t="shared" si="35"/>
        <v>60152.200000000004</v>
      </c>
      <c r="Y111" s="36">
        <v>281848.86049999995</v>
      </c>
      <c r="Z111" s="36">
        <f t="shared" si="33"/>
        <v>289025.45374999999</v>
      </c>
    </row>
    <row r="112" spans="1:27" ht="20.100000000000001" customHeight="1" x14ac:dyDescent="0.3">
      <c r="A112" s="33">
        <v>6</v>
      </c>
      <c r="B112" s="84" t="s">
        <v>196</v>
      </c>
      <c r="C112" s="62" t="s">
        <v>127</v>
      </c>
      <c r="D112" s="67" t="s">
        <v>71</v>
      </c>
      <c r="E112" s="63">
        <f>19276.95</f>
        <v>19276.95</v>
      </c>
      <c r="F112" s="63"/>
      <c r="G112" s="63">
        <f>E112*300%</f>
        <v>57830.850000000006</v>
      </c>
      <c r="H112" s="63">
        <f>E112*7.5%</f>
        <v>1445.77125</v>
      </c>
      <c r="I112" s="63">
        <v>0</v>
      </c>
      <c r="J112" s="63">
        <f>E112*50%</f>
        <v>9638.4750000000004</v>
      </c>
      <c r="K112" s="36">
        <f>E112*350%</f>
        <v>67469.324999999997</v>
      </c>
      <c r="L112" s="63">
        <f>E112*100%</f>
        <v>19276.95</v>
      </c>
      <c r="M112" s="63">
        <f t="shared" si="34"/>
        <v>100000</v>
      </c>
      <c r="N112" s="63"/>
      <c r="O112" s="63">
        <f>E112*10%</f>
        <v>1927.6950000000002</v>
      </c>
      <c r="P112" s="63">
        <v>10000</v>
      </c>
      <c r="Q112" s="63">
        <v>0</v>
      </c>
      <c r="R112" s="36">
        <f>SUM(E112:Q112)</f>
        <v>286866.01625000004</v>
      </c>
      <c r="S112" s="36"/>
      <c r="T112" s="36">
        <v>10000</v>
      </c>
      <c r="U112" s="36">
        <f>0</f>
        <v>0</v>
      </c>
      <c r="V112" s="36">
        <f>'[2]Jan 2021'!$H$44</f>
        <v>597.27800000000002</v>
      </c>
      <c r="W112" s="63">
        <f>3369.51</f>
        <v>3369.51</v>
      </c>
      <c r="X112" s="36">
        <f t="shared" si="35"/>
        <v>13966.788</v>
      </c>
      <c r="Y112" s="36">
        <v>268461.08499999996</v>
      </c>
      <c r="Z112" s="36">
        <f t="shared" si="33"/>
        <v>272899.22825000004</v>
      </c>
    </row>
    <row r="113" spans="1:26" ht="20.100000000000001" customHeight="1" x14ac:dyDescent="0.3">
      <c r="A113" s="33">
        <v>7</v>
      </c>
      <c r="B113" s="62" t="s">
        <v>197</v>
      </c>
      <c r="C113" s="62" t="s">
        <v>198</v>
      </c>
      <c r="D113" s="67" t="s">
        <v>57</v>
      </c>
      <c r="E113" s="63">
        <f>25523.45</f>
        <v>25523.45</v>
      </c>
      <c r="F113" s="63"/>
      <c r="G113" s="63">
        <f>E113*300%</f>
        <v>76570.350000000006</v>
      </c>
      <c r="H113" s="63">
        <f>E113*7.5%</f>
        <v>1914.25875</v>
      </c>
      <c r="I113" s="63">
        <v>0</v>
      </c>
      <c r="J113" s="63">
        <f>E113*50%</f>
        <v>12761.725</v>
      </c>
      <c r="K113" s="36">
        <f>E113*350%</f>
        <v>89332.074999999997</v>
      </c>
      <c r="L113" s="63">
        <f>E113*100%</f>
        <v>25523.45</v>
      </c>
      <c r="M113" s="63">
        <f t="shared" si="34"/>
        <v>100000</v>
      </c>
      <c r="N113" s="63"/>
      <c r="O113" s="63">
        <f>E113*10%</f>
        <v>2552.3450000000003</v>
      </c>
      <c r="P113" s="63">
        <v>15000</v>
      </c>
      <c r="Q113" s="63"/>
      <c r="R113" s="36">
        <f>SUM(E113:Q113)</f>
        <v>349177.65375</v>
      </c>
      <c r="S113" s="36"/>
      <c r="T113" s="36">
        <v>10000</v>
      </c>
      <c r="U113" s="36">
        <f>61800</f>
        <v>61800</v>
      </c>
      <c r="V113" s="36">
        <f>'[2]Jan 2021'!$H$52</f>
        <v>837.6875</v>
      </c>
      <c r="W113" s="63">
        <v>7709.76</v>
      </c>
      <c r="X113" s="36">
        <f t="shared" si="35"/>
        <v>80347.447499999995</v>
      </c>
      <c r="Y113" s="36">
        <v>261872.76899999997</v>
      </c>
      <c r="Z113" s="36">
        <f t="shared" si="33"/>
        <v>268830.20624999999</v>
      </c>
    </row>
    <row r="114" spans="1:26" ht="20.100000000000001" customHeight="1" x14ac:dyDescent="0.3">
      <c r="A114" s="33">
        <v>8</v>
      </c>
      <c r="B114" s="62" t="s">
        <v>199</v>
      </c>
      <c r="C114" s="33" t="s">
        <v>200</v>
      </c>
      <c r="D114" s="67" t="s">
        <v>57</v>
      </c>
      <c r="E114" s="63">
        <f>25523.45</f>
        <v>25523.45</v>
      </c>
      <c r="F114" s="63"/>
      <c r="G114" s="63">
        <f>E114*300%</f>
        <v>76570.350000000006</v>
      </c>
      <c r="H114" s="63">
        <f>E114*7.5%</f>
        <v>1914.25875</v>
      </c>
      <c r="I114" s="63">
        <v>0</v>
      </c>
      <c r="J114" s="63">
        <f>E114*50%</f>
        <v>12761.725</v>
      </c>
      <c r="K114" s="36">
        <f>E114*350%</f>
        <v>89332.074999999997</v>
      </c>
      <c r="L114" s="63">
        <f>E114*100%</f>
        <v>25523.45</v>
      </c>
      <c r="M114" s="63">
        <f t="shared" si="34"/>
        <v>100000</v>
      </c>
      <c r="N114" s="63"/>
      <c r="O114" s="63">
        <f>E114*10%</f>
        <v>2552.3450000000003</v>
      </c>
      <c r="P114" s="63">
        <v>15000</v>
      </c>
      <c r="Q114" s="63">
        <v>0</v>
      </c>
      <c r="R114" s="36">
        <f>SUM(E114:Q114)</f>
        <v>349177.65375</v>
      </c>
      <c r="S114" s="36"/>
      <c r="T114" s="36">
        <f>0</f>
        <v>0</v>
      </c>
      <c r="U114" s="36">
        <f>0</f>
        <v>0</v>
      </c>
      <c r="V114" s="36">
        <f>'[2]Jan 2021'!$H$56</f>
        <v>327.80400000000003</v>
      </c>
      <c r="W114" s="63">
        <v>7709.76</v>
      </c>
      <c r="X114" s="36">
        <f t="shared" si="35"/>
        <v>8037.5640000000003</v>
      </c>
      <c r="Y114" s="36">
        <v>333672.76899999997</v>
      </c>
      <c r="Z114" s="36">
        <f t="shared" si="33"/>
        <v>341140.08974999998</v>
      </c>
    </row>
    <row r="115" spans="1:26" ht="20.100000000000001" customHeight="1" x14ac:dyDescent="0.3">
      <c r="A115" s="33">
        <v>9</v>
      </c>
      <c r="B115" s="62" t="s">
        <v>201</v>
      </c>
      <c r="C115" s="33" t="s">
        <v>200</v>
      </c>
      <c r="D115" s="67" t="s">
        <v>57</v>
      </c>
      <c r="E115" s="63">
        <f>25523.45</f>
        <v>25523.45</v>
      </c>
      <c r="F115" s="63"/>
      <c r="G115" s="63">
        <f>E115*300%</f>
        <v>76570.350000000006</v>
      </c>
      <c r="H115" s="63">
        <f>E115*7.5%</f>
        <v>1914.25875</v>
      </c>
      <c r="I115" s="63">
        <v>0</v>
      </c>
      <c r="J115" s="63">
        <f>E115*50%</f>
        <v>12761.725</v>
      </c>
      <c r="K115" s="36">
        <f>E115*350%</f>
        <v>89332.074999999997</v>
      </c>
      <c r="L115" s="63">
        <f>E115*100%</f>
        <v>25523.45</v>
      </c>
      <c r="M115" s="63">
        <f t="shared" si="31"/>
        <v>100000</v>
      </c>
      <c r="N115" s="63"/>
      <c r="O115" s="63">
        <f>E115*10%</f>
        <v>2552.3450000000003</v>
      </c>
      <c r="P115" s="63">
        <v>15000</v>
      </c>
      <c r="Q115" s="63">
        <v>0</v>
      </c>
      <c r="R115" s="36">
        <f>SUM(E115:Q115)</f>
        <v>349177.65375</v>
      </c>
      <c r="S115" s="36"/>
      <c r="T115" s="36">
        <f>3000</f>
        <v>3000</v>
      </c>
      <c r="U115" s="36">
        <f>90000</f>
        <v>90000</v>
      </c>
      <c r="V115" s="36"/>
      <c r="W115" s="63">
        <v>7709.76</v>
      </c>
      <c r="X115" s="36">
        <f>SUM(T115:W115)</f>
        <v>100709.75999999999</v>
      </c>
      <c r="Y115" s="36">
        <v>201291.30049999995</v>
      </c>
      <c r="Z115" s="36">
        <f>R115-X115</f>
        <v>248467.89374999999</v>
      </c>
    </row>
    <row r="116" spans="1:26" ht="20.100000000000001" customHeight="1" x14ac:dyDescent="0.3">
      <c r="A116" s="33">
        <v>10</v>
      </c>
      <c r="B116" s="62" t="s">
        <v>202</v>
      </c>
      <c r="C116" s="33" t="s">
        <v>200</v>
      </c>
      <c r="D116" s="67" t="s">
        <v>80</v>
      </c>
      <c r="E116" s="63">
        <f>23891.12</f>
        <v>23891.119999999999</v>
      </c>
      <c r="F116" s="63">
        <f>ARREARS!V50</f>
        <v>444130</v>
      </c>
      <c r="G116" s="63">
        <f>E116*300%</f>
        <v>71673.36</v>
      </c>
      <c r="H116" s="63">
        <f>E116*7.5%</f>
        <v>1791.8339999999998</v>
      </c>
      <c r="I116" s="36">
        <v>0</v>
      </c>
      <c r="J116" s="63">
        <f>E116*50%</f>
        <v>11945.56</v>
      </c>
      <c r="K116" s="36">
        <f>E116*350%</f>
        <v>83618.92</v>
      </c>
      <c r="L116" s="63">
        <f>E116*100%</f>
        <v>23891.119999999999</v>
      </c>
      <c r="M116" s="63">
        <f t="shared" si="34"/>
        <v>100000</v>
      </c>
      <c r="N116" s="63"/>
      <c r="O116" s="63">
        <f>E116*10%</f>
        <v>2389.1120000000001</v>
      </c>
      <c r="P116" s="63">
        <v>15000</v>
      </c>
      <c r="Q116" s="63">
        <v>0</v>
      </c>
      <c r="R116" s="36">
        <f>SUM(E116:Q116)</f>
        <v>778331.02600000007</v>
      </c>
      <c r="S116" s="36"/>
      <c r="T116" s="36">
        <f>50000</f>
        <v>50000</v>
      </c>
      <c r="U116" s="36"/>
      <c r="V116" s="36"/>
      <c r="W116" s="63">
        <f>7709.76+ARREARS!AJ50</f>
        <v>51112.26</v>
      </c>
      <c r="X116" s="36">
        <f t="shared" si="35"/>
        <v>101112.26000000001</v>
      </c>
      <c r="Y116" s="36">
        <v>178930.56749999995</v>
      </c>
      <c r="Z116" s="36">
        <f t="shared" si="33"/>
        <v>677218.76600000006</v>
      </c>
    </row>
    <row r="117" spans="1:26" ht="20.100000000000001" customHeight="1" x14ac:dyDescent="0.3">
      <c r="A117" s="33">
        <v>11</v>
      </c>
      <c r="B117" s="62" t="s">
        <v>203</v>
      </c>
      <c r="C117" s="33" t="s">
        <v>127</v>
      </c>
      <c r="D117" s="67" t="s">
        <v>92</v>
      </c>
      <c r="E117" s="36">
        <f>18779.3</f>
        <v>18779.3</v>
      </c>
      <c r="F117" s="63"/>
      <c r="G117" s="63">
        <f>E117*300%</f>
        <v>56337.899999999994</v>
      </c>
      <c r="H117" s="63">
        <f>E117*7.5%</f>
        <v>1408.4475</v>
      </c>
      <c r="I117" s="63">
        <v>0</v>
      </c>
      <c r="J117" s="63">
        <f>E117*50%</f>
        <v>9389.65</v>
      </c>
      <c r="K117" s="36">
        <f>E117*350%</f>
        <v>65727.55</v>
      </c>
      <c r="L117" s="26">
        <f>E117*100%</f>
        <v>18779.3</v>
      </c>
      <c r="M117" s="63">
        <f t="shared" si="34"/>
        <v>100000</v>
      </c>
      <c r="N117" s="63"/>
      <c r="O117" s="63">
        <f>E117*10%</f>
        <v>1877.93</v>
      </c>
      <c r="P117" s="63">
        <v>10000</v>
      </c>
      <c r="Q117" s="63">
        <v>0</v>
      </c>
      <c r="R117" s="36">
        <f>SUM(E117:Q117)</f>
        <v>282300.07749999996</v>
      </c>
      <c r="S117" s="36"/>
      <c r="T117" s="36"/>
      <c r="U117" s="36">
        <f>50000</f>
        <v>50000</v>
      </c>
      <c r="V117" s="36"/>
      <c r="W117" s="63">
        <v>3369.51</v>
      </c>
      <c r="X117" s="36">
        <f t="shared" si="35"/>
        <v>53369.51</v>
      </c>
      <c r="Y117" s="36">
        <v>224364.53699999995</v>
      </c>
      <c r="Z117" s="36">
        <f t="shared" si="33"/>
        <v>228930.56749999995</v>
      </c>
    </row>
    <row r="118" spans="1:26" ht="20.100000000000001" customHeight="1" x14ac:dyDescent="0.3">
      <c r="A118" s="33">
        <v>12</v>
      </c>
      <c r="B118" s="84" t="s">
        <v>204</v>
      </c>
      <c r="C118" s="33" t="s">
        <v>205</v>
      </c>
      <c r="D118" s="67" t="s">
        <v>68</v>
      </c>
      <c r="E118" s="26">
        <f>18281.64</f>
        <v>18281.64</v>
      </c>
      <c r="F118" s="63"/>
      <c r="G118" s="63">
        <f>E118*300%</f>
        <v>54844.92</v>
      </c>
      <c r="H118" s="63">
        <f>E118*7.5%</f>
        <v>1371.1229999999998</v>
      </c>
      <c r="I118" s="63"/>
      <c r="J118" s="63">
        <f>E118*50%</f>
        <v>9140.82</v>
      </c>
      <c r="K118" s="36">
        <f>E118*350%</f>
        <v>63985.74</v>
      </c>
      <c r="L118" s="26">
        <f>E118*100%</f>
        <v>18281.64</v>
      </c>
      <c r="M118" s="63">
        <f t="shared" si="34"/>
        <v>100000</v>
      </c>
      <c r="N118" s="63"/>
      <c r="O118" s="63">
        <f>E118*10%</f>
        <v>1828.164</v>
      </c>
      <c r="P118" s="63">
        <v>10000</v>
      </c>
      <c r="Q118" s="63"/>
      <c r="R118" s="36">
        <f>SUM(E118:Q118)</f>
        <v>277734.04699999996</v>
      </c>
      <c r="S118" s="36"/>
      <c r="T118" s="36">
        <f>50000</f>
        <v>50000</v>
      </c>
      <c r="U118" s="36">
        <f>93721.55</f>
        <v>93721.55</v>
      </c>
      <c r="V118" s="36"/>
      <c r="W118" s="63">
        <v>3369.51</v>
      </c>
      <c r="X118" s="36">
        <f t="shared" si="35"/>
        <v>147091.06</v>
      </c>
      <c r="Y118" s="36">
        <v>126077.14000000001</v>
      </c>
      <c r="Z118" s="36">
        <f t="shared" si="33"/>
        <v>130642.98699999996</v>
      </c>
    </row>
    <row r="119" spans="1:26" ht="20.100000000000001" customHeight="1" x14ac:dyDescent="0.3">
      <c r="A119" s="33">
        <v>13</v>
      </c>
      <c r="B119" s="84" t="s">
        <v>206</v>
      </c>
      <c r="C119" s="62" t="s">
        <v>207</v>
      </c>
      <c r="D119" s="67" t="s">
        <v>85</v>
      </c>
      <c r="E119" s="68">
        <f>17784</f>
        <v>17784</v>
      </c>
      <c r="F119" s="63">
        <f>ARREARS!V51</f>
        <v>417732</v>
      </c>
      <c r="G119" s="63">
        <f>E119*300%</f>
        <v>53352</v>
      </c>
      <c r="H119" s="63">
        <f>E119*7.5%</f>
        <v>1333.8</v>
      </c>
      <c r="I119" s="63"/>
      <c r="J119" s="63">
        <f>E119*50%</f>
        <v>8892</v>
      </c>
      <c r="K119" s="36">
        <f>E119*350%</f>
        <v>62244</v>
      </c>
      <c r="L119" s="63">
        <f>E119*100%</f>
        <v>17784</v>
      </c>
      <c r="M119" s="63">
        <f t="shared" si="34"/>
        <v>100000</v>
      </c>
      <c r="N119" s="63"/>
      <c r="O119" s="63">
        <f>E119*10%</f>
        <v>1778.4</v>
      </c>
      <c r="P119" s="63">
        <v>10000</v>
      </c>
      <c r="Q119" s="63"/>
      <c r="R119" s="36">
        <f>SUM(E119:Q119)</f>
        <v>690900.20000000007</v>
      </c>
      <c r="S119" s="36"/>
      <c r="T119" s="36">
        <f>10000</f>
        <v>10000</v>
      </c>
      <c r="U119" s="36">
        <f>81978.38</f>
        <v>81978.38</v>
      </c>
      <c r="V119" s="36">
        <f>'[2]Jan 2021'!$H$48</f>
        <v>597.27800000000002</v>
      </c>
      <c r="W119" s="63">
        <f>3369.51</f>
        <v>3369.51</v>
      </c>
      <c r="X119" s="36">
        <f t="shared" si="35"/>
        <v>95945.168000000005</v>
      </c>
      <c r="Y119" s="36">
        <v>89990.971499999985</v>
      </c>
      <c r="Z119" s="36">
        <f t="shared" si="33"/>
        <v>594955.03200000012</v>
      </c>
    </row>
    <row r="120" spans="1:26" ht="20.100000000000001" customHeight="1" x14ac:dyDescent="0.3">
      <c r="A120" s="33">
        <v>14</v>
      </c>
      <c r="B120" s="84" t="s">
        <v>208</v>
      </c>
      <c r="C120" s="62" t="s">
        <v>209</v>
      </c>
      <c r="D120" s="67" t="s">
        <v>210</v>
      </c>
      <c r="E120" s="68">
        <f>13492.21</f>
        <v>13492.21</v>
      </c>
      <c r="F120" s="63"/>
      <c r="G120" s="63">
        <f>E120*300%</f>
        <v>40476.629999999997</v>
      </c>
      <c r="H120" s="63">
        <f>E120*7.5%</f>
        <v>1011.9157499999999</v>
      </c>
      <c r="I120" s="63"/>
      <c r="J120" s="63">
        <f>E120*50%</f>
        <v>6746.1049999999996</v>
      </c>
      <c r="K120" s="36">
        <f>E120*350%</f>
        <v>47222.735000000001</v>
      </c>
      <c r="L120" s="63">
        <f>E120*100%</f>
        <v>13492.21</v>
      </c>
      <c r="M120" s="63">
        <f t="shared" si="34"/>
        <v>100000</v>
      </c>
      <c r="N120" s="63"/>
      <c r="O120" s="63">
        <f>E120*10%</f>
        <v>1349.221</v>
      </c>
      <c r="P120" s="63">
        <v>10000</v>
      </c>
      <c r="Q120" s="63"/>
      <c r="R120" s="36">
        <f>SUM(E120:Q120)</f>
        <v>233791.02674999999</v>
      </c>
      <c r="S120" s="36"/>
      <c r="T120" s="36">
        <f>10000</f>
        <v>10000</v>
      </c>
      <c r="U120" s="36">
        <f>34583.33</f>
        <v>34583.33</v>
      </c>
      <c r="V120" s="36"/>
      <c r="W120" s="63">
        <v>1484.37</v>
      </c>
      <c r="X120" s="36">
        <f t="shared" si="35"/>
        <v>46067.700000000004</v>
      </c>
      <c r="Y120" s="36">
        <v>184236.36799999999</v>
      </c>
      <c r="Z120" s="36">
        <f t="shared" si="33"/>
        <v>187723.32674999998</v>
      </c>
    </row>
    <row r="121" spans="1:26" ht="20.100000000000001" customHeight="1" x14ac:dyDescent="0.3">
      <c r="A121" s="33">
        <v>15</v>
      </c>
      <c r="B121" s="84" t="s">
        <v>211</v>
      </c>
      <c r="C121" s="62" t="s">
        <v>209</v>
      </c>
      <c r="D121" s="67" t="s">
        <v>210</v>
      </c>
      <c r="E121" s="68">
        <f>13492.21</f>
        <v>13492.21</v>
      </c>
      <c r="F121" s="63"/>
      <c r="G121" s="63">
        <f>E121*300%</f>
        <v>40476.629999999997</v>
      </c>
      <c r="H121" s="63">
        <f>E121*7.5%</f>
        <v>1011.9157499999999</v>
      </c>
      <c r="I121" s="63"/>
      <c r="J121" s="63">
        <f>E121*50%</f>
        <v>6746.1049999999996</v>
      </c>
      <c r="K121" s="36">
        <f>E121*350%</f>
        <v>47222.735000000001</v>
      </c>
      <c r="L121" s="63">
        <f>E121*100%</f>
        <v>13492.21</v>
      </c>
      <c r="M121" s="63">
        <f t="shared" si="34"/>
        <v>100000</v>
      </c>
      <c r="N121" s="63"/>
      <c r="O121" s="63">
        <f>E121*10%</f>
        <v>1349.221</v>
      </c>
      <c r="P121" s="63">
        <v>10000</v>
      </c>
      <c r="Q121" s="63"/>
      <c r="R121" s="36">
        <f>SUM(E121:Q121)</f>
        <v>233791.02674999999</v>
      </c>
      <c r="S121" s="36"/>
      <c r="T121" s="36">
        <f>50000+60000</f>
        <v>110000</v>
      </c>
      <c r="U121" s="36">
        <f>7500</f>
        <v>7500</v>
      </c>
      <c r="V121" s="36">
        <f>'[2]Jan 2021'!$H$40</f>
        <v>218.26975000000004</v>
      </c>
      <c r="W121" s="63">
        <v>1484.37</v>
      </c>
      <c r="X121" s="36">
        <f t="shared" si="35"/>
        <v>119202.63975</v>
      </c>
      <c r="Y121" s="36">
        <v>110991.894</v>
      </c>
      <c r="Z121" s="36">
        <f t="shared" si="33"/>
        <v>114588.38699999999</v>
      </c>
    </row>
    <row r="122" spans="1:26" ht="20.100000000000001" customHeight="1" x14ac:dyDescent="0.3">
      <c r="A122" s="33">
        <v>16</v>
      </c>
      <c r="B122" s="84" t="s">
        <v>212</v>
      </c>
      <c r="C122" s="62" t="s">
        <v>209</v>
      </c>
      <c r="D122" s="67" t="s">
        <v>210</v>
      </c>
      <c r="E122" s="68">
        <f>13492.21</f>
        <v>13492.21</v>
      </c>
      <c r="F122" s="63"/>
      <c r="G122" s="63">
        <f>E122*300%</f>
        <v>40476.629999999997</v>
      </c>
      <c r="H122" s="63">
        <f>E122*7.5%</f>
        <v>1011.9157499999999</v>
      </c>
      <c r="I122" s="63"/>
      <c r="J122" s="63">
        <f>E122*50%</f>
        <v>6746.1049999999996</v>
      </c>
      <c r="K122" s="36">
        <f>E122*350%</f>
        <v>47222.735000000001</v>
      </c>
      <c r="L122" s="63">
        <f>E122*100%</f>
        <v>13492.21</v>
      </c>
      <c r="M122" s="63">
        <f t="shared" si="34"/>
        <v>100000</v>
      </c>
      <c r="N122" s="63"/>
      <c r="O122" s="63">
        <f>E122*10%</f>
        <v>1349.221</v>
      </c>
      <c r="P122" s="63">
        <v>10000</v>
      </c>
      <c r="Q122" s="63"/>
      <c r="R122" s="36">
        <f>SUM(E122:Q122)</f>
        <v>233791.02674999999</v>
      </c>
      <c r="S122" s="36"/>
      <c r="T122" s="36"/>
      <c r="U122" s="36"/>
      <c r="V122" s="36"/>
      <c r="W122" s="63">
        <v>1484.37</v>
      </c>
      <c r="X122" s="36">
        <f t="shared" si="35"/>
        <v>1484.37</v>
      </c>
      <c r="Y122" s="36">
        <v>228819.698</v>
      </c>
      <c r="Z122" s="36">
        <f t="shared" si="33"/>
        <v>232306.65674999999</v>
      </c>
    </row>
    <row r="123" spans="1:26" ht="20.100000000000001" customHeight="1" x14ac:dyDescent="0.3">
      <c r="A123" s="33">
        <v>17</v>
      </c>
      <c r="B123" s="84" t="s">
        <v>213</v>
      </c>
      <c r="C123" s="62" t="s">
        <v>209</v>
      </c>
      <c r="D123" s="67" t="s">
        <v>181</v>
      </c>
      <c r="E123" s="68">
        <f>13112.16</f>
        <v>13112.16</v>
      </c>
      <c r="F123" s="63"/>
      <c r="G123" s="63">
        <f>E123*300%</f>
        <v>39336.479999999996</v>
      </c>
      <c r="H123" s="63">
        <f>E123*7.5%</f>
        <v>983.41199999999992</v>
      </c>
      <c r="I123" s="63"/>
      <c r="J123" s="63">
        <f>E123*50%</f>
        <v>6556.08</v>
      </c>
      <c r="K123" s="36">
        <f>E123*350%</f>
        <v>45892.56</v>
      </c>
      <c r="L123" s="63">
        <f>E123*100%</f>
        <v>13112.16</v>
      </c>
      <c r="M123" s="63">
        <f t="shared" si="34"/>
        <v>100000</v>
      </c>
      <c r="N123" s="63"/>
      <c r="O123" s="63">
        <f>E123*10%</f>
        <v>1311.2160000000001</v>
      </c>
      <c r="P123" s="63">
        <v>10000</v>
      </c>
      <c r="Q123" s="63"/>
      <c r="R123" s="36">
        <f>SUM(E123:Q123)</f>
        <v>230304.068</v>
      </c>
      <c r="S123" s="36"/>
      <c r="T123" s="36"/>
      <c r="U123" s="36"/>
      <c r="V123" s="36"/>
      <c r="W123" s="63">
        <v>1484.37</v>
      </c>
      <c r="X123" s="36">
        <f t="shared" si="35"/>
        <v>1484.37</v>
      </c>
      <c r="Y123" s="36">
        <v>225331.73</v>
      </c>
      <c r="Z123" s="36">
        <f t="shared" si="33"/>
        <v>228819.698</v>
      </c>
    </row>
    <row r="124" spans="1:26" ht="20.100000000000001" customHeight="1" x14ac:dyDescent="0.3">
      <c r="A124" s="33">
        <v>18</v>
      </c>
      <c r="B124" s="84" t="s">
        <v>214</v>
      </c>
      <c r="C124" s="62" t="s">
        <v>215</v>
      </c>
      <c r="D124" s="67" t="s">
        <v>181</v>
      </c>
      <c r="E124" s="68">
        <f>13112.16</f>
        <v>13112.16</v>
      </c>
      <c r="F124" s="63"/>
      <c r="G124" s="63">
        <f>E124*300%</f>
        <v>39336.479999999996</v>
      </c>
      <c r="H124" s="63">
        <f>E124*7.5%</f>
        <v>983.41199999999992</v>
      </c>
      <c r="I124" s="63"/>
      <c r="J124" s="63">
        <f>E124*50%</f>
        <v>6556.08</v>
      </c>
      <c r="K124" s="36">
        <f>E124*350%</f>
        <v>45892.56</v>
      </c>
      <c r="L124" s="63">
        <f>E124*100%</f>
        <v>13112.16</v>
      </c>
      <c r="M124" s="63">
        <f t="shared" si="34"/>
        <v>100000</v>
      </c>
      <c r="N124" s="63"/>
      <c r="O124" s="63">
        <f>E124*10%</f>
        <v>1311.2160000000001</v>
      </c>
      <c r="P124" s="63">
        <v>10000</v>
      </c>
      <c r="Q124" s="63"/>
      <c r="R124" s="36">
        <f>SUM(E124:Q124)</f>
        <v>230304.068</v>
      </c>
      <c r="S124" s="36"/>
      <c r="T124" s="36">
        <v>25000</v>
      </c>
      <c r="U124" s="36">
        <f>40000</f>
        <v>40000</v>
      </c>
      <c r="V124" s="36"/>
      <c r="W124" s="63">
        <v>1484.37</v>
      </c>
      <c r="X124" s="36">
        <f t="shared" si="35"/>
        <v>66484.37</v>
      </c>
      <c r="Y124" s="36">
        <v>136581.73000000001</v>
      </c>
      <c r="Z124" s="36">
        <f t="shared" si="33"/>
        <v>163819.698</v>
      </c>
    </row>
    <row r="125" spans="1:26" ht="20.100000000000001" customHeight="1" x14ac:dyDescent="0.3">
      <c r="A125" s="33">
        <v>19</v>
      </c>
      <c r="B125" s="84" t="s">
        <v>216</v>
      </c>
      <c r="C125" s="62" t="s">
        <v>217</v>
      </c>
      <c r="D125" s="67" t="s">
        <v>181</v>
      </c>
      <c r="E125" s="68">
        <f>13112.16</f>
        <v>13112.16</v>
      </c>
      <c r="F125" s="63"/>
      <c r="G125" s="63">
        <f>E125*300%</f>
        <v>39336.479999999996</v>
      </c>
      <c r="H125" s="63">
        <f>E125*7.5%</f>
        <v>983.41199999999992</v>
      </c>
      <c r="I125" s="63"/>
      <c r="J125" s="63">
        <f>E125*50%</f>
        <v>6556.08</v>
      </c>
      <c r="K125" s="36">
        <f>E125*350%</f>
        <v>45892.56</v>
      </c>
      <c r="L125" s="63">
        <f>E125*100%</f>
        <v>13112.16</v>
      </c>
      <c r="M125" s="63">
        <f t="shared" si="34"/>
        <v>100000</v>
      </c>
      <c r="N125" s="63"/>
      <c r="O125" s="63">
        <f>E125*10%</f>
        <v>1311.2160000000001</v>
      </c>
      <c r="P125" s="63">
        <v>10000</v>
      </c>
      <c r="Q125" s="63"/>
      <c r="R125" s="36">
        <f>SUM(E125:Q125)</f>
        <v>230304.068</v>
      </c>
      <c r="S125" s="36"/>
      <c r="T125" s="36">
        <v>20000</v>
      </c>
      <c r="U125" s="36">
        <f>26250</f>
        <v>26250</v>
      </c>
      <c r="V125" s="36"/>
      <c r="W125" s="63">
        <v>1484.37</v>
      </c>
      <c r="X125" s="36">
        <f t="shared" si="35"/>
        <v>47734.37</v>
      </c>
      <c r="Y125" s="36">
        <v>179081.73</v>
      </c>
      <c r="Z125" s="36">
        <f t="shared" si="33"/>
        <v>182569.698</v>
      </c>
    </row>
    <row r="126" spans="1:26" ht="20.100000000000001" customHeight="1" x14ac:dyDescent="0.3">
      <c r="A126" s="33">
        <v>20</v>
      </c>
      <c r="B126" s="84" t="s">
        <v>218</v>
      </c>
      <c r="C126" s="62" t="s">
        <v>217</v>
      </c>
      <c r="D126" s="67" t="s">
        <v>181</v>
      </c>
      <c r="E126" s="68">
        <f>13112.16</f>
        <v>13112.16</v>
      </c>
      <c r="F126" s="63"/>
      <c r="G126" s="63">
        <f>E126*300%</f>
        <v>39336.479999999996</v>
      </c>
      <c r="H126" s="63">
        <f>E126*7.5%</f>
        <v>983.41199999999992</v>
      </c>
      <c r="I126" s="63"/>
      <c r="J126" s="63">
        <f>E126*50%</f>
        <v>6556.08</v>
      </c>
      <c r="K126" s="36">
        <f>E126*350%</f>
        <v>45892.56</v>
      </c>
      <c r="L126" s="63">
        <f>E126*100%</f>
        <v>13112.16</v>
      </c>
      <c r="M126" s="63">
        <f t="shared" si="34"/>
        <v>100000</v>
      </c>
      <c r="N126" s="63"/>
      <c r="O126" s="63">
        <f>E126*10%</f>
        <v>1311.2160000000001</v>
      </c>
      <c r="P126" s="63">
        <v>10000</v>
      </c>
      <c r="Q126" s="63"/>
      <c r="R126" s="36">
        <f>SUM(E126:Q126)</f>
        <v>230304.068</v>
      </c>
      <c r="S126" s="36"/>
      <c r="T126" s="36">
        <f>20000</f>
        <v>20000</v>
      </c>
      <c r="U126" s="36">
        <f>0</f>
        <v>0</v>
      </c>
      <c r="V126" s="36"/>
      <c r="W126" s="63">
        <v>1484.37</v>
      </c>
      <c r="X126" s="36">
        <f t="shared" si="35"/>
        <v>21484.37</v>
      </c>
      <c r="Y126" s="36">
        <v>215331.73</v>
      </c>
      <c r="Z126" s="36">
        <f t="shared" si="33"/>
        <v>208819.698</v>
      </c>
    </row>
    <row r="127" spans="1:26" ht="20.100000000000001" customHeight="1" x14ac:dyDescent="0.3">
      <c r="A127" s="33">
        <v>21</v>
      </c>
      <c r="B127" s="84" t="s">
        <v>219</v>
      </c>
      <c r="C127" s="62" t="s">
        <v>209</v>
      </c>
      <c r="D127" s="67" t="s">
        <v>181</v>
      </c>
      <c r="E127" s="68">
        <f>13112.16</f>
        <v>13112.16</v>
      </c>
      <c r="F127" s="63"/>
      <c r="G127" s="63">
        <f>E127*300%</f>
        <v>39336.479999999996</v>
      </c>
      <c r="H127" s="63">
        <f>E127*7.5%</f>
        <v>983.41199999999992</v>
      </c>
      <c r="I127" s="63"/>
      <c r="J127" s="63">
        <f>E127*50%</f>
        <v>6556.08</v>
      </c>
      <c r="K127" s="36">
        <f>E127*350%</f>
        <v>45892.56</v>
      </c>
      <c r="L127" s="63">
        <f>E127*100%</f>
        <v>13112.16</v>
      </c>
      <c r="M127" s="63">
        <f t="shared" si="34"/>
        <v>100000</v>
      </c>
      <c r="N127" s="63"/>
      <c r="O127" s="63">
        <f>E127*10%</f>
        <v>1311.2160000000001</v>
      </c>
      <c r="P127" s="63">
        <v>10000</v>
      </c>
      <c r="Q127" s="63"/>
      <c r="R127" s="36">
        <f>SUM(E127:Q127)</f>
        <v>230304.068</v>
      </c>
      <c r="S127" s="36"/>
      <c r="T127" s="36">
        <f>10000</f>
        <v>10000</v>
      </c>
      <c r="U127" s="36"/>
      <c r="V127" s="36">
        <f>'[2]Jan 2021'!$H$59</f>
        <v>0</v>
      </c>
      <c r="W127" s="63">
        <v>1484.37</v>
      </c>
      <c r="X127" s="36">
        <f t="shared" si="35"/>
        <v>11484.369999999999</v>
      </c>
      <c r="Y127" s="36">
        <v>215013.43</v>
      </c>
      <c r="Z127" s="36">
        <f t="shared" si="33"/>
        <v>218819.698</v>
      </c>
    </row>
    <row r="128" spans="1:26" ht="20.100000000000001" customHeight="1" x14ac:dyDescent="0.3">
      <c r="A128" s="33">
        <v>22</v>
      </c>
      <c r="B128" s="84" t="s">
        <v>220</v>
      </c>
      <c r="C128" s="62" t="s">
        <v>221</v>
      </c>
      <c r="D128" s="67" t="s">
        <v>71</v>
      </c>
      <c r="E128" s="63">
        <f>19276.95</f>
        <v>19276.95</v>
      </c>
      <c r="F128" s="63"/>
      <c r="G128" s="63">
        <f>E128*300%</f>
        <v>57830.850000000006</v>
      </c>
      <c r="H128" s="63">
        <f>E128*7.5%</f>
        <v>1445.77125</v>
      </c>
      <c r="I128" s="36"/>
      <c r="J128" s="63">
        <f>E128*50%</f>
        <v>9638.4750000000004</v>
      </c>
      <c r="K128" s="36">
        <f>E128*350%</f>
        <v>67469.324999999997</v>
      </c>
      <c r="L128" s="63">
        <f>E128*100%</f>
        <v>19276.95</v>
      </c>
      <c r="M128" s="63">
        <f t="shared" si="34"/>
        <v>100000</v>
      </c>
      <c r="N128" s="63"/>
      <c r="O128" s="63">
        <f>E128*10%</f>
        <v>1927.6950000000002</v>
      </c>
      <c r="P128" s="63">
        <v>10000</v>
      </c>
      <c r="Q128" s="63"/>
      <c r="R128" s="36">
        <f>SUM(E128:Q128)</f>
        <v>286866.01625000004</v>
      </c>
      <c r="S128" s="36"/>
      <c r="T128" s="36">
        <f>20000</f>
        <v>20000</v>
      </c>
      <c r="U128" s="36"/>
      <c r="V128" s="36"/>
      <c r="W128" s="63">
        <v>3369.51</v>
      </c>
      <c r="X128" s="36">
        <f t="shared" si="35"/>
        <v>23369.510000000002</v>
      </c>
      <c r="Y128" s="36">
        <v>268930.56749999995</v>
      </c>
      <c r="Z128" s="36">
        <f t="shared" si="33"/>
        <v>263496.50625000003</v>
      </c>
    </row>
    <row r="129" spans="1:26" ht="20.100000000000001" customHeight="1" x14ac:dyDescent="0.3">
      <c r="A129" s="33">
        <v>23</v>
      </c>
      <c r="B129" s="84" t="s">
        <v>222</v>
      </c>
      <c r="C129" s="62" t="s">
        <v>209</v>
      </c>
      <c r="D129" s="67" t="s">
        <v>68</v>
      </c>
      <c r="E129" s="26">
        <f>18281.64</f>
        <v>18281.64</v>
      </c>
      <c r="F129" s="63"/>
      <c r="G129" s="63">
        <f>E129*300%</f>
        <v>54844.92</v>
      </c>
      <c r="H129" s="63">
        <f>E129*7.5%</f>
        <v>1371.1229999999998</v>
      </c>
      <c r="I129" s="36"/>
      <c r="J129" s="63">
        <f>E129*50%</f>
        <v>9140.82</v>
      </c>
      <c r="K129" s="36">
        <f>E129*350%</f>
        <v>63985.74</v>
      </c>
      <c r="L129" s="63">
        <f>E129*100%</f>
        <v>18281.64</v>
      </c>
      <c r="M129" s="63">
        <f t="shared" si="34"/>
        <v>100000</v>
      </c>
      <c r="N129" s="63"/>
      <c r="O129" s="63">
        <f>E129*10%</f>
        <v>1828.164</v>
      </c>
      <c r="P129" s="63">
        <v>10000</v>
      </c>
      <c r="Q129" s="63"/>
      <c r="R129" s="36">
        <f>SUM(E129:Q129)</f>
        <v>277734.04699999996</v>
      </c>
      <c r="S129" s="36"/>
      <c r="T129" s="36">
        <v>20000</v>
      </c>
      <c r="U129" s="36">
        <f>68750</f>
        <v>68750</v>
      </c>
      <c r="V129" s="36">
        <f>'[2]Jan 2021'!$H$34</f>
        <v>837.6875</v>
      </c>
      <c r="W129" s="63">
        <v>3369.51</v>
      </c>
      <c r="X129" s="36">
        <f t="shared" si="35"/>
        <v>92957.197499999995</v>
      </c>
      <c r="Y129" s="36">
        <v>180604.09000000003</v>
      </c>
      <c r="Z129" s="36">
        <f t="shared" si="33"/>
        <v>184776.84949999995</v>
      </c>
    </row>
    <row r="130" spans="1:26" ht="20.100000000000001" customHeight="1" x14ac:dyDescent="0.3">
      <c r="A130" s="33">
        <v>24</v>
      </c>
      <c r="B130" s="84" t="s">
        <v>223</v>
      </c>
      <c r="C130" s="62" t="s">
        <v>224</v>
      </c>
      <c r="D130" s="67" t="s">
        <v>183</v>
      </c>
      <c r="E130" s="68">
        <f>17784</f>
        <v>17784</v>
      </c>
      <c r="F130" s="63">
        <f>0</f>
        <v>0</v>
      </c>
      <c r="G130" s="63">
        <f>E130*300%</f>
        <v>53352</v>
      </c>
      <c r="H130" s="63">
        <f>E130*7.5%</f>
        <v>1333.8</v>
      </c>
      <c r="I130" s="63"/>
      <c r="J130" s="63">
        <f>E130*50%</f>
        <v>8892</v>
      </c>
      <c r="K130" s="36">
        <f>E130*350%</f>
        <v>62244</v>
      </c>
      <c r="L130" s="63">
        <f>E130*100%</f>
        <v>17784</v>
      </c>
      <c r="M130" s="43">
        <f>100000</f>
        <v>100000</v>
      </c>
      <c r="N130" s="43"/>
      <c r="O130" s="63">
        <f>E130*10%</f>
        <v>1778.4</v>
      </c>
      <c r="P130" s="63">
        <v>10000</v>
      </c>
      <c r="R130" s="63">
        <f>SUM(E130:Q130)</f>
        <v>273168.2</v>
      </c>
      <c r="S130" s="63"/>
      <c r="T130" s="36">
        <f>30000</f>
        <v>30000</v>
      </c>
      <c r="U130" s="36"/>
      <c r="V130" s="36"/>
      <c r="W130" s="63">
        <f>3369.51</f>
        <v>3369.51</v>
      </c>
      <c r="X130" s="36">
        <f t="shared" si="35"/>
        <v>33369.51</v>
      </c>
      <c r="Y130" s="36">
        <v>193329.04949999999</v>
      </c>
      <c r="Z130" s="36">
        <f t="shared" si="33"/>
        <v>239798.69</v>
      </c>
    </row>
    <row r="131" spans="1:26" ht="20.100000000000001" customHeight="1" x14ac:dyDescent="0.3">
      <c r="A131" s="33">
        <v>25</v>
      </c>
      <c r="B131" s="62" t="s">
        <v>225</v>
      </c>
      <c r="C131" s="62" t="s">
        <v>226</v>
      </c>
      <c r="D131" s="86" t="s">
        <v>227</v>
      </c>
      <c r="E131" s="87">
        <f t="shared" ref="E131:E137" si="36">8730.79</f>
        <v>8730.7900000000009</v>
      </c>
      <c r="F131" s="27">
        <f>ARREARS!V52</f>
        <v>271690</v>
      </c>
      <c r="G131" s="63">
        <f>E131*300%</f>
        <v>26192.370000000003</v>
      </c>
      <c r="H131" s="63">
        <f>E131*7.5%</f>
        <v>654.80925000000002</v>
      </c>
      <c r="I131" s="68">
        <v>0</v>
      </c>
      <c r="J131" s="63">
        <f>E131*50%</f>
        <v>4365.3950000000004</v>
      </c>
      <c r="K131" s="36">
        <f>E131*350%</f>
        <v>30557.765000000003</v>
      </c>
      <c r="L131" s="63">
        <f>E131*100%</f>
        <v>8730.7900000000009</v>
      </c>
      <c r="M131" s="36">
        <f>25000+4000</f>
        <v>29000</v>
      </c>
      <c r="N131" s="36"/>
      <c r="O131" s="63">
        <f>E131*10%</f>
        <v>873.07900000000018</v>
      </c>
      <c r="P131" s="68">
        <v>5000</v>
      </c>
      <c r="Q131" s="63">
        <v>0</v>
      </c>
      <c r="R131" s="36">
        <f>SUM(E131:Q131)</f>
        <v>385794.99825</v>
      </c>
      <c r="S131" s="36"/>
      <c r="T131" s="36">
        <f>20000+3000</f>
        <v>23000</v>
      </c>
      <c r="U131" s="36">
        <f>24750</f>
        <v>24750</v>
      </c>
      <c r="V131" s="36">
        <f>'[2]Jan 2021'!$H$43</f>
        <v>481.92375000000004</v>
      </c>
      <c r="W131" s="36">
        <v>236.04</v>
      </c>
      <c r="X131" s="36">
        <f t="shared" si="35"/>
        <v>48467.963750000003</v>
      </c>
      <c r="Y131" s="36">
        <v>54805.8</v>
      </c>
      <c r="Z131" s="36">
        <f t="shared" si="33"/>
        <v>337327.03450000001</v>
      </c>
    </row>
    <row r="132" spans="1:26" ht="20.100000000000001" customHeight="1" x14ac:dyDescent="0.3">
      <c r="A132" s="33">
        <v>26</v>
      </c>
      <c r="B132" s="62" t="s">
        <v>228</v>
      </c>
      <c r="C132" s="62" t="s">
        <v>226</v>
      </c>
      <c r="D132" s="86" t="s">
        <v>227</v>
      </c>
      <c r="E132" s="87">
        <f t="shared" si="36"/>
        <v>8730.7900000000009</v>
      </c>
      <c r="F132" s="27">
        <f>ARREARS!V53</f>
        <v>271690</v>
      </c>
      <c r="G132" s="63">
        <f>E132*300%</f>
        <v>26192.370000000003</v>
      </c>
      <c r="H132" s="63">
        <f>E132*7.5%</f>
        <v>654.80925000000002</v>
      </c>
      <c r="I132" s="68">
        <v>0</v>
      </c>
      <c r="J132" s="63">
        <f>E132*50%</f>
        <v>4365.3950000000004</v>
      </c>
      <c r="K132" s="36">
        <f>E132*350%</f>
        <v>30557.765000000003</v>
      </c>
      <c r="L132" s="63">
        <f>E132*100%</f>
        <v>8730.7900000000009</v>
      </c>
      <c r="M132" s="36">
        <f>25000+7000</f>
        <v>32000</v>
      </c>
      <c r="N132" s="36"/>
      <c r="O132" s="63">
        <f>E132*10%</f>
        <v>873.07900000000018</v>
      </c>
      <c r="P132" s="68">
        <v>5000</v>
      </c>
      <c r="Q132" s="63">
        <v>0</v>
      </c>
      <c r="R132" s="36">
        <f>SUM(E132:Q132)</f>
        <v>388794.99825</v>
      </c>
      <c r="S132" s="36"/>
      <c r="T132" s="36">
        <f>5000+3000</f>
        <v>8000</v>
      </c>
      <c r="U132" s="36">
        <f>18578.64</f>
        <v>18578.64</v>
      </c>
      <c r="V132" s="36"/>
      <c r="W132" s="36">
        <v>236.04</v>
      </c>
      <c r="X132" s="36">
        <f t="shared" si="35"/>
        <v>26814.68</v>
      </c>
      <c r="Y132" s="36">
        <v>64121.4</v>
      </c>
      <c r="Z132" s="36">
        <f t="shared" si="33"/>
        <v>361980.31825000001</v>
      </c>
    </row>
    <row r="133" spans="1:26" ht="20.100000000000001" customHeight="1" x14ac:dyDescent="0.3">
      <c r="A133" s="33">
        <v>27</v>
      </c>
      <c r="B133" s="62" t="s">
        <v>229</v>
      </c>
      <c r="C133" s="62" t="s">
        <v>226</v>
      </c>
      <c r="D133" s="86" t="s">
        <v>227</v>
      </c>
      <c r="E133" s="87">
        <f t="shared" si="36"/>
        <v>8730.7900000000009</v>
      </c>
      <c r="F133" s="27">
        <f>ARREARS!V54</f>
        <v>271690</v>
      </c>
      <c r="G133" s="63">
        <f>E133*300%</f>
        <v>26192.370000000003</v>
      </c>
      <c r="H133" s="63">
        <f>E133*7.5%</f>
        <v>654.80925000000002</v>
      </c>
      <c r="I133" s="63">
        <v>0</v>
      </c>
      <c r="J133" s="63">
        <f>E133*50%</f>
        <v>4365.3950000000004</v>
      </c>
      <c r="K133" s="36">
        <f>E133*350%</f>
        <v>30557.765000000003</v>
      </c>
      <c r="L133" s="63">
        <f>E133*100%</f>
        <v>8730.7900000000009</v>
      </c>
      <c r="M133" s="36">
        <f>25000+4000</f>
        <v>29000</v>
      </c>
      <c r="N133" s="36"/>
      <c r="O133" s="63">
        <f>E133*10%</f>
        <v>873.07900000000018</v>
      </c>
      <c r="P133" s="63">
        <v>5000</v>
      </c>
      <c r="Q133" s="63">
        <v>0</v>
      </c>
      <c r="R133" s="36">
        <f>SUM(E133:Q133)</f>
        <v>385794.99825</v>
      </c>
      <c r="S133" s="36"/>
      <c r="T133" s="36">
        <f>5000+3000</f>
        <v>8000</v>
      </c>
      <c r="U133" s="36">
        <f>22916.67</f>
        <v>22916.67</v>
      </c>
      <c r="V133" s="36"/>
      <c r="W133" s="36">
        <v>236.04</v>
      </c>
      <c r="X133" s="36">
        <f t="shared" si="35"/>
        <v>31152.71</v>
      </c>
      <c r="Y133" s="36">
        <v>56783.37</v>
      </c>
      <c r="Z133" s="36">
        <f t="shared" si="33"/>
        <v>354642.28824999998</v>
      </c>
    </row>
    <row r="134" spans="1:26" ht="20.100000000000001" customHeight="1" x14ac:dyDescent="0.3">
      <c r="A134" s="33">
        <v>28</v>
      </c>
      <c r="B134" s="62" t="s">
        <v>230</v>
      </c>
      <c r="C134" s="62" t="s">
        <v>226</v>
      </c>
      <c r="D134" s="86" t="s">
        <v>227</v>
      </c>
      <c r="E134" s="87">
        <f t="shared" si="36"/>
        <v>8730.7900000000009</v>
      </c>
      <c r="F134" s="27">
        <f>ARREARS!V55</f>
        <v>271690</v>
      </c>
      <c r="G134" s="63">
        <f>E134*300%</f>
        <v>26192.370000000003</v>
      </c>
      <c r="H134" s="63">
        <f>E134*7.5%</f>
        <v>654.80925000000002</v>
      </c>
      <c r="I134" s="63">
        <v>0</v>
      </c>
      <c r="J134" s="63">
        <f>E134*50%</f>
        <v>4365.3950000000004</v>
      </c>
      <c r="K134" s="36">
        <f>E134*350%</f>
        <v>30557.765000000003</v>
      </c>
      <c r="L134" s="63">
        <f>E134*100%</f>
        <v>8730.7900000000009</v>
      </c>
      <c r="M134" s="36">
        <f>25000+4000</f>
        <v>29000</v>
      </c>
      <c r="N134" s="36"/>
      <c r="O134" s="63">
        <f>E134*10%</f>
        <v>873.07900000000018</v>
      </c>
      <c r="P134" s="63">
        <v>5000</v>
      </c>
      <c r="Q134" s="63">
        <v>0</v>
      </c>
      <c r="R134" s="36">
        <f>SUM(E134:Q134)</f>
        <v>385794.99825</v>
      </c>
      <c r="S134" s="36"/>
      <c r="T134" s="36">
        <f>5000+3000</f>
        <v>8000</v>
      </c>
      <c r="U134" s="36">
        <f>15972.22</f>
        <v>15972.22</v>
      </c>
      <c r="V134" s="36"/>
      <c r="W134" s="36">
        <v>236.04</v>
      </c>
      <c r="X134" s="36">
        <f t="shared" si="35"/>
        <v>24208.260000000002</v>
      </c>
      <c r="Y134" s="36">
        <v>63727.82</v>
      </c>
      <c r="Z134" s="36">
        <f t="shared" si="33"/>
        <v>361586.73824999999</v>
      </c>
    </row>
    <row r="135" spans="1:26" ht="20.100000000000001" customHeight="1" x14ac:dyDescent="0.3">
      <c r="A135" s="33">
        <v>29</v>
      </c>
      <c r="B135" s="62" t="s">
        <v>231</v>
      </c>
      <c r="C135" s="62" t="s">
        <v>226</v>
      </c>
      <c r="D135" s="86" t="s">
        <v>227</v>
      </c>
      <c r="E135" s="87">
        <f t="shared" si="36"/>
        <v>8730.7900000000009</v>
      </c>
      <c r="F135" s="27">
        <f>ARREARS!V56</f>
        <v>271690</v>
      </c>
      <c r="G135" s="63">
        <f>E135*300%</f>
        <v>26192.370000000003</v>
      </c>
      <c r="H135" s="63">
        <f>E135*7.5%</f>
        <v>654.80925000000002</v>
      </c>
      <c r="I135" s="63">
        <v>0</v>
      </c>
      <c r="J135" s="63">
        <f>E135*50%</f>
        <v>4365.3950000000004</v>
      </c>
      <c r="K135" s="36">
        <f>E135*350%</f>
        <v>30557.765000000003</v>
      </c>
      <c r="L135" s="63">
        <f>E135*100%</f>
        <v>8730.7900000000009</v>
      </c>
      <c r="M135" s="36">
        <f>25000+4000</f>
        <v>29000</v>
      </c>
      <c r="N135" s="36"/>
      <c r="O135" s="63">
        <f>E135*10%</f>
        <v>873.07900000000018</v>
      </c>
      <c r="P135" s="63">
        <v>5000</v>
      </c>
      <c r="Q135" s="63">
        <v>0</v>
      </c>
      <c r="R135" s="36">
        <f>SUM(E135:Q135)</f>
        <v>385794.99825</v>
      </c>
      <c r="S135" s="36"/>
      <c r="T135" s="36">
        <v>5000</v>
      </c>
      <c r="U135" s="36">
        <f>0</f>
        <v>0</v>
      </c>
      <c r="V135" s="36"/>
      <c r="W135" s="36">
        <v>236.04</v>
      </c>
      <c r="X135" s="36">
        <f t="shared" si="35"/>
        <v>5236.04</v>
      </c>
      <c r="Y135" s="36">
        <v>81700.040000000008</v>
      </c>
      <c r="Z135" s="36">
        <f t="shared" si="33"/>
        <v>380558.95825000003</v>
      </c>
    </row>
    <row r="136" spans="1:26" ht="20.100000000000001" customHeight="1" x14ac:dyDescent="0.3">
      <c r="A136" s="33">
        <v>30</v>
      </c>
      <c r="B136" s="62" t="s">
        <v>232</v>
      </c>
      <c r="C136" s="62" t="s">
        <v>226</v>
      </c>
      <c r="D136" s="86" t="s">
        <v>227</v>
      </c>
      <c r="E136" s="87">
        <f t="shared" si="36"/>
        <v>8730.7900000000009</v>
      </c>
      <c r="F136" s="27">
        <f>ARREARS!V57</f>
        <v>271690</v>
      </c>
      <c r="G136" s="63">
        <f>E136*300%</f>
        <v>26192.370000000003</v>
      </c>
      <c r="H136" s="63">
        <f>E136*7.5%</f>
        <v>654.80925000000002</v>
      </c>
      <c r="I136" s="63">
        <v>0</v>
      </c>
      <c r="J136" s="63">
        <f>E136*50%</f>
        <v>4365.3950000000004</v>
      </c>
      <c r="K136" s="36">
        <f>E136*350%</f>
        <v>30557.765000000003</v>
      </c>
      <c r="L136" s="63">
        <f>E136*100%</f>
        <v>8730.7900000000009</v>
      </c>
      <c r="M136" s="36">
        <f>25000+3000</f>
        <v>28000</v>
      </c>
      <c r="N136" s="36"/>
      <c r="O136" s="63">
        <f>E136*10%</f>
        <v>873.07900000000018</v>
      </c>
      <c r="P136" s="63">
        <v>5000</v>
      </c>
      <c r="Q136" s="63">
        <v>0</v>
      </c>
      <c r="R136" s="36">
        <f>SUM(E136:Q136)</f>
        <v>384794.99825</v>
      </c>
      <c r="S136" s="36"/>
      <c r="T136" s="36">
        <f>10000+3000</f>
        <v>13000</v>
      </c>
      <c r="U136" s="36">
        <f>25704.84+100000</f>
        <v>125704.84</v>
      </c>
      <c r="V136" s="36">
        <f>'[2]Jan 2021'!$H$57</f>
        <v>29320.188749999998</v>
      </c>
      <c r="W136" s="36">
        <v>236.04</v>
      </c>
      <c r="X136" s="36">
        <f t="shared" si="35"/>
        <v>168261.06875000001</v>
      </c>
      <c r="Y136" s="36">
        <v>47850.960000000006</v>
      </c>
      <c r="Z136" s="36">
        <f t="shared" si="33"/>
        <v>216533.9295</v>
      </c>
    </row>
    <row r="137" spans="1:26" ht="20.100000000000001" customHeight="1" x14ac:dyDescent="0.3">
      <c r="A137" s="33">
        <v>31</v>
      </c>
      <c r="B137" s="62" t="s">
        <v>233</v>
      </c>
      <c r="C137" s="62" t="s">
        <v>226</v>
      </c>
      <c r="D137" s="86" t="s">
        <v>227</v>
      </c>
      <c r="E137" s="87">
        <f t="shared" si="36"/>
        <v>8730.7900000000009</v>
      </c>
      <c r="F137" s="27">
        <f>ARREARS!V58</f>
        <v>271690</v>
      </c>
      <c r="G137" s="63">
        <f>E137*300%</f>
        <v>26192.370000000003</v>
      </c>
      <c r="H137" s="63">
        <f>E137*7.5%</f>
        <v>654.80925000000002</v>
      </c>
      <c r="I137" s="63">
        <v>0</v>
      </c>
      <c r="J137" s="63">
        <f>E137*50%</f>
        <v>4365.3950000000004</v>
      </c>
      <c r="K137" s="36">
        <f>E137*350%</f>
        <v>30557.765000000003</v>
      </c>
      <c r="L137" s="63">
        <f>E137*100%</f>
        <v>8730.7900000000009</v>
      </c>
      <c r="M137" s="36">
        <f>25000+7000</f>
        <v>32000</v>
      </c>
      <c r="N137" s="36"/>
      <c r="O137" s="63">
        <f>E137*10%</f>
        <v>873.07900000000018</v>
      </c>
      <c r="P137" s="63">
        <v>5000</v>
      </c>
      <c r="Q137" s="63">
        <v>0</v>
      </c>
      <c r="R137" s="36">
        <f>SUM(E137:Q137)</f>
        <v>388794.99825</v>
      </c>
      <c r="S137" s="36"/>
      <c r="T137" s="36">
        <f>3000+3000</f>
        <v>6000</v>
      </c>
      <c r="U137" s="36">
        <f>8237.49</f>
        <v>8237.49</v>
      </c>
      <c r="V137" s="36"/>
      <c r="W137" s="36">
        <v>236.04</v>
      </c>
      <c r="X137" s="36">
        <f t="shared" si="35"/>
        <v>14473.53</v>
      </c>
      <c r="Y137" s="36">
        <v>76462.55</v>
      </c>
      <c r="Z137" s="36">
        <f t="shared" si="33"/>
        <v>374321.46824999998</v>
      </c>
    </row>
    <row r="138" spans="1:26" ht="20.100000000000001" customHeight="1" x14ac:dyDescent="0.3">
      <c r="A138" s="33">
        <v>32</v>
      </c>
      <c r="B138" s="62" t="s">
        <v>234</v>
      </c>
      <c r="C138" s="62" t="s">
        <v>235</v>
      </c>
      <c r="D138" s="67" t="s">
        <v>236</v>
      </c>
      <c r="E138" s="63">
        <f t="shared" ref="E138:E144" si="37">5598.92</f>
        <v>5598.92</v>
      </c>
      <c r="F138" s="27"/>
      <c r="G138" s="63">
        <f>E138*300%</f>
        <v>16796.760000000002</v>
      </c>
      <c r="H138" s="63">
        <f>E138*7.5%</f>
        <v>419.91899999999998</v>
      </c>
      <c r="I138" s="63">
        <v>0</v>
      </c>
      <c r="J138" s="63">
        <f>E138*50%</f>
        <v>2799.46</v>
      </c>
      <c r="K138" s="36">
        <f>E138*350%</f>
        <v>19596.22</v>
      </c>
      <c r="L138" s="63">
        <f>E138*100%</f>
        <v>5598.92</v>
      </c>
      <c r="M138" s="36">
        <f t="shared" ref="M138:M156" si="38">25000+7000</f>
        <v>32000</v>
      </c>
      <c r="N138" s="36"/>
      <c r="O138" s="63">
        <f>E138*10%</f>
        <v>559.89200000000005</v>
      </c>
      <c r="P138" s="63">
        <v>5000</v>
      </c>
      <c r="Q138" s="63">
        <v>0</v>
      </c>
      <c r="R138" s="36">
        <f>SUM(E138:Q138)</f>
        <v>88370.091</v>
      </c>
      <c r="S138" s="36"/>
      <c r="T138" s="36">
        <f>5000+3000</f>
        <v>8000</v>
      </c>
      <c r="U138" s="36">
        <f>18333.33</f>
        <v>18333.330000000002</v>
      </c>
      <c r="V138" s="36"/>
      <c r="W138" s="36">
        <v>236.04</v>
      </c>
      <c r="X138" s="36">
        <f t="shared" si="35"/>
        <v>26569.370000000003</v>
      </c>
      <c r="Y138" s="36">
        <v>26233.631000000016</v>
      </c>
      <c r="Z138" s="36">
        <f t="shared" si="33"/>
        <v>61800.720999999998</v>
      </c>
    </row>
    <row r="139" spans="1:26" ht="20.100000000000001" customHeight="1" x14ac:dyDescent="0.3">
      <c r="A139" s="33">
        <v>33</v>
      </c>
      <c r="B139" s="62" t="s">
        <v>237</v>
      </c>
      <c r="C139" s="62" t="s">
        <v>235</v>
      </c>
      <c r="D139" s="67" t="s">
        <v>236</v>
      </c>
      <c r="E139" s="63">
        <f t="shared" si="37"/>
        <v>5598.92</v>
      </c>
      <c r="F139" s="27"/>
      <c r="G139" s="63">
        <f>E139*300%</f>
        <v>16796.760000000002</v>
      </c>
      <c r="H139" s="63">
        <f>E139*7.5%</f>
        <v>419.91899999999998</v>
      </c>
      <c r="I139" s="63">
        <v>0</v>
      </c>
      <c r="J139" s="63">
        <f>E139*50%</f>
        <v>2799.46</v>
      </c>
      <c r="K139" s="36">
        <f>E139*350%</f>
        <v>19596.22</v>
      </c>
      <c r="L139" s="63">
        <f>E139*100%</f>
        <v>5598.92</v>
      </c>
      <c r="M139" s="36">
        <f>25000+4000</f>
        <v>29000</v>
      </c>
      <c r="N139" s="36"/>
      <c r="O139" s="63">
        <f>E139*10%</f>
        <v>559.89200000000005</v>
      </c>
      <c r="P139" s="63">
        <v>5000</v>
      </c>
      <c r="Q139" s="63">
        <v>0</v>
      </c>
      <c r="R139" s="36">
        <f>SUM(E139:Q139)</f>
        <v>85370.091</v>
      </c>
      <c r="S139" s="36"/>
      <c r="T139" s="36">
        <f>3000+3000</f>
        <v>6000</v>
      </c>
      <c r="U139" s="36">
        <f>13750</f>
        <v>13750</v>
      </c>
      <c r="V139" s="36"/>
      <c r="W139" s="36">
        <v>236.04</v>
      </c>
      <c r="X139" s="36">
        <f t="shared" si="35"/>
        <v>19986.04</v>
      </c>
      <c r="Y139" s="36">
        <v>44816.961000000018</v>
      </c>
      <c r="Z139" s="36">
        <f t="shared" si="33"/>
        <v>65384.050999999999</v>
      </c>
    </row>
    <row r="140" spans="1:26" ht="20.100000000000001" customHeight="1" x14ac:dyDescent="0.3">
      <c r="A140" s="33">
        <v>34</v>
      </c>
      <c r="B140" s="62" t="s">
        <v>238</v>
      </c>
      <c r="C140" s="62" t="s">
        <v>235</v>
      </c>
      <c r="D140" s="67" t="s">
        <v>236</v>
      </c>
      <c r="E140" s="63">
        <f t="shared" si="37"/>
        <v>5598.92</v>
      </c>
      <c r="F140" s="27"/>
      <c r="G140" s="63">
        <f>E140*300%</f>
        <v>16796.760000000002</v>
      </c>
      <c r="H140" s="63">
        <f>E140*7.5%</f>
        <v>419.91899999999998</v>
      </c>
      <c r="I140" s="63">
        <v>0</v>
      </c>
      <c r="J140" s="63">
        <f>E140*50%</f>
        <v>2799.46</v>
      </c>
      <c r="K140" s="36">
        <f>E140*350%</f>
        <v>19596.22</v>
      </c>
      <c r="L140" s="63">
        <f>E140*100%</f>
        <v>5598.92</v>
      </c>
      <c r="M140" s="36">
        <f>25000+4000</f>
        <v>29000</v>
      </c>
      <c r="N140" s="36"/>
      <c r="O140" s="63">
        <f>E140*10%</f>
        <v>559.89200000000005</v>
      </c>
      <c r="P140" s="63">
        <v>5000</v>
      </c>
      <c r="Q140" s="63">
        <v>0</v>
      </c>
      <c r="R140" s="36">
        <f>SUM(E140:Q140)</f>
        <v>85370.091</v>
      </c>
      <c r="S140" s="36"/>
      <c r="T140" s="36">
        <f>3000+3000</f>
        <v>6000</v>
      </c>
      <c r="U140" s="36">
        <f>16729.17</f>
        <v>16729.169999999998</v>
      </c>
      <c r="V140" s="36"/>
      <c r="W140" s="36">
        <v>236.04</v>
      </c>
      <c r="X140" s="36">
        <f t="shared" si="35"/>
        <v>22965.21</v>
      </c>
      <c r="Y140" s="36">
        <v>61837.791000000019</v>
      </c>
      <c r="Z140" s="36">
        <f t="shared" si="33"/>
        <v>62404.881000000001</v>
      </c>
    </row>
    <row r="141" spans="1:26" ht="20.100000000000001" customHeight="1" x14ac:dyDescent="0.3">
      <c r="A141" s="33">
        <v>35</v>
      </c>
      <c r="B141" s="33" t="s">
        <v>239</v>
      </c>
      <c r="C141" s="62" t="s">
        <v>235</v>
      </c>
      <c r="D141" s="67" t="s">
        <v>236</v>
      </c>
      <c r="E141" s="63">
        <f t="shared" si="37"/>
        <v>5598.92</v>
      </c>
      <c r="F141" s="27"/>
      <c r="G141" s="63">
        <f>E141*300%</f>
        <v>16796.760000000002</v>
      </c>
      <c r="H141" s="63">
        <f>E141*7.5%</f>
        <v>419.91899999999998</v>
      </c>
      <c r="I141" s="63">
        <v>0</v>
      </c>
      <c r="J141" s="63">
        <f>E141*50%</f>
        <v>2799.46</v>
      </c>
      <c r="K141" s="36">
        <f>E141*350%</f>
        <v>19596.22</v>
      </c>
      <c r="L141" s="63">
        <f>E140*100%</f>
        <v>5598.92</v>
      </c>
      <c r="M141" s="36">
        <f t="shared" si="38"/>
        <v>32000</v>
      </c>
      <c r="N141" s="36"/>
      <c r="O141" s="63">
        <f>E141*10%</f>
        <v>559.89200000000005</v>
      </c>
      <c r="P141" s="63">
        <v>5000</v>
      </c>
      <c r="Q141" s="63">
        <v>0</v>
      </c>
      <c r="R141" s="36">
        <f>SUM(E141:Q141)</f>
        <v>88370.091</v>
      </c>
      <c r="S141" s="36"/>
      <c r="T141" s="36">
        <f>5000+3000</f>
        <v>8000</v>
      </c>
      <c r="U141" s="36">
        <f>26000</f>
        <v>26000</v>
      </c>
      <c r="V141" s="36"/>
      <c r="W141" s="36">
        <v>236.04</v>
      </c>
      <c r="X141" s="36">
        <f t="shared" si="35"/>
        <v>34236.04</v>
      </c>
      <c r="Y141" s="36">
        <v>23566.961000000018</v>
      </c>
      <c r="Z141" s="36">
        <f t="shared" ref="Z141:Z157" si="39">R141-X141</f>
        <v>54134.050999999999</v>
      </c>
    </row>
    <row r="142" spans="1:26" ht="20.100000000000001" customHeight="1" x14ac:dyDescent="0.3">
      <c r="A142" s="33">
        <v>36</v>
      </c>
      <c r="B142" s="84" t="s">
        <v>240</v>
      </c>
      <c r="C142" s="62" t="s">
        <v>235</v>
      </c>
      <c r="D142" s="67" t="s">
        <v>236</v>
      </c>
      <c r="E142" s="63">
        <f t="shared" si="37"/>
        <v>5598.92</v>
      </c>
      <c r="F142" s="27"/>
      <c r="G142" s="63">
        <f>E142*300%</f>
        <v>16796.760000000002</v>
      </c>
      <c r="H142" s="63">
        <f>E142*7.5%</f>
        <v>419.91899999999998</v>
      </c>
      <c r="I142" s="63"/>
      <c r="J142" s="63">
        <f>E142*50%</f>
        <v>2799.46</v>
      </c>
      <c r="K142" s="36">
        <f>E142*350%</f>
        <v>19596.22</v>
      </c>
      <c r="L142" s="63">
        <f>E142*100%</f>
        <v>5598.92</v>
      </c>
      <c r="M142" s="36">
        <f>25000+4000</f>
        <v>29000</v>
      </c>
      <c r="N142" s="36"/>
      <c r="O142" s="63">
        <f>E142*10%</f>
        <v>559.89200000000005</v>
      </c>
      <c r="P142" s="63">
        <v>5000</v>
      </c>
      <c r="Q142" s="63">
        <v>0</v>
      </c>
      <c r="R142" s="36">
        <f>SUM(E142:Q142)</f>
        <v>85370.091</v>
      </c>
      <c r="S142" s="36"/>
      <c r="T142" s="36">
        <f>10000+3000</f>
        <v>13000</v>
      </c>
      <c r="U142" s="36">
        <f>11347.22</f>
        <v>11347.22</v>
      </c>
      <c r="V142" s="36"/>
      <c r="W142" s="36">
        <v>236.04</v>
      </c>
      <c r="X142" s="36">
        <f t="shared" si="35"/>
        <v>24583.260000000002</v>
      </c>
      <c r="Y142" s="36">
        <v>40219.741000000016</v>
      </c>
      <c r="Z142" s="36">
        <f t="shared" si="39"/>
        <v>60786.830999999998</v>
      </c>
    </row>
    <row r="143" spans="1:26" ht="20.100000000000001" customHeight="1" x14ac:dyDescent="0.3">
      <c r="A143" s="33">
        <v>37</v>
      </c>
      <c r="B143" s="62" t="s">
        <v>241</v>
      </c>
      <c r="C143" s="62" t="s">
        <v>235</v>
      </c>
      <c r="D143" s="67" t="s">
        <v>236</v>
      </c>
      <c r="E143" s="63">
        <f t="shared" si="37"/>
        <v>5598.92</v>
      </c>
      <c r="F143" s="27"/>
      <c r="G143" s="63">
        <f>E143*300%</f>
        <v>16796.760000000002</v>
      </c>
      <c r="H143" s="63">
        <f>E143*7.5%</f>
        <v>419.91899999999998</v>
      </c>
      <c r="I143" s="63"/>
      <c r="J143" s="63">
        <f>E143*50%</f>
        <v>2799.46</v>
      </c>
      <c r="K143" s="36">
        <f>E143*350%</f>
        <v>19596.22</v>
      </c>
      <c r="L143" s="63">
        <f>E143*100%</f>
        <v>5598.92</v>
      </c>
      <c r="M143" s="36">
        <f>25000+4000</f>
        <v>29000</v>
      </c>
      <c r="N143" s="36"/>
      <c r="O143" s="63">
        <f>E143*10%</f>
        <v>559.89200000000005</v>
      </c>
      <c r="P143" s="63">
        <v>5000</v>
      </c>
      <c r="Q143" s="63">
        <v>0</v>
      </c>
      <c r="R143" s="36">
        <f>SUM(E143:Q143)</f>
        <v>85370.091</v>
      </c>
      <c r="S143" s="36"/>
      <c r="T143" s="36">
        <f>3000+3000</f>
        <v>6000</v>
      </c>
      <c r="U143" s="36">
        <f>9166.67</f>
        <v>9166.67</v>
      </c>
      <c r="V143" s="36"/>
      <c r="W143" s="36">
        <v>236.04</v>
      </c>
      <c r="X143" s="36">
        <f t="shared" si="35"/>
        <v>15402.710000000001</v>
      </c>
      <c r="Y143" s="36">
        <v>45400.291000000019</v>
      </c>
      <c r="Z143" s="36">
        <f t="shared" si="39"/>
        <v>69967.380999999994</v>
      </c>
    </row>
    <row r="144" spans="1:26" ht="20.100000000000001" customHeight="1" x14ac:dyDescent="0.3">
      <c r="A144" s="33">
        <v>38</v>
      </c>
      <c r="B144" s="62" t="s">
        <v>242</v>
      </c>
      <c r="C144" s="62" t="s">
        <v>235</v>
      </c>
      <c r="D144" s="67" t="s">
        <v>236</v>
      </c>
      <c r="E144" s="63">
        <f t="shared" si="37"/>
        <v>5598.92</v>
      </c>
      <c r="F144" s="27"/>
      <c r="G144" s="63">
        <f>E144*300%</f>
        <v>16796.760000000002</v>
      </c>
      <c r="H144" s="63">
        <f>E144*7.5%</f>
        <v>419.91899999999998</v>
      </c>
      <c r="I144" s="63"/>
      <c r="J144" s="63">
        <f>E144*50%</f>
        <v>2799.46</v>
      </c>
      <c r="K144" s="36">
        <f>E144*350%</f>
        <v>19596.22</v>
      </c>
      <c r="L144" s="63">
        <f>E144*100%</f>
        <v>5598.92</v>
      </c>
      <c r="M144" s="36">
        <f t="shared" si="38"/>
        <v>32000</v>
      </c>
      <c r="N144" s="36"/>
      <c r="O144" s="63">
        <f>E144*10%</f>
        <v>559.89200000000005</v>
      </c>
      <c r="P144" s="63">
        <v>5000</v>
      </c>
      <c r="Q144" s="63">
        <v>0</v>
      </c>
      <c r="R144" s="36">
        <f>SUM(E144:Q144)</f>
        <v>88370.091</v>
      </c>
      <c r="S144" s="36"/>
      <c r="T144" s="36">
        <f>10000+3000</f>
        <v>13000</v>
      </c>
      <c r="U144" s="36">
        <f>18791.67</f>
        <v>18791.669999999998</v>
      </c>
      <c r="V144" s="36"/>
      <c r="W144" s="36">
        <v>236.04</v>
      </c>
      <c r="X144" s="36">
        <f t="shared" si="35"/>
        <v>32027.71</v>
      </c>
      <c r="Y144" s="36">
        <v>55775.291000000019</v>
      </c>
      <c r="Z144" s="36">
        <f t="shared" si="39"/>
        <v>56342.381000000001</v>
      </c>
    </row>
    <row r="145" spans="1:27" ht="20.100000000000001" customHeight="1" x14ac:dyDescent="0.3">
      <c r="A145" s="33">
        <v>39</v>
      </c>
      <c r="B145" s="84" t="s">
        <v>243</v>
      </c>
      <c r="C145" s="62" t="s">
        <v>235</v>
      </c>
      <c r="D145" s="67" t="s">
        <v>244</v>
      </c>
      <c r="E145" s="63">
        <f>5086.76</f>
        <v>5086.76</v>
      </c>
      <c r="F145" s="27"/>
      <c r="G145" s="63">
        <f>E145*300%</f>
        <v>15260.28</v>
      </c>
      <c r="H145" s="63">
        <f>E145*7.5%</f>
        <v>381.50700000000001</v>
      </c>
      <c r="I145" s="63"/>
      <c r="J145" s="63">
        <f>E145*50%</f>
        <v>2543.38</v>
      </c>
      <c r="K145" s="36">
        <f>E145*350%</f>
        <v>17803.66</v>
      </c>
      <c r="L145" s="63">
        <f>E145*100%</f>
        <v>5086.76</v>
      </c>
      <c r="M145" s="36">
        <f t="shared" si="38"/>
        <v>32000</v>
      </c>
      <c r="N145" s="36"/>
      <c r="O145" s="63">
        <f>E145*10%</f>
        <v>508.67600000000004</v>
      </c>
      <c r="P145" s="63">
        <v>5000</v>
      </c>
      <c r="Q145" s="63">
        <v>0</v>
      </c>
      <c r="R145" s="36">
        <f>SUM(E145:Q145)</f>
        <v>83671.023000000016</v>
      </c>
      <c r="S145" s="36"/>
      <c r="T145" s="36">
        <f>10000+3000</f>
        <v>13000</v>
      </c>
      <c r="U145" s="36">
        <f>13125</f>
        <v>13125</v>
      </c>
      <c r="V145" s="36"/>
      <c r="W145" s="36">
        <v>236.04</v>
      </c>
      <c r="X145" s="36">
        <f t="shared" si="35"/>
        <v>26361.040000000001</v>
      </c>
      <c r="Y145" s="36">
        <v>36742.984749999996</v>
      </c>
      <c r="Z145" s="36">
        <f t="shared" si="39"/>
        <v>57309.983000000015</v>
      </c>
    </row>
    <row r="146" spans="1:27" ht="20.100000000000001" customHeight="1" x14ac:dyDescent="0.3">
      <c r="A146" s="33">
        <v>40</v>
      </c>
      <c r="B146" s="84" t="s">
        <v>245</v>
      </c>
      <c r="C146" s="62" t="s">
        <v>235</v>
      </c>
      <c r="D146" s="67" t="s">
        <v>244</v>
      </c>
      <c r="E146" s="63">
        <f>5086.76</f>
        <v>5086.76</v>
      </c>
      <c r="F146" s="27"/>
      <c r="G146" s="63">
        <f>E146*300%</f>
        <v>15260.28</v>
      </c>
      <c r="H146" s="63">
        <f>E146*7.5%</f>
        <v>381.50700000000001</v>
      </c>
      <c r="I146" s="63"/>
      <c r="J146" s="63">
        <f>E146*50%</f>
        <v>2543.38</v>
      </c>
      <c r="K146" s="36">
        <f>E146*350%</f>
        <v>17803.66</v>
      </c>
      <c r="L146" s="63">
        <f>E146*100%</f>
        <v>5086.76</v>
      </c>
      <c r="M146" s="36">
        <f t="shared" si="38"/>
        <v>32000</v>
      </c>
      <c r="N146" s="36"/>
      <c r="O146" s="63">
        <f>E146*10%</f>
        <v>508.67600000000004</v>
      </c>
      <c r="P146" s="63">
        <v>5000</v>
      </c>
      <c r="Q146" s="63">
        <v>0</v>
      </c>
      <c r="R146" s="36">
        <f>SUM(E146:Q146)</f>
        <v>83671.023000000016</v>
      </c>
      <c r="S146" s="36"/>
      <c r="T146" s="36">
        <f>20000+3000</f>
        <v>23000</v>
      </c>
      <c r="U146" s="36"/>
      <c r="V146" s="36"/>
      <c r="W146" s="36">
        <v>236.04</v>
      </c>
      <c r="X146" s="36">
        <f t="shared" si="35"/>
        <v>23236.04</v>
      </c>
      <c r="Y146" s="36">
        <v>69867.984750000003</v>
      </c>
      <c r="Z146" s="36">
        <f t="shared" si="39"/>
        <v>60434.983000000015</v>
      </c>
    </row>
    <row r="147" spans="1:27" ht="20.100000000000001" customHeight="1" x14ac:dyDescent="0.3">
      <c r="A147" s="33">
        <v>41</v>
      </c>
      <c r="B147" s="62" t="s">
        <v>246</v>
      </c>
      <c r="C147" s="62" t="s">
        <v>235</v>
      </c>
      <c r="D147" s="67" t="s">
        <v>247</v>
      </c>
      <c r="E147" s="63">
        <f>5257.44</f>
        <v>5257.44</v>
      </c>
      <c r="F147" s="27">
        <f>ARREARS!AG59</f>
        <v>217948</v>
      </c>
      <c r="G147" s="63">
        <f>E147*300%</f>
        <v>15772.32</v>
      </c>
      <c r="H147" s="63">
        <f>E147*7.5%</f>
        <v>394.30799999999994</v>
      </c>
      <c r="I147" s="63"/>
      <c r="J147" s="63">
        <f>E147*50%</f>
        <v>2628.72</v>
      </c>
      <c r="K147" s="36">
        <f>E147*350%</f>
        <v>18401.039999999997</v>
      </c>
      <c r="L147" s="63">
        <f>E147*100%</f>
        <v>5257.44</v>
      </c>
      <c r="M147" s="36">
        <f t="shared" si="38"/>
        <v>32000</v>
      </c>
      <c r="N147" s="36"/>
      <c r="O147" s="63">
        <f>E147*10%</f>
        <v>525.74400000000003</v>
      </c>
      <c r="P147" s="63">
        <v>5000</v>
      </c>
      <c r="Q147" s="63">
        <v>0</v>
      </c>
      <c r="R147" s="36">
        <f>SUM(E147:Q147)</f>
        <v>303185.01199999999</v>
      </c>
      <c r="S147" s="36"/>
      <c r="T147" s="36">
        <f>3000+3000</f>
        <v>6000</v>
      </c>
      <c r="U147" s="36">
        <f>48471.28</f>
        <v>48471.28</v>
      </c>
      <c r="V147" s="36"/>
      <c r="W147" s="36">
        <v>236.04</v>
      </c>
      <c r="X147" s="36">
        <f t="shared" si="35"/>
        <v>54707.32</v>
      </c>
      <c r="Y147" s="36">
        <v>27665.732500000006</v>
      </c>
      <c r="Z147" s="36">
        <f t="shared" si="39"/>
        <v>248477.69199999998</v>
      </c>
    </row>
    <row r="148" spans="1:27" ht="20.100000000000001" customHeight="1" x14ac:dyDescent="0.3">
      <c r="A148" s="33">
        <v>42</v>
      </c>
      <c r="B148" s="84" t="s">
        <v>248</v>
      </c>
      <c r="C148" s="62" t="s">
        <v>235</v>
      </c>
      <c r="D148" s="67" t="s">
        <v>249</v>
      </c>
      <c r="E148" s="63">
        <f>4915.97</f>
        <v>4915.97</v>
      </c>
      <c r="F148" s="27">
        <f>ARREARS!V60</f>
        <v>4776</v>
      </c>
      <c r="G148" s="63">
        <f>E148*300%</f>
        <v>14747.91</v>
      </c>
      <c r="H148" s="63">
        <f>E148*7.5%</f>
        <v>368.69774999999998</v>
      </c>
      <c r="I148" s="63"/>
      <c r="J148" s="63">
        <f>E148*50%</f>
        <v>2457.9850000000001</v>
      </c>
      <c r="K148" s="36">
        <f>E148*350%</f>
        <v>17205.895</v>
      </c>
      <c r="L148" s="63">
        <f>E148*100%</f>
        <v>4915.97</v>
      </c>
      <c r="M148" s="36">
        <f t="shared" si="38"/>
        <v>32000</v>
      </c>
      <c r="N148" s="36"/>
      <c r="O148" s="63">
        <f>E148*10%</f>
        <v>491.59700000000004</v>
      </c>
      <c r="P148" s="63">
        <v>5000</v>
      </c>
      <c r="Q148" s="63">
        <v>0</v>
      </c>
      <c r="R148" s="36">
        <f>SUM(E148:Q148)</f>
        <v>86880.024749999997</v>
      </c>
      <c r="S148" s="36"/>
      <c r="T148" s="36">
        <f>30000</f>
        <v>30000</v>
      </c>
      <c r="U148" s="36">
        <f>11458.33</f>
        <v>11458.33</v>
      </c>
      <c r="V148" s="36"/>
      <c r="W148" s="36">
        <v>236.04</v>
      </c>
      <c r="X148" s="36">
        <f t="shared" si="35"/>
        <v>41694.370000000003</v>
      </c>
      <c r="Y148" s="36">
        <v>15633.700250000016</v>
      </c>
      <c r="Z148" s="36">
        <f t="shared" si="39"/>
        <v>45185.654749999994</v>
      </c>
    </row>
    <row r="149" spans="1:27" ht="20.100000000000001" customHeight="1" x14ac:dyDescent="0.3">
      <c r="A149" s="33">
        <v>43</v>
      </c>
      <c r="B149" s="84" t="s">
        <v>250</v>
      </c>
      <c r="C149" s="62" t="s">
        <v>251</v>
      </c>
      <c r="D149" s="67" t="s">
        <v>252</v>
      </c>
      <c r="E149" s="63">
        <f t="shared" ref="E149:E154" si="40">4836.3</f>
        <v>4836.3</v>
      </c>
      <c r="F149" s="27"/>
      <c r="G149" s="63">
        <f>E149*300%</f>
        <v>14508.900000000001</v>
      </c>
      <c r="H149" s="63">
        <f>E149*7.5%</f>
        <v>362.72250000000003</v>
      </c>
      <c r="I149" s="63"/>
      <c r="J149" s="63">
        <f>E149*50%</f>
        <v>2418.15</v>
      </c>
      <c r="K149" s="36">
        <f>E149*350%</f>
        <v>16927.05</v>
      </c>
      <c r="L149" s="63">
        <f>E149*100%</f>
        <v>4836.3</v>
      </c>
      <c r="M149" s="36">
        <f>25000+4000</f>
        <v>29000</v>
      </c>
      <c r="N149" s="36"/>
      <c r="O149" s="63">
        <f>E149*10%</f>
        <v>483.63000000000005</v>
      </c>
      <c r="P149" s="63">
        <v>5000</v>
      </c>
      <c r="Q149" s="63">
        <v>0</v>
      </c>
      <c r="R149" s="36">
        <f>SUM(E149:Q149)</f>
        <v>78373.052500000005</v>
      </c>
      <c r="S149" s="36"/>
      <c r="T149" s="36">
        <f>5000</f>
        <v>5000</v>
      </c>
      <c r="U149" s="36"/>
      <c r="V149" s="36"/>
      <c r="W149" s="36">
        <v>236.04</v>
      </c>
      <c r="X149" s="36">
        <f t="shared" si="35"/>
        <v>5236.04</v>
      </c>
      <c r="Y149" s="36">
        <v>39092.030250000018</v>
      </c>
      <c r="Z149" s="36">
        <f t="shared" si="39"/>
        <v>73137.012500000012</v>
      </c>
    </row>
    <row r="150" spans="1:27" ht="20.100000000000001" customHeight="1" x14ac:dyDescent="0.3">
      <c r="A150" s="33">
        <v>44</v>
      </c>
      <c r="B150" s="84" t="s">
        <v>253</v>
      </c>
      <c r="C150" s="62" t="s">
        <v>251</v>
      </c>
      <c r="D150" s="67" t="s">
        <v>252</v>
      </c>
      <c r="E150" s="63">
        <f t="shared" si="40"/>
        <v>4836.3</v>
      </c>
      <c r="F150" s="27"/>
      <c r="G150" s="63">
        <f>E150*300%</f>
        <v>14508.900000000001</v>
      </c>
      <c r="H150" s="63">
        <f>E150*7.5%</f>
        <v>362.72250000000003</v>
      </c>
      <c r="I150" s="63"/>
      <c r="J150" s="63">
        <f>E150*50%</f>
        <v>2418.15</v>
      </c>
      <c r="K150" s="36">
        <f>E150*350%</f>
        <v>16927.05</v>
      </c>
      <c r="L150" s="63">
        <f>E150*100%</f>
        <v>4836.3</v>
      </c>
      <c r="M150" s="36">
        <f>25000+4000</f>
        <v>29000</v>
      </c>
      <c r="N150" s="36"/>
      <c r="O150" s="63">
        <f>E150*10%</f>
        <v>483.63000000000005</v>
      </c>
      <c r="P150" s="63">
        <v>5000</v>
      </c>
      <c r="Q150" s="63">
        <v>0</v>
      </c>
      <c r="R150" s="36">
        <f>SUM(E150:Q150)</f>
        <v>78373.052500000005</v>
      </c>
      <c r="S150" s="36"/>
      <c r="T150" s="36">
        <f>10000+3000+5000</f>
        <v>18000</v>
      </c>
      <c r="U150" s="36">
        <f>20000</f>
        <v>20000</v>
      </c>
      <c r="V150" s="36"/>
      <c r="W150" s="36">
        <v>236.04</v>
      </c>
      <c r="X150" s="36">
        <f t="shared" si="35"/>
        <v>38236.04</v>
      </c>
      <c r="Y150" s="36">
        <v>17092.030250000018</v>
      </c>
      <c r="Z150" s="36">
        <f t="shared" si="39"/>
        <v>40137.012500000004</v>
      </c>
    </row>
    <row r="151" spans="1:27" ht="20.100000000000001" customHeight="1" x14ac:dyDescent="0.3">
      <c r="A151" s="33">
        <v>45</v>
      </c>
      <c r="B151" s="84" t="s">
        <v>254</v>
      </c>
      <c r="C151" s="62" t="s">
        <v>251</v>
      </c>
      <c r="D151" s="67" t="s">
        <v>252</v>
      </c>
      <c r="E151" s="63">
        <f t="shared" si="40"/>
        <v>4836.3</v>
      </c>
      <c r="F151" s="27">
        <f>0</f>
        <v>0</v>
      </c>
      <c r="G151" s="63">
        <f>E151*300%</f>
        <v>14508.900000000001</v>
      </c>
      <c r="H151" s="63">
        <f>E151*7.5%</f>
        <v>362.72250000000003</v>
      </c>
      <c r="I151" s="63"/>
      <c r="J151" s="63">
        <f>E151*50%</f>
        <v>2418.15</v>
      </c>
      <c r="K151" s="36">
        <f>E151*350%</f>
        <v>16927.05</v>
      </c>
      <c r="L151" s="63">
        <f>E151*100%</f>
        <v>4836.3</v>
      </c>
      <c r="M151" s="36">
        <f t="shared" si="38"/>
        <v>32000</v>
      </c>
      <c r="N151" s="36"/>
      <c r="O151" s="63">
        <f>E151*10%</f>
        <v>483.63000000000005</v>
      </c>
      <c r="P151" s="63">
        <v>5000</v>
      </c>
      <c r="Q151" s="63">
        <v>0</v>
      </c>
      <c r="R151" s="36">
        <f>SUM(E151:Q151)</f>
        <v>81373.052500000005</v>
      </c>
      <c r="S151" s="36"/>
      <c r="T151" s="36">
        <f>5000</f>
        <v>5000</v>
      </c>
      <c r="U151" s="36">
        <f>30087.22</f>
        <v>30087.22</v>
      </c>
      <c r="V151" s="36"/>
      <c r="W151" s="36">
        <v>236.04</v>
      </c>
      <c r="X151" s="36">
        <f t="shared" si="35"/>
        <v>35323.26</v>
      </c>
      <c r="Y151" s="36">
        <v>42004.810250000017</v>
      </c>
      <c r="Z151" s="36">
        <f t="shared" si="39"/>
        <v>46049.792500000003</v>
      </c>
    </row>
    <row r="152" spans="1:27" ht="20.100000000000001" customHeight="1" x14ac:dyDescent="0.3">
      <c r="A152" s="33">
        <v>46</v>
      </c>
      <c r="B152" s="84" t="s">
        <v>255</v>
      </c>
      <c r="C152" s="62" t="s">
        <v>251</v>
      </c>
      <c r="D152" s="67" t="s">
        <v>252</v>
      </c>
      <c r="E152" s="63">
        <f t="shared" si="40"/>
        <v>4836.3</v>
      </c>
      <c r="F152" s="27"/>
      <c r="G152" s="63">
        <f>E152*300%</f>
        <v>14508.900000000001</v>
      </c>
      <c r="H152" s="63">
        <f>E152*7.5%</f>
        <v>362.72250000000003</v>
      </c>
      <c r="I152" s="63"/>
      <c r="J152" s="63">
        <f>E152*50%</f>
        <v>2418.15</v>
      </c>
      <c r="K152" s="36">
        <f>E152*350%</f>
        <v>16927.05</v>
      </c>
      <c r="L152" s="63">
        <f>E152*100%</f>
        <v>4836.3</v>
      </c>
      <c r="M152" s="36">
        <f t="shared" si="38"/>
        <v>32000</v>
      </c>
      <c r="N152" s="36"/>
      <c r="O152" s="63">
        <f>E152*10%</f>
        <v>483.63000000000005</v>
      </c>
      <c r="P152" s="63">
        <v>5000</v>
      </c>
      <c r="Q152" s="63">
        <v>0</v>
      </c>
      <c r="R152" s="36">
        <f>SUM(E152:Q152)</f>
        <v>81373.052500000005</v>
      </c>
      <c r="S152" s="36"/>
      <c r="T152" s="36">
        <f>3000+3000</f>
        <v>6000</v>
      </c>
      <c r="U152" s="36">
        <f>8416.67</f>
        <v>8416.67</v>
      </c>
      <c r="V152" s="36"/>
      <c r="W152" s="36">
        <v>236.04</v>
      </c>
      <c r="X152" s="36">
        <f t="shared" si="35"/>
        <v>14652.710000000001</v>
      </c>
      <c r="Y152" s="36">
        <v>33675.36025000002</v>
      </c>
      <c r="Z152" s="36">
        <f t="shared" si="39"/>
        <v>66720.342499999999</v>
      </c>
    </row>
    <row r="153" spans="1:27" ht="20.100000000000001" customHeight="1" x14ac:dyDescent="0.3">
      <c r="A153" s="33">
        <v>47</v>
      </c>
      <c r="B153" s="84" t="s">
        <v>256</v>
      </c>
      <c r="C153" s="62" t="s">
        <v>251</v>
      </c>
      <c r="D153" s="67" t="s">
        <v>252</v>
      </c>
      <c r="E153" s="63">
        <f t="shared" si="40"/>
        <v>4836.3</v>
      </c>
      <c r="F153" s="27"/>
      <c r="G153" s="63">
        <f>E153*300%</f>
        <v>14508.900000000001</v>
      </c>
      <c r="H153" s="63">
        <f>E153*7.5%</f>
        <v>362.72250000000003</v>
      </c>
      <c r="I153" s="63"/>
      <c r="J153" s="63">
        <f>E153*50%</f>
        <v>2418.15</v>
      </c>
      <c r="K153" s="36">
        <f>E153*350%</f>
        <v>16927.05</v>
      </c>
      <c r="L153" s="63">
        <f>E153*100%</f>
        <v>4836.3</v>
      </c>
      <c r="M153" s="36">
        <f t="shared" si="38"/>
        <v>32000</v>
      </c>
      <c r="N153" s="36"/>
      <c r="O153" s="63">
        <f>E153*10%</f>
        <v>483.63000000000005</v>
      </c>
      <c r="P153" s="63">
        <v>5000</v>
      </c>
      <c r="Q153" s="63">
        <v>0</v>
      </c>
      <c r="R153" s="36">
        <f>SUM(E153:Q153)</f>
        <v>81373.052500000005</v>
      </c>
      <c r="S153" s="36"/>
      <c r="T153" s="36">
        <f>5000</f>
        <v>5000</v>
      </c>
      <c r="U153" s="36">
        <f>13750</f>
        <v>13750</v>
      </c>
      <c r="V153" s="36">
        <v>0</v>
      </c>
      <c r="W153" s="36">
        <v>236.04</v>
      </c>
      <c r="X153" s="36">
        <f t="shared" si="35"/>
        <v>18986.04</v>
      </c>
      <c r="Y153" s="36">
        <v>38342.030250000018</v>
      </c>
      <c r="Z153" s="36">
        <f t="shared" si="39"/>
        <v>62387.012500000004</v>
      </c>
    </row>
    <row r="154" spans="1:27" ht="20.100000000000001" customHeight="1" x14ac:dyDescent="0.3">
      <c r="A154" s="33">
        <v>48</v>
      </c>
      <c r="B154" s="84" t="s">
        <v>257</v>
      </c>
      <c r="C154" s="62" t="s">
        <v>251</v>
      </c>
      <c r="D154" s="67" t="s">
        <v>252</v>
      </c>
      <c r="E154" s="63">
        <f t="shared" si="40"/>
        <v>4836.3</v>
      </c>
      <c r="F154" s="27"/>
      <c r="G154" s="63">
        <f>E154*300%</f>
        <v>14508.900000000001</v>
      </c>
      <c r="H154" s="63">
        <f>E154*7.5%</f>
        <v>362.72250000000003</v>
      </c>
      <c r="I154" s="63"/>
      <c r="J154" s="63">
        <f>E154*50%</f>
        <v>2418.15</v>
      </c>
      <c r="K154" s="36">
        <f>E154*350%</f>
        <v>16927.05</v>
      </c>
      <c r="L154" s="63">
        <f>E154*100%</f>
        <v>4836.3</v>
      </c>
      <c r="M154" s="36">
        <f t="shared" si="38"/>
        <v>32000</v>
      </c>
      <c r="N154" s="36"/>
      <c r="O154" s="63">
        <f>E154*10%</f>
        <v>483.63000000000005</v>
      </c>
      <c r="P154" s="63">
        <v>5000</v>
      </c>
      <c r="Q154" s="63">
        <v>0</v>
      </c>
      <c r="R154" s="36">
        <f>SUM(E154:Q154)</f>
        <v>81373.052500000005</v>
      </c>
      <c r="S154" s="36"/>
      <c r="T154" s="36">
        <f>5000</f>
        <v>5000</v>
      </c>
      <c r="U154" s="36">
        <f>3550.56</f>
        <v>3550.56</v>
      </c>
      <c r="V154" s="36"/>
      <c r="W154" s="36">
        <v>236.04</v>
      </c>
      <c r="X154" s="36">
        <f t="shared" si="35"/>
        <v>8786.6</v>
      </c>
      <c r="Y154" s="36">
        <v>68541.470250000013</v>
      </c>
      <c r="Z154" s="36">
        <f t="shared" si="39"/>
        <v>72586.452499999999</v>
      </c>
      <c r="AA154" s="34"/>
    </row>
    <row r="155" spans="1:27" ht="20.100000000000001" customHeight="1" x14ac:dyDescent="0.3">
      <c r="A155" s="33">
        <v>49</v>
      </c>
      <c r="B155" s="162" t="s">
        <v>258</v>
      </c>
      <c r="C155" s="62" t="s">
        <v>251</v>
      </c>
      <c r="D155" s="67" t="s">
        <v>259</v>
      </c>
      <c r="E155" s="63">
        <f>4395.43</f>
        <v>4395.43</v>
      </c>
      <c r="F155" s="27"/>
      <c r="G155" s="63">
        <f>E155*300%</f>
        <v>13186.29</v>
      </c>
      <c r="H155" s="63">
        <f>E155*7.5%</f>
        <v>329.65725000000003</v>
      </c>
      <c r="I155" s="63"/>
      <c r="J155" s="63">
        <f>E155*50%</f>
        <v>2197.7150000000001</v>
      </c>
      <c r="K155" s="36">
        <f>E155*350%</f>
        <v>15384.005000000001</v>
      </c>
      <c r="L155" s="63">
        <f>E155*100%</f>
        <v>4395.43</v>
      </c>
      <c r="M155" s="36">
        <f t="shared" si="38"/>
        <v>32000</v>
      </c>
      <c r="N155" s="36"/>
      <c r="O155" s="63">
        <f>E155*10%</f>
        <v>439.54300000000006</v>
      </c>
      <c r="P155" s="63">
        <v>5000</v>
      </c>
      <c r="Q155" s="63">
        <v>0</v>
      </c>
      <c r="R155" s="36">
        <f>SUM(E155:Q155)</f>
        <v>77328.070250000019</v>
      </c>
      <c r="S155" s="36"/>
      <c r="T155" s="36">
        <f>5000+3000</f>
        <v>8000</v>
      </c>
      <c r="U155" s="36"/>
      <c r="V155" s="36"/>
      <c r="W155" s="36">
        <v>236.04</v>
      </c>
      <c r="X155" s="36">
        <f t="shared" si="35"/>
        <v>8236.0400000000009</v>
      </c>
      <c r="Y155" s="36">
        <v>68744.039250000016</v>
      </c>
      <c r="Z155" s="36">
        <f t="shared" si="39"/>
        <v>69092.030250000011</v>
      </c>
      <c r="AA155" s="34"/>
    </row>
    <row r="156" spans="1:27" ht="20.100000000000001" customHeight="1" x14ac:dyDescent="0.3">
      <c r="A156" s="33">
        <v>50</v>
      </c>
      <c r="B156" s="99" t="s">
        <v>260</v>
      </c>
      <c r="C156" s="62" t="s">
        <v>251</v>
      </c>
      <c r="D156" s="67" t="s">
        <v>259</v>
      </c>
      <c r="E156" s="63">
        <f>4395.43</f>
        <v>4395.43</v>
      </c>
      <c r="F156" s="27"/>
      <c r="G156" s="63">
        <f>E156*300%</f>
        <v>13186.29</v>
      </c>
      <c r="H156" s="63">
        <f>E156*7.5%</f>
        <v>329.65725000000003</v>
      </c>
      <c r="I156" s="63"/>
      <c r="J156" s="63">
        <f>E156*50%</f>
        <v>2197.7150000000001</v>
      </c>
      <c r="K156" s="36">
        <f>E156*350%</f>
        <v>15384.005000000001</v>
      </c>
      <c r="L156" s="63">
        <f>E156*100%</f>
        <v>4395.43</v>
      </c>
      <c r="M156" s="36">
        <f t="shared" si="38"/>
        <v>32000</v>
      </c>
      <c r="N156" s="36"/>
      <c r="O156" s="63">
        <f>E156*10%</f>
        <v>439.54300000000006</v>
      </c>
      <c r="P156" s="63">
        <v>5000</v>
      </c>
      <c r="Q156" s="63">
        <v>0</v>
      </c>
      <c r="R156" s="36">
        <f>SUM(E156:Q156)</f>
        <v>77328.070250000019</v>
      </c>
      <c r="S156" s="36"/>
      <c r="T156" s="36">
        <f>5000+3000</f>
        <v>8000</v>
      </c>
      <c r="U156" s="36">
        <f>11812.5</f>
        <v>11812.5</v>
      </c>
      <c r="V156" s="36"/>
      <c r="W156" s="36">
        <v>236.04</v>
      </c>
      <c r="X156" s="36">
        <f t="shared" si="35"/>
        <v>20048.54</v>
      </c>
      <c r="Y156" s="36">
        <v>56931.539250000009</v>
      </c>
      <c r="Z156" s="36">
        <f t="shared" si="39"/>
        <v>57279.530250000018</v>
      </c>
      <c r="AA156" s="34"/>
    </row>
    <row r="157" spans="1:27" ht="20.100000000000001" customHeight="1" x14ac:dyDescent="0.3">
      <c r="A157" s="33">
        <v>51</v>
      </c>
      <c r="B157" s="99" t="s">
        <v>261</v>
      </c>
      <c r="C157" s="62" t="s">
        <v>251</v>
      </c>
      <c r="D157" s="67" t="s">
        <v>259</v>
      </c>
      <c r="E157" s="63">
        <f>4395.43</f>
        <v>4395.43</v>
      </c>
      <c r="F157" s="27">
        <f>0</f>
        <v>0</v>
      </c>
      <c r="G157" s="63">
        <f>E157*300%</f>
        <v>13186.29</v>
      </c>
      <c r="H157" s="63">
        <f>E157*7.5%</f>
        <v>329.65725000000003</v>
      </c>
      <c r="I157" s="63"/>
      <c r="J157" s="63">
        <f>E157*50%</f>
        <v>2197.7150000000001</v>
      </c>
      <c r="K157" s="36">
        <f>E157*350%</f>
        <v>15384.005000000001</v>
      </c>
      <c r="L157" s="63">
        <f>E157*100%</f>
        <v>4395.43</v>
      </c>
      <c r="M157" s="36">
        <f>25000+4000</f>
        <v>29000</v>
      </c>
      <c r="N157" s="36"/>
      <c r="O157" s="63">
        <f>E157*10%</f>
        <v>439.54300000000006</v>
      </c>
      <c r="P157" s="63">
        <v>5000</v>
      </c>
      <c r="Q157" s="63">
        <v>0</v>
      </c>
      <c r="R157" s="36">
        <f>SUM(E157:Q157)</f>
        <v>74328.070250000019</v>
      </c>
      <c r="S157" s="36"/>
      <c r="T157" s="36">
        <f>20000</f>
        <v>20000</v>
      </c>
      <c r="U157" s="36">
        <f>17500</f>
        <v>17500</v>
      </c>
      <c r="V157" s="36"/>
      <c r="W157" s="36">
        <v>236.04</v>
      </c>
      <c r="X157" s="36">
        <f t="shared" si="35"/>
        <v>37736.04</v>
      </c>
      <c r="Y157" s="36">
        <v>33895.956499999993</v>
      </c>
      <c r="Z157" s="36">
        <f t="shared" si="39"/>
        <v>36592.030250000018</v>
      </c>
      <c r="AA157" s="34"/>
    </row>
    <row r="158" spans="1:27" ht="20.100000000000001" customHeight="1" x14ac:dyDescent="0.3">
      <c r="A158" s="33"/>
      <c r="B158" s="49" t="s">
        <v>32</v>
      </c>
      <c r="C158" s="50" t="s">
        <v>262</v>
      </c>
      <c r="D158" s="37"/>
      <c r="E158" s="39">
        <f t="shared" ref="E158:Z158" si="41">SUM(E107:E157)</f>
        <v>763986.53000000096</v>
      </c>
      <c r="F158" s="39">
        <f t="shared" si="41"/>
        <v>2986416</v>
      </c>
      <c r="G158" s="39">
        <f t="shared" si="41"/>
        <v>2291959.5899999994</v>
      </c>
      <c r="H158" s="39">
        <f t="shared" si="41"/>
        <v>57298.989749999993</v>
      </c>
      <c r="I158" s="39">
        <f t="shared" si="41"/>
        <v>240733.14</v>
      </c>
      <c r="J158" s="39">
        <f t="shared" si="41"/>
        <v>381993.26500000048</v>
      </c>
      <c r="K158" s="39">
        <f t="shared" si="41"/>
        <v>2673952.8550000018</v>
      </c>
      <c r="L158" s="39">
        <f t="shared" si="41"/>
        <v>763986.53000000096</v>
      </c>
      <c r="M158" s="39">
        <f t="shared" si="41"/>
        <v>3227000</v>
      </c>
      <c r="N158" s="39"/>
      <c r="O158" s="39">
        <f t="shared" si="41"/>
        <v>76398.653000000093</v>
      </c>
      <c r="P158" s="39">
        <f t="shared" si="41"/>
        <v>440000</v>
      </c>
      <c r="Q158" s="39">
        <f t="shared" si="41"/>
        <v>50000</v>
      </c>
      <c r="R158" s="39">
        <f t="shared" si="41"/>
        <v>13953725.552750004</v>
      </c>
      <c r="S158" s="39"/>
      <c r="T158" s="39">
        <f t="shared" si="41"/>
        <v>996500</v>
      </c>
      <c r="U158" s="39">
        <f t="shared" si="41"/>
        <v>1603447.3799999997</v>
      </c>
      <c r="V158" s="39">
        <f t="shared" si="41"/>
        <v>35706.217250000002</v>
      </c>
      <c r="W158" s="39">
        <f t="shared" si="41"/>
        <v>266505.58999999973</v>
      </c>
      <c r="X158" s="39">
        <f t="shared" si="41"/>
        <v>2902159.1872500004</v>
      </c>
      <c r="Y158" s="39">
        <f t="shared" si="41"/>
        <v>7378160.8640000019</v>
      </c>
      <c r="Z158" s="39">
        <f t="shared" si="41"/>
        <v>11051566.365499999</v>
      </c>
      <c r="AA158" s="36"/>
    </row>
    <row r="159" spans="1:27" ht="20.100000000000001" customHeight="1" x14ac:dyDescent="0.3">
      <c r="A159" s="33"/>
      <c r="B159" s="47" t="s">
        <v>263</v>
      </c>
      <c r="C159" s="40">
        <f>C29+C34+C48+C52+C61+C66+C77+C84+C91+C104+C158</f>
        <v>119</v>
      </c>
      <c r="D159" s="41"/>
      <c r="E159" s="42">
        <f t="shared" ref="E159:X159" si="42">E29+E34+E48+E52+E61+E66+E77+E84+E91+E104+E158</f>
        <v>3094442.8100000005</v>
      </c>
      <c r="F159" s="42">
        <f t="shared" si="42"/>
        <v>9216900</v>
      </c>
      <c r="G159" s="42">
        <f t="shared" si="42"/>
        <v>9122839.6799999997</v>
      </c>
      <c r="H159" s="42">
        <f t="shared" si="42"/>
        <v>268193.18449999997</v>
      </c>
      <c r="I159" s="42">
        <f t="shared" si="42"/>
        <v>1645009.79</v>
      </c>
      <c r="J159" s="42">
        <f t="shared" si="42"/>
        <v>1539196.9700000002</v>
      </c>
      <c r="K159" s="42">
        <f t="shared" si="42"/>
        <v>10268839.210000001</v>
      </c>
      <c r="L159" s="42">
        <f t="shared" si="42"/>
        <v>3054320.6300000008</v>
      </c>
      <c r="M159" s="42">
        <f t="shared" si="42"/>
        <v>11927000</v>
      </c>
      <c r="N159" s="42"/>
      <c r="O159" s="42">
        <f t="shared" si="42"/>
        <v>309444.28600000008</v>
      </c>
      <c r="P159" s="42">
        <f t="shared" si="42"/>
        <v>1555000</v>
      </c>
      <c r="Q159" s="42">
        <f t="shared" si="42"/>
        <v>1055235</v>
      </c>
      <c r="R159" s="42">
        <f t="shared" si="42"/>
        <v>52774121.483000003</v>
      </c>
      <c r="S159" s="42"/>
      <c r="T159" s="42">
        <f t="shared" si="42"/>
        <v>3871500</v>
      </c>
      <c r="U159" s="42">
        <f t="shared" si="42"/>
        <v>5989607.169999999</v>
      </c>
      <c r="V159" s="42">
        <f t="shared" si="42"/>
        <v>55621.485000000001</v>
      </c>
      <c r="W159" s="42">
        <f t="shared" si="42"/>
        <v>1895697.1199999996</v>
      </c>
      <c r="X159" s="42">
        <f t="shared" si="42"/>
        <v>11812425.775000002</v>
      </c>
      <c r="Y159" s="42">
        <v>30608812.215500005</v>
      </c>
      <c r="Z159" s="42">
        <f>Z29+Z34+Z48+Z52+Z61+Z66+Z77+Z84+Z91+Z104+Z158</f>
        <v>40961695.707999997</v>
      </c>
      <c r="AA159" s="36"/>
    </row>
    <row r="160" spans="1:27" ht="20.100000000000001" customHeight="1" x14ac:dyDescent="0.3">
      <c r="A160" s="33"/>
      <c r="B160" s="73"/>
      <c r="C160" s="47"/>
      <c r="D160" s="73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36"/>
    </row>
    <row r="161" spans="1:27" ht="20.100000000000001" customHeight="1" x14ac:dyDescent="0.3">
      <c r="A161" s="33"/>
      <c r="B161" s="73"/>
      <c r="C161" s="168" t="s">
        <v>264</v>
      </c>
      <c r="D161" s="168"/>
      <c r="E161" s="168"/>
      <c r="F161" s="168"/>
      <c r="G161" s="168"/>
      <c r="H161" s="168"/>
      <c r="I161" s="168"/>
      <c r="J161" s="167" t="s">
        <v>265</v>
      </c>
      <c r="K161" s="167"/>
      <c r="L161" s="167"/>
      <c r="M161" s="41"/>
      <c r="N161" s="41"/>
      <c r="O161" s="167" t="s">
        <v>266</v>
      </c>
      <c r="P161" s="167"/>
      <c r="Q161" s="167"/>
      <c r="R161" s="167"/>
      <c r="S161" s="41"/>
      <c r="T161" s="41"/>
      <c r="U161" s="41"/>
      <c r="V161" s="41"/>
      <c r="W161" s="74"/>
      <c r="X161" s="74"/>
      <c r="Y161" s="74"/>
      <c r="Z161" s="74"/>
      <c r="AA161" s="36"/>
    </row>
    <row r="162" spans="1:27" ht="20.100000000000001" customHeight="1" x14ac:dyDescent="0.3">
      <c r="A162" s="3"/>
      <c r="B162" s="73"/>
      <c r="C162" s="168"/>
      <c r="D162" s="168"/>
      <c r="E162" s="168"/>
      <c r="F162" s="168"/>
      <c r="G162" s="168"/>
      <c r="H162" s="168"/>
      <c r="I162" s="168"/>
      <c r="J162" s="167"/>
      <c r="K162" s="167"/>
      <c r="L162" s="167"/>
      <c r="M162" s="41"/>
      <c r="N162" s="41"/>
      <c r="O162" s="167"/>
      <c r="P162" s="167"/>
      <c r="Q162" s="167"/>
      <c r="R162" s="167"/>
      <c r="S162" s="41"/>
      <c r="T162" s="41"/>
      <c r="U162" s="41"/>
      <c r="V162" s="41"/>
      <c r="W162" s="74"/>
      <c r="X162" s="74"/>
      <c r="Y162" s="74"/>
      <c r="Z162" s="74"/>
      <c r="AA162" s="36"/>
    </row>
    <row r="163" spans="1:27" ht="20.100000000000001" customHeight="1" x14ac:dyDescent="0.3">
      <c r="A163" s="33"/>
      <c r="AA163" s="36"/>
    </row>
    <row r="164" spans="1:27" ht="20.100000000000001" customHeight="1" x14ac:dyDescent="0.3">
      <c r="A164" s="33"/>
      <c r="Z164" s="34"/>
      <c r="AA164" s="36"/>
    </row>
    <row r="165" spans="1:27" ht="20.100000000000001" customHeight="1" x14ac:dyDescent="0.3">
      <c r="A165" s="33"/>
      <c r="AA165" s="36"/>
    </row>
    <row r="166" spans="1:27" ht="20.100000000000001" customHeight="1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36"/>
    </row>
    <row r="167" spans="1:27" ht="20.100000000000001" customHeight="1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36"/>
    </row>
    <row r="168" spans="1:27" ht="20.100000000000001" customHeight="1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36"/>
    </row>
    <row r="169" spans="1:27" ht="20.100000000000001" customHeight="1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36"/>
    </row>
    <row r="170" spans="1:27" ht="20.100000000000001" customHeight="1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36"/>
    </row>
    <row r="171" spans="1:27" ht="20.100000000000001" customHeight="1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36"/>
    </row>
    <row r="172" spans="1:27" ht="20.100000000000001" customHeight="1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36"/>
    </row>
    <row r="173" spans="1:27" ht="20.100000000000001" customHeight="1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36"/>
    </row>
    <row r="174" spans="1:27" ht="20.100000000000001" customHeight="1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36"/>
    </row>
    <row r="175" spans="1:27" ht="20.100000000000001" customHeight="1" x14ac:dyDescent="0.3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36"/>
    </row>
    <row r="176" spans="1:27" ht="20.100000000000001" customHeight="1" x14ac:dyDescent="0.3">
      <c r="AA176" s="36"/>
    </row>
    <row r="177" spans="27:27" ht="20.100000000000001" customHeight="1" x14ac:dyDescent="0.3">
      <c r="AA177" s="36"/>
    </row>
    <row r="178" spans="27:27" ht="20.100000000000001" customHeight="1" x14ac:dyDescent="0.3">
      <c r="AA178" s="36"/>
    </row>
    <row r="179" spans="27:27" ht="20.100000000000001" customHeight="1" x14ac:dyDescent="0.3">
      <c r="AA179" s="36"/>
    </row>
    <row r="180" spans="27:27" ht="20.100000000000001" customHeight="1" x14ac:dyDescent="0.3">
      <c r="AA180" s="36"/>
    </row>
    <row r="181" spans="27:27" ht="20.100000000000001" customHeight="1" x14ac:dyDescent="0.3">
      <c r="AA181" s="36"/>
    </row>
    <row r="182" spans="27:27" ht="20.100000000000001" customHeight="1" x14ac:dyDescent="0.3">
      <c r="AA182" s="36"/>
    </row>
    <row r="183" spans="27:27" ht="20.100000000000001" customHeight="1" x14ac:dyDescent="0.3">
      <c r="AA183" s="36"/>
    </row>
    <row r="184" spans="27:27" ht="20.100000000000001" customHeight="1" x14ac:dyDescent="0.3">
      <c r="AA184" s="36"/>
    </row>
    <row r="185" spans="27:27" ht="20.100000000000001" customHeight="1" x14ac:dyDescent="0.3">
      <c r="AA185" s="36"/>
    </row>
    <row r="186" spans="27:27" ht="20.100000000000001" customHeight="1" x14ac:dyDescent="0.3">
      <c r="AA186" s="36"/>
    </row>
    <row r="187" spans="27:27" ht="20.100000000000001" customHeight="1" x14ac:dyDescent="0.3">
      <c r="AA187" s="36"/>
    </row>
    <row r="188" spans="27:27" ht="20.100000000000001" customHeight="1" x14ac:dyDescent="0.3">
      <c r="AA188" s="36"/>
    </row>
    <row r="189" spans="27:27" ht="20.100000000000001" customHeight="1" x14ac:dyDescent="0.3">
      <c r="AA189" s="36"/>
    </row>
    <row r="190" spans="27:27" ht="20.100000000000001" customHeight="1" x14ac:dyDescent="0.3">
      <c r="AA190" s="36"/>
    </row>
    <row r="191" spans="27:27" ht="20.100000000000001" customHeight="1" x14ac:dyDescent="0.3">
      <c r="AA191" s="36"/>
    </row>
    <row r="192" spans="27:27" ht="20.100000000000001" customHeight="1" x14ac:dyDescent="0.3">
      <c r="AA192" s="36"/>
    </row>
    <row r="193" spans="27:27" ht="20.100000000000001" customHeight="1" x14ac:dyDescent="0.3">
      <c r="AA193" s="36"/>
    </row>
    <row r="194" spans="27:27" ht="20.100000000000001" customHeight="1" x14ac:dyDescent="0.3">
      <c r="AA194" s="36"/>
    </row>
    <row r="195" spans="27:27" ht="20.100000000000001" customHeight="1" x14ac:dyDescent="0.3">
      <c r="AA195" s="36"/>
    </row>
    <row r="196" spans="27:27" ht="20.100000000000001" customHeight="1" x14ac:dyDescent="0.3">
      <c r="AA196" s="36"/>
    </row>
    <row r="197" spans="27:27" ht="20.100000000000001" customHeight="1" x14ac:dyDescent="0.3">
      <c r="AA197" s="36"/>
    </row>
    <row r="198" spans="27:27" ht="20.100000000000001" customHeight="1" x14ac:dyDescent="0.3">
      <c r="AA198" s="36"/>
    </row>
    <row r="199" spans="27:27" ht="20.100000000000001" customHeight="1" x14ac:dyDescent="0.3">
      <c r="AA199" s="36"/>
    </row>
    <row r="200" spans="27:27" ht="20.100000000000001" customHeight="1" x14ac:dyDescent="0.3">
      <c r="AA200" s="36"/>
    </row>
    <row r="201" spans="27:27" ht="20.100000000000001" customHeight="1" x14ac:dyDescent="0.3">
      <c r="AA201" s="36"/>
    </row>
    <row r="202" spans="27:27" ht="20.100000000000001" customHeight="1" x14ac:dyDescent="0.3">
      <c r="AA202" s="36"/>
    </row>
    <row r="203" spans="27:27" ht="20.100000000000001" customHeight="1" x14ac:dyDescent="0.3">
      <c r="AA203" s="36"/>
    </row>
    <row r="204" spans="27:27" ht="20.100000000000001" customHeight="1" x14ac:dyDescent="0.3">
      <c r="AA204" s="36"/>
    </row>
    <row r="205" spans="27:27" ht="20.100000000000001" customHeight="1" x14ac:dyDescent="0.3">
      <c r="AA205" s="36"/>
    </row>
    <row r="206" spans="27:27" ht="20.100000000000001" customHeight="1" x14ac:dyDescent="0.3">
      <c r="AA206" s="36"/>
    </row>
    <row r="207" spans="27:27" ht="20.100000000000001" customHeight="1" x14ac:dyDescent="0.3">
      <c r="AA207" s="36"/>
    </row>
    <row r="208" spans="27:27" ht="20.100000000000001" customHeight="1" x14ac:dyDescent="0.3">
      <c r="AA208" s="36"/>
    </row>
    <row r="209" spans="27:27" ht="20.100000000000001" customHeight="1" x14ac:dyDescent="0.3">
      <c r="AA209" s="36"/>
    </row>
    <row r="210" spans="27:27" ht="20.100000000000001" customHeight="1" x14ac:dyDescent="0.3">
      <c r="AA210" s="36"/>
    </row>
    <row r="211" spans="27:27" ht="20.100000000000001" customHeight="1" x14ac:dyDescent="0.3">
      <c r="AA211" s="36"/>
    </row>
    <row r="212" spans="27:27" ht="20.100000000000001" customHeight="1" x14ac:dyDescent="0.3">
      <c r="AA212" s="36"/>
    </row>
    <row r="213" spans="27:27" ht="20.100000000000001" customHeight="1" x14ac:dyDescent="0.3">
      <c r="AA213" s="36"/>
    </row>
    <row r="214" spans="27:27" ht="20.100000000000001" customHeight="1" x14ac:dyDescent="0.3">
      <c r="AA214" s="36"/>
    </row>
    <row r="215" spans="27:27" ht="20.100000000000001" customHeight="1" x14ac:dyDescent="0.3">
      <c r="AA215" s="36"/>
    </row>
    <row r="216" spans="27:27" ht="20.100000000000001" customHeight="1" x14ac:dyDescent="0.3">
      <c r="AA216" s="36"/>
    </row>
    <row r="217" spans="27:27" ht="20.100000000000001" customHeight="1" x14ac:dyDescent="0.3">
      <c r="AA217" s="36"/>
    </row>
    <row r="218" spans="27:27" ht="20.100000000000001" customHeight="1" x14ac:dyDescent="0.3">
      <c r="AA218" s="36"/>
    </row>
    <row r="219" spans="27:27" ht="20.100000000000001" customHeight="1" x14ac:dyDescent="0.3">
      <c r="AA219" s="36"/>
    </row>
  </sheetData>
  <mergeCells count="8">
    <mergeCell ref="T5:X5"/>
    <mergeCell ref="B3:D3"/>
    <mergeCell ref="P161:R162"/>
    <mergeCell ref="O161:O162"/>
    <mergeCell ref="K161:L162"/>
    <mergeCell ref="J161:J162"/>
    <mergeCell ref="D161:I162"/>
    <mergeCell ref="C161:C162"/>
  </mergeCells>
  <phoneticPr fontId="0" type="noConversion"/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4" max="24" man="1"/>
  </rowBreaks>
  <colBreaks count="1" manualBreakCount="1"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62"/>
  <sheetViews>
    <sheetView view="pageBreakPreview" zoomScaleNormal="100" zoomScaleSheetLayoutView="100" workbookViewId="0">
      <pane xSplit="4" ySplit="9" topLeftCell="E151" activePane="bottomRight" state="frozen"/>
      <selection pane="topRight" activeCell="E1" sqref="E1"/>
      <selection pane="bottomLeft" activeCell="A10" sqref="A10"/>
      <selection pane="bottomRight" activeCell="AA159" sqref="AA159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customWidth="1"/>
    <col min="23" max="23" width="20.7109375" style="1" hidden="1" customWidth="1"/>
    <col min="24" max="25" width="23.85546875" style="1" hidden="1" customWidth="1"/>
    <col min="26" max="26" width="18.5703125" style="1" customWidth="1"/>
    <col min="27" max="27" width="19" style="1" customWidth="1"/>
    <col min="28" max="16384" width="9.140625" style="1"/>
  </cols>
  <sheetData>
    <row r="1" spans="1:31" ht="29.25" customHeight="1" x14ac:dyDescent="0.3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AE1" s="1" t="s">
        <v>0</v>
      </c>
    </row>
    <row r="2" spans="1:31" ht="5.25" customHeight="1" x14ac:dyDescent="0.3">
      <c r="R2" s="52"/>
      <c r="S2" s="52"/>
      <c r="T2" s="52"/>
      <c r="U2" s="52"/>
      <c r="V2" s="52"/>
      <c r="W2" s="52"/>
      <c r="X2" s="52"/>
      <c r="Y2" s="52"/>
    </row>
    <row r="3" spans="1:31" ht="20.100000000000001" customHeight="1" x14ac:dyDescent="0.3">
      <c r="B3" s="166" t="s">
        <v>1</v>
      </c>
      <c r="C3" s="166"/>
      <c r="D3" s="166"/>
      <c r="E3" s="166"/>
      <c r="F3" s="53"/>
      <c r="G3" s="53"/>
      <c r="H3" s="53"/>
      <c r="I3" s="54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</row>
    <row r="4" spans="1:31" ht="2.25" customHeight="1" x14ac:dyDescent="0.3">
      <c r="F4" s="56">
        <f>'[1]FEB 08'!E8/'[1]FEB 08'!M8</f>
        <v>0.22</v>
      </c>
      <c r="G4" s="56"/>
      <c r="H4" s="56"/>
      <c r="I4" s="56">
        <f>'[1]FEB 08'!F8/'[1]FEB 08'!Q8</f>
        <v>0.3</v>
      </c>
      <c r="J4" s="56"/>
      <c r="K4" s="56"/>
      <c r="L4" s="56"/>
      <c r="M4" s="56"/>
      <c r="N4" s="56"/>
      <c r="O4" s="56"/>
      <c r="P4" s="56"/>
      <c r="Q4" s="56"/>
    </row>
    <row r="5" spans="1:31" ht="20.100000000000001" customHeight="1" x14ac:dyDescent="0.3">
      <c r="B5" s="166" t="s">
        <v>2</v>
      </c>
      <c r="C5" s="166"/>
      <c r="D5" s="57"/>
      <c r="E5" s="57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165" t="s">
        <v>3</v>
      </c>
      <c r="T5" s="165"/>
      <c r="U5" s="165"/>
      <c r="V5" s="165"/>
      <c r="W5" s="165"/>
      <c r="X5" s="57"/>
      <c r="Y5" s="57" t="s">
        <v>4</v>
      </c>
    </row>
    <row r="6" spans="1:31" ht="35.450000000000003" customHeight="1" x14ac:dyDescent="0.3">
      <c r="A6" s="33"/>
      <c r="B6" s="175"/>
      <c r="C6" s="175"/>
      <c r="D6" s="59" t="s">
        <v>5</v>
      </c>
      <c r="E6" s="59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/>
      <c r="T6" s="2"/>
      <c r="U6" s="2"/>
      <c r="V6" s="7"/>
      <c r="W6" s="7"/>
      <c r="X6" s="7" t="s">
        <v>14</v>
      </c>
      <c r="Y6" s="7" t="s">
        <v>15</v>
      </c>
    </row>
    <row r="7" spans="1:31" ht="55.9" customHeight="1" x14ac:dyDescent="0.3">
      <c r="A7" s="33"/>
      <c r="B7" s="176"/>
      <c r="C7" s="176"/>
      <c r="D7" s="59"/>
      <c r="E7" s="59" t="s">
        <v>16</v>
      </c>
      <c r="F7" s="2" t="s">
        <v>17</v>
      </c>
      <c r="G7" s="60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26</v>
      </c>
      <c r="Q7" s="2" t="s">
        <v>27</v>
      </c>
      <c r="R7" s="2" t="s">
        <v>17</v>
      </c>
      <c r="S7" s="60" t="s">
        <v>28</v>
      </c>
      <c r="T7" s="60" t="s">
        <v>29</v>
      </c>
      <c r="U7" s="60" t="s">
        <v>30</v>
      </c>
      <c r="V7" s="2" t="s">
        <v>31</v>
      </c>
      <c r="W7" s="2" t="s">
        <v>32</v>
      </c>
      <c r="X7" s="2"/>
      <c r="Y7" s="2"/>
      <c r="Z7" s="118" t="s">
        <v>267</v>
      </c>
      <c r="AA7" s="75" t="s">
        <v>268</v>
      </c>
    </row>
    <row r="8" spans="1:31" ht="20.100000000000001" customHeight="1" x14ac:dyDescent="0.3">
      <c r="A8" s="21" t="s">
        <v>33</v>
      </c>
      <c r="B8" s="177" t="s">
        <v>34</v>
      </c>
      <c r="C8" s="177"/>
      <c r="D8" s="49"/>
      <c r="E8" s="49"/>
      <c r="F8" s="61" t="s">
        <v>35</v>
      </c>
      <c r="G8" s="7"/>
      <c r="H8" s="61"/>
      <c r="I8" s="61" t="s">
        <v>35</v>
      </c>
      <c r="J8" s="61"/>
      <c r="K8" s="61"/>
      <c r="L8" s="61"/>
      <c r="M8" s="61"/>
      <c r="N8" s="61"/>
      <c r="O8" s="61"/>
      <c r="P8" s="61"/>
      <c r="Q8" s="61"/>
      <c r="R8" s="61" t="s">
        <v>35</v>
      </c>
      <c r="S8" s="61"/>
      <c r="T8" s="61"/>
      <c r="U8" s="61"/>
      <c r="V8" s="61" t="s">
        <v>35</v>
      </c>
      <c r="W8" s="61"/>
      <c r="X8" s="61"/>
      <c r="Y8" s="61"/>
    </row>
    <row r="9" spans="1:31" ht="20.100000000000001" customHeight="1" x14ac:dyDescent="0.3">
      <c r="A9" s="3">
        <v>1</v>
      </c>
      <c r="B9" s="169" t="s">
        <v>36</v>
      </c>
      <c r="C9" s="170"/>
      <c r="D9" s="62" t="s">
        <v>37</v>
      </c>
      <c r="E9" s="62" t="s">
        <v>38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R9-W9</f>
        <v>995672.86999999988</v>
      </c>
      <c r="Z9" s="43">
        <v>113176.97</v>
      </c>
      <c r="AA9" s="110">
        <f>V9-Z9</f>
        <v>0</v>
      </c>
    </row>
    <row r="10" spans="1:31" ht="20.100000000000001" customHeight="1" x14ac:dyDescent="0.3">
      <c r="A10" s="3">
        <v>2</v>
      </c>
      <c r="B10" s="171" t="s">
        <v>42</v>
      </c>
      <c r="C10" s="172"/>
      <c r="D10" s="33" t="s">
        <v>43</v>
      </c>
      <c r="E10" s="38" t="s">
        <v>44</v>
      </c>
      <c r="F10" s="63">
        <v>33507.5</v>
      </c>
      <c r="G10" s="63"/>
      <c r="H10" s="63">
        <f t="shared" ref="H10:H24" si="0">F10*300%</f>
        <v>100522.5</v>
      </c>
      <c r="I10" s="63">
        <f t="shared" ref="I10:I24" si="1">F10*7.5%</f>
        <v>2513.0625</v>
      </c>
      <c r="J10" s="63">
        <v>40122.19</v>
      </c>
      <c r="K10" s="63">
        <f t="shared" ref="K10:K17" si="2">F10*50%</f>
        <v>16753.75</v>
      </c>
      <c r="L10" s="63">
        <f t="shared" ref="L10:L24" si="3">F10*350%</f>
        <v>117276.25</v>
      </c>
      <c r="M10" s="63">
        <f t="shared" ref="M10:M24" si="4">F10*100%</f>
        <v>33507.5</v>
      </c>
      <c r="N10" s="63">
        <f>100000</f>
        <v>100000</v>
      </c>
      <c r="O10" s="63">
        <f t="shared" ref="O10:O24" si="5">F10*10%</f>
        <v>3350.75</v>
      </c>
      <c r="P10" s="63">
        <v>20000</v>
      </c>
      <c r="Q10" s="63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 t="shared" ref="Y10:Y24" si="8">R10-W10</f>
        <v>551167.48499999999</v>
      </c>
      <c r="Z10" s="43">
        <v>15548.33</v>
      </c>
      <c r="AA10" s="110">
        <f t="shared" ref="AA10:AA73" si="9">V10-Z10</f>
        <v>0</v>
      </c>
    </row>
    <row r="11" spans="1:31" ht="20.100000000000001" customHeight="1" x14ac:dyDescent="0.3">
      <c r="A11" s="3">
        <v>3</v>
      </c>
      <c r="B11" s="173" t="s">
        <v>45</v>
      </c>
      <c r="C11" s="174"/>
      <c r="D11" s="48" t="s">
        <v>46</v>
      </c>
      <c r="E11" s="29" t="s">
        <v>44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R11-W11</f>
        <v>188525.48499999999</v>
      </c>
      <c r="Z11" s="43">
        <v>15548.33</v>
      </c>
      <c r="AA11" s="110">
        <f t="shared" si="9"/>
        <v>0</v>
      </c>
    </row>
    <row r="12" spans="1:31" ht="20.100000000000001" customHeight="1" x14ac:dyDescent="0.3">
      <c r="A12" s="3">
        <v>4</v>
      </c>
      <c r="B12" s="171" t="s">
        <v>47</v>
      </c>
      <c r="C12" s="172"/>
      <c r="D12" s="33" t="s">
        <v>48</v>
      </c>
      <c r="E12" s="3" t="s">
        <v>44</v>
      </c>
      <c r="F12" s="36">
        <f>33507.5</f>
        <v>33507.5</v>
      </c>
      <c r="G12" s="63"/>
      <c r="H12" s="63">
        <f t="shared" si="0"/>
        <v>100522.5</v>
      </c>
      <c r="I12" s="63">
        <f t="shared" si="1"/>
        <v>2513.0625</v>
      </c>
      <c r="J12" s="63">
        <v>40122.19</v>
      </c>
      <c r="K12" s="63">
        <f t="shared" si="2"/>
        <v>16753.75</v>
      </c>
      <c r="L12" s="63">
        <f t="shared" si="3"/>
        <v>117276.25</v>
      </c>
      <c r="M12" s="63">
        <f t="shared" si="4"/>
        <v>33507.5</v>
      </c>
      <c r="N12" s="36">
        <f>100000</f>
        <v>100000</v>
      </c>
      <c r="O12" s="63">
        <f t="shared" si="5"/>
        <v>3350.75</v>
      </c>
      <c r="P12" s="63">
        <v>20000</v>
      </c>
      <c r="Q12" s="64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 t="shared" si="8"/>
        <v>267149.97499999998</v>
      </c>
      <c r="Z12" s="43">
        <v>15548.33</v>
      </c>
      <c r="AA12" s="110">
        <f t="shared" si="9"/>
        <v>0</v>
      </c>
    </row>
    <row r="13" spans="1:31" ht="20.100000000000001" customHeight="1" x14ac:dyDescent="0.3">
      <c r="A13" s="3">
        <v>5</v>
      </c>
      <c r="B13" s="171" t="s">
        <v>49</v>
      </c>
      <c r="C13" s="172"/>
      <c r="D13" s="44" t="s">
        <v>50</v>
      </c>
      <c r="E13" s="81" t="s">
        <v>51</v>
      </c>
      <c r="F13" s="66">
        <f>42653.17</f>
        <v>42653.17</v>
      </c>
      <c r="G13" s="65"/>
      <c r="H13" s="63">
        <f t="shared" si="0"/>
        <v>127959.51</v>
      </c>
      <c r="I13" s="63">
        <f t="shared" si="1"/>
        <v>3198.9877499999998</v>
      </c>
      <c r="J13" s="63">
        <v>40122.19</v>
      </c>
      <c r="K13" s="63">
        <f t="shared" si="2"/>
        <v>21326.584999999999</v>
      </c>
      <c r="L13" s="63">
        <f t="shared" si="3"/>
        <v>149286.095</v>
      </c>
      <c r="M13" s="63">
        <f t="shared" si="4"/>
        <v>42653.17</v>
      </c>
      <c r="N13" s="63">
        <f>100000</f>
        <v>100000</v>
      </c>
      <c r="O13" s="63">
        <f t="shared" si="5"/>
        <v>4265.317</v>
      </c>
      <c r="P13" s="63">
        <v>20000</v>
      </c>
      <c r="Q13" s="82"/>
      <c r="R13" s="36">
        <f t="shared" si="6"/>
        <v>551465.0247500001</v>
      </c>
      <c r="S13" s="66">
        <f>100000</f>
        <v>100000</v>
      </c>
      <c r="T13" s="66">
        <f>137500</f>
        <v>137500</v>
      </c>
      <c r="U13" s="66"/>
      <c r="V13" s="36">
        <v>21618.09</v>
      </c>
      <c r="W13" s="36">
        <f t="shared" si="7"/>
        <v>259118.09</v>
      </c>
      <c r="X13" s="36">
        <v>278625.90575000003</v>
      </c>
      <c r="Y13" s="36">
        <f t="shared" si="8"/>
        <v>292346.93475000013</v>
      </c>
      <c r="Z13" s="43">
        <v>21618.09</v>
      </c>
      <c r="AA13" s="110">
        <f t="shared" si="9"/>
        <v>0</v>
      </c>
    </row>
    <row r="14" spans="1:31" ht="20.100000000000001" customHeight="1" x14ac:dyDescent="0.3">
      <c r="A14" s="3">
        <v>6</v>
      </c>
      <c r="B14" s="171" t="s">
        <v>52</v>
      </c>
      <c r="C14" s="172"/>
      <c r="D14" s="44" t="s">
        <v>53</v>
      </c>
      <c r="E14" s="119" t="s">
        <v>54</v>
      </c>
      <c r="F14" s="120">
        <f>39662.25</f>
        <v>39662.25</v>
      </c>
      <c r="G14" s="121"/>
      <c r="H14" s="122">
        <f t="shared" si="0"/>
        <v>118986.75</v>
      </c>
      <c r="I14" s="122">
        <f t="shared" si="1"/>
        <v>2974.6687499999998</v>
      </c>
      <c r="J14" s="122">
        <v>40122.19</v>
      </c>
      <c r="K14" s="122">
        <f t="shared" si="2"/>
        <v>19831.125</v>
      </c>
      <c r="L14" s="122">
        <f t="shared" si="3"/>
        <v>138817.875</v>
      </c>
      <c r="M14" s="122">
        <f t="shared" si="4"/>
        <v>39662.25</v>
      </c>
      <c r="N14" s="120">
        <f>150000</f>
        <v>150000</v>
      </c>
      <c r="O14" s="122">
        <f t="shared" si="5"/>
        <v>3966.2250000000004</v>
      </c>
      <c r="P14" s="122">
        <v>20000</v>
      </c>
      <c r="Q14" s="120">
        <f>100000</f>
        <v>100000</v>
      </c>
      <c r="R14" s="123">
        <f t="shared" si="6"/>
        <v>674023.33374999999</v>
      </c>
      <c r="S14" s="120"/>
      <c r="T14" s="120"/>
      <c r="U14" s="120"/>
      <c r="V14" s="123">
        <v>21618.09</v>
      </c>
      <c r="W14" s="36">
        <f t="shared" si="7"/>
        <v>21618.09</v>
      </c>
      <c r="X14" s="36">
        <v>590588.72000000009</v>
      </c>
      <c r="Y14" s="36">
        <f t="shared" si="8"/>
        <v>652405.24375000002</v>
      </c>
      <c r="Z14" s="43">
        <v>15548.33</v>
      </c>
      <c r="AA14" s="110">
        <f t="shared" si="9"/>
        <v>6069.76</v>
      </c>
    </row>
    <row r="15" spans="1:31" ht="20.100000000000001" customHeight="1" x14ac:dyDescent="0.3">
      <c r="A15" s="3">
        <v>7</v>
      </c>
      <c r="B15" s="171" t="s">
        <v>55</v>
      </c>
      <c r="C15" s="172"/>
      <c r="D15" s="44" t="s">
        <v>56</v>
      </c>
      <c r="E15" s="45" t="s">
        <v>57</v>
      </c>
      <c r="F15" s="65">
        <f>25523.45</f>
        <v>25523.45</v>
      </c>
      <c r="G15" s="65"/>
      <c r="H15" s="65">
        <f t="shared" si="0"/>
        <v>76570.350000000006</v>
      </c>
      <c r="I15" s="65">
        <f t="shared" si="1"/>
        <v>1914.25875</v>
      </c>
      <c r="J15" s="65"/>
      <c r="K15" s="65">
        <f t="shared" si="2"/>
        <v>12761.725</v>
      </c>
      <c r="L15" s="65">
        <f t="shared" si="3"/>
        <v>89332.074999999997</v>
      </c>
      <c r="M15" s="65">
        <f t="shared" si="4"/>
        <v>25523.45</v>
      </c>
      <c r="N15" s="65">
        <f>100000</f>
        <v>100000</v>
      </c>
      <c r="O15" s="65">
        <f t="shared" si="5"/>
        <v>2552.3450000000003</v>
      </c>
      <c r="P15" s="65">
        <v>15000</v>
      </c>
      <c r="Q15" s="65">
        <f>100000</f>
        <v>100000</v>
      </c>
      <c r="R15" s="36">
        <f t="shared" si="6"/>
        <v>449177.65375</v>
      </c>
      <c r="S15" s="66">
        <f>100000</f>
        <v>100000</v>
      </c>
      <c r="T15" s="66">
        <f>0</f>
        <v>0</v>
      </c>
      <c r="U15" s="66">
        <f>'[3]DECEMBER 2019'!$H$22</f>
        <v>618.53150000000005</v>
      </c>
      <c r="V15" s="66">
        <v>7709.76</v>
      </c>
      <c r="W15" s="36">
        <f t="shared" si="7"/>
        <v>108328.29149999999</v>
      </c>
      <c r="X15" s="36">
        <v>333672.76899999997</v>
      </c>
      <c r="Y15" s="36">
        <f t="shared" si="8"/>
        <v>340849.36225000001</v>
      </c>
      <c r="Z15" s="43">
        <v>7709.76</v>
      </c>
      <c r="AA15" s="110">
        <f t="shared" si="9"/>
        <v>0</v>
      </c>
    </row>
    <row r="16" spans="1:31" ht="20.100000000000001" customHeight="1" x14ac:dyDescent="0.3">
      <c r="A16" s="3">
        <v>8</v>
      </c>
      <c r="B16" s="171" t="s">
        <v>58</v>
      </c>
      <c r="C16" s="172"/>
      <c r="D16" s="44" t="s">
        <v>59</v>
      </c>
      <c r="E16" s="45" t="s">
        <v>57</v>
      </c>
      <c r="F16" s="65">
        <f>25523.45</f>
        <v>25523.45</v>
      </c>
      <c r="G16" s="65"/>
      <c r="H16" s="65">
        <f t="shared" si="0"/>
        <v>76570.350000000006</v>
      </c>
      <c r="I16" s="65">
        <f t="shared" si="1"/>
        <v>1914.25875</v>
      </c>
      <c r="J16" s="65"/>
      <c r="K16" s="65">
        <f t="shared" si="2"/>
        <v>12761.725</v>
      </c>
      <c r="L16" s="65">
        <f t="shared" si="3"/>
        <v>89332.074999999997</v>
      </c>
      <c r="M16" s="65">
        <f t="shared" si="4"/>
        <v>25523.45</v>
      </c>
      <c r="N16" s="65">
        <f>100000</f>
        <v>100000</v>
      </c>
      <c r="O16" s="65">
        <f t="shared" si="5"/>
        <v>2552.3450000000003</v>
      </c>
      <c r="P16" s="65">
        <v>15000</v>
      </c>
      <c r="Q16" s="65">
        <v>50000</v>
      </c>
      <c r="R16" s="36">
        <f t="shared" si="6"/>
        <v>399177.65375</v>
      </c>
      <c r="S16" s="66">
        <v>10000</v>
      </c>
      <c r="T16" s="66">
        <f>103000</f>
        <v>103000</v>
      </c>
      <c r="U16" s="66">
        <v>0</v>
      </c>
      <c r="V16" s="66">
        <v>7709.76</v>
      </c>
      <c r="W16" s="36">
        <f t="shared" si="7"/>
        <v>120709.75999999999</v>
      </c>
      <c r="X16" s="36">
        <v>271291.30049999995</v>
      </c>
      <c r="Y16" s="36">
        <f t="shared" si="8"/>
        <v>278467.89374999999</v>
      </c>
      <c r="Z16" s="43">
        <v>7709.76</v>
      </c>
      <c r="AA16" s="110">
        <f t="shared" si="9"/>
        <v>0</v>
      </c>
    </row>
    <row r="17" spans="1:27" ht="19.5" customHeight="1" x14ac:dyDescent="0.3">
      <c r="A17" s="3">
        <v>9</v>
      </c>
      <c r="B17" s="171" t="s">
        <v>60</v>
      </c>
      <c r="C17" s="172"/>
      <c r="D17" s="33" t="s">
        <v>61</v>
      </c>
      <c r="E17" s="3" t="s">
        <v>62</v>
      </c>
      <c r="F17" s="63">
        <v>26339.3</v>
      </c>
      <c r="G17" s="63"/>
      <c r="H17" s="63">
        <f t="shared" si="0"/>
        <v>79017.899999999994</v>
      </c>
      <c r="I17" s="63">
        <f t="shared" si="1"/>
        <v>1975.4474999999998</v>
      </c>
      <c r="J17" s="63"/>
      <c r="K17" s="63">
        <f t="shared" si="2"/>
        <v>13169.65</v>
      </c>
      <c r="L17" s="36">
        <f t="shared" si="3"/>
        <v>92187.55</v>
      </c>
      <c r="M17" s="63">
        <f t="shared" si="4"/>
        <v>26339.3</v>
      </c>
      <c r="N17" s="65">
        <f t="shared" ref="N17:N26" si="10">100000</f>
        <v>100000</v>
      </c>
      <c r="O17" s="63">
        <f t="shared" si="5"/>
        <v>2633.9300000000003</v>
      </c>
      <c r="P17" s="63">
        <v>15000</v>
      </c>
      <c r="Q17" s="63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 t="shared" si="8"/>
        <v>348294.83499999996</v>
      </c>
      <c r="Z17" s="43">
        <v>7709.76</v>
      </c>
      <c r="AA17" s="110">
        <f t="shared" si="9"/>
        <v>0</v>
      </c>
    </row>
    <row r="18" spans="1:27" ht="19.5" customHeight="1" x14ac:dyDescent="0.3">
      <c r="A18" s="3">
        <v>10</v>
      </c>
      <c r="B18" s="171" t="s">
        <v>63</v>
      </c>
      <c r="C18" s="172"/>
      <c r="D18" s="33" t="s">
        <v>64</v>
      </c>
      <c r="E18" s="3" t="s">
        <v>57</v>
      </c>
      <c r="F18" s="26">
        <f>25523.45</f>
        <v>25523.45</v>
      </c>
      <c r="G18" s="63"/>
      <c r="H18" s="63">
        <f>F18*300%</f>
        <v>76570.350000000006</v>
      </c>
      <c r="I18" s="63">
        <f>F18*7.5%</f>
        <v>1914.25875</v>
      </c>
      <c r="J18" s="63"/>
      <c r="K18" s="63">
        <f>F18*50%</f>
        <v>12761.725</v>
      </c>
      <c r="L18" s="36">
        <f>F18*350%</f>
        <v>89332.074999999997</v>
      </c>
      <c r="M18" s="63">
        <f>F18*100%</f>
        <v>25523.45</v>
      </c>
      <c r="N18" s="26">
        <v>150000</v>
      </c>
      <c r="O18" s="63">
        <f>F18*10%</f>
        <v>2552.3450000000003</v>
      </c>
      <c r="P18" s="63">
        <v>15000</v>
      </c>
      <c r="Q18" s="63">
        <f>50000+100000</f>
        <v>150000</v>
      </c>
      <c r="R18" s="36">
        <f>SUM(F18:Q18)</f>
        <v>549177.65375000006</v>
      </c>
      <c r="S18" s="36"/>
      <c r="T18" s="36"/>
      <c r="U18" s="36"/>
      <c r="V18" s="36">
        <v>7709.76</v>
      </c>
      <c r="W18" s="36">
        <f>SUM(S18:V18)</f>
        <v>7709.76</v>
      </c>
      <c r="X18" s="36">
        <v>534291.3004999999</v>
      </c>
      <c r="Y18" s="36">
        <f>R18-W18</f>
        <v>541467.89375000005</v>
      </c>
      <c r="Z18" s="43">
        <v>7709.76</v>
      </c>
      <c r="AA18" s="110">
        <f t="shared" si="9"/>
        <v>0</v>
      </c>
    </row>
    <row r="19" spans="1:27" ht="20.100000000000001" customHeight="1" x14ac:dyDescent="0.3">
      <c r="A19" s="3">
        <v>11</v>
      </c>
      <c r="B19" s="169" t="s">
        <v>65</v>
      </c>
      <c r="C19" s="170"/>
      <c r="D19" s="62" t="s">
        <v>61</v>
      </c>
      <c r="E19" s="67" t="s">
        <v>62</v>
      </c>
      <c r="F19" s="63">
        <f>26339.3</f>
        <v>26339.3</v>
      </c>
      <c r="G19" s="63">
        <v>0</v>
      </c>
      <c r="H19" s="63">
        <f t="shared" si="0"/>
        <v>79017.899999999994</v>
      </c>
      <c r="I19" s="63">
        <f t="shared" si="1"/>
        <v>1975.4474999999998</v>
      </c>
      <c r="J19" s="36">
        <v>0</v>
      </c>
      <c r="K19" s="63">
        <f>F19*50%</f>
        <v>13169.65</v>
      </c>
      <c r="L19" s="36">
        <f t="shared" si="3"/>
        <v>92187.55</v>
      </c>
      <c r="M19" s="63">
        <f t="shared" si="4"/>
        <v>26339.3</v>
      </c>
      <c r="N19" s="65">
        <f t="shared" si="10"/>
        <v>100000</v>
      </c>
      <c r="O19" s="63">
        <f t="shared" si="5"/>
        <v>2633.9300000000003</v>
      </c>
      <c r="P19" s="63">
        <v>15000</v>
      </c>
      <c r="Q19" s="63">
        <f>0</f>
        <v>0</v>
      </c>
      <c r="R19" s="36">
        <f t="shared" si="6"/>
        <v>356663.07749999996</v>
      </c>
      <c r="S19" s="36"/>
      <c r="T19" s="36"/>
      <c r="U19" s="36"/>
      <c r="V19" s="63">
        <v>7709.76</v>
      </c>
      <c r="W19" s="36">
        <f t="shared" si="7"/>
        <v>7709.76</v>
      </c>
      <c r="X19" s="36">
        <v>348953.31749999995</v>
      </c>
      <c r="Y19" s="36">
        <f t="shared" si="8"/>
        <v>348953.31749999995</v>
      </c>
      <c r="Z19" s="124">
        <v>7709.76</v>
      </c>
      <c r="AA19" s="110">
        <f t="shared" si="9"/>
        <v>0</v>
      </c>
    </row>
    <row r="20" spans="1:27" ht="20.100000000000001" customHeight="1" x14ac:dyDescent="0.3">
      <c r="A20" s="3">
        <v>12</v>
      </c>
      <c r="B20" s="169" t="s">
        <v>66</v>
      </c>
      <c r="C20" s="170"/>
      <c r="D20" s="62" t="s">
        <v>67</v>
      </c>
      <c r="E20" s="67" t="s">
        <v>68</v>
      </c>
      <c r="F20" s="63">
        <f>18281.64</f>
        <v>18281.64</v>
      </c>
      <c r="G20" s="63"/>
      <c r="H20" s="63">
        <f t="shared" si="0"/>
        <v>54844.92</v>
      </c>
      <c r="I20" s="63">
        <f t="shared" si="1"/>
        <v>1371.1229999999998</v>
      </c>
      <c r="J20" s="36"/>
      <c r="K20" s="63">
        <f>F20*50%</f>
        <v>9140.82</v>
      </c>
      <c r="L20" s="36">
        <f t="shared" si="3"/>
        <v>63985.74</v>
      </c>
      <c r="M20" s="63">
        <f t="shared" si="4"/>
        <v>18281.64</v>
      </c>
      <c r="N20" s="65">
        <f t="shared" si="10"/>
        <v>100000</v>
      </c>
      <c r="O20" s="63">
        <f t="shared" si="5"/>
        <v>1828.164</v>
      </c>
      <c r="P20" s="63">
        <v>10000</v>
      </c>
      <c r="Q20" s="63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3">
        <v>3369.51</v>
      </c>
      <c r="W20" s="36">
        <f>S20+T20+U20+V20</f>
        <v>165202.84000000003</v>
      </c>
      <c r="X20" s="36">
        <v>107965.35999999999</v>
      </c>
      <c r="Y20" s="36">
        <f t="shared" si="8"/>
        <v>112531.20699999994</v>
      </c>
      <c r="Z20" s="124">
        <v>3369.51</v>
      </c>
      <c r="AA20" s="110">
        <f t="shared" si="9"/>
        <v>0</v>
      </c>
    </row>
    <row r="21" spans="1:27" ht="18.75" customHeight="1" x14ac:dyDescent="0.3">
      <c r="A21" s="3">
        <v>13</v>
      </c>
      <c r="B21" s="169" t="s">
        <v>69</v>
      </c>
      <c r="C21" s="170"/>
      <c r="D21" s="62" t="s">
        <v>70</v>
      </c>
      <c r="E21" s="67" t="s">
        <v>71</v>
      </c>
      <c r="F21" s="63">
        <f>19276.95</f>
        <v>19276.95</v>
      </c>
      <c r="G21" s="63"/>
      <c r="H21" s="63">
        <f t="shared" si="0"/>
        <v>57830.850000000006</v>
      </c>
      <c r="I21" s="63">
        <f t="shared" si="1"/>
        <v>1445.77125</v>
      </c>
      <c r="J21" s="36"/>
      <c r="K21" s="63">
        <f>F21*50%</f>
        <v>9638.4750000000004</v>
      </c>
      <c r="L21" s="36">
        <f t="shared" si="3"/>
        <v>67469.324999999997</v>
      </c>
      <c r="M21" s="63">
        <f t="shared" si="4"/>
        <v>19276.95</v>
      </c>
      <c r="N21" s="65">
        <f t="shared" si="10"/>
        <v>100000</v>
      </c>
      <c r="O21" s="63">
        <f t="shared" si="5"/>
        <v>1927.6950000000002</v>
      </c>
      <c r="P21" s="63">
        <v>10000</v>
      </c>
      <c r="Q21" s="63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3">
        <v>3369.51</v>
      </c>
      <c r="W21" s="36">
        <f t="shared" si="7"/>
        <v>106338.99249999999</v>
      </c>
      <c r="X21" s="36">
        <v>175961.08499999996</v>
      </c>
      <c r="Y21" s="36">
        <f t="shared" si="8"/>
        <v>180527.02375000005</v>
      </c>
      <c r="Z21" s="43">
        <v>3369.51</v>
      </c>
      <c r="AA21" s="110">
        <f t="shared" si="9"/>
        <v>0</v>
      </c>
    </row>
    <row r="22" spans="1:27" ht="18.75" customHeight="1" x14ac:dyDescent="0.3">
      <c r="A22" s="3">
        <v>14</v>
      </c>
      <c r="B22" s="84" t="s">
        <v>72</v>
      </c>
      <c r="C22" s="85"/>
      <c r="D22" s="62" t="s">
        <v>70</v>
      </c>
      <c r="E22" s="67" t="s">
        <v>73</v>
      </c>
      <c r="F22" s="68">
        <f>13112.16</f>
        <v>13112.16</v>
      </c>
      <c r="G22" s="63"/>
      <c r="H22" s="63">
        <f t="shared" si="0"/>
        <v>39336.479999999996</v>
      </c>
      <c r="I22" s="63">
        <f t="shared" si="1"/>
        <v>983.41199999999992</v>
      </c>
      <c r="J22" s="63"/>
      <c r="K22" s="63">
        <f t="shared" ref="K22:K24" si="11">F22*50%</f>
        <v>6556.08</v>
      </c>
      <c r="L22" s="36">
        <f t="shared" si="3"/>
        <v>45892.56</v>
      </c>
      <c r="M22" s="63">
        <f t="shared" si="4"/>
        <v>13112.16</v>
      </c>
      <c r="N22" s="65">
        <f t="shared" si="10"/>
        <v>100000</v>
      </c>
      <c r="O22" s="63">
        <f t="shared" si="5"/>
        <v>1311.2160000000001</v>
      </c>
      <c r="P22" s="63">
        <v>10000</v>
      </c>
      <c r="Q22" s="63"/>
      <c r="R22" s="36">
        <f t="shared" si="6"/>
        <v>230304.068</v>
      </c>
      <c r="S22" s="36">
        <f>10000</f>
        <v>10000</v>
      </c>
      <c r="T22" s="36"/>
      <c r="U22" s="36"/>
      <c r="V22" s="63">
        <v>1484.37</v>
      </c>
      <c r="W22" s="36">
        <f>S22+T22+U22+V22</f>
        <v>11484.369999999999</v>
      </c>
      <c r="X22" s="36">
        <v>215331.73</v>
      </c>
      <c r="Y22" s="36">
        <f t="shared" si="8"/>
        <v>218819.698</v>
      </c>
      <c r="Z22" s="43">
        <v>1484.37</v>
      </c>
      <c r="AA22" s="110">
        <f t="shared" si="9"/>
        <v>0</v>
      </c>
    </row>
    <row r="23" spans="1:27" ht="18.75" customHeight="1" x14ac:dyDescent="0.3">
      <c r="A23" s="3">
        <v>15</v>
      </c>
      <c r="B23" s="84" t="s">
        <v>74</v>
      </c>
      <c r="C23" s="85"/>
      <c r="D23" s="62"/>
      <c r="E23" s="67" t="s">
        <v>76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1"/>
        <v>6175.97</v>
      </c>
      <c r="L23" s="26">
        <f t="shared" si="3"/>
        <v>43231.79</v>
      </c>
      <c r="M23" s="26">
        <f t="shared" si="4"/>
        <v>12351.94</v>
      </c>
      <c r="N23" s="65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v>1235.19</v>
      </c>
      <c r="W23" s="26">
        <f t="shared" ref="W23" si="12">SUM(S23:V23)</f>
        <v>1235.19</v>
      </c>
      <c r="X23" s="26">
        <v>222093.85949999999</v>
      </c>
      <c r="Y23" s="26">
        <f t="shared" si="8"/>
        <v>222093.85949999999</v>
      </c>
      <c r="Z23" s="43">
        <v>1235.19</v>
      </c>
      <c r="AA23" s="110">
        <f t="shared" si="9"/>
        <v>0</v>
      </c>
    </row>
    <row r="24" spans="1:27" ht="18.75" customHeight="1" x14ac:dyDescent="0.3">
      <c r="A24" s="3">
        <v>16</v>
      </c>
      <c r="B24" s="84" t="s">
        <v>77</v>
      </c>
      <c r="C24" s="85"/>
      <c r="D24" s="62"/>
      <c r="E24" s="67" t="s">
        <v>76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1"/>
        <v>6175.97</v>
      </c>
      <c r="L24" s="26">
        <f t="shared" si="3"/>
        <v>43231.79</v>
      </c>
      <c r="M24" s="26">
        <f t="shared" si="4"/>
        <v>12351.94</v>
      </c>
      <c r="N24" s="65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v>1235.19</v>
      </c>
      <c r="W24" s="26">
        <f t="shared" ref="W24" si="13">SUM(S24:V24)</f>
        <v>11235.19</v>
      </c>
      <c r="X24" s="26">
        <v>112093.85949999999</v>
      </c>
      <c r="Y24" s="26">
        <f t="shared" si="8"/>
        <v>212093.85949999999</v>
      </c>
      <c r="Z24" s="43">
        <v>1235.19</v>
      </c>
      <c r="AA24" s="110">
        <f t="shared" si="9"/>
        <v>0</v>
      </c>
    </row>
    <row r="25" spans="1:27" ht="18.75" customHeight="1" x14ac:dyDescent="0.3">
      <c r="A25" s="3">
        <v>17</v>
      </c>
      <c r="B25" s="178" t="s">
        <v>78</v>
      </c>
      <c r="C25" s="178"/>
      <c r="D25" s="33" t="s">
        <v>79</v>
      </c>
      <c r="E25" s="67" t="s">
        <v>80</v>
      </c>
      <c r="F25" s="63">
        <f>23891.12</f>
        <v>23891.119999999999</v>
      </c>
      <c r="G25" s="63"/>
      <c r="H25" s="63">
        <f>F25*300%</f>
        <v>71673.36</v>
      </c>
      <c r="I25" s="63">
        <f>F25*7.5%</f>
        <v>1791.8339999999998</v>
      </c>
      <c r="J25" s="63">
        <v>0</v>
      </c>
      <c r="K25" s="63">
        <f>F25*50%</f>
        <v>11945.56</v>
      </c>
      <c r="L25" s="36">
        <f>F25*350%</f>
        <v>83618.92</v>
      </c>
      <c r="M25" s="63">
        <f>F25*100%</f>
        <v>23891.119999999999</v>
      </c>
      <c r="N25" s="65">
        <f t="shared" si="10"/>
        <v>100000</v>
      </c>
      <c r="O25" s="63">
        <f>F25*10%</f>
        <v>2389.1120000000001</v>
      </c>
      <c r="P25" s="63">
        <v>15000</v>
      </c>
      <c r="Q25" s="63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3">
        <v>7709.76</v>
      </c>
      <c r="W25" s="36">
        <f>SUM(S25:V25)</f>
        <v>18204.125500000002</v>
      </c>
      <c r="X25" s="36">
        <v>277568.26299999998</v>
      </c>
      <c r="Y25" s="36">
        <f>R25-W25</f>
        <v>315996.90049999999</v>
      </c>
      <c r="Z25" s="43">
        <v>3369.51</v>
      </c>
      <c r="AA25" s="110">
        <f t="shared" si="9"/>
        <v>4340.25</v>
      </c>
    </row>
    <row r="26" spans="1:27" ht="18.75" customHeight="1" x14ac:dyDescent="0.3">
      <c r="A26" s="3">
        <v>18</v>
      </c>
      <c r="B26" s="169" t="s">
        <v>81</v>
      </c>
      <c r="C26" s="170"/>
      <c r="D26" s="33" t="s">
        <v>82</v>
      </c>
      <c r="E26" s="67" t="s">
        <v>68</v>
      </c>
      <c r="F26" s="63">
        <f>18281.64</f>
        <v>18281.64</v>
      </c>
      <c r="G26" s="63"/>
      <c r="H26" s="63">
        <f>F26*300%</f>
        <v>54844.92</v>
      </c>
      <c r="I26" s="63">
        <f>F26*7.5%</f>
        <v>1371.1229999999998</v>
      </c>
      <c r="J26" s="63"/>
      <c r="K26" s="63">
        <f>F26*50%</f>
        <v>9140.82</v>
      </c>
      <c r="L26" s="36">
        <f>F26*350%</f>
        <v>63985.74</v>
      </c>
      <c r="M26" s="63">
        <f>F26*100%</f>
        <v>18281.64</v>
      </c>
      <c r="N26" s="65">
        <f t="shared" si="10"/>
        <v>100000</v>
      </c>
      <c r="O26" s="63">
        <f>F26*10%</f>
        <v>1828.164</v>
      </c>
      <c r="P26" s="63">
        <v>10000</v>
      </c>
      <c r="Q26" s="63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3">
        <v>3369.51</v>
      </c>
      <c r="W26" s="36">
        <f>SUM(S26:V26)</f>
        <v>154619.51</v>
      </c>
      <c r="X26" s="36">
        <v>118548.69</v>
      </c>
      <c r="Y26" s="36">
        <f>R26-W26</f>
        <v>123114.53699999995</v>
      </c>
      <c r="Z26" s="43">
        <v>3369.51</v>
      </c>
      <c r="AA26" s="110">
        <f t="shared" si="9"/>
        <v>0</v>
      </c>
    </row>
    <row r="27" spans="1:27" ht="18.75" customHeight="1" x14ac:dyDescent="0.3">
      <c r="A27" s="3">
        <v>19</v>
      </c>
      <c r="B27" s="84" t="s">
        <v>83</v>
      </c>
      <c r="C27" s="85"/>
      <c r="D27" s="33" t="s">
        <v>84</v>
      </c>
      <c r="E27" s="67" t="s">
        <v>85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3">
        <v>3369.51</v>
      </c>
      <c r="W27" s="36">
        <f>S27+T27+U27+V27</f>
        <v>53369.51</v>
      </c>
      <c r="X27" s="36">
        <v>255232.56775000005</v>
      </c>
      <c r="Y27" s="36">
        <f>R27-W27</f>
        <v>219798.69</v>
      </c>
      <c r="Z27" s="43">
        <v>3369.51</v>
      </c>
      <c r="AA27" s="110">
        <f t="shared" si="9"/>
        <v>0</v>
      </c>
    </row>
    <row r="28" spans="1:27" ht="18.75" customHeight="1" x14ac:dyDescent="0.3">
      <c r="A28" s="3"/>
      <c r="B28" s="179" t="s">
        <v>32</v>
      </c>
      <c r="C28" s="179"/>
      <c r="D28" s="7">
        <v>19</v>
      </c>
      <c r="E28" s="67"/>
      <c r="F28" s="69">
        <f t="shared" ref="F28:Y28" si="14">SUM(F9:F27)</f>
        <v>607907.00999999989</v>
      </c>
      <c r="G28" s="69">
        <f t="shared" si="14"/>
        <v>0</v>
      </c>
      <c r="H28" s="69">
        <f t="shared" si="14"/>
        <v>1663232.28</v>
      </c>
      <c r="I28" s="69">
        <f t="shared" si="14"/>
        <v>81702.999499999991</v>
      </c>
      <c r="J28" s="69">
        <f t="shared" si="14"/>
        <v>320977.52</v>
      </c>
      <c r="K28" s="69">
        <f t="shared" si="14"/>
        <v>295929.07</v>
      </c>
      <c r="L28" s="69">
        <f t="shared" si="14"/>
        <v>1565963.91</v>
      </c>
      <c r="M28" s="69">
        <f t="shared" si="14"/>
        <v>567784.83000000007</v>
      </c>
      <c r="N28" s="69">
        <f t="shared" si="14"/>
        <v>2100000</v>
      </c>
      <c r="O28" s="69">
        <f t="shared" si="14"/>
        <v>60790.706000000006</v>
      </c>
      <c r="P28" s="69">
        <f t="shared" si="14"/>
        <v>285000</v>
      </c>
      <c r="Q28" s="69">
        <f t="shared" si="14"/>
        <v>525235</v>
      </c>
      <c r="R28" s="69">
        <f t="shared" si="14"/>
        <v>8074523.3254999984</v>
      </c>
      <c r="S28" s="69">
        <f t="shared" si="14"/>
        <v>435000</v>
      </c>
      <c r="T28" s="69">
        <f t="shared" si="14"/>
        <v>957742.84</v>
      </c>
      <c r="U28" s="69">
        <f t="shared" si="14"/>
        <v>4753.9245000000001</v>
      </c>
      <c r="V28" s="69">
        <v>266749.49000000005</v>
      </c>
      <c r="W28" s="69">
        <f t="shared" si="14"/>
        <v>1664246.2545</v>
      </c>
      <c r="X28" s="69">
        <v>6193029.3780000014</v>
      </c>
      <c r="Y28" s="69">
        <f t="shared" si="14"/>
        <v>6410277.0710000005</v>
      </c>
      <c r="Z28" s="125">
        <v>256339.48000000007</v>
      </c>
      <c r="AA28" s="126">
        <f t="shared" si="9"/>
        <v>10410.00999999998</v>
      </c>
    </row>
    <row r="29" spans="1:27" ht="18.75" customHeight="1" x14ac:dyDescent="0.3">
      <c r="A29" s="3"/>
      <c r="B29" s="101"/>
      <c r="C29" s="101"/>
      <c r="D29" s="33"/>
      <c r="E29" s="67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AA29" s="110">
        <f t="shared" si="9"/>
        <v>0</v>
      </c>
    </row>
    <row r="30" spans="1:27" ht="18.75" customHeight="1" x14ac:dyDescent="0.3">
      <c r="A30" s="3"/>
      <c r="B30" s="179" t="s">
        <v>86</v>
      </c>
      <c r="C30" s="179"/>
      <c r="D30" s="33"/>
      <c r="E30" s="67"/>
      <c r="F30" s="63"/>
      <c r="G30" s="63"/>
      <c r="H30" s="63"/>
      <c r="I30" s="63"/>
      <c r="J30" s="63"/>
      <c r="K30" s="63"/>
      <c r="L30" s="36"/>
      <c r="M30" s="63"/>
      <c r="N30" s="63"/>
      <c r="O30" s="63"/>
      <c r="P30" s="63"/>
      <c r="Q30" s="63"/>
      <c r="R30" s="36"/>
      <c r="S30" s="36"/>
      <c r="T30" s="36"/>
      <c r="U30" s="36"/>
      <c r="V30" s="63"/>
      <c r="W30" s="36"/>
      <c r="X30" s="36"/>
      <c r="Y30" s="36"/>
      <c r="AA30" s="110">
        <f t="shared" si="9"/>
        <v>0</v>
      </c>
    </row>
    <row r="31" spans="1:27" ht="18.75" customHeight="1" x14ac:dyDescent="0.3">
      <c r="A31" s="3">
        <v>1</v>
      </c>
      <c r="B31" s="180" t="s">
        <v>87</v>
      </c>
      <c r="C31" s="181"/>
      <c r="D31" s="62" t="s">
        <v>88</v>
      </c>
      <c r="E31" s="67" t="s">
        <v>89</v>
      </c>
      <c r="F31" s="63">
        <f>79039.64</f>
        <v>79039.64</v>
      </c>
      <c r="G31" s="63"/>
      <c r="H31" s="63">
        <f t="shared" ref="H31" si="15">F31*300%</f>
        <v>237118.91999999998</v>
      </c>
      <c r="I31" s="63">
        <f t="shared" ref="I31" si="16">F31*7.5%</f>
        <v>5927.973</v>
      </c>
      <c r="J31" s="63">
        <f>80244.38</f>
        <v>80244.38</v>
      </c>
      <c r="K31" s="63">
        <f t="shared" ref="K31" si="17">F31*50%</f>
        <v>39519.82</v>
      </c>
      <c r="L31" s="63">
        <f t="shared" ref="L31" si="18">F31*350%</f>
        <v>276638.74</v>
      </c>
      <c r="M31" s="63">
        <f t="shared" ref="M31" si="19">F31*100%</f>
        <v>79039.64</v>
      </c>
      <c r="N31" s="65">
        <f t="shared" ref="N31:N32" si="20">100000</f>
        <v>100000</v>
      </c>
      <c r="O31" s="63">
        <f t="shared" ref="O31" si="21">F31*10%</f>
        <v>7903.9639999999999</v>
      </c>
      <c r="P31" s="63">
        <v>20000</v>
      </c>
      <c r="Q31" s="63">
        <v>0</v>
      </c>
      <c r="R31" s="36">
        <f t="shared" ref="R31" si="22">SUM(F31:Q31)</f>
        <v>925433.07700000005</v>
      </c>
      <c r="S31" s="63">
        <f>100000</f>
        <v>100000</v>
      </c>
      <c r="T31" s="63">
        <f>287500</f>
        <v>287500</v>
      </c>
      <c r="U31" s="63">
        <f>'[3]DECEMBER 2019'!$H$26</f>
        <v>1028.9422500000001</v>
      </c>
      <c r="V31" s="63">
        <v>52776.63</v>
      </c>
      <c r="W31" s="36">
        <f>S31+T31+U31+V31</f>
        <v>441305.57225000003</v>
      </c>
      <c r="X31" s="36">
        <v>459351.88525000011</v>
      </c>
      <c r="Y31" s="36">
        <f>R31-W31</f>
        <v>484127.50475000002</v>
      </c>
      <c r="Z31" s="125">
        <v>52776.63</v>
      </c>
      <c r="AA31" s="110">
        <f t="shared" si="9"/>
        <v>0</v>
      </c>
    </row>
    <row r="32" spans="1:27" ht="18.75" customHeight="1" x14ac:dyDescent="0.3">
      <c r="A32" s="3">
        <v>2</v>
      </c>
      <c r="B32" s="180" t="s">
        <v>90</v>
      </c>
      <c r="C32" s="181"/>
      <c r="D32" s="62" t="s">
        <v>91</v>
      </c>
      <c r="E32" s="67" t="s">
        <v>92</v>
      </c>
      <c r="F32" s="63">
        <f>18779.3</f>
        <v>18779.3</v>
      </c>
      <c r="G32" s="63"/>
      <c r="H32" s="63">
        <f>F32*300%</f>
        <v>56337.899999999994</v>
      </c>
      <c r="I32" s="63">
        <f>F32*7.5%</f>
        <v>1408.4475</v>
      </c>
      <c r="J32" s="63">
        <v>0</v>
      </c>
      <c r="K32" s="63">
        <f>F32*50%</f>
        <v>9389.65</v>
      </c>
      <c r="L32" s="36">
        <f>F32*350%</f>
        <v>65727.55</v>
      </c>
      <c r="M32" s="63">
        <f>F32*100%</f>
        <v>18779.3</v>
      </c>
      <c r="N32" s="65">
        <f t="shared" si="20"/>
        <v>100000</v>
      </c>
      <c r="O32" s="63">
        <f>F32*10%</f>
        <v>1877.93</v>
      </c>
      <c r="P32" s="63">
        <v>10000</v>
      </c>
      <c r="Q32" s="63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3">
        <v>0</v>
      </c>
      <c r="W32" s="36">
        <f>S32+T32+U32+V32</f>
        <v>0</v>
      </c>
      <c r="X32" s="36">
        <v>278930.56749999995</v>
      </c>
      <c r="Y32" s="36">
        <f>R32-W32</f>
        <v>0</v>
      </c>
      <c r="Z32" s="125">
        <v>0</v>
      </c>
      <c r="AA32" s="110">
        <f t="shared" si="9"/>
        <v>0</v>
      </c>
    </row>
    <row r="33" spans="1:27" ht="19.5" customHeight="1" x14ac:dyDescent="0.3">
      <c r="A33" s="3"/>
      <c r="B33" s="33"/>
      <c r="C33" s="21" t="s">
        <v>32</v>
      </c>
      <c r="D33" s="7">
        <v>2</v>
      </c>
      <c r="E33" s="3"/>
      <c r="F33" s="69">
        <f>SUM(F31:F32)</f>
        <v>97818.94</v>
      </c>
      <c r="G33" s="69">
        <f t="shared" ref="G33:W33" si="23">SUM(G31:G32)</f>
        <v>0</v>
      </c>
      <c r="H33" s="69">
        <f t="shared" si="23"/>
        <v>293456.81999999995</v>
      </c>
      <c r="I33" s="69">
        <f t="shared" si="23"/>
        <v>7336.4205000000002</v>
      </c>
      <c r="J33" s="69">
        <f t="shared" si="23"/>
        <v>80244.38</v>
      </c>
      <c r="K33" s="69">
        <f t="shared" si="23"/>
        <v>48909.47</v>
      </c>
      <c r="L33" s="69">
        <f t="shared" si="23"/>
        <v>342366.29</v>
      </c>
      <c r="M33" s="69">
        <f t="shared" si="23"/>
        <v>97818.94</v>
      </c>
      <c r="N33" s="69">
        <f>SUM(N31:N32)</f>
        <v>200000</v>
      </c>
      <c r="O33" s="69">
        <f t="shared" si="23"/>
        <v>9781.8940000000002</v>
      </c>
      <c r="P33" s="69">
        <f t="shared" si="23"/>
        <v>30000</v>
      </c>
      <c r="Q33" s="69">
        <f t="shared" si="23"/>
        <v>0</v>
      </c>
      <c r="R33" s="69">
        <f t="shared" si="23"/>
        <v>925433.07700000005</v>
      </c>
      <c r="S33" s="69">
        <f t="shared" si="23"/>
        <v>100000</v>
      </c>
      <c r="T33" s="69">
        <f t="shared" si="23"/>
        <v>287500</v>
      </c>
      <c r="U33" s="69">
        <f t="shared" si="23"/>
        <v>1028.9422500000001</v>
      </c>
      <c r="V33" s="69">
        <v>52776.63</v>
      </c>
      <c r="W33" s="69">
        <f t="shared" si="23"/>
        <v>441305.57225000003</v>
      </c>
      <c r="X33" s="69">
        <v>738282.45275000017</v>
      </c>
      <c r="Y33" s="69">
        <f>R33-W33</f>
        <v>484127.50475000002</v>
      </c>
      <c r="Z33" s="125">
        <v>52776.63</v>
      </c>
      <c r="AA33" s="110">
        <f t="shared" si="9"/>
        <v>0</v>
      </c>
    </row>
    <row r="34" spans="1:27" ht="20.100000000000001" customHeight="1" x14ac:dyDescent="0.3">
      <c r="A34" s="3"/>
      <c r="B34" s="184"/>
      <c r="C34" s="185"/>
      <c r="D34" s="33"/>
      <c r="E34" s="3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36"/>
      <c r="X34" s="36"/>
      <c r="Y34" s="36"/>
      <c r="Z34" s="125"/>
      <c r="AA34" s="110">
        <f t="shared" si="9"/>
        <v>0</v>
      </c>
    </row>
    <row r="35" spans="1:27" ht="20.100000000000001" customHeight="1" x14ac:dyDescent="0.3">
      <c r="A35" s="3"/>
      <c r="B35" s="186" t="s">
        <v>93</v>
      </c>
      <c r="C35" s="187"/>
      <c r="D35" s="51"/>
      <c r="E35" s="2"/>
      <c r="F35" s="69"/>
      <c r="G35" s="69"/>
      <c r="H35" s="6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125"/>
      <c r="AA35" s="110">
        <f t="shared" si="9"/>
        <v>0</v>
      </c>
    </row>
    <row r="36" spans="1:27" ht="20.100000000000001" customHeight="1" x14ac:dyDescent="0.3">
      <c r="A36" s="3">
        <v>1</v>
      </c>
      <c r="B36" s="169" t="s">
        <v>94</v>
      </c>
      <c r="C36" s="170"/>
      <c r="D36" s="33" t="s">
        <v>95</v>
      </c>
      <c r="E36" s="3" t="s">
        <v>41</v>
      </c>
      <c r="F36" s="63">
        <f>81740.02</f>
        <v>81740.02</v>
      </c>
      <c r="G36" s="63"/>
      <c r="H36" s="63">
        <f>F36*300%</f>
        <v>245220.06</v>
      </c>
      <c r="I36" s="63">
        <f>F36*7.5%</f>
        <v>6130.5015000000003</v>
      </c>
      <c r="J36" s="63">
        <v>80244.38</v>
      </c>
      <c r="K36" s="63">
        <f>F36*50%</f>
        <v>40870.01</v>
      </c>
      <c r="L36" s="63">
        <f>F36*350%</f>
        <v>286090.07</v>
      </c>
      <c r="M36" s="63">
        <f t="shared" ref="M36:M46" si="24">F36*100%</f>
        <v>81740.02</v>
      </c>
      <c r="N36" s="63">
        <f>150000</f>
        <v>150000</v>
      </c>
      <c r="O36" s="63">
        <f t="shared" ref="O36:O46" si="25">F36*10%</f>
        <v>8174.0020000000004</v>
      </c>
      <c r="P36" s="63">
        <v>20000</v>
      </c>
      <c r="Q36" s="63"/>
      <c r="R36" s="36">
        <f t="shared" ref="R36:R46" si="26">SUM(F36:Q36)</f>
        <v>1000209.0635</v>
      </c>
      <c r="S36" s="36">
        <f>100000+2000</f>
        <v>102000</v>
      </c>
      <c r="T36" s="36"/>
      <c r="U36" s="36"/>
      <c r="V36" s="63">
        <v>52776.63</v>
      </c>
      <c r="W36" s="36">
        <f t="shared" ref="W36:W46" si="27">V36+S36+T36+U36</f>
        <v>154776.63</v>
      </c>
      <c r="X36" s="36">
        <v>922656.44700000004</v>
      </c>
      <c r="Y36" s="36">
        <f t="shared" ref="Y36:Y46" si="28">R36-W36</f>
        <v>845432.43350000004</v>
      </c>
      <c r="Z36" s="125">
        <v>52776.63</v>
      </c>
      <c r="AA36" s="110">
        <f t="shared" si="9"/>
        <v>0</v>
      </c>
    </row>
    <row r="37" spans="1:27" ht="20.100000000000001" customHeight="1" x14ac:dyDescent="0.3">
      <c r="A37" s="3">
        <v>2</v>
      </c>
      <c r="B37" s="169" t="s">
        <v>96</v>
      </c>
      <c r="C37" s="170"/>
      <c r="D37" s="33" t="s">
        <v>97</v>
      </c>
      <c r="E37" s="3" t="s">
        <v>44</v>
      </c>
      <c r="F37" s="63">
        <f>33507.5</f>
        <v>33507.5</v>
      </c>
      <c r="G37" s="63"/>
      <c r="H37" s="63">
        <f>F37*300%</f>
        <v>100522.5</v>
      </c>
      <c r="I37" s="63">
        <f>F37*7.5%</f>
        <v>2513.0625</v>
      </c>
      <c r="J37" s="63">
        <v>40122.19</v>
      </c>
      <c r="K37" s="63">
        <f>F37*50%</f>
        <v>16753.75</v>
      </c>
      <c r="L37" s="63">
        <f>F37*350%</f>
        <v>117276.25</v>
      </c>
      <c r="M37" s="63">
        <f>F37*100%</f>
        <v>33507.5</v>
      </c>
      <c r="N37" s="63">
        <f t="shared" ref="N37:N46" si="29">150000</f>
        <v>150000</v>
      </c>
      <c r="O37" s="63">
        <f>F37*10%</f>
        <v>3350.75</v>
      </c>
      <c r="P37" s="63">
        <v>20000</v>
      </c>
      <c r="Q37" s="63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3">
        <v>15548.33</v>
      </c>
      <c r="W37" s="36">
        <f>SUM(S37:V37)</f>
        <v>306457.44</v>
      </c>
      <c r="X37" s="36">
        <v>211096.0625</v>
      </c>
      <c r="Y37" s="36">
        <f>R37-W37</f>
        <v>211096.0625</v>
      </c>
      <c r="Z37" s="125">
        <v>15548.33</v>
      </c>
      <c r="AA37" s="110">
        <f t="shared" si="9"/>
        <v>0</v>
      </c>
    </row>
    <row r="38" spans="1:27" ht="20.100000000000001" customHeight="1" x14ac:dyDescent="0.3">
      <c r="A38" s="3">
        <v>3</v>
      </c>
      <c r="B38" s="169" t="s">
        <v>98</v>
      </c>
      <c r="C38" s="170"/>
      <c r="D38" s="33" t="s">
        <v>99</v>
      </c>
      <c r="E38" s="3" t="s">
        <v>44</v>
      </c>
      <c r="F38" s="63">
        <f>33507.5</f>
        <v>33507.5</v>
      </c>
      <c r="G38" s="63"/>
      <c r="H38" s="63">
        <f>F38*300%</f>
        <v>100522.5</v>
      </c>
      <c r="I38" s="63">
        <f>F38*7.5%</f>
        <v>2513.0625</v>
      </c>
      <c r="J38" s="63">
        <v>40122.19</v>
      </c>
      <c r="K38" s="63">
        <f>F38*50%</f>
        <v>16753.75</v>
      </c>
      <c r="L38" s="63">
        <f>F38*350%</f>
        <v>117276.25</v>
      </c>
      <c r="M38" s="63">
        <f>F38*100%</f>
        <v>33507.5</v>
      </c>
      <c r="N38" s="63">
        <f t="shared" si="29"/>
        <v>150000</v>
      </c>
      <c r="O38" s="63">
        <f>F38*10%</f>
        <v>3350.75</v>
      </c>
      <c r="P38" s="63">
        <v>20000</v>
      </c>
      <c r="Q38" s="63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3">
        <v>15548.33</v>
      </c>
      <c r="W38" s="36">
        <f>V38+S38+T38+U38</f>
        <v>305454.28999999998</v>
      </c>
      <c r="X38" s="36">
        <v>200682.76000000007</v>
      </c>
      <c r="Y38" s="36">
        <f>R38-W38</f>
        <v>212099.21250000002</v>
      </c>
      <c r="Z38" s="125">
        <v>15548.33</v>
      </c>
      <c r="AA38" s="110">
        <f t="shared" si="9"/>
        <v>0</v>
      </c>
    </row>
    <row r="39" spans="1:27" ht="20.100000000000001" customHeight="1" x14ac:dyDescent="0.3">
      <c r="A39" s="3">
        <v>4</v>
      </c>
      <c r="B39" s="169" t="s">
        <v>100</v>
      </c>
      <c r="C39" s="170"/>
      <c r="D39" s="33" t="s">
        <v>101</v>
      </c>
      <c r="E39" s="3" t="s">
        <v>102</v>
      </c>
      <c r="F39" s="63">
        <v>28489.81</v>
      </c>
      <c r="G39" s="63"/>
      <c r="H39" s="63">
        <f>F39*300%</f>
        <v>85469.430000000008</v>
      </c>
      <c r="I39" s="63">
        <f>F39*7.5%</f>
        <v>2136.7357499999998</v>
      </c>
      <c r="J39" s="63"/>
      <c r="K39" s="63">
        <f>F39*50%</f>
        <v>14244.905000000001</v>
      </c>
      <c r="L39" s="63">
        <f>F39*350%</f>
        <v>99714.335000000006</v>
      </c>
      <c r="M39" s="63">
        <f>F39*100%</f>
        <v>28489.81</v>
      </c>
      <c r="N39" s="63">
        <f t="shared" si="29"/>
        <v>150000</v>
      </c>
      <c r="O39" s="63">
        <f>F39*10%</f>
        <v>2848.9810000000002</v>
      </c>
      <c r="P39" s="63">
        <v>20000</v>
      </c>
      <c r="Q39" s="63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3">
        <v>7709.76</v>
      </c>
      <c r="W39" s="36">
        <f>SUM(S39:V39)</f>
        <v>243125.36000000002</v>
      </c>
      <c r="X39" s="36">
        <v>188268.64675000004</v>
      </c>
      <c r="Y39" s="36">
        <f>R39-W39</f>
        <v>188268.64675000004</v>
      </c>
      <c r="Z39" s="125">
        <v>7709.76</v>
      </c>
      <c r="AA39" s="110">
        <f t="shared" si="9"/>
        <v>0</v>
      </c>
    </row>
    <row r="40" spans="1:27" ht="20.100000000000001" customHeight="1" x14ac:dyDescent="0.3">
      <c r="A40" s="3">
        <v>5</v>
      </c>
      <c r="B40" s="169" t="s">
        <v>103</v>
      </c>
      <c r="C40" s="170"/>
      <c r="D40" s="33" t="s">
        <v>101</v>
      </c>
      <c r="E40" s="3" t="s">
        <v>102</v>
      </c>
      <c r="F40" s="63">
        <f>28489.81</f>
        <v>28489.81</v>
      </c>
      <c r="G40" s="63"/>
      <c r="H40" s="63">
        <f t="shared" ref="H40:H46" si="30">F40*300%</f>
        <v>85469.430000000008</v>
      </c>
      <c r="I40" s="63">
        <f t="shared" ref="I40:I46" si="31">F40*7.5%</f>
        <v>2136.7357499999998</v>
      </c>
      <c r="J40" s="63">
        <v>0</v>
      </c>
      <c r="K40" s="63">
        <f t="shared" ref="K40:K46" si="32">F40*50%</f>
        <v>14244.905000000001</v>
      </c>
      <c r="L40" s="63">
        <f t="shared" ref="L40:L46" si="33">F40*350%</f>
        <v>99714.335000000006</v>
      </c>
      <c r="M40" s="63">
        <f t="shared" si="24"/>
        <v>28489.81</v>
      </c>
      <c r="N40" s="63">
        <f t="shared" si="29"/>
        <v>150000</v>
      </c>
      <c r="O40" s="63">
        <f t="shared" si="25"/>
        <v>2848.9810000000002</v>
      </c>
      <c r="P40" s="63">
        <v>20000</v>
      </c>
      <c r="Q40" s="63">
        <v>0</v>
      </c>
      <c r="R40" s="36">
        <f t="shared" si="26"/>
        <v>431394.00675000006</v>
      </c>
      <c r="S40" s="36"/>
      <c r="T40" s="36"/>
      <c r="U40" s="36">
        <f>'[3]DECEMBER 2019'!$H$27</f>
        <v>690.28075000000001</v>
      </c>
      <c r="V40" s="63">
        <v>7709.76</v>
      </c>
      <c r="W40" s="36">
        <f t="shared" si="27"/>
        <v>8400.0407500000001</v>
      </c>
      <c r="X40" s="36">
        <v>414932.99450000009</v>
      </c>
      <c r="Y40" s="36">
        <f t="shared" si="28"/>
        <v>422993.96600000007</v>
      </c>
      <c r="Z40" s="125">
        <v>7709.76</v>
      </c>
      <c r="AA40" s="110">
        <f t="shared" si="9"/>
        <v>0</v>
      </c>
    </row>
    <row r="41" spans="1:27" ht="20.100000000000001" customHeight="1" x14ac:dyDescent="0.3">
      <c r="A41" s="3">
        <v>6</v>
      </c>
      <c r="B41" s="169" t="s">
        <v>104</v>
      </c>
      <c r="C41" s="170"/>
      <c r="D41" s="33" t="s">
        <v>101</v>
      </c>
      <c r="E41" s="3" t="s">
        <v>143</v>
      </c>
      <c r="F41" s="63">
        <f>27611.23</f>
        <v>27611.23</v>
      </c>
      <c r="G41" s="63"/>
      <c r="H41" s="63">
        <f t="shared" si="30"/>
        <v>82833.69</v>
      </c>
      <c r="I41" s="63">
        <f t="shared" si="31"/>
        <v>2070.8422499999997</v>
      </c>
      <c r="J41" s="63"/>
      <c r="K41" s="63">
        <f t="shared" si="32"/>
        <v>13805.615</v>
      </c>
      <c r="L41" s="63">
        <f t="shared" si="33"/>
        <v>96639.304999999993</v>
      </c>
      <c r="M41" s="63">
        <f t="shared" si="24"/>
        <v>27611.23</v>
      </c>
      <c r="N41" s="63">
        <f t="shared" si="29"/>
        <v>150000</v>
      </c>
      <c r="O41" s="63">
        <f t="shared" si="25"/>
        <v>2761.123</v>
      </c>
      <c r="P41" s="63">
        <v>15000</v>
      </c>
      <c r="Q41" s="63"/>
      <c r="R41" s="36">
        <f t="shared" si="26"/>
        <v>418333.03525000007</v>
      </c>
      <c r="S41" s="36">
        <f>15000</f>
        <v>15000</v>
      </c>
      <c r="T41" s="36">
        <f>106666.67</f>
        <v>106666.67</v>
      </c>
      <c r="U41" s="36"/>
      <c r="V41" s="63">
        <v>7709.76</v>
      </c>
      <c r="W41" s="36">
        <f t="shared" si="27"/>
        <v>129376.43</v>
      </c>
      <c r="X41" s="36">
        <v>262624.63049999997</v>
      </c>
      <c r="Y41" s="36">
        <f t="shared" si="28"/>
        <v>288956.60525000008</v>
      </c>
      <c r="Z41" s="125">
        <v>7709.76</v>
      </c>
      <c r="AA41" s="110">
        <f t="shared" si="9"/>
        <v>0</v>
      </c>
    </row>
    <row r="42" spans="1:27" ht="20.100000000000001" customHeight="1" x14ac:dyDescent="0.3">
      <c r="A42" s="3">
        <v>7</v>
      </c>
      <c r="B42" s="182" t="s">
        <v>106</v>
      </c>
      <c r="C42" s="183"/>
      <c r="D42" s="20" t="s">
        <v>107</v>
      </c>
      <c r="E42" s="25" t="s">
        <v>62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3">
        <f t="shared" si="29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>R42-W42</f>
        <v>398953.31749999995</v>
      </c>
      <c r="Z42" s="125">
        <v>7709.76</v>
      </c>
      <c r="AA42" s="110">
        <f t="shared" si="9"/>
        <v>0</v>
      </c>
    </row>
    <row r="43" spans="1:27" ht="20.100000000000001" customHeight="1" x14ac:dyDescent="0.3">
      <c r="A43" s="3">
        <v>8</v>
      </c>
      <c r="B43" s="169" t="s">
        <v>108</v>
      </c>
      <c r="C43" s="170"/>
      <c r="D43" s="33" t="s">
        <v>109</v>
      </c>
      <c r="E43" s="3" t="s">
        <v>110</v>
      </c>
      <c r="F43" s="63">
        <f>24741.26</f>
        <v>24741.26</v>
      </c>
      <c r="G43" s="63"/>
      <c r="H43" s="63">
        <f t="shared" si="30"/>
        <v>74223.78</v>
      </c>
      <c r="I43" s="63">
        <f t="shared" si="31"/>
        <v>1855.5944999999997</v>
      </c>
      <c r="J43" s="63">
        <v>0</v>
      </c>
      <c r="K43" s="63">
        <f t="shared" si="32"/>
        <v>12370.63</v>
      </c>
      <c r="L43" s="63">
        <f t="shared" si="33"/>
        <v>86594.409999999989</v>
      </c>
      <c r="M43" s="63">
        <f t="shared" si="24"/>
        <v>24741.26</v>
      </c>
      <c r="N43" s="63">
        <f t="shared" si="29"/>
        <v>150000</v>
      </c>
      <c r="O43" s="63">
        <f t="shared" si="25"/>
        <v>2474.1260000000002</v>
      </c>
      <c r="P43" s="63">
        <v>15000</v>
      </c>
      <c r="Q43" s="63">
        <v>0</v>
      </c>
      <c r="R43" s="36">
        <f t="shared" si="26"/>
        <v>392001.06049999996</v>
      </c>
      <c r="S43" s="36"/>
      <c r="T43" s="36"/>
      <c r="U43" s="36"/>
      <c r="V43" s="63">
        <v>7709.76</v>
      </c>
      <c r="W43" s="36">
        <f t="shared" si="27"/>
        <v>7709.76</v>
      </c>
      <c r="X43" s="36">
        <v>376493.266</v>
      </c>
      <c r="Y43" s="36">
        <f t="shared" si="28"/>
        <v>384291.30049999995</v>
      </c>
      <c r="Z43" s="125">
        <v>7707.76</v>
      </c>
      <c r="AA43" s="110">
        <f t="shared" si="9"/>
        <v>2</v>
      </c>
    </row>
    <row r="44" spans="1:27" ht="20.100000000000001" customHeight="1" x14ac:dyDescent="0.3">
      <c r="A44" s="3">
        <v>9</v>
      </c>
      <c r="B44" s="169" t="s">
        <v>111</v>
      </c>
      <c r="C44" s="170"/>
      <c r="D44" s="33" t="s">
        <v>112</v>
      </c>
      <c r="E44" s="3" t="s">
        <v>57</v>
      </c>
      <c r="F44" s="63">
        <f>25523.45</f>
        <v>25523.45</v>
      </c>
      <c r="G44" s="63"/>
      <c r="H44" s="63">
        <f t="shared" si="30"/>
        <v>76570.350000000006</v>
      </c>
      <c r="I44" s="63">
        <f t="shared" si="31"/>
        <v>1914.25875</v>
      </c>
      <c r="J44" s="63">
        <v>0</v>
      </c>
      <c r="K44" s="63">
        <f t="shared" si="32"/>
        <v>12761.725</v>
      </c>
      <c r="L44" s="63">
        <f t="shared" si="33"/>
        <v>89332.074999999997</v>
      </c>
      <c r="M44" s="63">
        <f t="shared" si="24"/>
        <v>25523.45</v>
      </c>
      <c r="N44" s="63">
        <f t="shared" si="29"/>
        <v>150000</v>
      </c>
      <c r="O44" s="63">
        <f t="shared" si="25"/>
        <v>2552.3450000000003</v>
      </c>
      <c r="P44" s="63">
        <v>15000</v>
      </c>
      <c r="Q44" s="63">
        <v>0</v>
      </c>
      <c r="R44" s="36">
        <f t="shared" si="26"/>
        <v>399177.65375</v>
      </c>
      <c r="S44" s="36"/>
      <c r="T44" s="36"/>
      <c r="U44" s="36"/>
      <c r="V44" s="63">
        <v>7709.76</v>
      </c>
      <c r="W44" s="36">
        <f t="shared" si="27"/>
        <v>7709.76</v>
      </c>
      <c r="X44" s="36">
        <v>384291.30049999995</v>
      </c>
      <c r="Y44" s="36">
        <f t="shared" si="28"/>
        <v>391467.89374999999</v>
      </c>
      <c r="Z44" s="125">
        <v>7709.76</v>
      </c>
      <c r="AA44" s="110">
        <f t="shared" si="9"/>
        <v>0</v>
      </c>
    </row>
    <row r="45" spans="1:27" ht="20.100000000000001" customHeight="1" x14ac:dyDescent="0.3">
      <c r="A45" s="3">
        <v>10</v>
      </c>
      <c r="B45" s="169" t="s">
        <v>269</v>
      </c>
      <c r="C45" s="170"/>
      <c r="D45" s="33" t="s">
        <v>112</v>
      </c>
      <c r="E45" s="3" t="s">
        <v>57</v>
      </c>
      <c r="F45" s="63">
        <f>25523.45</f>
        <v>25523.45</v>
      </c>
      <c r="G45" s="63"/>
      <c r="H45" s="63">
        <f t="shared" si="30"/>
        <v>76570.350000000006</v>
      </c>
      <c r="I45" s="63">
        <f t="shared" si="31"/>
        <v>1914.25875</v>
      </c>
      <c r="J45" s="63">
        <f>J19</f>
        <v>0</v>
      </c>
      <c r="K45" s="63">
        <f t="shared" si="32"/>
        <v>12761.725</v>
      </c>
      <c r="L45" s="63">
        <f t="shared" si="33"/>
        <v>89332.074999999997</v>
      </c>
      <c r="M45" s="63">
        <f t="shared" si="24"/>
        <v>25523.45</v>
      </c>
      <c r="N45" s="63">
        <f t="shared" si="29"/>
        <v>150000</v>
      </c>
      <c r="O45" s="63">
        <f t="shared" si="25"/>
        <v>2552.3450000000003</v>
      </c>
      <c r="P45" s="63">
        <v>15000</v>
      </c>
      <c r="Q45" s="63">
        <v>0</v>
      </c>
      <c r="R45" s="36">
        <f t="shared" si="26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3">
        <v>7709.76</v>
      </c>
      <c r="W45" s="36">
        <f t="shared" si="27"/>
        <v>220435.33150000003</v>
      </c>
      <c r="X45" s="36">
        <v>71565.728999999934</v>
      </c>
      <c r="Y45" s="36">
        <f t="shared" si="28"/>
        <v>178742.32224999997</v>
      </c>
      <c r="Z45" s="125">
        <v>7709.76</v>
      </c>
      <c r="AA45" s="110">
        <f t="shared" si="9"/>
        <v>0</v>
      </c>
    </row>
    <row r="46" spans="1:27" ht="20.100000000000001" customHeight="1" x14ac:dyDescent="0.3">
      <c r="A46" s="3">
        <v>11</v>
      </c>
      <c r="B46" s="173" t="s">
        <v>114</v>
      </c>
      <c r="C46" s="174"/>
      <c r="D46" s="33" t="s">
        <v>112</v>
      </c>
      <c r="E46" s="29" t="s">
        <v>80</v>
      </c>
      <c r="F46" s="26">
        <f>23891.12</f>
        <v>23891.119999999999</v>
      </c>
      <c r="G46" s="63"/>
      <c r="H46" s="26">
        <f t="shared" si="30"/>
        <v>71673.36</v>
      </c>
      <c r="I46" s="26">
        <f t="shared" si="31"/>
        <v>1791.8339999999998</v>
      </c>
      <c r="J46" s="26"/>
      <c r="K46" s="26">
        <f t="shared" si="32"/>
        <v>11945.56</v>
      </c>
      <c r="L46" s="26">
        <f t="shared" si="33"/>
        <v>83618.92</v>
      </c>
      <c r="M46" s="26">
        <f t="shared" si="24"/>
        <v>23891.119999999999</v>
      </c>
      <c r="N46" s="63">
        <f t="shared" si="29"/>
        <v>150000</v>
      </c>
      <c r="O46" s="26">
        <f t="shared" si="25"/>
        <v>2389.1120000000001</v>
      </c>
      <c r="P46" s="26">
        <v>15000</v>
      </c>
      <c r="Q46" s="26"/>
      <c r="R46" s="36">
        <f t="shared" si="26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v>7709.76</v>
      </c>
      <c r="W46" s="36">
        <f t="shared" si="27"/>
        <v>68166.800999999992</v>
      </c>
      <c r="X46" s="36">
        <v>263907.49599999998</v>
      </c>
      <c r="Y46" s="36">
        <f t="shared" si="28"/>
        <v>316034.22500000003</v>
      </c>
      <c r="Z46" s="125">
        <v>3369.51</v>
      </c>
      <c r="AA46" s="110">
        <f t="shared" si="9"/>
        <v>4340.25</v>
      </c>
    </row>
    <row r="47" spans="1:27" ht="20.100000000000001" customHeight="1" x14ac:dyDescent="0.6">
      <c r="A47" s="3"/>
      <c r="B47" s="188" t="s">
        <v>32</v>
      </c>
      <c r="C47" s="189"/>
      <c r="D47" s="30">
        <v>11</v>
      </c>
      <c r="E47" s="30"/>
      <c r="F47" s="103">
        <f>SUM(F36:F46)</f>
        <v>359364.45</v>
      </c>
      <c r="G47" s="103"/>
      <c r="H47" s="103">
        <f t="shared" ref="H47:W47" si="34">SUM(H36:H46)</f>
        <v>1078093.3500000001</v>
      </c>
      <c r="I47" s="103">
        <f t="shared" si="34"/>
        <v>26952.333749999998</v>
      </c>
      <c r="J47" s="103">
        <f t="shared" si="34"/>
        <v>160488.76</v>
      </c>
      <c r="K47" s="103">
        <f t="shared" si="34"/>
        <v>179682.22500000001</v>
      </c>
      <c r="L47" s="103">
        <f t="shared" si="34"/>
        <v>1257775.575</v>
      </c>
      <c r="M47" s="103">
        <f t="shared" si="34"/>
        <v>359364.45</v>
      </c>
      <c r="N47" s="103">
        <f>SUM(N36:N46)</f>
        <v>1650000</v>
      </c>
      <c r="O47" s="103">
        <f t="shared" si="34"/>
        <v>35936.445</v>
      </c>
      <c r="P47" s="103">
        <f t="shared" si="34"/>
        <v>190000</v>
      </c>
      <c r="Q47" s="103">
        <f t="shared" si="34"/>
        <v>0</v>
      </c>
      <c r="R47" s="103">
        <f t="shared" si="34"/>
        <v>5297657.5887500001</v>
      </c>
      <c r="S47" s="103">
        <f t="shared" si="34"/>
        <v>330000</v>
      </c>
      <c r="T47" s="103">
        <f t="shared" si="34"/>
        <v>982004.38</v>
      </c>
      <c r="U47" s="103">
        <f t="shared" si="34"/>
        <v>1765.8532499999999</v>
      </c>
      <c r="V47" s="103">
        <v>145551.36999999997</v>
      </c>
      <c r="W47" s="103">
        <f t="shared" si="34"/>
        <v>1459321.6032500002</v>
      </c>
      <c r="X47" s="103">
        <v>3695472.6502500004</v>
      </c>
      <c r="Y47" s="103">
        <f>R47-W47</f>
        <v>3838335.9855</v>
      </c>
      <c r="Z47" s="125">
        <v>141209.11999999997</v>
      </c>
      <c r="AA47" s="126">
        <f t="shared" si="9"/>
        <v>4342.25</v>
      </c>
    </row>
    <row r="48" spans="1:27" ht="20.100000000000001" customHeight="1" x14ac:dyDescent="0.3">
      <c r="A48" s="3"/>
      <c r="B48" s="83"/>
      <c r="C48" s="83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125"/>
      <c r="AA48" s="110">
        <f t="shared" si="9"/>
        <v>0</v>
      </c>
    </row>
    <row r="49" spans="1:27" ht="20.100000000000001" customHeight="1" x14ac:dyDescent="0.3">
      <c r="A49" s="3"/>
      <c r="B49" s="188" t="s">
        <v>115</v>
      </c>
      <c r="C49" s="189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125"/>
      <c r="AA49" s="110">
        <f t="shared" si="9"/>
        <v>0</v>
      </c>
    </row>
    <row r="50" spans="1:27" ht="20.100000000000001" customHeight="1" x14ac:dyDescent="0.3">
      <c r="A50" s="3">
        <v>1</v>
      </c>
      <c r="B50" s="169" t="s">
        <v>116</v>
      </c>
      <c r="C50" s="170"/>
      <c r="D50" s="62" t="s">
        <v>117</v>
      </c>
      <c r="E50" s="67" t="s">
        <v>41</v>
      </c>
      <c r="F50" s="63">
        <f>81740.02</f>
        <v>81740.02</v>
      </c>
      <c r="G50" s="63"/>
      <c r="H50" s="63">
        <f>F50*300%</f>
        <v>245220.06</v>
      </c>
      <c r="I50" s="63">
        <f>F50*7.5%</f>
        <v>6130.5015000000003</v>
      </c>
      <c r="J50" s="63">
        <v>80244.38</v>
      </c>
      <c r="K50" s="63">
        <f>F50*50%</f>
        <v>40870.01</v>
      </c>
      <c r="L50" s="63">
        <f>F50*350%</f>
        <v>286090.07</v>
      </c>
      <c r="M50" s="63">
        <f>F50*100%</f>
        <v>81740.02</v>
      </c>
      <c r="N50" s="63">
        <f>150000</f>
        <v>150000</v>
      </c>
      <c r="O50" s="63">
        <f>F50*10%</f>
        <v>8174.0020000000004</v>
      </c>
      <c r="P50" s="63">
        <v>20000</v>
      </c>
      <c r="Q50" s="63">
        <v>0</v>
      </c>
      <c r="R50" s="36">
        <f>SUM(F50:Q50)</f>
        <v>1000209.0635</v>
      </c>
      <c r="S50" s="36"/>
      <c r="T50" s="36"/>
      <c r="U50" s="36">
        <v>0</v>
      </c>
      <c r="V50" s="63">
        <v>52776.63</v>
      </c>
      <c r="W50" s="36">
        <f>S50+T50+U50+V50</f>
        <v>52776.63</v>
      </c>
      <c r="X50" s="36">
        <v>947432.43350000004</v>
      </c>
      <c r="Y50" s="36">
        <f>R50-W50</f>
        <v>947432.43350000004</v>
      </c>
      <c r="Z50" s="125">
        <v>52776.63</v>
      </c>
      <c r="AA50" s="110">
        <f t="shared" si="9"/>
        <v>0</v>
      </c>
    </row>
    <row r="51" spans="1:27" ht="20.100000000000001" customHeight="1" x14ac:dyDescent="0.6">
      <c r="A51" s="3"/>
      <c r="B51" s="188" t="s">
        <v>32</v>
      </c>
      <c r="C51" s="189"/>
      <c r="D51" s="30">
        <v>2</v>
      </c>
      <c r="E51" s="30"/>
      <c r="F51" s="103">
        <f t="shared" ref="F51:R51" si="35">SUM(F50:F50)</f>
        <v>81740.02</v>
      </c>
      <c r="G51" s="103">
        <f t="shared" si="35"/>
        <v>0</v>
      </c>
      <c r="H51" s="103">
        <f t="shared" si="35"/>
        <v>245220.06</v>
      </c>
      <c r="I51" s="103">
        <f t="shared" si="35"/>
        <v>6130.5015000000003</v>
      </c>
      <c r="J51" s="103">
        <f t="shared" si="35"/>
        <v>80244.38</v>
      </c>
      <c r="K51" s="103">
        <f t="shared" si="35"/>
        <v>40870.01</v>
      </c>
      <c r="L51" s="103">
        <f t="shared" si="35"/>
        <v>286090.07</v>
      </c>
      <c r="M51" s="103">
        <f t="shared" si="35"/>
        <v>81740.02</v>
      </c>
      <c r="N51" s="103">
        <f t="shared" si="35"/>
        <v>150000</v>
      </c>
      <c r="O51" s="103">
        <f t="shared" si="35"/>
        <v>8174.0020000000004</v>
      </c>
      <c r="P51" s="103">
        <f t="shared" si="35"/>
        <v>20000</v>
      </c>
      <c r="Q51" s="103">
        <f t="shared" si="35"/>
        <v>0</v>
      </c>
      <c r="R51" s="103">
        <f t="shared" si="35"/>
        <v>1000209.0635</v>
      </c>
      <c r="S51" s="103"/>
      <c r="T51" s="103"/>
      <c r="U51" s="103">
        <f>SUM(U50:U50)</f>
        <v>0</v>
      </c>
      <c r="V51" s="103">
        <v>52776.63</v>
      </c>
      <c r="W51" s="103">
        <f>SUM(W50:W50)</f>
        <v>52776.63</v>
      </c>
      <c r="X51" s="103">
        <v>947432.43350000004</v>
      </c>
      <c r="Y51" s="103">
        <f>R51-W51</f>
        <v>947432.43350000004</v>
      </c>
      <c r="Z51" s="125">
        <v>52776.63</v>
      </c>
      <c r="AA51" s="110">
        <f t="shared" si="9"/>
        <v>0</v>
      </c>
    </row>
    <row r="52" spans="1:27" ht="20.100000000000001" customHeight="1" x14ac:dyDescent="0.3">
      <c r="A52" s="3"/>
      <c r="B52" s="188"/>
      <c r="C52" s="189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125"/>
      <c r="AA52" s="110">
        <f t="shared" si="9"/>
        <v>0</v>
      </c>
    </row>
    <row r="53" spans="1:27" ht="20.100000000000001" customHeight="1" x14ac:dyDescent="0.3">
      <c r="A53" s="3"/>
      <c r="B53" s="188" t="s">
        <v>118</v>
      </c>
      <c r="C53" s="189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125"/>
      <c r="AA53" s="110">
        <f t="shared" si="9"/>
        <v>0</v>
      </c>
    </row>
    <row r="54" spans="1:27" ht="20.100000000000001" customHeight="1" x14ac:dyDescent="0.3">
      <c r="A54" s="3">
        <v>1</v>
      </c>
      <c r="B54" s="173" t="s">
        <v>119</v>
      </c>
      <c r="C54" s="174"/>
      <c r="D54" s="48" t="s">
        <v>120</v>
      </c>
      <c r="E54" s="29" t="s">
        <v>89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3">
        <f t="shared" ref="N54:N57" si="36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v>52776.63</v>
      </c>
      <c r="W54" s="26">
        <f>S54+T54+U54+V54</f>
        <v>152776.63</v>
      </c>
      <c r="X54" s="26">
        <v>797880.82750000013</v>
      </c>
      <c r="Y54" s="26">
        <f>R54-W54</f>
        <v>822656.44700000004</v>
      </c>
      <c r="Z54" s="125">
        <v>52776.63</v>
      </c>
      <c r="AA54" s="110">
        <f t="shared" si="9"/>
        <v>0</v>
      </c>
    </row>
    <row r="55" spans="1:27" ht="20.100000000000001" customHeight="1" x14ac:dyDescent="0.3">
      <c r="A55" s="3">
        <v>2</v>
      </c>
      <c r="B55" s="171" t="s">
        <v>141</v>
      </c>
      <c r="C55" s="172"/>
      <c r="D55" s="33" t="s">
        <v>142</v>
      </c>
      <c r="E55" s="3" t="s">
        <v>143</v>
      </c>
      <c r="F55" s="63">
        <f>27611.23</f>
        <v>27611.23</v>
      </c>
      <c r="G55" s="63"/>
      <c r="H55" s="63">
        <f>F55*300%</f>
        <v>82833.69</v>
      </c>
      <c r="I55" s="63">
        <f>F55*7.5%</f>
        <v>2070.8422499999997</v>
      </c>
      <c r="J55" s="63"/>
      <c r="K55" s="63">
        <f>F55*50%</f>
        <v>13805.615</v>
      </c>
      <c r="L55" s="36">
        <f>F55*350%</f>
        <v>96639.304999999993</v>
      </c>
      <c r="M55" s="63">
        <f>F55*100%</f>
        <v>27611.23</v>
      </c>
      <c r="N55" s="63">
        <f t="shared" si="36"/>
        <v>150000</v>
      </c>
      <c r="O55" s="63">
        <f>F55*10%</f>
        <v>2761.123</v>
      </c>
      <c r="P55" s="63">
        <v>15000</v>
      </c>
      <c r="Q55" s="63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v>7709.76</v>
      </c>
      <c r="W55" s="26">
        <f t="shared" ref="W55:W57" si="37">S55+T55+U55+V55</f>
        <v>191451.43625</v>
      </c>
      <c r="X55" s="26">
        <v>207726.2175</v>
      </c>
      <c r="Y55" s="26">
        <f>R55-W55</f>
        <v>226881.59900000007</v>
      </c>
      <c r="Z55" s="125">
        <v>7709.76</v>
      </c>
      <c r="AA55" s="110">
        <f t="shared" si="9"/>
        <v>0</v>
      </c>
    </row>
    <row r="56" spans="1:27" ht="20.100000000000001" customHeight="1" x14ac:dyDescent="0.3">
      <c r="A56" s="3">
        <v>3</v>
      </c>
      <c r="B56" s="173" t="s">
        <v>122</v>
      </c>
      <c r="C56" s="174"/>
      <c r="D56" s="33" t="s">
        <v>109</v>
      </c>
      <c r="E56" s="29" t="s">
        <v>80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3">
        <f t="shared" si="36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v>7709.76</v>
      </c>
      <c r="W56" s="26">
        <f t="shared" si="37"/>
        <v>117709.75999999999</v>
      </c>
      <c r="X56" s="26">
        <v>214364.53699999995</v>
      </c>
      <c r="Y56" s="26">
        <f>R56-W56</f>
        <v>266491.266</v>
      </c>
      <c r="Z56" s="125">
        <v>3369.51</v>
      </c>
      <c r="AA56" s="110">
        <f t="shared" si="9"/>
        <v>4340.25</v>
      </c>
    </row>
    <row r="57" spans="1:27" ht="20.100000000000001" customHeight="1" x14ac:dyDescent="0.3">
      <c r="A57" s="3">
        <v>4</v>
      </c>
      <c r="B57" s="178" t="s">
        <v>126</v>
      </c>
      <c r="C57" s="178"/>
      <c r="D57" s="62" t="s">
        <v>127</v>
      </c>
      <c r="E57" s="67" t="s">
        <v>71</v>
      </c>
      <c r="F57" s="63">
        <f>19276.95</f>
        <v>19276.95</v>
      </c>
      <c r="G57" s="63"/>
      <c r="H57" s="63">
        <f>F57*300%</f>
        <v>57830.850000000006</v>
      </c>
      <c r="I57" s="63">
        <f>F57*7.5%</f>
        <v>1445.77125</v>
      </c>
      <c r="J57" s="63">
        <v>0</v>
      </c>
      <c r="K57" s="63">
        <f>F57*50%</f>
        <v>9638.4750000000004</v>
      </c>
      <c r="L57" s="36">
        <f>F57*350%</f>
        <v>67469.324999999997</v>
      </c>
      <c r="M57" s="63">
        <f>F57*100%</f>
        <v>19276.95</v>
      </c>
      <c r="N57" s="63">
        <f t="shared" si="36"/>
        <v>150000</v>
      </c>
      <c r="O57" s="63">
        <f>F57*10%</f>
        <v>1927.6950000000002</v>
      </c>
      <c r="P57" s="63">
        <v>10000</v>
      </c>
      <c r="Q57" s="63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3">
        <v>3369.51</v>
      </c>
      <c r="W57" s="26">
        <f t="shared" si="37"/>
        <v>123838.99249999999</v>
      </c>
      <c r="X57" s="36">
        <v>108461.08499999993</v>
      </c>
      <c r="Y57" s="36">
        <f>R57-W57</f>
        <v>213027.02375000005</v>
      </c>
      <c r="Z57" s="125">
        <v>3369.51</v>
      </c>
      <c r="AA57" s="110">
        <f t="shared" si="9"/>
        <v>0</v>
      </c>
    </row>
    <row r="58" spans="1:27" ht="20.100000000000001" customHeight="1" x14ac:dyDescent="0.6">
      <c r="A58" s="3"/>
      <c r="B58" s="188" t="s">
        <v>32</v>
      </c>
      <c r="C58" s="189"/>
      <c r="D58" s="30">
        <v>4</v>
      </c>
      <c r="E58" s="30"/>
      <c r="F58" s="103">
        <f t="shared" ref="F58:Q58" si="38">SUM(F54:F57)</f>
        <v>149818.94</v>
      </c>
      <c r="G58" s="103">
        <f t="shared" si="38"/>
        <v>0</v>
      </c>
      <c r="H58" s="103">
        <f t="shared" si="38"/>
        <v>449456.81999999995</v>
      </c>
      <c r="I58" s="103">
        <f t="shared" si="38"/>
        <v>11236.420499999998</v>
      </c>
      <c r="J58" s="103">
        <f t="shared" si="38"/>
        <v>80244.38</v>
      </c>
      <c r="K58" s="103">
        <f t="shared" si="38"/>
        <v>74909.47</v>
      </c>
      <c r="L58" s="103">
        <f t="shared" si="38"/>
        <v>524366.28999999992</v>
      </c>
      <c r="M58" s="103">
        <f t="shared" si="38"/>
        <v>149818.94</v>
      </c>
      <c r="N58" s="103">
        <f t="shared" si="38"/>
        <v>600000</v>
      </c>
      <c r="O58" s="103">
        <f t="shared" si="38"/>
        <v>14981.894</v>
      </c>
      <c r="P58" s="103">
        <f t="shared" si="38"/>
        <v>60000</v>
      </c>
      <c r="Q58" s="103">
        <f t="shared" si="38"/>
        <v>0</v>
      </c>
      <c r="R58" s="103">
        <f>SUM(R54:R57)</f>
        <v>2114833.1545000002</v>
      </c>
      <c r="S58" s="103">
        <f>SUM(S54:S57)</f>
        <v>250000</v>
      </c>
      <c r="T58" s="103">
        <f>SUM(T54:T57)</f>
        <v>263103.58999999997</v>
      </c>
      <c r="U58" s="103">
        <f>SUM(U54:U57)</f>
        <v>1107.5687500000001</v>
      </c>
      <c r="V58" s="103">
        <v>71565.659999999989</v>
      </c>
      <c r="W58" s="103">
        <f>SUM(R58:V58)</f>
        <v>2700609.9732500003</v>
      </c>
      <c r="X58" s="103">
        <v>1328432.6670000001</v>
      </c>
      <c r="Y58" s="103">
        <f>SUM(Y54:Y57)</f>
        <v>1529056.3357500001</v>
      </c>
      <c r="Z58" s="125">
        <v>67225.41</v>
      </c>
      <c r="AA58" s="126">
        <f t="shared" si="9"/>
        <v>4340.2499999999854</v>
      </c>
    </row>
    <row r="59" spans="1:27" ht="20.100000000000001" customHeight="1" x14ac:dyDescent="0.3">
      <c r="A59" s="3"/>
      <c r="B59" s="70"/>
      <c r="C59" s="71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125"/>
      <c r="AA59" s="110">
        <f t="shared" si="9"/>
        <v>0</v>
      </c>
    </row>
    <row r="60" spans="1:27" ht="20.100000000000001" customHeight="1" x14ac:dyDescent="0.3">
      <c r="A60" s="3"/>
      <c r="B60" s="188" t="s">
        <v>130</v>
      </c>
      <c r="C60" s="189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125"/>
      <c r="AA60" s="110">
        <f t="shared" si="9"/>
        <v>0</v>
      </c>
    </row>
    <row r="61" spans="1:27" ht="20.100000000000001" customHeight="1" x14ac:dyDescent="0.3">
      <c r="A61" s="3">
        <v>1</v>
      </c>
      <c r="B61" s="169" t="s">
        <v>131</v>
      </c>
      <c r="C61" s="170"/>
      <c r="D61" s="33" t="s">
        <v>132</v>
      </c>
      <c r="E61" s="3" t="s">
        <v>41</v>
      </c>
      <c r="F61" s="63">
        <f>81740.02</f>
        <v>81740.02</v>
      </c>
      <c r="G61" s="63"/>
      <c r="H61" s="63">
        <f t="shared" ref="H61:H64" si="39">F61*300%</f>
        <v>245220.06</v>
      </c>
      <c r="I61" s="63">
        <f t="shared" ref="I61:I64" si="40">F61*7.5%</f>
        <v>6130.5015000000003</v>
      </c>
      <c r="J61" s="63">
        <v>80244.38</v>
      </c>
      <c r="K61" s="63">
        <f>F61*50%</f>
        <v>40870.01</v>
      </c>
      <c r="L61" s="63">
        <f t="shared" ref="L61:L64" si="41">F61*350%</f>
        <v>286090.07</v>
      </c>
      <c r="M61" s="63">
        <f>F61*100%</f>
        <v>81740.02</v>
      </c>
      <c r="N61" s="63">
        <f t="shared" ref="N61:N64" si="42">150000</f>
        <v>150000</v>
      </c>
      <c r="O61" s="63">
        <f>F61*10%</f>
        <v>8174.0020000000004</v>
      </c>
      <c r="P61" s="63">
        <v>20000</v>
      </c>
      <c r="Q61" s="63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3">
        <v>52776.63</v>
      </c>
      <c r="W61" s="36">
        <f>SUM(S61:V61)</f>
        <v>654591.73</v>
      </c>
      <c r="X61" s="36">
        <v>345617.33350000007</v>
      </c>
      <c r="Y61" s="36">
        <f>R61-W61</f>
        <v>345617.33350000007</v>
      </c>
      <c r="Z61" s="125">
        <v>52776.63</v>
      </c>
      <c r="AA61" s="110">
        <f t="shared" si="9"/>
        <v>0</v>
      </c>
    </row>
    <row r="62" spans="1:27" ht="20.100000000000001" customHeight="1" x14ac:dyDescent="0.3">
      <c r="A62" s="3">
        <v>2</v>
      </c>
      <c r="B62" s="169" t="s">
        <v>139</v>
      </c>
      <c r="C62" s="170"/>
      <c r="D62" s="33" t="s">
        <v>99</v>
      </c>
      <c r="E62" s="3" t="s">
        <v>138</v>
      </c>
      <c r="F62" s="63">
        <f>32263.2</f>
        <v>32263.200000000001</v>
      </c>
      <c r="G62" s="63"/>
      <c r="H62" s="63">
        <f t="shared" si="39"/>
        <v>96789.6</v>
      </c>
      <c r="I62" s="63">
        <f t="shared" si="40"/>
        <v>2419.7399999999998</v>
      </c>
      <c r="J62" s="63">
        <f>40122.19</f>
        <v>40122.19</v>
      </c>
      <c r="K62" s="63">
        <f>F62*50%</f>
        <v>16131.6</v>
      </c>
      <c r="L62" s="63">
        <f t="shared" si="41"/>
        <v>112921.2</v>
      </c>
      <c r="M62" s="63">
        <f>F62*100%</f>
        <v>32263.200000000001</v>
      </c>
      <c r="N62" s="63">
        <f t="shared" si="42"/>
        <v>150000</v>
      </c>
      <c r="O62" s="63">
        <f>F62*10%</f>
        <v>3226.32</v>
      </c>
      <c r="P62" s="63">
        <v>20000</v>
      </c>
      <c r="Q62" s="63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3">
        <v>15548.33</v>
      </c>
      <c r="W62" s="36">
        <f>SUM(S62:V62)</f>
        <v>186238.61074999999</v>
      </c>
      <c r="X62" s="36">
        <v>244932.99450000006</v>
      </c>
      <c r="Y62" s="36">
        <f>R62-W62</f>
        <v>319898.43925000005</v>
      </c>
      <c r="Z62" s="125">
        <v>7709.76</v>
      </c>
      <c r="AA62" s="110">
        <f t="shared" si="9"/>
        <v>7838.57</v>
      </c>
    </row>
    <row r="63" spans="1:27" ht="20.100000000000001" customHeight="1" x14ac:dyDescent="0.3">
      <c r="A63" s="3">
        <v>3</v>
      </c>
      <c r="B63" s="169" t="s">
        <v>128</v>
      </c>
      <c r="C63" s="170"/>
      <c r="D63" s="33" t="s">
        <v>129</v>
      </c>
      <c r="E63" s="3" t="s">
        <v>68</v>
      </c>
      <c r="F63" s="63">
        <f>18281.64</f>
        <v>18281.64</v>
      </c>
      <c r="G63" s="63"/>
      <c r="H63" s="63">
        <f t="shared" si="39"/>
        <v>54844.92</v>
      </c>
      <c r="I63" s="63">
        <f t="shared" si="40"/>
        <v>1371.1229999999998</v>
      </c>
      <c r="J63" s="63"/>
      <c r="K63" s="63">
        <f>F63*50%</f>
        <v>9140.82</v>
      </c>
      <c r="L63" s="63">
        <f t="shared" si="41"/>
        <v>63985.74</v>
      </c>
      <c r="M63" s="63">
        <f>F63*100%</f>
        <v>18281.64</v>
      </c>
      <c r="N63" s="63">
        <f t="shared" si="42"/>
        <v>150000</v>
      </c>
      <c r="O63" s="63">
        <f>F63*10%</f>
        <v>1828.164</v>
      </c>
      <c r="P63" s="63">
        <v>10000</v>
      </c>
      <c r="Q63" s="63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3">
        <v>3369.51</v>
      </c>
      <c r="W63" s="36">
        <f>SUM(S63:V63)</f>
        <v>104869.51</v>
      </c>
      <c r="X63" s="36">
        <v>238298.69</v>
      </c>
      <c r="Y63" s="36">
        <f>R63-W63</f>
        <v>222864.53699999995</v>
      </c>
      <c r="Z63" s="125">
        <v>3369.51</v>
      </c>
      <c r="AA63" s="110">
        <f t="shared" si="9"/>
        <v>0</v>
      </c>
    </row>
    <row r="64" spans="1:27" ht="20.100000000000001" customHeight="1" x14ac:dyDescent="0.3">
      <c r="A64" s="3">
        <v>4</v>
      </c>
      <c r="B64" s="169" t="s">
        <v>133</v>
      </c>
      <c r="C64" s="170"/>
      <c r="D64" s="33" t="s">
        <v>112</v>
      </c>
      <c r="E64" s="67" t="s">
        <v>80</v>
      </c>
      <c r="F64" s="63">
        <f>23891.12</f>
        <v>23891.119999999999</v>
      </c>
      <c r="G64" s="63"/>
      <c r="H64" s="63">
        <f t="shared" si="39"/>
        <v>71673.36</v>
      </c>
      <c r="I64" s="63">
        <f t="shared" si="40"/>
        <v>1791.8339999999998</v>
      </c>
      <c r="J64" s="36">
        <v>0</v>
      </c>
      <c r="K64" s="63">
        <f>F64*50%</f>
        <v>11945.56</v>
      </c>
      <c r="L64" s="36">
        <f t="shared" si="41"/>
        <v>83618.92</v>
      </c>
      <c r="M64" s="63">
        <f>F64*100%</f>
        <v>23891.119999999999</v>
      </c>
      <c r="N64" s="63">
        <f t="shared" si="42"/>
        <v>150000</v>
      </c>
      <c r="O64" s="63">
        <f>F64*10%</f>
        <v>2389.1120000000001</v>
      </c>
      <c r="P64" s="63">
        <v>15000</v>
      </c>
      <c r="Q64" s="63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3">
        <v>7709.76</v>
      </c>
      <c r="W64" s="36">
        <f>S64+T64+U64+V64</f>
        <v>8179.2425000000003</v>
      </c>
      <c r="X64" s="36">
        <v>328461.08499999996</v>
      </c>
      <c r="Y64" s="36">
        <f>R64-W64</f>
        <v>376021.78350000002</v>
      </c>
      <c r="Z64" s="125">
        <v>3369.51</v>
      </c>
      <c r="AA64" s="110">
        <f t="shared" si="9"/>
        <v>4340.25</v>
      </c>
    </row>
    <row r="65" spans="1:27" ht="20.100000000000001" customHeight="1" x14ac:dyDescent="0.6">
      <c r="A65" s="3"/>
      <c r="B65" s="188" t="s">
        <v>32</v>
      </c>
      <c r="C65" s="189"/>
      <c r="D65" s="30">
        <v>4</v>
      </c>
      <c r="E65" s="30"/>
      <c r="F65" s="103">
        <f>SUM(F61:F64)</f>
        <v>156175.97999999998</v>
      </c>
      <c r="G65" s="103"/>
      <c r="H65" s="103">
        <f t="shared" ref="H65:W65" si="43">SUM(H61:H64)</f>
        <v>468527.94</v>
      </c>
      <c r="I65" s="103">
        <f t="shared" si="43"/>
        <v>11713.198499999999</v>
      </c>
      <c r="J65" s="103">
        <f t="shared" si="43"/>
        <v>120366.57</v>
      </c>
      <c r="K65" s="103">
        <f t="shared" si="43"/>
        <v>78087.989999999991</v>
      </c>
      <c r="L65" s="103">
        <f t="shared" si="43"/>
        <v>546615.93000000005</v>
      </c>
      <c r="M65" s="103">
        <f t="shared" si="43"/>
        <v>156175.97999999998</v>
      </c>
      <c r="N65" s="106">
        <f>SUM(N61:N64)</f>
        <v>600000</v>
      </c>
      <c r="O65" s="103">
        <f t="shared" si="43"/>
        <v>15617.598000000002</v>
      </c>
      <c r="P65" s="103">
        <f t="shared" si="43"/>
        <v>65000</v>
      </c>
      <c r="Q65" s="103">
        <f t="shared" si="43"/>
        <v>0</v>
      </c>
      <c r="R65" s="103">
        <f t="shared" si="43"/>
        <v>2218281.1864999998</v>
      </c>
      <c r="S65" s="103">
        <f t="shared" si="43"/>
        <v>240000</v>
      </c>
      <c r="T65" s="103">
        <f t="shared" si="43"/>
        <v>633315.1</v>
      </c>
      <c r="U65" s="103">
        <f t="shared" si="43"/>
        <v>1159.76325</v>
      </c>
      <c r="V65" s="103">
        <v>79404.229999999981</v>
      </c>
      <c r="W65" s="103">
        <f t="shared" si="43"/>
        <v>953879.09325000003</v>
      </c>
      <c r="X65" s="103">
        <v>1157310.1030000001</v>
      </c>
      <c r="Y65" s="103">
        <f>SUM(Y61:Y64)</f>
        <v>1264402.0932499999</v>
      </c>
      <c r="Z65" s="125">
        <v>67225.41</v>
      </c>
      <c r="AA65" s="126">
        <f t="shared" si="9"/>
        <v>12178.819999999978</v>
      </c>
    </row>
    <row r="66" spans="1:27" ht="20.100000000000001" customHeight="1" x14ac:dyDescent="0.3">
      <c r="A66" s="3"/>
      <c r="B66" s="190"/>
      <c r="C66" s="191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4"/>
      <c r="S66" s="64"/>
      <c r="T66" s="64"/>
      <c r="U66" s="64"/>
      <c r="V66" s="39"/>
      <c r="W66" s="36"/>
      <c r="X66" s="36"/>
      <c r="Y66" s="36"/>
      <c r="Z66" s="125"/>
      <c r="AA66" s="110">
        <f t="shared" si="9"/>
        <v>0</v>
      </c>
    </row>
    <row r="67" spans="1:27" ht="20.100000000000001" customHeight="1" x14ac:dyDescent="0.3">
      <c r="A67" s="3"/>
      <c r="B67" s="192" t="s">
        <v>134</v>
      </c>
      <c r="C67" s="193"/>
      <c r="D67" s="72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4"/>
      <c r="S67" s="64"/>
      <c r="T67" s="64"/>
      <c r="U67" s="64"/>
      <c r="V67" s="39"/>
      <c r="W67" s="36"/>
      <c r="X67" s="36"/>
      <c r="Y67" s="36"/>
      <c r="Z67" s="125"/>
      <c r="AA67" s="110">
        <f t="shared" si="9"/>
        <v>0</v>
      </c>
    </row>
    <row r="68" spans="1:27" ht="20.100000000000001" customHeight="1" x14ac:dyDescent="0.3">
      <c r="A68" s="3">
        <v>1</v>
      </c>
      <c r="B68" s="169" t="s">
        <v>39</v>
      </c>
      <c r="C68" s="170"/>
      <c r="D68" s="62" t="s">
        <v>270</v>
      </c>
      <c r="E68" s="67" t="s">
        <v>41</v>
      </c>
      <c r="F68" s="63">
        <v>81740.02</v>
      </c>
      <c r="G68" s="63"/>
      <c r="H68" s="63">
        <f>F68*300%</f>
        <v>245220.06</v>
      </c>
      <c r="I68" s="63">
        <f>F68*7.5%</f>
        <v>6130.5015000000003</v>
      </c>
      <c r="J68" s="63">
        <v>80244.38</v>
      </c>
      <c r="K68" s="63">
        <f>F68*50%</f>
        <v>40870.01</v>
      </c>
      <c r="L68" s="63">
        <f>F68*350%</f>
        <v>286090.07</v>
      </c>
      <c r="M68" s="63">
        <f t="shared" ref="M68:M76" si="44">F68*100%</f>
        <v>81740.02</v>
      </c>
      <c r="N68" s="63">
        <f t="shared" ref="N68:N76" si="45">150000</f>
        <v>150000</v>
      </c>
      <c r="O68" s="63">
        <f t="shared" ref="O68:O76" si="46">F68*10%</f>
        <v>8174.0020000000004</v>
      </c>
      <c r="P68" s="63">
        <v>20000</v>
      </c>
      <c r="Q68" s="63">
        <v>0</v>
      </c>
      <c r="R68" s="36">
        <f t="shared" ref="R68:R76" si="47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3">
        <v>52776.63</v>
      </c>
      <c r="W68" s="36">
        <f>SUM(S68:V68)</f>
        <v>314542.3505</v>
      </c>
      <c r="X68" s="36">
        <v>685666.71299999999</v>
      </c>
      <c r="Y68" s="36">
        <f t="shared" ref="Y68:Y76" si="48">R68-W68</f>
        <v>685666.71299999999</v>
      </c>
      <c r="Z68" s="125">
        <v>52776.63</v>
      </c>
      <c r="AA68" s="110">
        <f t="shared" si="9"/>
        <v>0</v>
      </c>
    </row>
    <row r="69" spans="1:27" ht="20.100000000000001" customHeight="1" x14ac:dyDescent="0.3">
      <c r="A69" s="3">
        <v>2</v>
      </c>
      <c r="B69" s="169" t="s">
        <v>135</v>
      </c>
      <c r="C69" s="170"/>
      <c r="D69" s="33" t="s">
        <v>271</v>
      </c>
      <c r="E69" s="3" t="s">
        <v>44</v>
      </c>
      <c r="F69" s="63">
        <f>33507.5</f>
        <v>33507.5</v>
      </c>
      <c r="G69" s="63"/>
      <c r="H69" s="63">
        <f t="shared" ref="H69:H76" si="49">F69*300%</f>
        <v>100522.5</v>
      </c>
      <c r="I69" s="63">
        <f t="shared" ref="I69:I76" si="50">F69*7.5%</f>
        <v>2513.0625</v>
      </c>
      <c r="J69" s="63">
        <v>40122.19</v>
      </c>
      <c r="K69" s="63">
        <f t="shared" ref="K69:K76" si="51">F69*50%</f>
        <v>16753.75</v>
      </c>
      <c r="L69" s="63">
        <f t="shared" ref="L69:L76" si="52">F69*350%</f>
        <v>117276.25</v>
      </c>
      <c r="M69" s="63">
        <f t="shared" si="44"/>
        <v>33507.5</v>
      </c>
      <c r="N69" s="63">
        <f t="shared" si="45"/>
        <v>150000</v>
      </c>
      <c r="O69" s="63">
        <f t="shared" si="46"/>
        <v>3350.75</v>
      </c>
      <c r="P69" s="63">
        <v>20000</v>
      </c>
      <c r="Q69" s="63"/>
      <c r="R69" s="36">
        <f t="shared" si="47"/>
        <v>517553.5025</v>
      </c>
      <c r="S69" s="36"/>
      <c r="T69" s="36"/>
      <c r="U69" s="36"/>
      <c r="V69" s="63">
        <v>15548.33</v>
      </c>
      <c r="W69" s="36">
        <f t="shared" ref="W69:W76" si="53">SUM(S69:V69)</f>
        <v>15548.33</v>
      </c>
      <c r="X69" s="36">
        <v>502005.17249999999</v>
      </c>
      <c r="Y69" s="36">
        <f t="shared" si="48"/>
        <v>502005.17249999999</v>
      </c>
      <c r="Z69" s="125">
        <v>15548.33</v>
      </c>
      <c r="AA69" s="110">
        <f t="shared" si="9"/>
        <v>0</v>
      </c>
    </row>
    <row r="70" spans="1:27" ht="20.100000000000001" customHeight="1" x14ac:dyDescent="0.3">
      <c r="A70" s="3">
        <v>3</v>
      </c>
      <c r="B70" s="169" t="s">
        <v>137</v>
      </c>
      <c r="C70" s="170"/>
      <c r="D70" s="33" t="s">
        <v>99</v>
      </c>
      <c r="E70" s="3" t="s">
        <v>138</v>
      </c>
      <c r="F70" s="63">
        <f>32263.2</f>
        <v>32263.200000000001</v>
      </c>
      <c r="G70" s="63"/>
      <c r="H70" s="63">
        <f t="shared" si="49"/>
        <v>96789.6</v>
      </c>
      <c r="I70" s="63">
        <f t="shared" si="50"/>
        <v>2419.7399999999998</v>
      </c>
      <c r="J70" s="63">
        <f>40122.19</f>
        <v>40122.19</v>
      </c>
      <c r="K70" s="63">
        <f t="shared" si="51"/>
        <v>16131.6</v>
      </c>
      <c r="L70" s="63">
        <f t="shared" si="52"/>
        <v>112921.2</v>
      </c>
      <c r="M70" s="63">
        <f t="shared" si="44"/>
        <v>32263.200000000001</v>
      </c>
      <c r="N70" s="63">
        <f t="shared" si="45"/>
        <v>150000</v>
      </c>
      <c r="O70" s="63">
        <f t="shared" si="46"/>
        <v>3226.32</v>
      </c>
      <c r="P70" s="63">
        <v>20000</v>
      </c>
      <c r="Q70" s="63"/>
      <c r="R70" s="36">
        <f t="shared" si="47"/>
        <v>506137.05000000005</v>
      </c>
      <c r="S70" s="36"/>
      <c r="T70" s="36"/>
      <c r="U70" s="36"/>
      <c r="V70" s="63">
        <v>15548.33</v>
      </c>
      <c r="W70" s="36">
        <f t="shared" si="53"/>
        <v>15548.33</v>
      </c>
      <c r="X70" s="36">
        <v>423684.24675000005</v>
      </c>
      <c r="Y70" s="36">
        <f t="shared" si="48"/>
        <v>490588.72000000003</v>
      </c>
      <c r="Z70" s="125">
        <v>7709.76</v>
      </c>
      <c r="AA70" s="110">
        <f t="shared" si="9"/>
        <v>7838.57</v>
      </c>
    </row>
    <row r="71" spans="1:27" ht="20.100000000000001" customHeight="1" x14ac:dyDescent="0.3">
      <c r="A71" s="3">
        <v>4</v>
      </c>
      <c r="B71" s="169" t="s">
        <v>140</v>
      </c>
      <c r="C71" s="170"/>
      <c r="D71" s="33" t="s">
        <v>101</v>
      </c>
      <c r="E71" s="3" t="s">
        <v>143</v>
      </c>
      <c r="F71" s="63">
        <f>27611.23</f>
        <v>27611.23</v>
      </c>
      <c r="G71" s="63"/>
      <c r="H71" s="63">
        <f t="shared" si="49"/>
        <v>82833.69</v>
      </c>
      <c r="I71" s="63">
        <f t="shared" si="50"/>
        <v>2070.8422499999997</v>
      </c>
      <c r="J71" s="63">
        <v>0</v>
      </c>
      <c r="K71" s="63">
        <f t="shared" si="51"/>
        <v>13805.615</v>
      </c>
      <c r="L71" s="63">
        <f t="shared" si="52"/>
        <v>96639.304999999993</v>
      </c>
      <c r="M71" s="63">
        <f t="shared" si="44"/>
        <v>27611.23</v>
      </c>
      <c r="N71" s="63">
        <f t="shared" si="45"/>
        <v>150000</v>
      </c>
      <c r="O71" s="63">
        <f t="shared" si="46"/>
        <v>2761.123</v>
      </c>
      <c r="P71" s="63">
        <v>15000</v>
      </c>
      <c r="Q71" s="63">
        <v>0</v>
      </c>
      <c r="R71" s="36">
        <f t="shared" si="47"/>
        <v>418333.03525000007</v>
      </c>
      <c r="S71" s="36">
        <v>5000</v>
      </c>
      <c r="T71" s="36"/>
      <c r="U71" s="36"/>
      <c r="V71" s="36">
        <v>7709.76</v>
      </c>
      <c r="W71" s="36">
        <f t="shared" si="53"/>
        <v>12709.76</v>
      </c>
      <c r="X71" s="36">
        <v>386467.89374999999</v>
      </c>
      <c r="Y71" s="36">
        <f t="shared" si="48"/>
        <v>405623.27525000006</v>
      </c>
      <c r="Z71" s="125">
        <v>7709.76</v>
      </c>
      <c r="AA71" s="110">
        <f t="shared" si="9"/>
        <v>0</v>
      </c>
    </row>
    <row r="72" spans="1:27" ht="20.100000000000001" customHeight="1" x14ac:dyDescent="0.3">
      <c r="A72" s="3">
        <v>5</v>
      </c>
      <c r="B72" s="173" t="s">
        <v>144</v>
      </c>
      <c r="C72" s="174"/>
      <c r="D72" s="33" t="s">
        <v>101</v>
      </c>
      <c r="E72" s="3" t="s">
        <v>143</v>
      </c>
      <c r="F72" s="26">
        <f>27611.23</f>
        <v>27611.23</v>
      </c>
      <c r="G72" s="63"/>
      <c r="H72" s="26">
        <f t="shared" si="49"/>
        <v>82833.69</v>
      </c>
      <c r="I72" s="26">
        <f t="shared" si="50"/>
        <v>2070.8422499999997</v>
      </c>
      <c r="J72" s="26"/>
      <c r="K72" s="26">
        <f t="shared" si="51"/>
        <v>13805.615</v>
      </c>
      <c r="L72" s="26">
        <f t="shared" si="52"/>
        <v>96639.304999999993</v>
      </c>
      <c r="M72" s="26">
        <f t="shared" si="44"/>
        <v>27611.23</v>
      </c>
      <c r="N72" s="63">
        <f t="shared" si="45"/>
        <v>150000</v>
      </c>
      <c r="O72" s="26">
        <f t="shared" si="46"/>
        <v>2761.123</v>
      </c>
      <c r="P72" s="26">
        <v>15000</v>
      </c>
      <c r="Q72" s="26"/>
      <c r="R72" s="36">
        <f t="shared" si="47"/>
        <v>418333.03525000007</v>
      </c>
      <c r="S72" s="24">
        <f>50000</f>
        <v>50000</v>
      </c>
      <c r="T72" s="24">
        <f>87500</f>
        <v>87500</v>
      </c>
      <c r="U72" s="24"/>
      <c r="V72" s="36">
        <v>7709.76</v>
      </c>
      <c r="W72" s="36">
        <f t="shared" si="53"/>
        <v>145209.76</v>
      </c>
      <c r="X72" s="36">
        <v>246791.30049999995</v>
      </c>
      <c r="Y72" s="36">
        <f t="shared" si="48"/>
        <v>273123.27525000006</v>
      </c>
      <c r="Z72" s="125">
        <v>7709.76</v>
      </c>
      <c r="AA72" s="110">
        <f t="shared" si="9"/>
        <v>0</v>
      </c>
    </row>
    <row r="73" spans="1:27" ht="20.100000000000001" customHeight="1" x14ac:dyDescent="0.3">
      <c r="A73" s="3">
        <v>6</v>
      </c>
      <c r="B73" s="173" t="s">
        <v>123</v>
      </c>
      <c r="C73" s="174"/>
      <c r="D73" s="20" t="s">
        <v>124</v>
      </c>
      <c r="E73" s="29" t="s">
        <v>125</v>
      </c>
      <c r="F73" s="26">
        <f>19774.62</f>
        <v>19774.62</v>
      </c>
      <c r="G73" s="26"/>
      <c r="H73" s="26">
        <f t="shared" si="49"/>
        <v>59323.86</v>
      </c>
      <c r="I73" s="26">
        <f t="shared" si="50"/>
        <v>1483.0964999999999</v>
      </c>
      <c r="J73" s="26">
        <v>0</v>
      </c>
      <c r="K73" s="26">
        <f t="shared" si="51"/>
        <v>9887.31</v>
      </c>
      <c r="L73" s="26">
        <f t="shared" si="52"/>
        <v>69211.17</v>
      </c>
      <c r="M73" s="26">
        <f t="shared" si="44"/>
        <v>19774.62</v>
      </c>
      <c r="N73" s="63">
        <f t="shared" si="45"/>
        <v>150000</v>
      </c>
      <c r="O73" s="26">
        <f t="shared" si="46"/>
        <v>1977.462</v>
      </c>
      <c r="P73" s="26">
        <v>10000</v>
      </c>
      <c r="Q73" s="26">
        <v>0</v>
      </c>
      <c r="R73" s="36">
        <f t="shared" si="47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3"/>
        <v>145141.17000000001</v>
      </c>
      <c r="X73" s="36">
        <v>76290.968500000017</v>
      </c>
      <c r="Y73" s="36">
        <f t="shared" si="48"/>
        <v>196290.96849999999</v>
      </c>
      <c r="Z73" s="125">
        <v>3369.51</v>
      </c>
      <c r="AA73" s="110">
        <f t="shared" si="9"/>
        <v>0</v>
      </c>
    </row>
    <row r="74" spans="1:27" ht="20.100000000000001" customHeight="1" x14ac:dyDescent="0.3">
      <c r="A74" s="3">
        <v>7</v>
      </c>
      <c r="B74" s="173" t="s">
        <v>121</v>
      </c>
      <c r="C74" s="174"/>
      <c r="D74" s="20" t="s">
        <v>112</v>
      </c>
      <c r="E74" s="29" t="s">
        <v>57</v>
      </c>
      <c r="F74" s="26">
        <f>25523.45</f>
        <v>25523.45</v>
      </c>
      <c r="G74" s="26"/>
      <c r="H74" s="26">
        <f t="shared" si="49"/>
        <v>76570.350000000006</v>
      </c>
      <c r="I74" s="26">
        <f t="shared" si="50"/>
        <v>1914.25875</v>
      </c>
      <c r="J74" s="26"/>
      <c r="K74" s="26">
        <f t="shared" si="51"/>
        <v>12761.725</v>
      </c>
      <c r="L74" s="26">
        <f t="shared" si="52"/>
        <v>89332.074999999997</v>
      </c>
      <c r="M74" s="26">
        <f t="shared" si="44"/>
        <v>25523.45</v>
      </c>
      <c r="N74" s="63">
        <f t="shared" si="45"/>
        <v>150000</v>
      </c>
      <c r="O74" s="26">
        <f t="shared" si="46"/>
        <v>2552.3450000000003</v>
      </c>
      <c r="P74" s="26">
        <v>15000</v>
      </c>
      <c r="Q74" s="26"/>
      <c r="R74" s="36">
        <f t="shared" si="47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3"/>
        <v>103543.09</v>
      </c>
      <c r="X74" s="36">
        <v>288457.97049999994</v>
      </c>
      <c r="Y74" s="36">
        <f t="shared" si="48"/>
        <v>295634.56374999997</v>
      </c>
      <c r="Z74" s="125">
        <v>7709.76</v>
      </c>
      <c r="AA74" s="110">
        <f t="shared" ref="AA74:AA137" si="54">V74-Z74</f>
        <v>0</v>
      </c>
    </row>
    <row r="75" spans="1:27" ht="20.100000000000001" customHeight="1" x14ac:dyDescent="0.3">
      <c r="A75" s="3">
        <v>8</v>
      </c>
      <c r="B75" s="173" t="s">
        <v>145</v>
      </c>
      <c r="C75" s="174"/>
      <c r="D75" s="33" t="s">
        <v>101</v>
      </c>
      <c r="E75" s="3" t="s">
        <v>143</v>
      </c>
      <c r="F75" s="26">
        <f>27611.23</f>
        <v>27611.23</v>
      </c>
      <c r="G75" s="26"/>
      <c r="H75" s="26">
        <f t="shared" si="49"/>
        <v>82833.69</v>
      </c>
      <c r="I75" s="26">
        <f t="shared" si="50"/>
        <v>2070.8422499999997</v>
      </c>
      <c r="J75" s="26"/>
      <c r="K75" s="26">
        <f t="shared" si="51"/>
        <v>13805.615</v>
      </c>
      <c r="L75" s="26">
        <f t="shared" si="52"/>
        <v>96639.304999999993</v>
      </c>
      <c r="M75" s="26">
        <f t="shared" si="44"/>
        <v>27611.23</v>
      </c>
      <c r="N75" s="63">
        <f t="shared" si="45"/>
        <v>150000</v>
      </c>
      <c r="O75" s="26">
        <f t="shared" si="46"/>
        <v>2761.123</v>
      </c>
      <c r="P75" s="26">
        <v>15000</v>
      </c>
      <c r="Q75" s="26"/>
      <c r="R75" s="36">
        <f t="shared" si="47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3"/>
        <v>58328.291499999999</v>
      </c>
      <c r="X75" s="36">
        <v>333672.76899999997</v>
      </c>
      <c r="Y75" s="36">
        <f t="shared" si="48"/>
        <v>360004.74375000008</v>
      </c>
      <c r="Z75" s="125">
        <v>7709.76</v>
      </c>
      <c r="AA75" s="110">
        <f t="shared" si="54"/>
        <v>0</v>
      </c>
    </row>
    <row r="76" spans="1:27" ht="21.6" customHeight="1" x14ac:dyDescent="0.3">
      <c r="A76" s="3">
        <v>9</v>
      </c>
      <c r="B76" s="178" t="s">
        <v>146</v>
      </c>
      <c r="C76" s="178"/>
      <c r="D76" s="33" t="s">
        <v>112</v>
      </c>
      <c r="E76" s="67" t="s">
        <v>80</v>
      </c>
      <c r="F76" s="63">
        <f>23891.12</f>
        <v>23891.119999999999</v>
      </c>
      <c r="G76" s="63"/>
      <c r="H76" s="63">
        <f t="shared" si="49"/>
        <v>71673.36</v>
      </c>
      <c r="I76" s="63">
        <f t="shared" si="50"/>
        <v>1791.8339999999998</v>
      </c>
      <c r="J76" s="63">
        <v>0</v>
      </c>
      <c r="K76" s="63">
        <f t="shared" si="51"/>
        <v>11945.56</v>
      </c>
      <c r="L76" s="36">
        <f t="shared" si="52"/>
        <v>83618.92</v>
      </c>
      <c r="M76" s="63">
        <f t="shared" si="44"/>
        <v>23891.119999999999</v>
      </c>
      <c r="N76" s="63">
        <f t="shared" si="45"/>
        <v>150000</v>
      </c>
      <c r="O76" s="63">
        <f t="shared" si="46"/>
        <v>2389.1120000000001</v>
      </c>
      <c r="P76" s="63">
        <v>15000</v>
      </c>
      <c r="Q76" s="63">
        <v>0</v>
      </c>
      <c r="R76" s="36">
        <f t="shared" si="47"/>
        <v>384201.02600000001</v>
      </c>
      <c r="S76" s="36">
        <f>50000</f>
        <v>50000</v>
      </c>
      <c r="T76" s="36"/>
      <c r="U76" s="36"/>
      <c r="V76" s="63">
        <v>7709.76</v>
      </c>
      <c r="W76" s="36">
        <f t="shared" si="53"/>
        <v>57709.760000000002</v>
      </c>
      <c r="X76" s="36">
        <v>299364.53699999995</v>
      </c>
      <c r="Y76" s="36">
        <f t="shared" si="48"/>
        <v>326491.266</v>
      </c>
      <c r="Z76" s="125">
        <v>3369.51</v>
      </c>
      <c r="AA76" s="110">
        <f t="shared" si="54"/>
        <v>4340.25</v>
      </c>
    </row>
    <row r="77" spans="1:27" ht="20.100000000000001" customHeight="1" x14ac:dyDescent="0.6">
      <c r="A77" s="33"/>
      <c r="B77" s="179" t="s">
        <v>32</v>
      </c>
      <c r="C77" s="179"/>
      <c r="D77" s="7">
        <v>9</v>
      </c>
      <c r="E77" s="7"/>
      <c r="F77" s="106">
        <f>SUM(F68:F76)</f>
        <v>299533.60000000003</v>
      </c>
      <c r="G77" s="106"/>
      <c r="H77" s="106">
        <f t="shared" ref="H77:Y77" si="55">SUM(H68:H76)</f>
        <v>898600.79999999993</v>
      </c>
      <c r="I77" s="106">
        <f t="shared" si="55"/>
        <v>22465.02</v>
      </c>
      <c r="J77" s="106">
        <f t="shared" si="55"/>
        <v>160488.76</v>
      </c>
      <c r="K77" s="106">
        <f t="shared" si="55"/>
        <v>149766.80000000002</v>
      </c>
      <c r="L77" s="106">
        <f t="shared" si="55"/>
        <v>1048367.6</v>
      </c>
      <c r="M77" s="106">
        <f t="shared" si="55"/>
        <v>299533.60000000003</v>
      </c>
      <c r="N77" s="106">
        <f>SUM(N68:N76)</f>
        <v>1350000</v>
      </c>
      <c r="O77" s="106">
        <f t="shared" si="55"/>
        <v>29953.360000000001</v>
      </c>
      <c r="P77" s="106">
        <f t="shared" si="55"/>
        <v>145000</v>
      </c>
      <c r="Q77" s="106">
        <f t="shared" si="55"/>
        <v>0</v>
      </c>
      <c r="R77" s="106">
        <f>SUM(R68:R76)</f>
        <v>4403709.54</v>
      </c>
      <c r="S77" s="106">
        <f>SUM(S68:S76)</f>
        <v>415000</v>
      </c>
      <c r="T77" s="106">
        <f>SUM(T68:T76)</f>
        <v>324827.21000000002</v>
      </c>
      <c r="U77" s="106">
        <f>SUM(U68:U76)</f>
        <v>2662.0320000000002</v>
      </c>
      <c r="V77" s="106">
        <v>125791.59999999996</v>
      </c>
      <c r="W77" s="106">
        <f>SUM(S77:V77)</f>
        <v>868280.84199999995</v>
      </c>
      <c r="X77" s="106">
        <v>3242401.5714999996</v>
      </c>
      <c r="Y77" s="106">
        <f t="shared" si="55"/>
        <v>3535428.6979999994</v>
      </c>
      <c r="Z77" s="125">
        <v>113612.77999999996</v>
      </c>
      <c r="AA77" s="126">
        <f t="shared" si="54"/>
        <v>12178.820000000007</v>
      </c>
    </row>
    <row r="78" spans="1:27" ht="20.100000000000001" customHeight="1" x14ac:dyDescent="0.3">
      <c r="A78" s="33"/>
      <c r="B78" s="101"/>
      <c r="C78" s="101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125"/>
      <c r="AA78" s="110">
        <f t="shared" si="54"/>
        <v>0</v>
      </c>
    </row>
    <row r="79" spans="1:27" ht="20.100000000000001" customHeight="1" x14ac:dyDescent="0.3">
      <c r="A79" s="33"/>
      <c r="B79" s="179" t="s">
        <v>147</v>
      </c>
      <c r="C79" s="179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125"/>
      <c r="AA79" s="110">
        <f t="shared" si="54"/>
        <v>0</v>
      </c>
    </row>
    <row r="80" spans="1:27" ht="20.100000000000001" customHeight="1" x14ac:dyDescent="0.3">
      <c r="A80" s="33">
        <v>1</v>
      </c>
      <c r="B80" s="169" t="s">
        <v>148</v>
      </c>
      <c r="C80" s="170"/>
      <c r="D80" s="33" t="s">
        <v>149</v>
      </c>
      <c r="E80" s="3" t="s">
        <v>54</v>
      </c>
      <c r="F80" s="63">
        <f>39662.25</f>
        <v>39662.25</v>
      </c>
      <c r="G80" s="63"/>
      <c r="H80" s="63">
        <f>F80*300%</f>
        <v>118986.75</v>
      </c>
      <c r="I80" s="63">
        <f>F80*7.5%</f>
        <v>2974.6687499999998</v>
      </c>
      <c r="J80" s="63">
        <v>40122.19</v>
      </c>
      <c r="K80" s="63">
        <f>F80*50%</f>
        <v>19831.125</v>
      </c>
      <c r="L80" s="63">
        <f>F80*350%</f>
        <v>138817.875</v>
      </c>
      <c r="M80" s="63">
        <f>F80*100%</f>
        <v>39662.25</v>
      </c>
      <c r="N80" s="63">
        <v>150000</v>
      </c>
      <c r="O80" s="63">
        <f>F80*10%</f>
        <v>3966.2250000000004</v>
      </c>
      <c r="P80" s="63">
        <v>20000</v>
      </c>
      <c r="Q80" s="63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3">
        <v>15548.33</v>
      </c>
      <c r="W80" s="36">
        <f>SUM(S80:V80)</f>
        <v>16386.017500000002</v>
      </c>
      <c r="X80" s="36">
        <v>651167.48499999999</v>
      </c>
      <c r="Y80" s="36">
        <f>R80-W80</f>
        <v>707637.31625000003</v>
      </c>
      <c r="Z80" s="125">
        <v>15548.33</v>
      </c>
      <c r="AA80" s="110">
        <f t="shared" si="54"/>
        <v>0</v>
      </c>
    </row>
    <row r="81" spans="1:27" ht="20.100000000000001" customHeight="1" x14ac:dyDescent="0.3">
      <c r="A81" s="33">
        <v>2</v>
      </c>
      <c r="B81" s="173" t="s">
        <v>150</v>
      </c>
      <c r="C81" s="174"/>
      <c r="D81" s="20" t="s">
        <v>151</v>
      </c>
      <c r="E81" s="29" t="s">
        <v>272</v>
      </c>
      <c r="F81" s="26">
        <f>27611.23</f>
        <v>27611.23</v>
      </c>
      <c r="G81" s="63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v>7709.76</v>
      </c>
      <c r="W81" s="36">
        <f>SUM(S81:V81)</f>
        <v>7709.76</v>
      </c>
      <c r="X81" s="36">
        <v>334291.30049999995</v>
      </c>
      <c r="Y81" s="36">
        <f>R81-W81</f>
        <v>360623.27525000006</v>
      </c>
      <c r="Z81" s="125">
        <v>7709.76</v>
      </c>
      <c r="AA81" s="110">
        <f t="shared" si="54"/>
        <v>0</v>
      </c>
    </row>
    <row r="82" spans="1:27" ht="20.100000000000001" customHeight="1" x14ac:dyDescent="0.3">
      <c r="A82" s="33">
        <v>3</v>
      </c>
      <c r="B82" s="169" t="s">
        <v>152</v>
      </c>
      <c r="C82" s="170"/>
      <c r="D82" s="33" t="s">
        <v>273</v>
      </c>
      <c r="E82" s="67" t="s">
        <v>68</v>
      </c>
      <c r="F82" s="26">
        <f>18281.64</f>
        <v>18281.64</v>
      </c>
      <c r="G82" s="63"/>
      <c r="H82" s="63">
        <f>F82*300%</f>
        <v>54844.92</v>
      </c>
      <c r="I82" s="63">
        <f>F82*7.5%</f>
        <v>1371.1229999999998</v>
      </c>
      <c r="J82" s="63"/>
      <c r="K82" s="63">
        <f>F82*50%</f>
        <v>9140.82</v>
      </c>
      <c r="L82" s="36">
        <f>F82*350%</f>
        <v>63985.74</v>
      </c>
      <c r="M82" s="26">
        <f>F82*100%</f>
        <v>18281.64</v>
      </c>
      <c r="N82" s="63">
        <f t="shared" ref="N82" si="56">100000</f>
        <v>100000</v>
      </c>
      <c r="O82" s="63">
        <f>F82*10%</f>
        <v>1828.164</v>
      </c>
      <c r="P82" s="63">
        <v>10000</v>
      </c>
      <c r="Q82" s="63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3">
        <v>3369.51</v>
      </c>
      <c r="W82" s="36">
        <f>SUM(S82:V82)</f>
        <v>8369.51</v>
      </c>
      <c r="X82" s="36">
        <v>264798.69</v>
      </c>
      <c r="Y82" s="36">
        <f>R82-W82</f>
        <v>269364.53699999995</v>
      </c>
      <c r="Z82" s="125">
        <v>3369.51</v>
      </c>
      <c r="AA82" s="110">
        <f t="shared" si="54"/>
        <v>0</v>
      </c>
    </row>
    <row r="83" spans="1:27" ht="20.100000000000001" customHeight="1" x14ac:dyDescent="0.3">
      <c r="A83" s="33">
        <v>4</v>
      </c>
      <c r="B83" s="84" t="s">
        <v>154</v>
      </c>
      <c r="C83" s="85"/>
      <c r="D83" s="33"/>
      <c r="E83" s="67" t="s">
        <v>85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7">SUM(S83:V83)</f>
        <v>33814.11</v>
      </c>
      <c r="X83" s="26">
        <v>234787.96775000007</v>
      </c>
      <c r="Y83" s="26">
        <f>R83-W83</f>
        <v>239354.09000000003</v>
      </c>
      <c r="Z83" s="125">
        <v>3369.51</v>
      </c>
      <c r="AA83" s="110">
        <f t="shared" si="54"/>
        <v>0</v>
      </c>
    </row>
    <row r="84" spans="1:27" ht="20.100000000000001" customHeight="1" x14ac:dyDescent="0.6">
      <c r="A84" s="33"/>
      <c r="B84" s="179" t="s">
        <v>32</v>
      </c>
      <c r="C84" s="179"/>
      <c r="D84" s="7">
        <v>4</v>
      </c>
      <c r="E84" s="102"/>
      <c r="F84" s="103">
        <f t="shared" ref="F84:Q84" si="58">SUM(F80:F83)</f>
        <v>103339.12</v>
      </c>
      <c r="G84" s="103">
        <f t="shared" si="58"/>
        <v>0</v>
      </c>
      <c r="H84" s="103">
        <f t="shared" si="58"/>
        <v>310017.36</v>
      </c>
      <c r="I84" s="103">
        <f t="shared" si="58"/>
        <v>7750.4339999999993</v>
      </c>
      <c r="J84" s="103">
        <f t="shared" si="58"/>
        <v>40122.19</v>
      </c>
      <c r="K84" s="103">
        <f t="shared" si="58"/>
        <v>51669.56</v>
      </c>
      <c r="L84" s="103">
        <f t="shared" si="58"/>
        <v>361686.92</v>
      </c>
      <c r="M84" s="103">
        <f t="shared" si="58"/>
        <v>103339.12</v>
      </c>
      <c r="N84" s="103">
        <f t="shared" si="58"/>
        <v>450000</v>
      </c>
      <c r="O84" s="103">
        <f t="shared" si="58"/>
        <v>10333.912</v>
      </c>
      <c r="P84" s="103">
        <f t="shared" si="58"/>
        <v>55000</v>
      </c>
      <c r="Q84" s="103">
        <f t="shared" si="58"/>
        <v>150000</v>
      </c>
      <c r="R84" s="103">
        <f>SUM(R80:R83)</f>
        <v>1643258.6159999999</v>
      </c>
      <c r="S84" s="103">
        <f>SUM(S80:S83)</f>
        <v>35000</v>
      </c>
      <c r="T84" s="103">
        <f>SUM(T80:T83)</f>
        <v>0</v>
      </c>
      <c r="U84" s="103">
        <f>SUM(U80:U83)</f>
        <v>1282.2874999999999</v>
      </c>
      <c r="V84" s="103">
        <v>29997.11</v>
      </c>
      <c r="W84" s="103">
        <f>SUM(S84:V84)</f>
        <v>66279.397499999992</v>
      </c>
      <c r="X84" s="103">
        <v>1485045.44325</v>
      </c>
      <c r="Y84" s="103">
        <f>SUM(Y80:Y83)</f>
        <v>1576979.2185000002</v>
      </c>
      <c r="Z84" s="125">
        <v>29997.11</v>
      </c>
      <c r="AA84" s="110">
        <f t="shared" si="54"/>
        <v>0</v>
      </c>
    </row>
    <row r="85" spans="1:27" ht="20.100000000000001" customHeight="1" x14ac:dyDescent="0.3">
      <c r="A85" s="33"/>
      <c r="B85" s="101"/>
      <c r="C85" s="101"/>
      <c r="D85" s="7"/>
      <c r="E85" s="102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125"/>
      <c r="AA85" s="110">
        <f t="shared" si="54"/>
        <v>0</v>
      </c>
    </row>
    <row r="86" spans="1:27" ht="20.100000000000001" customHeight="1" x14ac:dyDescent="0.3">
      <c r="A86" s="33"/>
      <c r="B86" s="179" t="s">
        <v>155</v>
      </c>
      <c r="C86" s="179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125"/>
      <c r="AA86" s="110">
        <f t="shared" si="54"/>
        <v>0</v>
      </c>
    </row>
    <row r="87" spans="1:27" ht="20.100000000000001" customHeight="1" x14ac:dyDescent="0.3">
      <c r="A87" s="33">
        <v>1</v>
      </c>
      <c r="B87" s="169" t="s">
        <v>156</v>
      </c>
      <c r="C87" s="170"/>
      <c r="D87" s="62" t="s">
        <v>157</v>
      </c>
      <c r="E87" s="67" t="s">
        <v>89</v>
      </c>
      <c r="F87" s="63">
        <f>79039.64</f>
        <v>79039.64</v>
      </c>
      <c r="G87" s="63"/>
      <c r="H87" s="63">
        <f>F87*300%</f>
        <v>237118.91999999998</v>
      </c>
      <c r="I87" s="63">
        <f>F87*7.5%</f>
        <v>5927.973</v>
      </c>
      <c r="J87" s="63">
        <v>80244.38</v>
      </c>
      <c r="K87" s="63">
        <f>F87*50%</f>
        <v>39519.82</v>
      </c>
      <c r="L87" s="63">
        <f>F87*350%</f>
        <v>276638.74</v>
      </c>
      <c r="M87" s="63">
        <f>F87*100%</f>
        <v>79039.64</v>
      </c>
      <c r="N87" s="63">
        <v>150000</v>
      </c>
      <c r="O87" s="63">
        <f>F87*10%</f>
        <v>7903.9639999999999</v>
      </c>
      <c r="P87" s="63">
        <v>20000</v>
      </c>
      <c r="Q87" s="63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3">
        <v>52776.63</v>
      </c>
      <c r="W87" s="36">
        <f>SUM(S87:V87)</f>
        <v>152776.63</v>
      </c>
      <c r="X87" s="36">
        <v>797880.82750000013</v>
      </c>
      <c r="Y87" s="36">
        <f>R87-W87</f>
        <v>822656.44700000004</v>
      </c>
      <c r="Z87" s="125">
        <v>52776.63</v>
      </c>
      <c r="AA87" s="110">
        <f t="shared" si="54"/>
        <v>0</v>
      </c>
    </row>
    <row r="88" spans="1:27" ht="20.100000000000001" customHeight="1" x14ac:dyDescent="0.3">
      <c r="A88" s="33">
        <v>2</v>
      </c>
      <c r="B88" s="180" t="s">
        <v>158</v>
      </c>
      <c r="C88" s="181"/>
      <c r="D88" s="33" t="s">
        <v>159</v>
      </c>
      <c r="E88" s="3" t="s">
        <v>44</v>
      </c>
      <c r="F88" s="63">
        <f>33507.5</f>
        <v>33507.5</v>
      </c>
      <c r="G88" s="63"/>
      <c r="H88" s="63">
        <f>F88*300%</f>
        <v>100522.5</v>
      </c>
      <c r="I88" s="63">
        <f>F88*7.5%</f>
        <v>2513.0625</v>
      </c>
      <c r="J88" s="63">
        <v>40122.19</v>
      </c>
      <c r="K88" s="63">
        <f>F88*50%</f>
        <v>16753.75</v>
      </c>
      <c r="L88" s="63">
        <f>F88*350%</f>
        <v>117276.25</v>
      </c>
      <c r="M88" s="63">
        <f>F88*100%</f>
        <v>33507.5</v>
      </c>
      <c r="N88" s="63">
        <v>150000</v>
      </c>
      <c r="O88" s="63">
        <f>F88*10%</f>
        <v>3350.75</v>
      </c>
      <c r="P88" s="63">
        <v>20000</v>
      </c>
      <c r="Q88" s="63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3">
        <v>15548.33</v>
      </c>
      <c r="W88" s="36">
        <f>SUM(S88:V88)</f>
        <v>187636.01749999999</v>
      </c>
      <c r="X88" s="36">
        <v>329917.48499999999</v>
      </c>
      <c r="Y88" s="36">
        <f>R88-W88</f>
        <v>329917.48499999999</v>
      </c>
      <c r="Z88" s="125">
        <v>15548.33</v>
      </c>
      <c r="AA88" s="110">
        <f t="shared" si="54"/>
        <v>0</v>
      </c>
    </row>
    <row r="89" spans="1:27" ht="20.100000000000001" customHeight="1" x14ac:dyDescent="0.3">
      <c r="A89" s="33">
        <v>3</v>
      </c>
      <c r="B89" s="169" t="s">
        <v>160</v>
      </c>
      <c r="C89" s="170"/>
      <c r="D89" s="33" t="s">
        <v>274</v>
      </c>
      <c r="E89" s="3" t="s">
        <v>62</v>
      </c>
      <c r="F89" s="63">
        <f>26339.3</f>
        <v>26339.3</v>
      </c>
      <c r="G89" s="63"/>
      <c r="H89" s="63">
        <f>F89*300%</f>
        <v>79017.899999999994</v>
      </c>
      <c r="I89" s="63">
        <f>F89*7.5%</f>
        <v>1975.4474999999998</v>
      </c>
      <c r="J89" s="63">
        <v>0</v>
      </c>
      <c r="K89" s="63">
        <f>F89*50%</f>
        <v>13169.65</v>
      </c>
      <c r="L89" s="63">
        <f>F89*350%</f>
        <v>92187.55</v>
      </c>
      <c r="M89" s="63">
        <f>F89*100%</f>
        <v>26339.3</v>
      </c>
      <c r="N89" s="63">
        <v>150000</v>
      </c>
      <c r="O89" s="63">
        <f>F89*10%</f>
        <v>2633.9300000000003</v>
      </c>
      <c r="P89" s="63">
        <v>15000</v>
      </c>
      <c r="Q89" s="63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v>7709.76</v>
      </c>
      <c r="W89" s="36">
        <f>SUM(S89:V89)</f>
        <v>38347.846250000002</v>
      </c>
      <c r="X89" s="36">
        <v>360829.8075</v>
      </c>
      <c r="Y89" s="36">
        <f>R89-W89</f>
        <v>368315.23124999995</v>
      </c>
      <c r="Z89" s="125">
        <v>7709.76</v>
      </c>
      <c r="AA89" s="110">
        <f t="shared" si="54"/>
        <v>0</v>
      </c>
    </row>
    <row r="90" spans="1:27" ht="20.100000000000001" customHeight="1" x14ac:dyDescent="0.3">
      <c r="A90" s="33">
        <v>4</v>
      </c>
      <c r="B90" s="173" t="s">
        <v>162</v>
      </c>
      <c r="C90" s="174"/>
      <c r="D90" s="20" t="s">
        <v>275</v>
      </c>
      <c r="E90" s="29" t="s">
        <v>110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3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v>7709.76</v>
      </c>
      <c r="W90" s="36">
        <f>SUM(S90:V90)</f>
        <v>100793.09</v>
      </c>
      <c r="X90" s="36">
        <v>254111.91</v>
      </c>
      <c r="Y90" s="36">
        <f>R90-W90</f>
        <v>291207.97049999994</v>
      </c>
      <c r="Z90" s="125">
        <v>3369.51</v>
      </c>
      <c r="AA90" s="110">
        <f t="shared" si="54"/>
        <v>4340.25</v>
      </c>
    </row>
    <row r="91" spans="1:27" ht="20.100000000000001" customHeight="1" x14ac:dyDescent="0.6">
      <c r="A91" s="33"/>
      <c r="B91" s="179" t="s">
        <v>32</v>
      </c>
      <c r="C91" s="179"/>
      <c r="D91" s="3">
        <v>4</v>
      </c>
      <c r="E91" s="33"/>
      <c r="F91" s="104">
        <f>SUM(F87:F90)</f>
        <v>163627.70000000001</v>
      </c>
      <c r="G91" s="105"/>
      <c r="H91" s="104">
        <f t="shared" ref="H91:Y91" si="59">SUM(H87:H90)</f>
        <v>490883.1</v>
      </c>
      <c r="I91" s="104">
        <f t="shared" si="59"/>
        <v>12272.077499999999</v>
      </c>
      <c r="J91" s="104">
        <f t="shared" si="59"/>
        <v>120366.57</v>
      </c>
      <c r="K91" s="104">
        <f t="shared" si="59"/>
        <v>81813.850000000006</v>
      </c>
      <c r="L91" s="104">
        <f t="shared" si="59"/>
        <v>572696.94999999995</v>
      </c>
      <c r="M91" s="104">
        <f t="shared" si="59"/>
        <v>163627.70000000001</v>
      </c>
      <c r="N91" s="104">
        <f t="shared" si="59"/>
        <v>600000</v>
      </c>
      <c r="O91" s="104">
        <f t="shared" si="59"/>
        <v>16362.77</v>
      </c>
      <c r="P91" s="104">
        <f t="shared" si="59"/>
        <v>70000</v>
      </c>
      <c r="Q91" s="104">
        <f t="shared" si="59"/>
        <v>0</v>
      </c>
      <c r="R91" s="104">
        <f>SUM(R87:R90)</f>
        <v>2291650.7174999998</v>
      </c>
      <c r="S91" s="104">
        <f>SUM(S87:S90)</f>
        <v>220000</v>
      </c>
      <c r="T91" s="104">
        <f>SUM(T87:T90)</f>
        <v>174333.33000000002</v>
      </c>
      <c r="U91" s="104">
        <f>SUM(U87:U90)</f>
        <v>1475.7737500000001</v>
      </c>
      <c r="V91" s="104">
        <v>83744.479999999981</v>
      </c>
      <c r="W91" s="104">
        <f>SUM(S91:V91)</f>
        <v>479553.58374999999</v>
      </c>
      <c r="X91" s="104">
        <v>1742740.03</v>
      </c>
      <c r="Y91" s="104">
        <f t="shared" si="59"/>
        <v>1812097.13375</v>
      </c>
      <c r="Z91" s="125">
        <v>79404.229999999981</v>
      </c>
      <c r="AA91" s="126">
        <f t="shared" si="54"/>
        <v>4340.25</v>
      </c>
    </row>
    <row r="92" spans="1:27" ht="20.100000000000001" customHeight="1" x14ac:dyDescent="0.3">
      <c r="A92" s="33"/>
      <c r="B92" s="101"/>
      <c r="C92" s="101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25"/>
      <c r="AA92" s="110">
        <f t="shared" si="54"/>
        <v>0</v>
      </c>
    </row>
    <row r="93" spans="1:27" ht="20.100000000000001" customHeight="1" x14ac:dyDescent="0.3">
      <c r="A93" s="33"/>
      <c r="B93" s="179" t="s">
        <v>163</v>
      </c>
      <c r="C93" s="179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4"/>
      <c r="S93" s="64"/>
      <c r="T93" s="64"/>
      <c r="U93" s="64"/>
      <c r="V93" s="39"/>
      <c r="W93" s="36"/>
      <c r="X93" s="36"/>
      <c r="Y93" s="36"/>
      <c r="Z93" s="125"/>
      <c r="AA93" s="110">
        <f t="shared" si="54"/>
        <v>0</v>
      </c>
    </row>
    <row r="94" spans="1:27" ht="20.100000000000001" customHeight="1" x14ac:dyDescent="0.3">
      <c r="A94" s="33">
        <v>1</v>
      </c>
      <c r="B94" s="178" t="s">
        <v>164</v>
      </c>
      <c r="C94" s="178"/>
      <c r="D94" s="62" t="s">
        <v>165</v>
      </c>
      <c r="E94" s="67" t="s">
        <v>41</v>
      </c>
      <c r="F94" s="63">
        <f>81740.02</f>
        <v>81740.02</v>
      </c>
      <c r="G94" s="63"/>
      <c r="H94" s="63">
        <f t="shared" ref="H94:H104" si="60">F94*300%</f>
        <v>245220.06</v>
      </c>
      <c r="I94" s="63">
        <f t="shared" ref="I94:I104" si="61">F94*7.5%</f>
        <v>6130.5015000000003</v>
      </c>
      <c r="J94" s="63">
        <f>80244.38</f>
        <v>80244.38</v>
      </c>
      <c r="K94" s="63">
        <f t="shared" ref="K94:K104" si="62">F94*50%</f>
        <v>40870.01</v>
      </c>
      <c r="L94" s="63">
        <f t="shared" ref="L94:L104" si="63">F94*350%</f>
        <v>286090.07</v>
      </c>
      <c r="M94" s="63">
        <f t="shared" ref="M94:M103" si="64">F94*100%</f>
        <v>81740.02</v>
      </c>
      <c r="N94" s="63">
        <f>100000</f>
        <v>100000</v>
      </c>
      <c r="O94" s="63">
        <f t="shared" ref="O94:O103" si="65">F94*10%</f>
        <v>8174.0020000000004</v>
      </c>
      <c r="P94" s="63">
        <v>20000</v>
      </c>
      <c r="Q94" s="63">
        <v>100000</v>
      </c>
      <c r="R94" s="36">
        <f t="shared" ref="R94:R104" si="66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3">
        <v>52776.63</v>
      </c>
      <c r="W94" s="36">
        <f t="shared" ref="W94:W103" si="67">SUM(S94:V94)</f>
        <v>482530.40100000001</v>
      </c>
      <c r="X94" s="36">
        <v>542902.67599999998</v>
      </c>
      <c r="Y94" s="36">
        <f t="shared" ref="Y94:Y104" si="68">R94-W94</f>
        <v>567678.66250000009</v>
      </c>
      <c r="Z94" s="125">
        <v>52776.63</v>
      </c>
      <c r="AA94" s="110">
        <f t="shared" si="54"/>
        <v>0</v>
      </c>
    </row>
    <row r="95" spans="1:27" ht="20.100000000000001" customHeight="1" x14ac:dyDescent="0.3">
      <c r="A95" s="33">
        <v>2</v>
      </c>
      <c r="B95" s="178" t="s">
        <v>166</v>
      </c>
      <c r="C95" s="178"/>
      <c r="D95" s="62" t="s">
        <v>167</v>
      </c>
      <c r="E95" s="67" t="s">
        <v>51</v>
      </c>
      <c r="F95" s="63">
        <f>42653.17</f>
        <v>42653.17</v>
      </c>
      <c r="G95" s="63"/>
      <c r="H95" s="63">
        <f t="shared" si="60"/>
        <v>127959.51</v>
      </c>
      <c r="I95" s="63">
        <f t="shared" si="61"/>
        <v>3198.9877499999998</v>
      </c>
      <c r="J95" s="63">
        <v>40122.19</v>
      </c>
      <c r="K95" s="63">
        <f t="shared" si="62"/>
        <v>21326.584999999999</v>
      </c>
      <c r="L95" s="63">
        <f t="shared" si="63"/>
        <v>149286.095</v>
      </c>
      <c r="M95" s="63">
        <f t="shared" si="64"/>
        <v>42653.17</v>
      </c>
      <c r="N95" s="63">
        <f t="shared" ref="N95:N103" si="69">100000</f>
        <v>100000</v>
      </c>
      <c r="O95" s="63">
        <f t="shared" si="65"/>
        <v>4265.317</v>
      </c>
      <c r="P95" s="63">
        <v>20000</v>
      </c>
      <c r="Q95" s="63">
        <f>100000</f>
        <v>100000</v>
      </c>
      <c r="R95" s="36">
        <f t="shared" si="66"/>
        <v>651465.0247500001</v>
      </c>
      <c r="S95" s="36">
        <f>100000</f>
        <v>100000</v>
      </c>
      <c r="T95" s="36">
        <f>0</f>
        <v>0</v>
      </c>
      <c r="U95" s="36"/>
      <c r="V95" s="63">
        <v>21618.09</v>
      </c>
      <c r="W95" s="36">
        <f t="shared" si="67"/>
        <v>121618.09</v>
      </c>
      <c r="X95" s="36">
        <v>516125.90575000003</v>
      </c>
      <c r="Y95" s="36">
        <f t="shared" si="68"/>
        <v>529846.93475000013</v>
      </c>
      <c r="Z95" s="125">
        <v>21618.09</v>
      </c>
      <c r="AA95" s="110">
        <f t="shared" si="54"/>
        <v>0</v>
      </c>
    </row>
    <row r="96" spans="1:27" ht="20.100000000000001" customHeight="1" x14ac:dyDescent="0.3">
      <c r="A96" s="33">
        <v>3</v>
      </c>
      <c r="B96" s="178" t="s">
        <v>168</v>
      </c>
      <c r="C96" s="178"/>
      <c r="D96" s="62" t="s">
        <v>169</v>
      </c>
      <c r="E96" s="67" t="s">
        <v>44</v>
      </c>
      <c r="F96" s="26">
        <f>33507.5</f>
        <v>33507.5</v>
      </c>
      <c r="G96" s="63"/>
      <c r="H96" s="63">
        <f t="shared" si="60"/>
        <v>100522.5</v>
      </c>
      <c r="I96" s="63">
        <f t="shared" si="61"/>
        <v>2513.0625</v>
      </c>
      <c r="J96" s="63">
        <v>40122.19</v>
      </c>
      <c r="K96" s="63">
        <f t="shared" si="62"/>
        <v>16753.75</v>
      </c>
      <c r="L96" s="36">
        <f t="shared" si="63"/>
        <v>117276.25</v>
      </c>
      <c r="M96" s="63">
        <f t="shared" si="64"/>
        <v>33507.5</v>
      </c>
      <c r="N96" s="63">
        <f t="shared" si="69"/>
        <v>100000</v>
      </c>
      <c r="O96" s="63">
        <f t="shared" si="65"/>
        <v>3350.75</v>
      </c>
      <c r="P96" s="63">
        <v>20000</v>
      </c>
      <c r="Q96" s="63">
        <v>0</v>
      </c>
      <c r="R96" s="36">
        <f t="shared" si="66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3">
        <v>15548.33</v>
      </c>
      <c r="W96" s="36">
        <f t="shared" si="67"/>
        <v>215521.57999999996</v>
      </c>
      <c r="X96" s="36">
        <v>240615.47000000009</v>
      </c>
      <c r="Y96" s="36">
        <f t="shared" si="68"/>
        <v>252031.92250000004</v>
      </c>
      <c r="Z96" s="125">
        <v>15548.33</v>
      </c>
      <c r="AA96" s="110">
        <f t="shared" si="54"/>
        <v>0</v>
      </c>
    </row>
    <row r="97" spans="1:27" ht="20.100000000000001" customHeight="1" x14ac:dyDescent="0.3">
      <c r="A97" s="33">
        <v>4</v>
      </c>
      <c r="B97" s="178" t="s">
        <v>170</v>
      </c>
      <c r="C97" s="178"/>
      <c r="D97" s="62" t="s">
        <v>171</v>
      </c>
      <c r="E97" s="67" t="s">
        <v>138</v>
      </c>
      <c r="F97" s="63">
        <f>32263.2</f>
        <v>32263.200000000001</v>
      </c>
      <c r="G97" s="63"/>
      <c r="H97" s="63">
        <f t="shared" si="60"/>
        <v>96789.6</v>
      </c>
      <c r="I97" s="63">
        <f t="shared" si="61"/>
        <v>2419.7399999999998</v>
      </c>
      <c r="J97" s="63">
        <f>40122.19</f>
        <v>40122.19</v>
      </c>
      <c r="K97" s="63">
        <f t="shared" si="62"/>
        <v>16131.6</v>
      </c>
      <c r="L97" s="36">
        <f t="shared" si="63"/>
        <v>112921.2</v>
      </c>
      <c r="M97" s="63">
        <f t="shared" si="64"/>
        <v>32263.200000000001</v>
      </c>
      <c r="N97" s="63">
        <f t="shared" si="69"/>
        <v>100000</v>
      </c>
      <c r="O97" s="63">
        <f t="shared" si="65"/>
        <v>3226.32</v>
      </c>
      <c r="P97" s="63">
        <v>20000</v>
      </c>
      <c r="Q97" s="63">
        <v>0</v>
      </c>
      <c r="R97" s="36">
        <f t="shared" si="66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3">
        <v>15548.33</v>
      </c>
      <c r="W97" s="36">
        <f t="shared" si="67"/>
        <v>156186.41624999998</v>
      </c>
      <c r="X97" s="36">
        <v>200829.8075</v>
      </c>
      <c r="Y97" s="36">
        <f t="shared" si="68"/>
        <v>299950.63375000004</v>
      </c>
      <c r="Z97" s="125">
        <v>7709.76</v>
      </c>
      <c r="AA97" s="110">
        <f t="shared" si="54"/>
        <v>7838.57</v>
      </c>
    </row>
    <row r="98" spans="1:27" ht="20.100000000000001" customHeight="1" x14ac:dyDescent="0.3">
      <c r="A98" s="33">
        <v>5</v>
      </c>
      <c r="B98" s="194" t="s">
        <v>172</v>
      </c>
      <c r="C98" s="194"/>
      <c r="D98" s="33" t="s">
        <v>173</v>
      </c>
      <c r="E98" s="67" t="s">
        <v>138</v>
      </c>
      <c r="F98" s="63">
        <f>32263.2</f>
        <v>32263.200000000001</v>
      </c>
      <c r="G98" s="63"/>
      <c r="H98" s="63">
        <f t="shared" si="60"/>
        <v>96789.6</v>
      </c>
      <c r="I98" s="63">
        <f t="shared" si="61"/>
        <v>2419.7399999999998</v>
      </c>
      <c r="J98" s="63">
        <f>40122.19</f>
        <v>40122.19</v>
      </c>
      <c r="K98" s="63">
        <f t="shared" si="62"/>
        <v>16131.6</v>
      </c>
      <c r="L98" s="36">
        <f t="shared" si="63"/>
        <v>112921.2</v>
      </c>
      <c r="M98" s="63">
        <f t="shared" si="64"/>
        <v>32263.200000000001</v>
      </c>
      <c r="N98" s="63">
        <f t="shared" si="69"/>
        <v>100000</v>
      </c>
      <c r="O98" s="63">
        <f t="shared" si="65"/>
        <v>3226.32</v>
      </c>
      <c r="P98" s="63">
        <v>20000</v>
      </c>
      <c r="Q98" s="63">
        <f>100000</f>
        <v>100000</v>
      </c>
      <c r="R98" s="36">
        <f t="shared" si="66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v>15548.33</v>
      </c>
      <c r="W98" s="36">
        <f t="shared" si="67"/>
        <v>216186.41624999998</v>
      </c>
      <c r="X98" s="36">
        <v>310829.8075</v>
      </c>
      <c r="Y98" s="36">
        <f t="shared" si="68"/>
        <v>339950.63375000004</v>
      </c>
      <c r="Z98" s="125">
        <v>7709.76</v>
      </c>
      <c r="AA98" s="110">
        <f t="shared" si="54"/>
        <v>7838.57</v>
      </c>
    </row>
    <row r="99" spans="1:27" ht="20.100000000000001" customHeight="1" x14ac:dyDescent="0.3">
      <c r="A99" s="33">
        <v>6</v>
      </c>
      <c r="B99" s="195" t="s">
        <v>174</v>
      </c>
      <c r="C99" s="195"/>
      <c r="D99" s="62" t="s">
        <v>175</v>
      </c>
      <c r="E99" s="67" t="s">
        <v>110</v>
      </c>
      <c r="F99" s="63">
        <f>24741.26</f>
        <v>24741.26</v>
      </c>
      <c r="G99" s="63">
        <v>0</v>
      </c>
      <c r="H99" s="63">
        <f t="shared" si="60"/>
        <v>74223.78</v>
      </c>
      <c r="I99" s="63">
        <f t="shared" si="61"/>
        <v>1855.5944999999997</v>
      </c>
      <c r="J99" s="63">
        <v>0</v>
      </c>
      <c r="K99" s="63">
        <f t="shared" si="62"/>
        <v>12370.63</v>
      </c>
      <c r="L99" s="36">
        <f t="shared" si="63"/>
        <v>86594.409999999989</v>
      </c>
      <c r="M99" s="63">
        <f t="shared" si="64"/>
        <v>24741.26</v>
      </c>
      <c r="N99" s="63">
        <f t="shared" si="69"/>
        <v>100000</v>
      </c>
      <c r="O99" s="63">
        <f t="shared" si="65"/>
        <v>2474.1260000000002</v>
      </c>
      <c r="P99" s="63">
        <v>15000</v>
      </c>
      <c r="Q99" s="63">
        <v>0</v>
      </c>
      <c r="R99" s="36">
        <f t="shared" si="66"/>
        <v>342001.06049999996</v>
      </c>
      <c r="S99" s="36">
        <f>30000</f>
        <v>30000</v>
      </c>
      <c r="T99" s="36">
        <f>75000</f>
        <v>75000</v>
      </c>
      <c r="U99" s="36"/>
      <c r="V99" s="63">
        <v>7709.76</v>
      </c>
      <c r="W99" s="36">
        <f t="shared" si="67"/>
        <v>112709.75999999999</v>
      </c>
      <c r="X99" s="36">
        <v>226491.266</v>
      </c>
      <c r="Y99" s="36">
        <f t="shared" si="68"/>
        <v>229291.30049999995</v>
      </c>
      <c r="Z99" s="125">
        <v>7709.76</v>
      </c>
      <c r="AA99" s="110">
        <f t="shared" si="54"/>
        <v>0</v>
      </c>
    </row>
    <row r="100" spans="1:27" ht="20.100000000000001" customHeight="1" x14ac:dyDescent="0.3">
      <c r="A100" s="33">
        <v>7</v>
      </c>
      <c r="B100" s="178" t="s">
        <v>176</v>
      </c>
      <c r="C100" s="178"/>
      <c r="D100" s="62" t="s">
        <v>177</v>
      </c>
      <c r="E100" s="67" t="s">
        <v>80</v>
      </c>
      <c r="F100" s="63">
        <f>23891.12</f>
        <v>23891.119999999999</v>
      </c>
      <c r="G100" s="63"/>
      <c r="H100" s="63">
        <f t="shared" si="60"/>
        <v>71673.36</v>
      </c>
      <c r="I100" s="63">
        <f t="shared" si="61"/>
        <v>1791.8339999999998</v>
      </c>
      <c r="J100" s="63"/>
      <c r="K100" s="63">
        <f t="shared" si="62"/>
        <v>11945.56</v>
      </c>
      <c r="L100" s="36">
        <f t="shared" si="63"/>
        <v>83618.92</v>
      </c>
      <c r="M100" s="63">
        <f t="shared" si="64"/>
        <v>23891.119999999999</v>
      </c>
      <c r="N100" s="63">
        <f t="shared" si="69"/>
        <v>100000</v>
      </c>
      <c r="O100" s="63">
        <f t="shared" si="65"/>
        <v>2389.1120000000001</v>
      </c>
      <c r="P100" s="63">
        <v>15000</v>
      </c>
      <c r="Q100" s="63">
        <f>30000</f>
        <v>30000</v>
      </c>
      <c r="R100" s="36">
        <f t="shared" si="66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3">
        <v>7709.76</v>
      </c>
      <c r="W100" s="36">
        <f t="shared" si="67"/>
        <v>194012.57250000004</v>
      </c>
      <c r="X100" s="36">
        <v>132627.75499999992</v>
      </c>
      <c r="Y100" s="36">
        <f t="shared" si="68"/>
        <v>170188.45349999997</v>
      </c>
      <c r="Z100" s="125">
        <v>3369.51</v>
      </c>
      <c r="AA100" s="110">
        <f t="shared" si="54"/>
        <v>4340.25</v>
      </c>
    </row>
    <row r="101" spans="1:27" ht="20.100000000000001" customHeight="1" x14ac:dyDescent="0.3">
      <c r="A101" s="33">
        <v>8</v>
      </c>
      <c r="B101" s="178" t="s">
        <v>178</v>
      </c>
      <c r="C101" s="178"/>
      <c r="D101" s="62" t="s">
        <v>177</v>
      </c>
      <c r="E101" s="67" t="s">
        <v>80</v>
      </c>
      <c r="F101" s="63">
        <f>23891.12</f>
        <v>23891.119999999999</v>
      </c>
      <c r="G101" s="63"/>
      <c r="H101" s="63">
        <f t="shared" si="60"/>
        <v>71673.36</v>
      </c>
      <c r="I101" s="63">
        <f t="shared" si="61"/>
        <v>1791.8339999999998</v>
      </c>
      <c r="J101" s="63"/>
      <c r="K101" s="63">
        <f t="shared" si="62"/>
        <v>11945.56</v>
      </c>
      <c r="L101" s="36">
        <f t="shared" si="63"/>
        <v>83618.92</v>
      </c>
      <c r="M101" s="63">
        <f t="shared" si="64"/>
        <v>23891.119999999999</v>
      </c>
      <c r="N101" s="63">
        <f t="shared" si="69"/>
        <v>100000</v>
      </c>
      <c r="O101" s="63">
        <f t="shared" si="65"/>
        <v>2389.1120000000001</v>
      </c>
      <c r="P101" s="63">
        <v>15000</v>
      </c>
      <c r="Q101" s="63"/>
      <c r="R101" s="36">
        <f t="shared" si="66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3">
        <v>7709.76</v>
      </c>
      <c r="W101" s="36">
        <f t="shared" si="67"/>
        <v>213734.80250000002</v>
      </c>
      <c r="X101" s="36">
        <v>112905.52499999994</v>
      </c>
      <c r="Y101" s="36">
        <f t="shared" si="68"/>
        <v>120466.22349999999</v>
      </c>
      <c r="Z101" s="125">
        <v>3369.51</v>
      </c>
      <c r="AA101" s="110">
        <f t="shared" si="54"/>
        <v>4340.25</v>
      </c>
    </row>
    <row r="102" spans="1:27" ht="20.100000000000001" customHeight="1" x14ac:dyDescent="0.3">
      <c r="A102" s="33">
        <v>9</v>
      </c>
      <c r="B102" s="178" t="s">
        <v>201</v>
      </c>
      <c r="C102" s="178"/>
      <c r="D102" s="33" t="s">
        <v>200</v>
      </c>
      <c r="E102" s="67" t="s">
        <v>57</v>
      </c>
      <c r="F102" s="63">
        <f>25523.45</f>
        <v>25523.45</v>
      </c>
      <c r="G102" s="63"/>
      <c r="H102" s="63">
        <f t="shared" si="60"/>
        <v>76570.350000000006</v>
      </c>
      <c r="I102" s="63">
        <f t="shared" si="61"/>
        <v>1914.25875</v>
      </c>
      <c r="J102" s="63">
        <v>0</v>
      </c>
      <c r="K102" s="63">
        <f t="shared" si="62"/>
        <v>12761.725</v>
      </c>
      <c r="L102" s="36">
        <f t="shared" si="63"/>
        <v>89332.074999999997</v>
      </c>
      <c r="M102" s="63">
        <f t="shared" si="64"/>
        <v>25523.45</v>
      </c>
      <c r="N102" s="63">
        <f t="shared" si="69"/>
        <v>100000</v>
      </c>
      <c r="O102" s="63">
        <f t="shared" si="65"/>
        <v>2552.3450000000003</v>
      </c>
      <c r="P102" s="63">
        <v>15000</v>
      </c>
      <c r="Q102" s="63">
        <v>0</v>
      </c>
      <c r="R102" s="36">
        <f t="shared" si="66"/>
        <v>349177.65375</v>
      </c>
      <c r="S102" s="36">
        <f>3000</f>
        <v>3000</v>
      </c>
      <c r="T102" s="36">
        <f>90000</f>
        <v>90000</v>
      </c>
      <c r="U102" s="36"/>
      <c r="V102" s="63">
        <v>7709.76</v>
      </c>
      <c r="W102" s="36">
        <f t="shared" si="67"/>
        <v>100709.75999999999</v>
      </c>
      <c r="X102" s="36">
        <v>201291.30049999995</v>
      </c>
      <c r="Y102" s="36">
        <f t="shared" si="68"/>
        <v>248467.89374999999</v>
      </c>
      <c r="Z102" s="125">
        <v>7709.76</v>
      </c>
      <c r="AA102" s="110">
        <f t="shared" si="54"/>
        <v>0</v>
      </c>
    </row>
    <row r="103" spans="1:27" ht="20.100000000000001" customHeight="1" x14ac:dyDescent="0.3">
      <c r="A103" s="33">
        <v>10</v>
      </c>
      <c r="B103" s="169" t="s">
        <v>179</v>
      </c>
      <c r="C103" s="170"/>
      <c r="D103" s="62" t="s">
        <v>180</v>
      </c>
      <c r="E103" s="67" t="s">
        <v>181</v>
      </c>
      <c r="F103" s="68">
        <f>13112.16</f>
        <v>13112.16</v>
      </c>
      <c r="G103" s="63"/>
      <c r="H103" s="63">
        <f t="shared" si="60"/>
        <v>39336.479999999996</v>
      </c>
      <c r="I103" s="63">
        <f t="shared" si="61"/>
        <v>983.41199999999992</v>
      </c>
      <c r="J103" s="63"/>
      <c r="K103" s="63">
        <f t="shared" si="62"/>
        <v>6556.08</v>
      </c>
      <c r="L103" s="36">
        <f t="shared" si="63"/>
        <v>45892.56</v>
      </c>
      <c r="M103" s="63">
        <f t="shared" si="64"/>
        <v>13112.16</v>
      </c>
      <c r="N103" s="63">
        <f t="shared" si="69"/>
        <v>100000</v>
      </c>
      <c r="O103" s="63">
        <f t="shared" si="65"/>
        <v>1311.2160000000001</v>
      </c>
      <c r="P103" s="63">
        <v>10000</v>
      </c>
      <c r="Q103" s="63"/>
      <c r="R103" s="36">
        <f t="shared" si="66"/>
        <v>230304.068</v>
      </c>
      <c r="S103" s="36">
        <f>10000</f>
        <v>10000</v>
      </c>
      <c r="T103" s="36"/>
      <c r="U103" s="36"/>
      <c r="V103" s="63">
        <v>1484.37</v>
      </c>
      <c r="W103" s="36">
        <f t="shared" si="67"/>
        <v>11484.369999999999</v>
      </c>
      <c r="X103" s="36">
        <v>215331.73</v>
      </c>
      <c r="Y103" s="36">
        <f t="shared" si="68"/>
        <v>218819.698</v>
      </c>
      <c r="Z103" s="125">
        <v>1484.37</v>
      </c>
      <c r="AA103" s="110">
        <f t="shared" si="54"/>
        <v>0</v>
      </c>
    </row>
    <row r="104" spans="1:27" ht="20.100000000000001" customHeight="1" x14ac:dyDescent="0.3">
      <c r="A104" s="33">
        <v>11</v>
      </c>
      <c r="B104" s="84" t="s">
        <v>182</v>
      </c>
      <c r="C104" s="85"/>
      <c r="D104" s="62" t="s">
        <v>180</v>
      </c>
      <c r="E104" s="67" t="s">
        <v>183</v>
      </c>
      <c r="F104" s="68">
        <f>12732</f>
        <v>12732</v>
      </c>
      <c r="G104" s="63">
        <f>0</f>
        <v>0</v>
      </c>
      <c r="H104" s="63">
        <f t="shared" si="60"/>
        <v>38196</v>
      </c>
      <c r="I104" s="63">
        <f t="shared" si="61"/>
        <v>954.9</v>
      </c>
      <c r="J104" s="63"/>
      <c r="K104" s="63">
        <f t="shared" si="62"/>
        <v>6366</v>
      </c>
      <c r="L104" s="36">
        <f t="shared" si="63"/>
        <v>44562</v>
      </c>
      <c r="M104" s="63">
        <f>F104*100%</f>
        <v>12732</v>
      </c>
      <c r="N104" s="43">
        <f>100000</f>
        <v>100000</v>
      </c>
      <c r="O104" s="63">
        <f>F104*10%</f>
        <v>1273.2</v>
      </c>
      <c r="P104" s="63">
        <v>10000</v>
      </c>
      <c r="R104" s="63">
        <f t="shared" si="66"/>
        <v>226816.1</v>
      </c>
      <c r="S104" s="36">
        <f>20000</f>
        <v>20000</v>
      </c>
      <c r="T104" s="36"/>
      <c r="U104" s="36"/>
      <c r="V104" s="63">
        <v>1484.37</v>
      </c>
      <c r="W104" s="110">
        <f>S104+T104+U104+V104</f>
        <v>21484.37</v>
      </c>
      <c r="X104" s="36">
        <v>201844.6795</v>
      </c>
      <c r="Y104" s="36">
        <f t="shared" si="68"/>
        <v>205331.73</v>
      </c>
      <c r="Z104" s="64">
        <v>1484.37</v>
      </c>
      <c r="AA104" s="110">
        <f t="shared" si="54"/>
        <v>0</v>
      </c>
    </row>
    <row r="105" spans="1:27" ht="20.100000000000001" customHeight="1" x14ac:dyDescent="0.6">
      <c r="A105" s="33"/>
      <c r="B105" s="179" t="s">
        <v>32</v>
      </c>
      <c r="C105" s="179"/>
      <c r="D105" s="102" t="s">
        <v>276</v>
      </c>
      <c r="E105" s="67"/>
      <c r="F105" s="39">
        <f t="shared" ref="F105:Y105" si="70">SUM(F94:F104)</f>
        <v>346318.2</v>
      </c>
      <c r="G105" s="39">
        <f t="shared" si="70"/>
        <v>0</v>
      </c>
      <c r="H105" s="39">
        <f t="shared" si="70"/>
        <v>1038954.6</v>
      </c>
      <c r="I105" s="39">
        <f t="shared" si="70"/>
        <v>25973.865000000002</v>
      </c>
      <c r="J105" s="39">
        <f t="shared" si="70"/>
        <v>240733.14</v>
      </c>
      <c r="K105" s="39">
        <f t="shared" si="70"/>
        <v>173159.1</v>
      </c>
      <c r="L105" s="64">
        <f t="shared" si="70"/>
        <v>1212113.7000000002</v>
      </c>
      <c r="M105" s="39">
        <f t="shared" si="70"/>
        <v>346318.2</v>
      </c>
      <c r="N105" s="106">
        <f t="shared" si="70"/>
        <v>1100000</v>
      </c>
      <c r="O105" s="39">
        <f t="shared" si="70"/>
        <v>34631.82</v>
      </c>
      <c r="P105" s="39">
        <f t="shared" si="70"/>
        <v>180000</v>
      </c>
      <c r="Q105" s="39">
        <f t="shared" si="70"/>
        <v>330000</v>
      </c>
      <c r="R105" s="64">
        <f t="shared" ref="R105:W105" si="71">SUM(R94:R104)</f>
        <v>5028202.6249999991</v>
      </c>
      <c r="S105" s="64">
        <f t="shared" si="71"/>
        <v>833000</v>
      </c>
      <c r="T105" s="64">
        <f t="shared" si="71"/>
        <v>853333.33999999985</v>
      </c>
      <c r="U105" s="64">
        <f t="shared" si="71"/>
        <v>4997.7085000000006</v>
      </c>
      <c r="V105" s="39">
        <v>154847.49000000002</v>
      </c>
      <c r="W105" s="64">
        <f t="shared" si="71"/>
        <v>1846178.5385000003</v>
      </c>
      <c r="X105" s="64">
        <v>2901795.9227500004</v>
      </c>
      <c r="Y105" s="64">
        <f t="shared" si="70"/>
        <v>3182024.0864999997</v>
      </c>
      <c r="Z105" s="125">
        <v>130489.84999999996</v>
      </c>
      <c r="AA105" s="126">
        <f t="shared" si="54"/>
        <v>24357.640000000058</v>
      </c>
    </row>
    <row r="106" spans="1:27" ht="20.100000000000001" customHeight="1" x14ac:dyDescent="0.3">
      <c r="A106" s="33"/>
      <c r="B106" s="101"/>
      <c r="C106" s="101"/>
      <c r="D106" s="102"/>
      <c r="E106" s="67"/>
      <c r="F106" s="39"/>
      <c r="G106" s="39"/>
      <c r="H106" s="39"/>
      <c r="I106" s="39"/>
      <c r="J106" s="39"/>
      <c r="K106" s="39"/>
      <c r="L106" s="64"/>
      <c r="M106" s="39"/>
      <c r="N106" s="39"/>
      <c r="O106" s="39"/>
      <c r="P106" s="39"/>
      <c r="Q106" s="39"/>
      <c r="R106" s="64"/>
      <c r="S106" s="64"/>
      <c r="T106" s="64"/>
      <c r="U106" s="64"/>
      <c r="V106" s="39"/>
      <c r="W106" s="64"/>
      <c r="X106" s="64"/>
      <c r="Y106" s="64"/>
      <c r="Z106" s="125"/>
      <c r="AA106" s="110">
        <f t="shared" si="54"/>
        <v>0</v>
      </c>
    </row>
    <row r="107" spans="1:27" ht="20.100000000000001" customHeight="1" x14ac:dyDescent="0.3">
      <c r="A107" s="33"/>
      <c r="B107" s="179" t="s">
        <v>185</v>
      </c>
      <c r="C107" s="179"/>
      <c r="D107" s="62"/>
      <c r="E107" s="67"/>
      <c r="F107" s="63"/>
      <c r="G107" s="63"/>
      <c r="H107" s="63"/>
      <c r="I107" s="63"/>
      <c r="J107" s="63"/>
      <c r="K107" s="63"/>
      <c r="L107" s="36"/>
      <c r="M107" s="63"/>
      <c r="N107" s="63"/>
      <c r="O107" s="63"/>
      <c r="P107" s="63"/>
      <c r="Q107" s="63"/>
      <c r="R107" s="36"/>
      <c r="S107" s="36"/>
      <c r="T107" s="36"/>
      <c r="U107" s="36"/>
      <c r="V107" s="63"/>
      <c r="W107" s="36"/>
      <c r="X107" s="36"/>
      <c r="Y107" s="36"/>
      <c r="Z107" s="125"/>
      <c r="AA107" s="110">
        <f t="shared" si="54"/>
        <v>0</v>
      </c>
    </row>
    <row r="108" spans="1:27" ht="20.100000000000001" customHeight="1" x14ac:dyDescent="0.3">
      <c r="A108" s="33">
        <v>1</v>
      </c>
      <c r="B108" s="178" t="s">
        <v>186</v>
      </c>
      <c r="C108" s="178"/>
      <c r="D108" s="62" t="s">
        <v>187</v>
      </c>
      <c r="E108" s="67" t="s">
        <v>41</v>
      </c>
      <c r="F108" s="63">
        <v>81740.02</v>
      </c>
      <c r="G108" s="63">
        <v>0</v>
      </c>
      <c r="H108" s="63">
        <f>F108*300%</f>
        <v>245220.06</v>
      </c>
      <c r="I108" s="63">
        <f>F108*7.5%</f>
        <v>6130.5015000000003</v>
      </c>
      <c r="J108" s="63">
        <v>80244.38</v>
      </c>
      <c r="K108" s="63">
        <f>F108*50%</f>
        <v>40870.01</v>
      </c>
      <c r="L108" s="63">
        <f>F108*350%</f>
        <v>286090.07</v>
      </c>
      <c r="M108" s="63">
        <f>F108*100%</f>
        <v>81740.02</v>
      </c>
      <c r="N108" s="63">
        <f>100000</f>
        <v>100000</v>
      </c>
      <c r="O108" s="63">
        <f>F108*10%</f>
        <v>8174.0020000000004</v>
      </c>
      <c r="P108" s="63">
        <v>20000</v>
      </c>
      <c r="Q108" s="63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3">
        <v>52776.63</v>
      </c>
      <c r="W108" s="36">
        <f>SUM(S108:V108)</f>
        <v>427736.79</v>
      </c>
      <c r="X108" s="36">
        <v>522472.27350000007</v>
      </c>
      <c r="Y108" s="36">
        <f t="shared" ref="Y108:Y157" si="72">R108-W108</f>
        <v>522472.27350000007</v>
      </c>
      <c r="Z108" s="125">
        <v>52776.63</v>
      </c>
      <c r="AA108" s="110">
        <f t="shared" si="54"/>
        <v>0</v>
      </c>
    </row>
    <row r="109" spans="1:27" ht="20.100000000000001" customHeight="1" x14ac:dyDescent="0.3">
      <c r="A109" s="33">
        <v>2</v>
      </c>
      <c r="B109" s="178" t="s">
        <v>188</v>
      </c>
      <c r="C109" s="178"/>
      <c r="D109" s="62" t="s">
        <v>189</v>
      </c>
      <c r="E109" s="67" t="s">
        <v>41</v>
      </c>
      <c r="F109" s="63">
        <f>81740.02</f>
        <v>81740.02</v>
      </c>
      <c r="G109" s="63"/>
      <c r="H109" s="63">
        <f>F109*300%</f>
        <v>245220.06</v>
      </c>
      <c r="I109" s="63">
        <f>F109*7.5%</f>
        <v>6130.5015000000003</v>
      </c>
      <c r="J109" s="63">
        <f>80244.38</f>
        <v>80244.38</v>
      </c>
      <c r="K109" s="63">
        <f>F109*50%</f>
        <v>40870.01</v>
      </c>
      <c r="L109" s="63">
        <f>F109*350%</f>
        <v>286090.07</v>
      </c>
      <c r="M109" s="63">
        <f>F109*100%</f>
        <v>81740.02</v>
      </c>
      <c r="N109" s="63">
        <f t="shared" ref="N109:N129" si="73">100000</f>
        <v>100000</v>
      </c>
      <c r="O109" s="63">
        <f>F109*10%</f>
        <v>8174.0020000000004</v>
      </c>
      <c r="P109" s="63">
        <v>20000</v>
      </c>
      <c r="Q109" s="63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3">
        <v>52776.63</v>
      </c>
      <c r="W109" s="36">
        <f t="shared" ref="W109:W157" si="74">SUM(S109:V109)</f>
        <v>152776.63</v>
      </c>
      <c r="X109" s="36">
        <v>772656.44700000004</v>
      </c>
      <c r="Y109" s="36">
        <f t="shared" si="72"/>
        <v>797432.43350000004</v>
      </c>
      <c r="Z109" s="125">
        <v>52776.63</v>
      </c>
      <c r="AA109" s="110">
        <f t="shared" si="54"/>
        <v>0</v>
      </c>
    </row>
    <row r="110" spans="1:27" ht="20.100000000000001" customHeight="1" x14ac:dyDescent="0.3">
      <c r="A110" s="33">
        <v>3</v>
      </c>
      <c r="B110" s="195" t="s">
        <v>190</v>
      </c>
      <c r="C110" s="195"/>
      <c r="D110" s="62" t="s">
        <v>191</v>
      </c>
      <c r="E110" s="67" t="s">
        <v>51</v>
      </c>
      <c r="F110" s="63">
        <f>42653.17</f>
        <v>42653.17</v>
      </c>
      <c r="G110" s="63"/>
      <c r="H110" s="63">
        <f t="shared" ref="H110:H157" si="75">F110*300%</f>
        <v>127959.51</v>
      </c>
      <c r="I110" s="63">
        <f t="shared" ref="I110:I157" si="76">F110*7.5%</f>
        <v>3198.9877499999998</v>
      </c>
      <c r="J110" s="63">
        <v>40122.19</v>
      </c>
      <c r="K110" s="63">
        <f t="shared" ref="K110:K157" si="77">F110*50%</f>
        <v>21326.584999999999</v>
      </c>
      <c r="L110" s="63">
        <f t="shared" ref="L110:L157" si="78">F110*350%</f>
        <v>149286.095</v>
      </c>
      <c r="M110" s="63">
        <f t="shared" ref="M110:M129" si="79">F110*100%</f>
        <v>42653.17</v>
      </c>
      <c r="N110" s="63">
        <f t="shared" si="73"/>
        <v>100000</v>
      </c>
      <c r="O110" s="63">
        <f t="shared" ref="O110:O129" si="80">F110*10%</f>
        <v>4265.317</v>
      </c>
      <c r="P110" s="63">
        <v>20000</v>
      </c>
      <c r="Q110" s="63">
        <v>0</v>
      </c>
      <c r="R110" s="36">
        <f t="shared" ref="R110:R130" si="81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3">
        <v>21618.09</v>
      </c>
      <c r="W110" s="36">
        <f t="shared" si="74"/>
        <v>214673.63</v>
      </c>
      <c r="X110" s="36">
        <v>323070.36575</v>
      </c>
      <c r="Y110" s="36">
        <f t="shared" si="72"/>
        <v>336791.39475000009</v>
      </c>
      <c r="Z110" s="125">
        <v>21618.09</v>
      </c>
      <c r="AA110" s="110">
        <f t="shared" si="54"/>
        <v>0</v>
      </c>
    </row>
    <row r="111" spans="1:27" ht="20.100000000000001" customHeight="1" x14ac:dyDescent="0.3">
      <c r="A111" s="33">
        <v>4</v>
      </c>
      <c r="B111" s="182" t="s">
        <v>192</v>
      </c>
      <c r="C111" s="183"/>
      <c r="D111" s="20" t="s">
        <v>193</v>
      </c>
      <c r="E111" s="25" t="s">
        <v>44</v>
      </c>
      <c r="F111" s="63">
        <v>33507.5</v>
      </c>
      <c r="G111" s="26"/>
      <c r="H111" s="26">
        <f t="shared" si="75"/>
        <v>100522.5</v>
      </c>
      <c r="I111" s="26">
        <f t="shared" si="76"/>
        <v>2513.0625</v>
      </c>
      <c r="J111" s="26">
        <v>40122.19</v>
      </c>
      <c r="K111" s="26">
        <f t="shared" si="77"/>
        <v>16753.75</v>
      </c>
      <c r="L111" s="26">
        <f t="shared" si="78"/>
        <v>117276.25</v>
      </c>
      <c r="M111" s="26">
        <f t="shared" si="79"/>
        <v>33507.5</v>
      </c>
      <c r="N111" s="63">
        <f t="shared" si="73"/>
        <v>100000</v>
      </c>
      <c r="O111" s="26">
        <f t="shared" si="80"/>
        <v>3350.75</v>
      </c>
      <c r="P111" s="26">
        <v>20000</v>
      </c>
      <c r="Q111" s="26">
        <v>50000</v>
      </c>
      <c r="R111" s="36">
        <f t="shared" si="81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74"/>
        <v>153886.01749999999</v>
      </c>
      <c r="X111" s="36">
        <v>363667.48499999999</v>
      </c>
      <c r="Y111" s="36">
        <f t="shared" si="72"/>
        <v>363667.48499999999</v>
      </c>
      <c r="Z111" s="125">
        <v>15548.33</v>
      </c>
      <c r="AA111" s="110">
        <f t="shared" si="54"/>
        <v>0</v>
      </c>
    </row>
    <row r="112" spans="1:27" ht="20.100000000000001" customHeight="1" x14ac:dyDescent="0.3">
      <c r="A112" s="33">
        <v>5</v>
      </c>
      <c r="B112" s="171" t="s">
        <v>194</v>
      </c>
      <c r="C112" s="172"/>
      <c r="D112" s="33" t="s">
        <v>195</v>
      </c>
      <c r="E112" s="67" t="s">
        <v>57</v>
      </c>
      <c r="F112" s="63">
        <f>25523.45</f>
        <v>25523.45</v>
      </c>
      <c r="G112" s="63"/>
      <c r="H112" s="63">
        <f t="shared" si="75"/>
        <v>76570.350000000006</v>
      </c>
      <c r="I112" s="63">
        <f t="shared" si="76"/>
        <v>1914.25875</v>
      </c>
      <c r="J112" s="63"/>
      <c r="K112" s="63">
        <f t="shared" si="77"/>
        <v>12761.725</v>
      </c>
      <c r="L112" s="36">
        <f t="shared" si="78"/>
        <v>89332.074999999997</v>
      </c>
      <c r="M112" s="63">
        <f t="shared" si="79"/>
        <v>25523.45</v>
      </c>
      <c r="N112" s="63">
        <f t="shared" si="73"/>
        <v>100000</v>
      </c>
      <c r="O112" s="63">
        <f t="shared" si="80"/>
        <v>2552.3450000000003</v>
      </c>
      <c r="P112" s="63">
        <v>15000</v>
      </c>
      <c r="Q112" s="63"/>
      <c r="R112" s="36">
        <f t="shared" si="81"/>
        <v>349177.65375</v>
      </c>
      <c r="S112" s="36">
        <f>3000</f>
        <v>3000</v>
      </c>
      <c r="T112" s="36">
        <f>49442.44</f>
        <v>49442.44</v>
      </c>
      <c r="U112" s="36"/>
      <c r="V112" s="36">
        <v>7709.76</v>
      </c>
      <c r="W112" s="36">
        <f t="shared" si="74"/>
        <v>60152.200000000004</v>
      </c>
      <c r="X112" s="36">
        <v>281848.86049999995</v>
      </c>
      <c r="Y112" s="36">
        <f t="shared" si="72"/>
        <v>289025.45374999999</v>
      </c>
      <c r="Z112" s="125">
        <v>7709.76</v>
      </c>
      <c r="AA112" s="110">
        <f t="shared" si="54"/>
        <v>0</v>
      </c>
    </row>
    <row r="113" spans="1:27" ht="20.100000000000001" customHeight="1" x14ac:dyDescent="0.3">
      <c r="A113" s="33">
        <v>6</v>
      </c>
      <c r="B113" s="169" t="s">
        <v>196</v>
      </c>
      <c r="C113" s="170"/>
      <c r="D113" s="62" t="s">
        <v>127</v>
      </c>
      <c r="E113" s="67" t="s">
        <v>71</v>
      </c>
      <c r="F113" s="63">
        <f>19276.95</f>
        <v>19276.95</v>
      </c>
      <c r="G113" s="63"/>
      <c r="H113" s="63">
        <f t="shared" si="75"/>
        <v>57830.850000000006</v>
      </c>
      <c r="I113" s="63">
        <f t="shared" si="76"/>
        <v>1445.77125</v>
      </c>
      <c r="J113" s="63">
        <v>0</v>
      </c>
      <c r="K113" s="63">
        <f t="shared" si="77"/>
        <v>9638.4750000000004</v>
      </c>
      <c r="L113" s="36">
        <f t="shared" si="78"/>
        <v>67469.324999999997</v>
      </c>
      <c r="M113" s="63">
        <f t="shared" si="79"/>
        <v>19276.95</v>
      </c>
      <c r="N113" s="63">
        <f t="shared" si="73"/>
        <v>100000</v>
      </c>
      <c r="O113" s="63">
        <f t="shared" si="80"/>
        <v>1927.6950000000002</v>
      </c>
      <c r="P113" s="63">
        <v>10000</v>
      </c>
      <c r="Q113" s="63">
        <v>0</v>
      </c>
      <c r="R113" s="36">
        <f t="shared" si="81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3">
        <v>3369.51</v>
      </c>
      <c r="W113" s="36">
        <f t="shared" si="74"/>
        <v>13838.9925</v>
      </c>
      <c r="X113" s="36">
        <v>268461.08499999996</v>
      </c>
      <c r="Y113" s="36">
        <f t="shared" si="72"/>
        <v>273027.02375000005</v>
      </c>
      <c r="Z113" s="125">
        <v>3369.51</v>
      </c>
      <c r="AA113" s="110">
        <f t="shared" si="54"/>
        <v>0</v>
      </c>
    </row>
    <row r="114" spans="1:27" ht="20.100000000000001" customHeight="1" x14ac:dyDescent="0.3">
      <c r="A114" s="33">
        <v>7</v>
      </c>
      <c r="B114" s="178" t="s">
        <v>197</v>
      </c>
      <c r="C114" s="178"/>
      <c r="D114" s="62" t="s">
        <v>198</v>
      </c>
      <c r="E114" s="67" t="s">
        <v>57</v>
      </c>
      <c r="F114" s="63">
        <f>25523.45</f>
        <v>25523.45</v>
      </c>
      <c r="G114" s="63"/>
      <c r="H114" s="63">
        <f t="shared" si="75"/>
        <v>76570.350000000006</v>
      </c>
      <c r="I114" s="63">
        <f t="shared" si="76"/>
        <v>1914.25875</v>
      </c>
      <c r="J114" s="63">
        <v>0</v>
      </c>
      <c r="K114" s="63">
        <f t="shared" si="77"/>
        <v>12761.725</v>
      </c>
      <c r="L114" s="36">
        <f t="shared" si="78"/>
        <v>89332.074999999997</v>
      </c>
      <c r="M114" s="63">
        <f t="shared" si="79"/>
        <v>25523.45</v>
      </c>
      <c r="N114" s="63">
        <f t="shared" si="73"/>
        <v>100000</v>
      </c>
      <c r="O114" s="63">
        <f t="shared" si="80"/>
        <v>2552.3450000000003</v>
      </c>
      <c r="P114" s="63">
        <v>15000</v>
      </c>
      <c r="Q114" s="63"/>
      <c r="R114" s="36">
        <f t="shared" si="81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3">
        <v>7709.76</v>
      </c>
      <c r="W114" s="36">
        <f t="shared" si="74"/>
        <v>80128.291499999992</v>
      </c>
      <c r="X114" s="36">
        <v>261872.76899999997</v>
      </c>
      <c r="Y114" s="36">
        <f t="shared" si="72"/>
        <v>269049.36225000001</v>
      </c>
      <c r="Z114" s="125">
        <v>7709.76</v>
      </c>
      <c r="AA114" s="110">
        <f t="shared" si="54"/>
        <v>0</v>
      </c>
    </row>
    <row r="115" spans="1:27" ht="20.100000000000001" customHeight="1" x14ac:dyDescent="0.3">
      <c r="A115" s="33">
        <v>8</v>
      </c>
      <c r="B115" s="178" t="s">
        <v>199</v>
      </c>
      <c r="C115" s="178"/>
      <c r="D115" s="33" t="s">
        <v>200</v>
      </c>
      <c r="E115" s="67" t="s">
        <v>57</v>
      </c>
      <c r="F115" s="63">
        <f>25523.45</f>
        <v>25523.45</v>
      </c>
      <c r="G115" s="63"/>
      <c r="H115" s="63">
        <f t="shared" si="75"/>
        <v>76570.350000000006</v>
      </c>
      <c r="I115" s="63">
        <f t="shared" si="76"/>
        <v>1914.25875</v>
      </c>
      <c r="J115" s="63">
        <v>0</v>
      </c>
      <c r="K115" s="63">
        <f t="shared" si="77"/>
        <v>12761.725</v>
      </c>
      <c r="L115" s="36">
        <f t="shared" si="78"/>
        <v>89332.074999999997</v>
      </c>
      <c r="M115" s="63">
        <f t="shared" si="79"/>
        <v>25523.45</v>
      </c>
      <c r="N115" s="63">
        <f t="shared" si="73"/>
        <v>100000</v>
      </c>
      <c r="O115" s="63">
        <f t="shared" si="80"/>
        <v>2552.3450000000003</v>
      </c>
      <c r="P115" s="63">
        <v>15000</v>
      </c>
      <c r="Q115" s="63">
        <v>0</v>
      </c>
      <c r="R115" s="36">
        <f t="shared" si="81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3">
        <v>7709.76</v>
      </c>
      <c r="W115" s="36">
        <f t="shared" si="74"/>
        <v>8328.2914999999994</v>
      </c>
      <c r="X115" s="36">
        <v>333672.76899999997</v>
      </c>
      <c r="Y115" s="36">
        <f t="shared" si="72"/>
        <v>340849.36225000001</v>
      </c>
      <c r="Z115" s="125">
        <v>7709.76</v>
      </c>
      <c r="AA115" s="110">
        <f t="shared" si="54"/>
        <v>0</v>
      </c>
    </row>
    <row r="116" spans="1:27" ht="20.100000000000001" customHeight="1" x14ac:dyDescent="0.3">
      <c r="A116" s="33">
        <v>9</v>
      </c>
      <c r="B116" s="178" t="s">
        <v>202</v>
      </c>
      <c r="C116" s="178"/>
      <c r="D116" s="33" t="s">
        <v>200</v>
      </c>
      <c r="E116" s="67" t="s">
        <v>80</v>
      </c>
      <c r="F116" s="63">
        <f>23891.12</f>
        <v>23891.119999999999</v>
      </c>
      <c r="G116" s="63"/>
      <c r="H116" s="63">
        <f t="shared" si="75"/>
        <v>71673.36</v>
      </c>
      <c r="I116" s="63">
        <f t="shared" si="76"/>
        <v>1791.8339999999998</v>
      </c>
      <c r="J116" s="36">
        <v>0</v>
      </c>
      <c r="K116" s="63">
        <f t="shared" si="77"/>
        <v>11945.56</v>
      </c>
      <c r="L116" s="36">
        <f t="shared" si="78"/>
        <v>83618.92</v>
      </c>
      <c r="M116" s="63">
        <f t="shared" si="79"/>
        <v>23891.119999999999</v>
      </c>
      <c r="N116" s="63">
        <f t="shared" si="73"/>
        <v>100000</v>
      </c>
      <c r="O116" s="63">
        <f t="shared" si="80"/>
        <v>2389.1120000000001</v>
      </c>
      <c r="P116" s="63">
        <v>15000</v>
      </c>
      <c r="Q116" s="63">
        <v>0</v>
      </c>
      <c r="R116" s="36">
        <f t="shared" si="81"/>
        <v>334201.02600000001</v>
      </c>
      <c r="S116" s="36">
        <f>50000</f>
        <v>50000</v>
      </c>
      <c r="T116" s="36"/>
      <c r="U116" s="36"/>
      <c r="V116" s="63">
        <v>7709.76</v>
      </c>
      <c r="W116" s="36">
        <f t="shared" si="74"/>
        <v>57709.760000000002</v>
      </c>
      <c r="X116" s="36">
        <v>178930.56749999995</v>
      </c>
      <c r="Y116" s="36">
        <f t="shared" si="72"/>
        <v>276491.266</v>
      </c>
      <c r="Z116" s="125">
        <v>3369.51</v>
      </c>
      <c r="AA116" s="110">
        <f t="shared" si="54"/>
        <v>4340.25</v>
      </c>
    </row>
    <row r="117" spans="1:27" ht="20.100000000000001" customHeight="1" x14ac:dyDescent="0.3">
      <c r="A117" s="33">
        <v>10</v>
      </c>
      <c r="B117" s="178" t="s">
        <v>203</v>
      </c>
      <c r="C117" s="178"/>
      <c r="D117" s="33" t="s">
        <v>127</v>
      </c>
      <c r="E117" s="67" t="s">
        <v>92</v>
      </c>
      <c r="F117" s="36">
        <f>18779.3</f>
        <v>18779.3</v>
      </c>
      <c r="G117" s="63"/>
      <c r="H117" s="63">
        <f>F117*300%</f>
        <v>56337.899999999994</v>
      </c>
      <c r="I117" s="63">
        <f>F117*7.5%</f>
        <v>1408.4475</v>
      </c>
      <c r="J117" s="63">
        <v>0</v>
      </c>
      <c r="K117" s="63">
        <f>F117*50%</f>
        <v>9389.65</v>
      </c>
      <c r="L117" s="36">
        <f>F117*350%</f>
        <v>65727.55</v>
      </c>
      <c r="M117" s="26">
        <f t="shared" si="79"/>
        <v>18779.3</v>
      </c>
      <c r="N117" s="63">
        <f t="shared" si="73"/>
        <v>100000</v>
      </c>
      <c r="O117" s="63">
        <f t="shared" si="80"/>
        <v>1877.93</v>
      </c>
      <c r="P117" s="63">
        <v>10000</v>
      </c>
      <c r="Q117" s="63">
        <v>0</v>
      </c>
      <c r="R117" s="36">
        <f t="shared" si="81"/>
        <v>282300.07749999996</v>
      </c>
      <c r="S117" s="36"/>
      <c r="T117" s="36">
        <f>50000</f>
        <v>50000</v>
      </c>
      <c r="U117" s="36"/>
      <c r="V117" s="63">
        <v>3369.51</v>
      </c>
      <c r="W117" s="36">
        <f t="shared" si="74"/>
        <v>53369.51</v>
      </c>
      <c r="X117" s="36">
        <v>224364.53699999995</v>
      </c>
      <c r="Y117" s="36">
        <f t="shared" si="72"/>
        <v>228930.56749999995</v>
      </c>
      <c r="Z117" s="125">
        <v>3369.51</v>
      </c>
      <c r="AA117" s="110">
        <f t="shared" si="54"/>
        <v>0</v>
      </c>
    </row>
    <row r="118" spans="1:27" ht="20.100000000000001" customHeight="1" x14ac:dyDescent="0.3">
      <c r="A118" s="33">
        <v>11</v>
      </c>
      <c r="B118" s="169" t="s">
        <v>204</v>
      </c>
      <c r="C118" s="170"/>
      <c r="D118" s="33" t="s">
        <v>205</v>
      </c>
      <c r="E118" s="67" t="s">
        <v>68</v>
      </c>
      <c r="F118" s="26">
        <f>18281.64</f>
        <v>18281.64</v>
      </c>
      <c r="G118" s="63"/>
      <c r="H118" s="63">
        <f>F118*300%</f>
        <v>54844.92</v>
      </c>
      <c r="I118" s="63">
        <f>F118*7.5%</f>
        <v>1371.1229999999998</v>
      </c>
      <c r="J118" s="63"/>
      <c r="K118" s="63">
        <f>F118*50%</f>
        <v>9140.82</v>
      </c>
      <c r="L118" s="36">
        <f>F118*350%</f>
        <v>63985.74</v>
      </c>
      <c r="M118" s="26">
        <f t="shared" si="79"/>
        <v>18281.64</v>
      </c>
      <c r="N118" s="63">
        <f t="shared" si="73"/>
        <v>100000</v>
      </c>
      <c r="O118" s="63">
        <f t="shared" si="80"/>
        <v>1828.164</v>
      </c>
      <c r="P118" s="63">
        <v>10000</v>
      </c>
      <c r="Q118" s="63"/>
      <c r="R118" s="36">
        <f t="shared" si="81"/>
        <v>277734.04699999996</v>
      </c>
      <c r="S118" s="36">
        <f>50000</f>
        <v>50000</v>
      </c>
      <c r="T118" s="36">
        <f>93721.55</f>
        <v>93721.55</v>
      </c>
      <c r="U118" s="36"/>
      <c r="V118" s="63">
        <v>3369.51</v>
      </c>
      <c r="W118" s="36">
        <f t="shared" si="74"/>
        <v>147091.06</v>
      </c>
      <c r="X118" s="36">
        <v>126077.14000000001</v>
      </c>
      <c r="Y118" s="36">
        <f t="shared" si="72"/>
        <v>130642.98699999996</v>
      </c>
      <c r="Z118" s="125">
        <v>3369.51</v>
      </c>
      <c r="AA118" s="110">
        <f t="shared" si="54"/>
        <v>0</v>
      </c>
    </row>
    <row r="119" spans="1:27" ht="20.100000000000001" customHeight="1" x14ac:dyDescent="0.3">
      <c r="A119" s="33">
        <v>12</v>
      </c>
      <c r="B119" s="169" t="s">
        <v>206</v>
      </c>
      <c r="C119" s="170"/>
      <c r="D119" s="62" t="s">
        <v>207</v>
      </c>
      <c r="E119" s="67" t="s">
        <v>85</v>
      </c>
      <c r="F119" s="68">
        <f>17784</f>
        <v>17784</v>
      </c>
      <c r="G119" s="63"/>
      <c r="H119" s="63">
        <f t="shared" si="75"/>
        <v>53352</v>
      </c>
      <c r="I119" s="63">
        <f t="shared" si="76"/>
        <v>1333.8</v>
      </c>
      <c r="J119" s="63"/>
      <c r="K119" s="63">
        <f t="shared" si="77"/>
        <v>8892</v>
      </c>
      <c r="L119" s="36">
        <f t="shared" si="78"/>
        <v>62244</v>
      </c>
      <c r="M119" s="63">
        <f t="shared" si="79"/>
        <v>17784</v>
      </c>
      <c r="N119" s="63">
        <f t="shared" si="73"/>
        <v>100000</v>
      </c>
      <c r="O119" s="63">
        <f t="shared" si="80"/>
        <v>1778.4</v>
      </c>
      <c r="P119" s="63">
        <v>10000</v>
      </c>
      <c r="Q119" s="63"/>
      <c r="R119" s="36">
        <f t="shared" si="81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3">
        <v>3369.51</v>
      </c>
      <c r="W119" s="36">
        <f t="shared" si="74"/>
        <v>95685.195250000004</v>
      </c>
      <c r="X119" s="36">
        <v>89990.971499999985</v>
      </c>
      <c r="Y119" s="36">
        <f t="shared" si="72"/>
        <v>177483.00475000002</v>
      </c>
      <c r="Z119" s="125">
        <v>1484.37</v>
      </c>
      <c r="AA119" s="110">
        <f t="shared" si="54"/>
        <v>1885.1400000000003</v>
      </c>
    </row>
    <row r="120" spans="1:27" ht="20.100000000000001" customHeight="1" x14ac:dyDescent="0.3">
      <c r="A120" s="33">
        <v>13</v>
      </c>
      <c r="B120" s="169" t="s">
        <v>208</v>
      </c>
      <c r="C120" s="170"/>
      <c r="D120" s="62" t="s">
        <v>209</v>
      </c>
      <c r="E120" s="67" t="s">
        <v>210</v>
      </c>
      <c r="F120" s="68">
        <f>13492.21</f>
        <v>13492.21</v>
      </c>
      <c r="G120" s="63"/>
      <c r="H120" s="63">
        <f t="shared" si="75"/>
        <v>40476.629999999997</v>
      </c>
      <c r="I120" s="63">
        <f t="shared" si="76"/>
        <v>1011.9157499999999</v>
      </c>
      <c r="J120" s="63"/>
      <c r="K120" s="63">
        <f t="shared" si="77"/>
        <v>6746.1049999999996</v>
      </c>
      <c r="L120" s="36">
        <f t="shared" si="78"/>
        <v>47222.735000000001</v>
      </c>
      <c r="M120" s="63">
        <f t="shared" si="79"/>
        <v>13492.21</v>
      </c>
      <c r="N120" s="63">
        <f t="shared" si="73"/>
        <v>100000</v>
      </c>
      <c r="O120" s="63">
        <f t="shared" si="80"/>
        <v>1349.221</v>
      </c>
      <c r="P120" s="63">
        <v>10000</v>
      </c>
      <c r="Q120" s="63"/>
      <c r="R120" s="36">
        <f t="shared" si="81"/>
        <v>233791.02674999999</v>
      </c>
      <c r="S120" s="36">
        <f>10000</f>
        <v>10000</v>
      </c>
      <c r="T120" s="36">
        <f>34583.33</f>
        <v>34583.33</v>
      </c>
      <c r="U120" s="36"/>
      <c r="V120" s="63">
        <v>1484.37</v>
      </c>
      <c r="W120" s="36">
        <f t="shared" si="74"/>
        <v>46067.700000000004</v>
      </c>
      <c r="X120" s="36">
        <v>184236.36799999999</v>
      </c>
      <c r="Y120" s="36">
        <f t="shared" si="72"/>
        <v>187723.32674999998</v>
      </c>
      <c r="Z120" s="125">
        <v>1484.37</v>
      </c>
      <c r="AA120" s="110">
        <f t="shared" si="54"/>
        <v>0</v>
      </c>
    </row>
    <row r="121" spans="1:27" ht="20.100000000000001" customHeight="1" x14ac:dyDescent="0.3">
      <c r="A121" s="33">
        <v>14</v>
      </c>
      <c r="B121" s="169" t="s">
        <v>211</v>
      </c>
      <c r="C121" s="170"/>
      <c r="D121" s="62" t="s">
        <v>209</v>
      </c>
      <c r="E121" s="67" t="s">
        <v>210</v>
      </c>
      <c r="F121" s="68">
        <f>13492.21</f>
        <v>13492.21</v>
      </c>
      <c r="G121" s="63"/>
      <c r="H121" s="63">
        <f t="shared" si="75"/>
        <v>40476.629999999997</v>
      </c>
      <c r="I121" s="63">
        <f t="shared" si="76"/>
        <v>1011.9157499999999</v>
      </c>
      <c r="J121" s="63"/>
      <c r="K121" s="63">
        <f t="shared" si="77"/>
        <v>6746.1049999999996</v>
      </c>
      <c r="L121" s="36">
        <f t="shared" si="78"/>
        <v>47222.735000000001</v>
      </c>
      <c r="M121" s="63">
        <f t="shared" si="79"/>
        <v>13492.21</v>
      </c>
      <c r="N121" s="63">
        <f t="shared" si="73"/>
        <v>100000</v>
      </c>
      <c r="O121" s="63">
        <f t="shared" si="80"/>
        <v>1349.221</v>
      </c>
      <c r="P121" s="63">
        <v>10000</v>
      </c>
      <c r="Q121" s="63"/>
      <c r="R121" s="36">
        <f t="shared" si="81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3">
        <v>1484.37</v>
      </c>
      <c r="W121" s="36">
        <f t="shared" si="74"/>
        <v>119312.174</v>
      </c>
      <c r="X121" s="36">
        <v>110991.894</v>
      </c>
      <c r="Y121" s="36">
        <f t="shared" si="72"/>
        <v>114478.85274999999</v>
      </c>
      <c r="Z121" s="125">
        <v>1484.37</v>
      </c>
      <c r="AA121" s="110">
        <f t="shared" si="54"/>
        <v>0</v>
      </c>
    </row>
    <row r="122" spans="1:27" ht="20.100000000000001" customHeight="1" x14ac:dyDescent="0.3">
      <c r="A122" s="33">
        <v>15</v>
      </c>
      <c r="B122" s="169" t="s">
        <v>212</v>
      </c>
      <c r="C122" s="170"/>
      <c r="D122" s="62" t="s">
        <v>209</v>
      </c>
      <c r="E122" s="67" t="s">
        <v>210</v>
      </c>
      <c r="F122" s="68">
        <f>13492.21</f>
        <v>13492.21</v>
      </c>
      <c r="G122" s="63"/>
      <c r="H122" s="63">
        <f t="shared" si="75"/>
        <v>40476.629999999997</v>
      </c>
      <c r="I122" s="63">
        <f t="shared" si="76"/>
        <v>1011.9157499999999</v>
      </c>
      <c r="J122" s="63"/>
      <c r="K122" s="63">
        <f t="shared" si="77"/>
        <v>6746.1049999999996</v>
      </c>
      <c r="L122" s="36">
        <f t="shared" si="78"/>
        <v>47222.735000000001</v>
      </c>
      <c r="M122" s="63">
        <f t="shared" si="79"/>
        <v>13492.21</v>
      </c>
      <c r="N122" s="63">
        <f t="shared" si="73"/>
        <v>100000</v>
      </c>
      <c r="O122" s="63">
        <f t="shared" si="80"/>
        <v>1349.221</v>
      </c>
      <c r="P122" s="63">
        <v>10000</v>
      </c>
      <c r="Q122" s="63"/>
      <c r="R122" s="36">
        <f t="shared" si="81"/>
        <v>233791.02674999999</v>
      </c>
      <c r="S122" s="36"/>
      <c r="T122" s="36"/>
      <c r="U122" s="36"/>
      <c r="V122" s="63">
        <v>1484.37</v>
      </c>
      <c r="W122" s="36">
        <f t="shared" si="74"/>
        <v>1484.37</v>
      </c>
      <c r="X122" s="36">
        <v>228819.698</v>
      </c>
      <c r="Y122" s="36">
        <f t="shared" si="72"/>
        <v>232306.65674999999</v>
      </c>
      <c r="Z122" s="125">
        <v>1484.37</v>
      </c>
      <c r="AA122" s="110">
        <f t="shared" si="54"/>
        <v>0</v>
      </c>
    </row>
    <row r="123" spans="1:27" ht="20.100000000000001" customHeight="1" x14ac:dyDescent="0.3">
      <c r="A123" s="33">
        <v>16</v>
      </c>
      <c r="B123" s="169" t="s">
        <v>213</v>
      </c>
      <c r="C123" s="170"/>
      <c r="D123" s="62" t="s">
        <v>209</v>
      </c>
      <c r="E123" s="67" t="s">
        <v>181</v>
      </c>
      <c r="F123" s="68">
        <f>13112.16</f>
        <v>13112.16</v>
      </c>
      <c r="G123" s="63"/>
      <c r="H123" s="63">
        <f t="shared" si="75"/>
        <v>39336.479999999996</v>
      </c>
      <c r="I123" s="63">
        <f t="shared" si="76"/>
        <v>983.41199999999992</v>
      </c>
      <c r="J123" s="63"/>
      <c r="K123" s="63">
        <f t="shared" si="77"/>
        <v>6556.08</v>
      </c>
      <c r="L123" s="36">
        <f t="shared" si="78"/>
        <v>45892.56</v>
      </c>
      <c r="M123" s="63">
        <f t="shared" si="79"/>
        <v>13112.16</v>
      </c>
      <c r="N123" s="63">
        <f t="shared" si="73"/>
        <v>100000</v>
      </c>
      <c r="O123" s="63">
        <f t="shared" si="80"/>
        <v>1311.2160000000001</v>
      </c>
      <c r="P123" s="63">
        <v>10000</v>
      </c>
      <c r="Q123" s="63"/>
      <c r="R123" s="36">
        <f t="shared" si="81"/>
        <v>230304.068</v>
      </c>
      <c r="S123" s="36"/>
      <c r="T123" s="36"/>
      <c r="U123" s="36"/>
      <c r="V123" s="63">
        <v>1484.37</v>
      </c>
      <c r="W123" s="36">
        <f t="shared" si="74"/>
        <v>1484.37</v>
      </c>
      <c r="X123" s="36">
        <v>225331.73</v>
      </c>
      <c r="Y123" s="36">
        <f t="shared" si="72"/>
        <v>228819.698</v>
      </c>
      <c r="Z123" s="125">
        <v>1484.37</v>
      </c>
      <c r="AA123" s="110">
        <f t="shared" si="54"/>
        <v>0</v>
      </c>
    </row>
    <row r="124" spans="1:27" ht="20.100000000000001" customHeight="1" x14ac:dyDescent="0.3">
      <c r="A124" s="33">
        <v>17</v>
      </c>
      <c r="B124" s="169" t="s">
        <v>214</v>
      </c>
      <c r="C124" s="170"/>
      <c r="D124" s="62" t="s">
        <v>215</v>
      </c>
      <c r="E124" s="67" t="s">
        <v>181</v>
      </c>
      <c r="F124" s="68">
        <f>13112.16</f>
        <v>13112.16</v>
      </c>
      <c r="G124" s="63"/>
      <c r="H124" s="63">
        <f t="shared" si="75"/>
        <v>39336.479999999996</v>
      </c>
      <c r="I124" s="63">
        <f t="shared" si="76"/>
        <v>983.41199999999992</v>
      </c>
      <c r="J124" s="63"/>
      <c r="K124" s="63">
        <f t="shared" si="77"/>
        <v>6556.08</v>
      </c>
      <c r="L124" s="36">
        <f t="shared" si="78"/>
        <v>45892.56</v>
      </c>
      <c r="M124" s="63">
        <f t="shared" si="79"/>
        <v>13112.16</v>
      </c>
      <c r="N124" s="63">
        <f t="shared" si="73"/>
        <v>100000</v>
      </c>
      <c r="O124" s="63">
        <f t="shared" si="80"/>
        <v>1311.2160000000001</v>
      </c>
      <c r="P124" s="63">
        <v>10000</v>
      </c>
      <c r="Q124" s="63"/>
      <c r="R124" s="36">
        <f t="shared" si="81"/>
        <v>230304.068</v>
      </c>
      <c r="S124" s="36">
        <v>25000</v>
      </c>
      <c r="T124" s="36">
        <f>40000</f>
        <v>40000</v>
      </c>
      <c r="U124" s="36"/>
      <c r="V124" s="63">
        <v>1484.37</v>
      </c>
      <c r="W124" s="36">
        <f t="shared" si="74"/>
        <v>66484.37</v>
      </c>
      <c r="X124" s="36">
        <v>136581.73000000001</v>
      </c>
      <c r="Y124" s="36">
        <f t="shared" si="72"/>
        <v>163819.698</v>
      </c>
      <c r="Z124" s="125">
        <v>1484.37</v>
      </c>
      <c r="AA124" s="110">
        <f t="shared" si="54"/>
        <v>0</v>
      </c>
    </row>
    <row r="125" spans="1:27" ht="20.100000000000001" customHeight="1" x14ac:dyDescent="0.3">
      <c r="A125" s="33">
        <v>18</v>
      </c>
      <c r="B125" s="169" t="s">
        <v>216</v>
      </c>
      <c r="C125" s="170"/>
      <c r="D125" s="62" t="s">
        <v>217</v>
      </c>
      <c r="E125" s="67" t="s">
        <v>181</v>
      </c>
      <c r="F125" s="68">
        <f>13112.16</f>
        <v>13112.16</v>
      </c>
      <c r="G125" s="63"/>
      <c r="H125" s="63">
        <f t="shared" si="75"/>
        <v>39336.479999999996</v>
      </c>
      <c r="I125" s="63">
        <f t="shared" si="76"/>
        <v>983.41199999999992</v>
      </c>
      <c r="J125" s="63"/>
      <c r="K125" s="63">
        <f t="shared" si="77"/>
        <v>6556.08</v>
      </c>
      <c r="L125" s="36">
        <f t="shared" si="78"/>
        <v>45892.56</v>
      </c>
      <c r="M125" s="63">
        <f t="shared" si="79"/>
        <v>13112.16</v>
      </c>
      <c r="N125" s="63">
        <f t="shared" si="73"/>
        <v>100000</v>
      </c>
      <c r="O125" s="63">
        <f t="shared" si="80"/>
        <v>1311.2160000000001</v>
      </c>
      <c r="P125" s="63">
        <v>10000</v>
      </c>
      <c r="Q125" s="63"/>
      <c r="R125" s="36">
        <f t="shared" si="81"/>
        <v>230304.068</v>
      </c>
      <c r="S125" s="36">
        <v>20000</v>
      </c>
      <c r="T125" s="36">
        <f>26250</f>
        <v>26250</v>
      </c>
      <c r="U125" s="36"/>
      <c r="V125" s="63">
        <v>1484.37</v>
      </c>
      <c r="W125" s="36">
        <f t="shared" si="74"/>
        <v>47734.37</v>
      </c>
      <c r="X125" s="36">
        <v>179081.73</v>
      </c>
      <c r="Y125" s="36">
        <f t="shared" si="72"/>
        <v>182569.698</v>
      </c>
      <c r="Z125" s="125">
        <v>1484.37</v>
      </c>
      <c r="AA125" s="110">
        <f t="shared" si="54"/>
        <v>0</v>
      </c>
    </row>
    <row r="126" spans="1:27" ht="20.100000000000001" customHeight="1" x14ac:dyDescent="0.3">
      <c r="A126" s="33">
        <v>19</v>
      </c>
      <c r="B126" s="169" t="s">
        <v>218</v>
      </c>
      <c r="C126" s="170"/>
      <c r="D126" s="62" t="s">
        <v>217</v>
      </c>
      <c r="E126" s="67" t="s">
        <v>181</v>
      </c>
      <c r="F126" s="68">
        <f>13112.16</f>
        <v>13112.16</v>
      </c>
      <c r="G126" s="63"/>
      <c r="H126" s="63">
        <f t="shared" si="75"/>
        <v>39336.479999999996</v>
      </c>
      <c r="I126" s="63">
        <f t="shared" si="76"/>
        <v>983.41199999999992</v>
      </c>
      <c r="J126" s="63"/>
      <c r="K126" s="63">
        <f t="shared" si="77"/>
        <v>6556.08</v>
      </c>
      <c r="L126" s="36">
        <f t="shared" si="78"/>
        <v>45892.56</v>
      </c>
      <c r="M126" s="63">
        <f t="shared" si="79"/>
        <v>13112.16</v>
      </c>
      <c r="N126" s="63">
        <f t="shared" si="73"/>
        <v>100000</v>
      </c>
      <c r="O126" s="63">
        <f t="shared" si="80"/>
        <v>1311.2160000000001</v>
      </c>
      <c r="P126" s="63">
        <v>10000</v>
      </c>
      <c r="Q126" s="63"/>
      <c r="R126" s="36">
        <f t="shared" si="81"/>
        <v>230304.068</v>
      </c>
      <c r="S126" s="36">
        <f>20000</f>
        <v>20000</v>
      </c>
      <c r="T126" s="36">
        <f>0</f>
        <v>0</v>
      </c>
      <c r="U126" s="36"/>
      <c r="V126" s="63">
        <v>1484.37</v>
      </c>
      <c r="W126" s="36">
        <f t="shared" si="74"/>
        <v>21484.37</v>
      </c>
      <c r="X126" s="36">
        <v>215331.73</v>
      </c>
      <c r="Y126" s="36">
        <f t="shared" si="72"/>
        <v>208819.698</v>
      </c>
      <c r="Z126" s="125">
        <v>1484.37</v>
      </c>
      <c r="AA126" s="110">
        <f t="shared" si="54"/>
        <v>0</v>
      </c>
    </row>
    <row r="127" spans="1:27" ht="20.100000000000001" customHeight="1" x14ac:dyDescent="0.3">
      <c r="A127" s="33">
        <v>20</v>
      </c>
      <c r="B127" s="169" t="s">
        <v>219</v>
      </c>
      <c r="C127" s="170"/>
      <c r="D127" s="62" t="s">
        <v>209</v>
      </c>
      <c r="E127" s="67" t="s">
        <v>181</v>
      </c>
      <c r="F127" s="68">
        <f>13112.16</f>
        <v>13112.16</v>
      </c>
      <c r="G127" s="63"/>
      <c r="H127" s="63">
        <f t="shared" si="75"/>
        <v>39336.479999999996</v>
      </c>
      <c r="I127" s="63">
        <f t="shared" si="76"/>
        <v>983.41199999999992</v>
      </c>
      <c r="J127" s="63"/>
      <c r="K127" s="63">
        <f t="shared" si="77"/>
        <v>6556.08</v>
      </c>
      <c r="L127" s="36">
        <f t="shared" si="78"/>
        <v>45892.56</v>
      </c>
      <c r="M127" s="63">
        <f t="shared" si="79"/>
        <v>13112.16</v>
      </c>
      <c r="N127" s="63">
        <f t="shared" si="73"/>
        <v>100000</v>
      </c>
      <c r="O127" s="63">
        <f t="shared" si="80"/>
        <v>1311.2160000000001</v>
      </c>
      <c r="P127" s="63">
        <v>10000</v>
      </c>
      <c r="Q127" s="63"/>
      <c r="R127" s="36">
        <f t="shared" si="81"/>
        <v>230304.068</v>
      </c>
      <c r="S127" s="36">
        <f>10000</f>
        <v>10000</v>
      </c>
      <c r="T127" s="36"/>
      <c r="U127" s="36">
        <f>318.3</f>
        <v>318.3</v>
      </c>
      <c r="V127" s="63">
        <v>1484.37</v>
      </c>
      <c r="W127" s="36">
        <f t="shared" si="74"/>
        <v>11802.669999999998</v>
      </c>
      <c r="X127" s="36">
        <v>215013.43</v>
      </c>
      <c r="Y127" s="36">
        <f t="shared" si="72"/>
        <v>218501.39799999999</v>
      </c>
      <c r="Z127" s="125">
        <v>1484.37</v>
      </c>
      <c r="AA127" s="110">
        <f t="shared" si="54"/>
        <v>0</v>
      </c>
    </row>
    <row r="128" spans="1:27" ht="20.100000000000001" customHeight="1" x14ac:dyDescent="0.3">
      <c r="A128" s="33">
        <v>21</v>
      </c>
      <c r="B128" s="169" t="s">
        <v>220</v>
      </c>
      <c r="C128" s="170"/>
      <c r="D128" s="62" t="s">
        <v>221</v>
      </c>
      <c r="E128" s="67" t="s">
        <v>71</v>
      </c>
      <c r="F128" s="63">
        <f>19276.95</f>
        <v>19276.95</v>
      </c>
      <c r="G128" s="63"/>
      <c r="H128" s="63">
        <f t="shared" si="75"/>
        <v>57830.850000000006</v>
      </c>
      <c r="I128" s="63">
        <f t="shared" si="76"/>
        <v>1445.77125</v>
      </c>
      <c r="J128" s="36"/>
      <c r="K128" s="63">
        <f t="shared" si="77"/>
        <v>9638.4750000000004</v>
      </c>
      <c r="L128" s="36">
        <f t="shared" si="78"/>
        <v>67469.324999999997</v>
      </c>
      <c r="M128" s="63">
        <f t="shared" si="79"/>
        <v>19276.95</v>
      </c>
      <c r="N128" s="63">
        <f t="shared" si="73"/>
        <v>100000</v>
      </c>
      <c r="O128" s="63">
        <f t="shared" si="80"/>
        <v>1927.6950000000002</v>
      </c>
      <c r="P128" s="63">
        <v>10000</v>
      </c>
      <c r="Q128" s="63"/>
      <c r="R128" s="36">
        <f t="shared" si="81"/>
        <v>286866.01625000004</v>
      </c>
      <c r="S128" s="36">
        <f>20000</f>
        <v>20000</v>
      </c>
      <c r="T128" s="36"/>
      <c r="U128" s="36"/>
      <c r="V128" s="63">
        <v>3369.51</v>
      </c>
      <c r="W128" s="36">
        <f t="shared" si="74"/>
        <v>23369.510000000002</v>
      </c>
      <c r="X128" s="36">
        <v>268930.56749999995</v>
      </c>
      <c r="Y128" s="36">
        <f t="shared" si="72"/>
        <v>263496.50625000003</v>
      </c>
      <c r="Z128" s="125">
        <v>3369.51</v>
      </c>
      <c r="AA128" s="110">
        <f t="shared" si="54"/>
        <v>0</v>
      </c>
    </row>
    <row r="129" spans="1:27" ht="20.100000000000001" customHeight="1" x14ac:dyDescent="0.3">
      <c r="A129" s="33">
        <v>22</v>
      </c>
      <c r="B129" s="169" t="s">
        <v>222</v>
      </c>
      <c r="C129" s="170"/>
      <c r="D129" s="62" t="s">
        <v>209</v>
      </c>
      <c r="E129" s="67" t="s">
        <v>68</v>
      </c>
      <c r="F129" s="26">
        <f>18281.64</f>
        <v>18281.64</v>
      </c>
      <c r="G129" s="63"/>
      <c r="H129" s="63">
        <f t="shared" si="75"/>
        <v>54844.92</v>
      </c>
      <c r="I129" s="63">
        <f t="shared" si="76"/>
        <v>1371.1229999999998</v>
      </c>
      <c r="J129" s="36"/>
      <c r="K129" s="63">
        <f t="shared" si="77"/>
        <v>9140.82</v>
      </c>
      <c r="L129" s="36">
        <f t="shared" si="78"/>
        <v>63985.74</v>
      </c>
      <c r="M129" s="63">
        <f t="shared" si="79"/>
        <v>18281.64</v>
      </c>
      <c r="N129" s="63">
        <f t="shared" si="73"/>
        <v>100000</v>
      </c>
      <c r="O129" s="63">
        <f t="shared" si="80"/>
        <v>1828.164</v>
      </c>
      <c r="P129" s="63">
        <v>10000</v>
      </c>
      <c r="Q129" s="63"/>
      <c r="R129" s="36">
        <f t="shared" si="81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3">
        <v>3369.51</v>
      </c>
      <c r="W129" s="36">
        <f t="shared" si="74"/>
        <v>92564.11</v>
      </c>
      <c r="X129" s="36">
        <v>180604.09000000003</v>
      </c>
      <c r="Y129" s="36">
        <f t="shared" si="72"/>
        <v>185169.93699999998</v>
      </c>
      <c r="Z129" s="125">
        <v>3369.51</v>
      </c>
      <c r="AA129" s="110">
        <f t="shared" si="54"/>
        <v>0</v>
      </c>
    </row>
    <row r="130" spans="1:27" ht="20.100000000000001" customHeight="1" x14ac:dyDescent="0.3">
      <c r="A130" s="33">
        <v>23</v>
      </c>
      <c r="B130" s="84" t="s">
        <v>223</v>
      </c>
      <c r="C130" s="85"/>
      <c r="D130" s="62" t="s">
        <v>224</v>
      </c>
      <c r="E130" s="67" t="s">
        <v>183</v>
      </c>
      <c r="F130" s="68">
        <f>17784</f>
        <v>17784</v>
      </c>
      <c r="G130" s="63">
        <f>0</f>
        <v>0</v>
      </c>
      <c r="H130" s="63">
        <f t="shared" si="75"/>
        <v>53352</v>
      </c>
      <c r="I130" s="63">
        <f t="shared" si="76"/>
        <v>1333.8</v>
      </c>
      <c r="J130" s="63"/>
      <c r="K130" s="63">
        <f t="shared" si="77"/>
        <v>8892</v>
      </c>
      <c r="L130" s="36">
        <f t="shared" si="78"/>
        <v>62244</v>
      </c>
      <c r="M130" s="63">
        <f>F130*100%</f>
        <v>17784</v>
      </c>
      <c r="N130" s="43">
        <f>100000</f>
        <v>100000</v>
      </c>
      <c r="O130" s="63">
        <f>F130*10%</f>
        <v>1778.4</v>
      </c>
      <c r="P130" s="63">
        <v>10000</v>
      </c>
      <c r="R130" s="63">
        <f t="shared" si="81"/>
        <v>273168.2</v>
      </c>
      <c r="S130" s="36">
        <f>30000</f>
        <v>30000</v>
      </c>
      <c r="T130" s="36"/>
      <c r="U130" s="36"/>
      <c r="V130" s="63">
        <v>3369.51</v>
      </c>
      <c r="W130" s="36">
        <f t="shared" si="74"/>
        <v>33369.51</v>
      </c>
      <c r="X130" s="36">
        <v>193329.04949999999</v>
      </c>
      <c r="Y130" s="36">
        <f t="shared" si="72"/>
        <v>239798.69</v>
      </c>
      <c r="Z130" s="125">
        <v>0</v>
      </c>
      <c r="AA130" s="110">
        <f t="shared" si="54"/>
        <v>3369.51</v>
      </c>
    </row>
    <row r="131" spans="1:27" ht="20.100000000000001" customHeight="1" x14ac:dyDescent="0.3">
      <c r="A131" s="33">
        <v>24</v>
      </c>
      <c r="B131" s="178" t="s">
        <v>225</v>
      </c>
      <c r="C131" s="178"/>
      <c r="D131" s="62" t="s">
        <v>226</v>
      </c>
      <c r="E131" s="114" t="s">
        <v>277</v>
      </c>
      <c r="F131" s="115">
        <f>5769.6</f>
        <v>5769.6</v>
      </c>
      <c r="G131" s="33"/>
      <c r="H131" s="63">
        <f t="shared" si="75"/>
        <v>17308.800000000003</v>
      </c>
      <c r="I131" s="63">
        <f t="shared" si="76"/>
        <v>432.72</v>
      </c>
      <c r="J131" s="68">
        <v>0</v>
      </c>
      <c r="K131" s="63">
        <f t="shared" si="77"/>
        <v>2884.8</v>
      </c>
      <c r="L131" s="36">
        <f t="shared" si="78"/>
        <v>20193.600000000002</v>
      </c>
      <c r="M131" s="63">
        <f t="shared" ref="M131:M140" si="82">F131*100%</f>
        <v>5769.6</v>
      </c>
      <c r="N131" s="36">
        <f>25000+4000</f>
        <v>29000</v>
      </c>
      <c r="O131" s="63">
        <f t="shared" ref="O131:O157" si="83">F131*10%</f>
        <v>576.96</v>
      </c>
      <c r="P131" s="68">
        <v>5000</v>
      </c>
      <c r="Q131" s="63">
        <v>0</v>
      </c>
      <c r="R131" s="36">
        <f t="shared" ref="R131:R156" si="84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74"/>
        <v>48130.28</v>
      </c>
      <c r="X131" s="36">
        <v>54805.8</v>
      </c>
      <c r="Y131" s="36">
        <f t="shared" si="72"/>
        <v>38805.800000000003</v>
      </c>
      <c r="Z131" s="125">
        <v>236.04</v>
      </c>
      <c r="AA131" s="110">
        <f t="shared" si="54"/>
        <v>0</v>
      </c>
    </row>
    <row r="132" spans="1:27" ht="20.100000000000001" customHeight="1" x14ac:dyDescent="0.3">
      <c r="A132" s="33">
        <v>25</v>
      </c>
      <c r="B132" s="178" t="s">
        <v>228</v>
      </c>
      <c r="C132" s="178"/>
      <c r="D132" s="62" t="s">
        <v>226</v>
      </c>
      <c r="E132" s="114" t="s">
        <v>277</v>
      </c>
      <c r="F132" s="115">
        <f t="shared" ref="F132:F137" si="85">5769.6</f>
        <v>5769.6</v>
      </c>
      <c r="G132" s="33"/>
      <c r="H132" s="63">
        <f t="shared" si="75"/>
        <v>17308.800000000003</v>
      </c>
      <c r="I132" s="63">
        <f t="shared" si="76"/>
        <v>432.72</v>
      </c>
      <c r="J132" s="68">
        <v>0</v>
      </c>
      <c r="K132" s="63">
        <f t="shared" si="77"/>
        <v>2884.8</v>
      </c>
      <c r="L132" s="36">
        <f t="shared" si="78"/>
        <v>20193.600000000002</v>
      </c>
      <c r="M132" s="63">
        <f t="shared" si="82"/>
        <v>5769.6</v>
      </c>
      <c r="N132" s="36">
        <f>25000+7000</f>
        <v>32000</v>
      </c>
      <c r="O132" s="63">
        <f t="shared" si="83"/>
        <v>576.96</v>
      </c>
      <c r="P132" s="68">
        <v>5000</v>
      </c>
      <c r="Q132" s="63">
        <v>0</v>
      </c>
      <c r="R132" s="36">
        <f t="shared" si="84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74"/>
        <v>26814.68</v>
      </c>
      <c r="X132" s="36">
        <v>64121.4</v>
      </c>
      <c r="Y132" s="36">
        <f t="shared" si="72"/>
        <v>63121.4</v>
      </c>
      <c r="Z132" s="125">
        <v>236.04</v>
      </c>
      <c r="AA132" s="110">
        <f t="shared" si="54"/>
        <v>0</v>
      </c>
    </row>
    <row r="133" spans="1:27" ht="20.100000000000001" customHeight="1" x14ac:dyDescent="0.3">
      <c r="A133" s="33">
        <v>26</v>
      </c>
      <c r="B133" s="178" t="s">
        <v>229</v>
      </c>
      <c r="C133" s="178"/>
      <c r="D133" s="62" t="s">
        <v>226</v>
      </c>
      <c r="E133" s="114" t="s">
        <v>277</v>
      </c>
      <c r="F133" s="115">
        <f t="shared" si="85"/>
        <v>5769.6</v>
      </c>
      <c r="G133" s="33"/>
      <c r="H133" s="63">
        <f t="shared" si="75"/>
        <v>17308.800000000003</v>
      </c>
      <c r="I133" s="63">
        <f t="shared" si="76"/>
        <v>432.72</v>
      </c>
      <c r="J133" s="63">
        <v>0</v>
      </c>
      <c r="K133" s="63">
        <f t="shared" si="77"/>
        <v>2884.8</v>
      </c>
      <c r="L133" s="36">
        <f t="shared" si="78"/>
        <v>20193.600000000002</v>
      </c>
      <c r="M133" s="63">
        <f t="shared" si="82"/>
        <v>5769.6</v>
      </c>
      <c r="N133" s="36">
        <f>25000+4000</f>
        <v>29000</v>
      </c>
      <c r="O133" s="63">
        <f t="shared" si="83"/>
        <v>576.96</v>
      </c>
      <c r="P133" s="63">
        <v>5000</v>
      </c>
      <c r="Q133" s="63">
        <v>0</v>
      </c>
      <c r="R133" s="36">
        <f t="shared" si="84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74"/>
        <v>31152.71</v>
      </c>
      <c r="X133" s="36">
        <v>56783.37</v>
      </c>
      <c r="Y133" s="36">
        <f t="shared" si="72"/>
        <v>55783.37</v>
      </c>
      <c r="Z133" s="125">
        <v>236.04</v>
      </c>
      <c r="AA133" s="110">
        <f t="shared" si="54"/>
        <v>0</v>
      </c>
    </row>
    <row r="134" spans="1:27" ht="20.100000000000001" customHeight="1" x14ac:dyDescent="0.3">
      <c r="A134" s="33">
        <v>27</v>
      </c>
      <c r="B134" s="178" t="s">
        <v>230</v>
      </c>
      <c r="C134" s="178"/>
      <c r="D134" s="62" t="s">
        <v>226</v>
      </c>
      <c r="E134" s="114" t="s">
        <v>277</v>
      </c>
      <c r="F134" s="115">
        <f t="shared" si="85"/>
        <v>5769.6</v>
      </c>
      <c r="G134" s="33"/>
      <c r="H134" s="63">
        <f t="shared" si="75"/>
        <v>17308.800000000003</v>
      </c>
      <c r="I134" s="63">
        <f t="shared" si="76"/>
        <v>432.72</v>
      </c>
      <c r="J134" s="63">
        <v>0</v>
      </c>
      <c r="K134" s="63">
        <f t="shared" si="77"/>
        <v>2884.8</v>
      </c>
      <c r="L134" s="36">
        <f t="shared" si="78"/>
        <v>20193.600000000002</v>
      </c>
      <c r="M134" s="63">
        <f t="shared" si="82"/>
        <v>5769.6</v>
      </c>
      <c r="N134" s="36">
        <f>25000+4000</f>
        <v>29000</v>
      </c>
      <c r="O134" s="63">
        <f t="shared" si="83"/>
        <v>576.96</v>
      </c>
      <c r="P134" s="63">
        <v>5000</v>
      </c>
      <c r="Q134" s="63">
        <v>0</v>
      </c>
      <c r="R134" s="36">
        <f t="shared" si="84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74"/>
        <v>24208.260000000002</v>
      </c>
      <c r="X134" s="36">
        <v>63727.82</v>
      </c>
      <c r="Y134" s="36">
        <f t="shared" si="72"/>
        <v>62727.82</v>
      </c>
      <c r="Z134" s="125">
        <v>236.04</v>
      </c>
      <c r="AA134" s="110">
        <f t="shared" si="54"/>
        <v>0</v>
      </c>
    </row>
    <row r="135" spans="1:27" ht="20.100000000000001" customHeight="1" x14ac:dyDescent="0.3">
      <c r="A135" s="33">
        <v>28</v>
      </c>
      <c r="B135" s="178" t="s">
        <v>231</v>
      </c>
      <c r="C135" s="178"/>
      <c r="D135" s="62" t="s">
        <v>226</v>
      </c>
      <c r="E135" s="114" t="s">
        <v>277</v>
      </c>
      <c r="F135" s="115">
        <f t="shared" si="85"/>
        <v>5769.6</v>
      </c>
      <c r="G135" s="33"/>
      <c r="H135" s="63">
        <f t="shared" si="75"/>
        <v>17308.800000000003</v>
      </c>
      <c r="I135" s="63">
        <f t="shared" si="76"/>
        <v>432.72</v>
      </c>
      <c r="J135" s="63">
        <v>0</v>
      </c>
      <c r="K135" s="63">
        <f t="shared" si="77"/>
        <v>2884.8</v>
      </c>
      <c r="L135" s="36">
        <f t="shared" si="78"/>
        <v>20193.600000000002</v>
      </c>
      <c r="M135" s="63">
        <f t="shared" si="82"/>
        <v>5769.6</v>
      </c>
      <c r="N135" s="36">
        <f>25000+4000</f>
        <v>29000</v>
      </c>
      <c r="O135" s="63">
        <f t="shared" si="83"/>
        <v>576.96</v>
      </c>
      <c r="P135" s="63">
        <v>5000</v>
      </c>
      <c r="Q135" s="63">
        <v>0</v>
      </c>
      <c r="R135" s="36">
        <f t="shared" si="84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74"/>
        <v>5236.04</v>
      </c>
      <c r="X135" s="36">
        <v>81700.040000000008</v>
      </c>
      <c r="Y135" s="36">
        <f t="shared" si="72"/>
        <v>81700.040000000008</v>
      </c>
      <c r="Z135" s="125">
        <v>236.04</v>
      </c>
      <c r="AA135" s="110">
        <f t="shared" si="54"/>
        <v>0</v>
      </c>
    </row>
    <row r="136" spans="1:27" ht="20.100000000000001" customHeight="1" x14ac:dyDescent="0.3">
      <c r="A136" s="33">
        <v>29</v>
      </c>
      <c r="B136" s="178" t="s">
        <v>232</v>
      </c>
      <c r="C136" s="178"/>
      <c r="D136" s="62" t="s">
        <v>226</v>
      </c>
      <c r="E136" s="114" t="s">
        <v>277</v>
      </c>
      <c r="F136" s="115">
        <f t="shared" si="85"/>
        <v>5769.6</v>
      </c>
      <c r="G136" s="27">
        <f>0</f>
        <v>0</v>
      </c>
      <c r="H136" s="63">
        <f t="shared" si="75"/>
        <v>17308.800000000003</v>
      </c>
      <c r="I136" s="63">
        <f t="shared" si="76"/>
        <v>432.72</v>
      </c>
      <c r="J136" s="63">
        <v>0</v>
      </c>
      <c r="K136" s="63">
        <f t="shared" si="77"/>
        <v>2884.8</v>
      </c>
      <c r="L136" s="36">
        <f t="shared" si="78"/>
        <v>20193.600000000002</v>
      </c>
      <c r="M136" s="63">
        <f t="shared" si="82"/>
        <v>5769.6</v>
      </c>
      <c r="N136" s="36">
        <f>25000+3000</f>
        <v>28000</v>
      </c>
      <c r="O136" s="63">
        <f t="shared" si="83"/>
        <v>576.96</v>
      </c>
      <c r="P136" s="63">
        <v>5000</v>
      </c>
      <c r="Q136" s="63">
        <v>0</v>
      </c>
      <c r="R136" s="36">
        <f t="shared" si="84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74"/>
        <v>39085.119999999995</v>
      </c>
      <c r="X136" s="36">
        <v>47850.960000000006</v>
      </c>
      <c r="Y136" s="36">
        <f t="shared" si="72"/>
        <v>46850.960000000006</v>
      </c>
      <c r="Z136" s="125">
        <v>236.04</v>
      </c>
      <c r="AA136" s="110">
        <f t="shared" si="54"/>
        <v>0</v>
      </c>
    </row>
    <row r="137" spans="1:27" ht="20.100000000000001" customHeight="1" x14ac:dyDescent="0.3">
      <c r="A137" s="33">
        <v>30</v>
      </c>
      <c r="B137" s="178" t="s">
        <v>233</v>
      </c>
      <c r="C137" s="178"/>
      <c r="D137" s="62" t="s">
        <v>226</v>
      </c>
      <c r="E137" s="114" t="s">
        <v>277</v>
      </c>
      <c r="F137" s="115">
        <f t="shared" si="85"/>
        <v>5769.6</v>
      </c>
      <c r="G137" s="33"/>
      <c r="H137" s="63">
        <f t="shared" si="75"/>
        <v>17308.800000000003</v>
      </c>
      <c r="I137" s="63">
        <f t="shared" si="76"/>
        <v>432.72</v>
      </c>
      <c r="J137" s="63">
        <v>0</v>
      </c>
      <c r="K137" s="63">
        <f t="shared" si="77"/>
        <v>2884.8</v>
      </c>
      <c r="L137" s="36">
        <f t="shared" si="78"/>
        <v>20193.600000000002</v>
      </c>
      <c r="M137" s="63">
        <f t="shared" si="82"/>
        <v>5769.6</v>
      </c>
      <c r="N137" s="36">
        <f>25000+7000</f>
        <v>32000</v>
      </c>
      <c r="O137" s="63">
        <f t="shared" si="83"/>
        <v>576.96</v>
      </c>
      <c r="P137" s="63">
        <v>5000</v>
      </c>
      <c r="Q137" s="63">
        <v>0</v>
      </c>
      <c r="R137" s="36">
        <f t="shared" si="84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74"/>
        <v>14473.53</v>
      </c>
      <c r="X137" s="36">
        <v>76462.55</v>
      </c>
      <c r="Y137" s="36">
        <f t="shared" si="72"/>
        <v>75462.55</v>
      </c>
      <c r="Z137" s="125">
        <v>236.04</v>
      </c>
      <c r="AA137" s="110">
        <f t="shared" si="54"/>
        <v>0</v>
      </c>
    </row>
    <row r="138" spans="1:27" ht="20.100000000000001" customHeight="1" x14ac:dyDescent="0.3">
      <c r="A138" s="33">
        <v>31</v>
      </c>
      <c r="B138" s="178" t="s">
        <v>234</v>
      </c>
      <c r="C138" s="178"/>
      <c r="D138" s="62" t="s">
        <v>235</v>
      </c>
      <c r="E138" s="67" t="s">
        <v>236</v>
      </c>
      <c r="F138" s="63">
        <f t="shared" ref="F138:F144" si="86">5598.92</f>
        <v>5598.92</v>
      </c>
      <c r="G138" s="33"/>
      <c r="H138" s="63">
        <f t="shared" si="75"/>
        <v>16796.760000000002</v>
      </c>
      <c r="I138" s="63">
        <f t="shared" si="76"/>
        <v>419.91899999999998</v>
      </c>
      <c r="J138" s="63">
        <v>0</v>
      </c>
      <c r="K138" s="63">
        <f t="shared" si="77"/>
        <v>2799.46</v>
      </c>
      <c r="L138" s="36">
        <f t="shared" si="78"/>
        <v>19596.22</v>
      </c>
      <c r="M138" s="63">
        <f t="shared" si="82"/>
        <v>5598.92</v>
      </c>
      <c r="N138" s="36">
        <f t="shared" ref="N138:N156" si="87">25000+7000</f>
        <v>32000</v>
      </c>
      <c r="O138" s="63">
        <f t="shared" si="83"/>
        <v>559.89200000000005</v>
      </c>
      <c r="P138" s="63">
        <v>5000</v>
      </c>
      <c r="Q138" s="63">
        <v>0</v>
      </c>
      <c r="R138" s="36">
        <f t="shared" si="84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74"/>
        <v>26569.370000000003</v>
      </c>
      <c r="X138" s="36">
        <v>26233.631000000016</v>
      </c>
      <c r="Y138" s="36">
        <f t="shared" si="72"/>
        <v>61800.720999999998</v>
      </c>
      <c r="Z138" s="125">
        <v>236.04</v>
      </c>
      <c r="AA138" s="110">
        <f t="shared" ref="AA138:AA159" si="88">V138-Z138</f>
        <v>0</v>
      </c>
    </row>
    <row r="139" spans="1:27" ht="20.100000000000001" customHeight="1" x14ac:dyDescent="0.3">
      <c r="A139" s="33">
        <v>32</v>
      </c>
      <c r="B139" s="178" t="s">
        <v>237</v>
      </c>
      <c r="C139" s="178"/>
      <c r="D139" s="62" t="s">
        <v>235</v>
      </c>
      <c r="E139" s="67" t="s">
        <v>236</v>
      </c>
      <c r="F139" s="63">
        <f t="shared" si="86"/>
        <v>5598.92</v>
      </c>
      <c r="G139" s="33"/>
      <c r="H139" s="63">
        <f t="shared" si="75"/>
        <v>16796.760000000002</v>
      </c>
      <c r="I139" s="63">
        <f t="shared" si="76"/>
        <v>419.91899999999998</v>
      </c>
      <c r="J139" s="63">
        <v>0</v>
      </c>
      <c r="K139" s="63">
        <f t="shared" si="77"/>
        <v>2799.46</v>
      </c>
      <c r="L139" s="36">
        <f t="shared" si="78"/>
        <v>19596.22</v>
      </c>
      <c r="M139" s="63">
        <f t="shared" si="82"/>
        <v>5598.92</v>
      </c>
      <c r="N139" s="36">
        <f>25000+4000</f>
        <v>29000</v>
      </c>
      <c r="O139" s="63">
        <f t="shared" si="83"/>
        <v>559.89200000000005</v>
      </c>
      <c r="P139" s="63">
        <v>5000</v>
      </c>
      <c r="Q139" s="63">
        <v>0</v>
      </c>
      <c r="R139" s="36">
        <f t="shared" si="84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74"/>
        <v>19986.04</v>
      </c>
      <c r="X139" s="36">
        <v>44816.961000000018</v>
      </c>
      <c r="Y139" s="36">
        <f t="shared" si="72"/>
        <v>65384.050999999999</v>
      </c>
      <c r="Z139" s="125">
        <v>236.04</v>
      </c>
      <c r="AA139" s="110">
        <f t="shared" si="88"/>
        <v>0</v>
      </c>
    </row>
    <row r="140" spans="1:27" ht="20.100000000000001" customHeight="1" x14ac:dyDescent="0.3">
      <c r="A140" s="33">
        <v>33</v>
      </c>
      <c r="B140" s="178" t="s">
        <v>238</v>
      </c>
      <c r="C140" s="178"/>
      <c r="D140" s="62" t="s">
        <v>235</v>
      </c>
      <c r="E140" s="67" t="s">
        <v>236</v>
      </c>
      <c r="F140" s="63">
        <f t="shared" si="86"/>
        <v>5598.92</v>
      </c>
      <c r="G140" s="33"/>
      <c r="H140" s="63">
        <f t="shared" si="75"/>
        <v>16796.760000000002</v>
      </c>
      <c r="I140" s="63">
        <f t="shared" si="76"/>
        <v>419.91899999999998</v>
      </c>
      <c r="J140" s="63">
        <v>0</v>
      </c>
      <c r="K140" s="63">
        <f t="shared" si="77"/>
        <v>2799.46</v>
      </c>
      <c r="L140" s="36">
        <f t="shared" si="78"/>
        <v>19596.22</v>
      </c>
      <c r="M140" s="63">
        <f t="shared" si="82"/>
        <v>5598.92</v>
      </c>
      <c r="N140" s="36">
        <f>25000+4000</f>
        <v>29000</v>
      </c>
      <c r="O140" s="63">
        <f t="shared" si="83"/>
        <v>559.89200000000005</v>
      </c>
      <c r="P140" s="63">
        <v>5000</v>
      </c>
      <c r="Q140" s="63">
        <v>0</v>
      </c>
      <c r="R140" s="36">
        <f t="shared" si="84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74"/>
        <v>22965.21</v>
      </c>
      <c r="X140" s="36">
        <v>61837.791000000019</v>
      </c>
      <c r="Y140" s="36">
        <f t="shared" si="72"/>
        <v>62404.881000000001</v>
      </c>
      <c r="Z140" s="125">
        <v>236.04</v>
      </c>
      <c r="AA140" s="110">
        <f t="shared" si="88"/>
        <v>0</v>
      </c>
    </row>
    <row r="141" spans="1:27" ht="20.100000000000001" customHeight="1" x14ac:dyDescent="0.3">
      <c r="A141" s="33">
        <v>34</v>
      </c>
      <c r="B141" s="33" t="s">
        <v>239</v>
      </c>
      <c r="C141" s="33"/>
      <c r="D141" s="62" t="s">
        <v>235</v>
      </c>
      <c r="E141" s="67" t="s">
        <v>236</v>
      </c>
      <c r="F141" s="63">
        <f t="shared" si="86"/>
        <v>5598.92</v>
      </c>
      <c r="G141" s="33"/>
      <c r="H141" s="63">
        <f t="shared" si="75"/>
        <v>16796.760000000002</v>
      </c>
      <c r="I141" s="63">
        <f t="shared" si="76"/>
        <v>419.91899999999998</v>
      </c>
      <c r="J141" s="63">
        <v>0</v>
      </c>
      <c r="K141" s="63">
        <f t="shared" si="77"/>
        <v>2799.46</v>
      </c>
      <c r="L141" s="36">
        <f t="shared" si="78"/>
        <v>19596.22</v>
      </c>
      <c r="M141" s="63">
        <f>F140*100%</f>
        <v>5598.92</v>
      </c>
      <c r="N141" s="36">
        <f t="shared" si="87"/>
        <v>32000</v>
      </c>
      <c r="O141" s="63">
        <f t="shared" si="83"/>
        <v>559.89200000000005</v>
      </c>
      <c r="P141" s="63">
        <v>5000</v>
      </c>
      <c r="Q141" s="63">
        <v>0</v>
      </c>
      <c r="R141" s="36">
        <f t="shared" si="84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74"/>
        <v>34236.04</v>
      </c>
      <c r="X141" s="36">
        <v>23566.961000000018</v>
      </c>
      <c r="Y141" s="36">
        <f t="shared" si="72"/>
        <v>54134.050999999999</v>
      </c>
      <c r="Z141" s="125">
        <v>236.04</v>
      </c>
      <c r="AA141" s="110">
        <f t="shared" si="88"/>
        <v>0</v>
      </c>
    </row>
    <row r="142" spans="1:27" ht="20.100000000000001" customHeight="1" x14ac:dyDescent="0.3">
      <c r="A142" s="33">
        <v>35</v>
      </c>
      <c r="B142" s="169" t="s">
        <v>240</v>
      </c>
      <c r="C142" s="170"/>
      <c r="D142" s="62" t="s">
        <v>235</v>
      </c>
      <c r="E142" s="67" t="s">
        <v>236</v>
      </c>
      <c r="F142" s="63">
        <f t="shared" si="86"/>
        <v>5598.92</v>
      </c>
      <c r="G142" s="33"/>
      <c r="H142" s="63">
        <f t="shared" si="75"/>
        <v>16796.760000000002</v>
      </c>
      <c r="I142" s="63">
        <f t="shared" si="76"/>
        <v>419.91899999999998</v>
      </c>
      <c r="J142" s="63"/>
      <c r="K142" s="63">
        <f t="shared" si="77"/>
        <v>2799.46</v>
      </c>
      <c r="L142" s="36">
        <f t="shared" si="78"/>
        <v>19596.22</v>
      </c>
      <c r="M142" s="63">
        <f t="shared" ref="M142:M157" si="89">F142*100%</f>
        <v>5598.92</v>
      </c>
      <c r="N142" s="36">
        <f>25000+4000</f>
        <v>29000</v>
      </c>
      <c r="O142" s="63">
        <f t="shared" si="83"/>
        <v>559.89200000000005</v>
      </c>
      <c r="P142" s="63">
        <v>5000</v>
      </c>
      <c r="Q142" s="63">
        <v>0</v>
      </c>
      <c r="R142" s="36">
        <f t="shared" si="84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74"/>
        <v>24583.260000000002</v>
      </c>
      <c r="X142" s="36">
        <v>40219.741000000016</v>
      </c>
      <c r="Y142" s="36">
        <f t="shared" si="72"/>
        <v>60786.830999999998</v>
      </c>
      <c r="Z142" s="125">
        <v>236.04</v>
      </c>
      <c r="AA142" s="110">
        <f t="shared" si="88"/>
        <v>0</v>
      </c>
    </row>
    <row r="143" spans="1:27" ht="20.100000000000001" customHeight="1" x14ac:dyDescent="0.3">
      <c r="A143" s="33">
        <v>36</v>
      </c>
      <c r="B143" s="62" t="s">
        <v>241</v>
      </c>
      <c r="C143" s="33"/>
      <c r="D143" s="62" t="s">
        <v>235</v>
      </c>
      <c r="E143" s="67" t="s">
        <v>236</v>
      </c>
      <c r="F143" s="63">
        <f t="shared" si="86"/>
        <v>5598.92</v>
      </c>
      <c r="G143" s="33"/>
      <c r="H143" s="63">
        <f t="shared" si="75"/>
        <v>16796.760000000002</v>
      </c>
      <c r="I143" s="63">
        <f t="shared" si="76"/>
        <v>419.91899999999998</v>
      </c>
      <c r="J143" s="63"/>
      <c r="K143" s="63">
        <f t="shared" si="77"/>
        <v>2799.46</v>
      </c>
      <c r="L143" s="36">
        <f t="shared" si="78"/>
        <v>19596.22</v>
      </c>
      <c r="M143" s="63">
        <f t="shared" si="89"/>
        <v>5598.92</v>
      </c>
      <c r="N143" s="36">
        <f>25000+4000</f>
        <v>29000</v>
      </c>
      <c r="O143" s="63">
        <f t="shared" si="83"/>
        <v>559.89200000000005</v>
      </c>
      <c r="P143" s="63">
        <v>5000</v>
      </c>
      <c r="Q143" s="63">
        <v>0</v>
      </c>
      <c r="R143" s="36">
        <f t="shared" si="84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74"/>
        <v>15402.710000000001</v>
      </c>
      <c r="X143" s="36">
        <v>45400.291000000019</v>
      </c>
      <c r="Y143" s="36">
        <f t="shared" si="72"/>
        <v>69967.380999999994</v>
      </c>
      <c r="Z143" s="125">
        <v>236.04</v>
      </c>
      <c r="AA143" s="110">
        <f t="shared" si="88"/>
        <v>0</v>
      </c>
    </row>
    <row r="144" spans="1:27" ht="20.100000000000001" customHeight="1" x14ac:dyDescent="0.3">
      <c r="A144" s="33">
        <v>37</v>
      </c>
      <c r="B144" s="62" t="s">
        <v>242</v>
      </c>
      <c r="C144" s="33"/>
      <c r="D144" s="62" t="s">
        <v>235</v>
      </c>
      <c r="E144" s="67" t="s">
        <v>236</v>
      </c>
      <c r="F144" s="63">
        <f t="shared" si="86"/>
        <v>5598.92</v>
      </c>
      <c r="G144" s="33"/>
      <c r="H144" s="63">
        <f t="shared" si="75"/>
        <v>16796.760000000002</v>
      </c>
      <c r="I144" s="63">
        <f t="shared" si="76"/>
        <v>419.91899999999998</v>
      </c>
      <c r="J144" s="63"/>
      <c r="K144" s="63">
        <f t="shared" si="77"/>
        <v>2799.46</v>
      </c>
      <c r="L144" s="36">
        <f t="shared" si="78"/>
        <v>19596.22</v>
      </c>
      <c r="M144" s="63">
        <f t="shared" si="89"/>
        <v>5598.92</v>
      </c>
      <c r="N144" s="36">
        <f t="shared" si="87"/>
        <v>32000</v>
      </c>
      <c r="O144" s="63">
        <f t="shared" si="83"/>
        <v>559.89200000000005</v>
      </c>
      <c r="P144" s="63">
        <v>5000</v>
      </c>
      <c r="Q144" s="63">
        <v>0</v>
      </c>
      <c r="R144" s="36">
        <f t="shared" si="84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74"/>
        <v>32027.71</v>
      </c>
      <c r="X144" s="36">
        <v>55775.291000000019</v>
      </c>
      <c r="Y144" s="36">
        <f t="shared" si="72"/>
        <v>56342.381000000001</v>
      </c>
      <c r="Z144" s="125">
        <v>236.04</v>
      </c>
      <c r="AA144" s="110">
        <f t="shared" si="88"/>
        <v>0</v>
      </c>
    </row>
    <row r="145" spans="1:27" ht="20.100000000000001" customHeight="1" x14ac:dyDescent="0.3">
      <c r="A145" s="33">
        <v>38</v>
      </c>
      <c r="B145" s="169" t="s">
        <v>243</v>
      </c>
      <c r="C145" s="170"/>
      <c r="D145" s="62" t="s">
        <v>235</v>
      </c>
      <c r="E145" s="67" t="s">
        <v>244</v>
      </c>
      <c r="F145" s="63">
        <f>5086.76</f>
        <v>5086.76</v>
      </c>
      <c r="G145" s="33"/>
      <c r="H145" s="63">
        <f t="shared" si="75"/>
        <v>15260.28</v>
      </c>
      <c r="I145" s="63">
        <f t="shared" si="76"/>
        <v>381.50700000000001</v>
      </c>
      <c r="J145" s="63"/>
      <c r="K145" s="63">
        <f t="shared" si="77"/>
        <v>2543.38</v>
      </c>
      <c r="L145" s="36">
        <f t="shared" si="78"/>
        <v>17803.66</v>
      </c>
      <c r="M145" s="63">
        <f t="shared" si="89"/>
        <v>5086.76</v>
      </c>
      <c r="N145" s="36">
        <f t="shared" si="87"/>
        <v>32000</v>
      </c>
      <c r="O145" s="63">
        <f t="shared" si="83"/>
        <v>508.67600000000004</v>
      </c>
      <c r="P145" s="63">
        <v>5000</v>
      </c>
      <c r="Q145" s="63">
        <v>0</v>
      </c>
      <c r="R145" s="36">
        <f t="shared" si="84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74"/>
        <v>26361.040000000001</v>
      </c>
      <c r="X145" s="36">
        <v>36742.984749999996</v>
      </c>
      <c r="Y145" s="36">
        <f t="shared" si="72"/>
        <v>57309.983000000015</v>
      </c>
      <c r="Z145" s="125">
        <v>236.04</v>
      </c>
      <c r="AA145" s="110">
        <f t="shared" si="88"/>
        <v>0</v>
      </c>
    </row>
    <row r="146" spans="1:27" ht="20.100000000000001" customHeight="1" x14ac:dyDescent="0.3">
      <c r="A146" s="33">
        <v>39</v>
      </c>
      <c r="B146" s="169" t="s">
        <v>245</v>
      </c>
      <c r="C146" s="170"/>
      <c r="D146" s="62" t="s">
        <v>235</v>
      </c>
      <c r="E146" s="67" t="s">
        <v>244</v>
      </c>
      <c r="F146" s="63">
        <f>5086.76</f>
        <v>5086.76</v>
      </c>
      <c r="G146" s="33"/>
      <c r="H146" s="63">
        <f t="shared" si="75"/>
        <v>15260.28</v>
      </c>
      <c r="I146" s="63">
        <f t="shared" si="76"/>
        <v>381.50700000000001</v>
      </c>
      <c r="J146" s="63"/>
      <c r="K146" s="63">
        <f t="shared" si="77"/>
        <v>2543.38</v>
      </c>
      <c r="L146" s="36">
        <f t="shared" si="78"/>
        <v>17803.66</v>
      </c>
      <c r="M146" s="63">
        <f t="shared" si="89"/>
        <v>5086.76</v>
      </c>
      <c r="N146" s="36">
        <f t="shared" si="87"/>
        <v>32000</v>
      </c>
      <c r="O146" s="63">
        <f t="shared" si="83"/>
        <v>508.67600000000004</v>
      </c>
      <c r="P146" s="63">
        <v>5000</v>
      </c>
      <c r="Q146" s="63">
        <v>0</v>
      </c>
      <c r="R146" s="36">
        <f t="shared" si="84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74"/>
        <v>23236.04</v>
      </c>
      <c r="X146" s="36">
        <v>69867.984750000003</v>
      </c>
      <c r="Y146" s="36">
        <f t="shared" si="72"/>
        <v>60434.983000000015</v>
      </c>
      <c r="Z146" s="125">
        <v>236.04</v>
      </c>
      <c r="AA146" s="110">
        <f t="shared" si="88"/>
        <v>0</v>
      </c>
    </row>
    <row r="147" spans="1:27" ht="20.100000000000001" customHeight="1" x14ac:dyDescent="0.3">
      <c r="A147" s="33">
        <v>40</v>
      </c>
      <c r="B147" s="62" t="s">
        <v>246</v>
      </c>
      <c r="C147" s="33"/>
      <c r="D147" s="62" t="s">
        <v>235</v>
      </c>
      <c r="E147" s="67" t="s">
        <v>247</v>
      </c>
      <c r="F147" s="63">
        <f>5257.44</f>
        <v>5257.44</v>
      </c>
      <c r="G147" s="33"/>
      <c r="H147" s="63">
        <f t="shared" si="75"/>
        <v>15772.32</v>
      </c>
      <c r="I147" s="63">
        <f t="shared" si="76"/>
        <v>394.30799999999994</v>
      </c>
      <c r="J147" s="63"/>
      <c r="K147" s="63">
        <f t="shared" si="77"/>
        <v>2628.72</v>
      </c>
      <c r="L147" s="36">
        <f t="shared" si="78"/>
        <v>18401.039999999997</v>
      </c>
      <c r="M147" s="63">
        <f t="shared" si="89"/>
        <v>5257.44</v>
      </c>
      <c r="N147" s="36">
        <f t="shared" si="87"/>
        <v>32000</v>
      </c>
      <c r="O147" s="63">
        <f t="shared" si="83"/>
        <v>525.74400000000003</v>
      </c>
      <c r="P147" s="63">
        <v>5000</v>
      </c>
      <c r="Q147" s="63">
        <v>0</v>
      </c>
      <c r="R147" s="36">
        <f t="shared" si="84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74"/>
        <v>54707.32</v>
      </c>
      <c r="X147" s="36">
        <v>27665.732500000006</v>
      </c>
      <c r="Y147" s="36">
        <f t="shared" si="72"/>
        <v>30529.692000000003</v>
      </c>
      <c r="Z147" s="125">
        <v>236.04</v>
      </c>
      <c r="AA147" s="110">
        <f t="shared" si="88"/>
        <v>0</v>
      </c>
    </row>
    <row r="148" spans="1:27" ht="20.100000000000001" customHeight="1" x14ac:dyDescent="0.3">
      <c r="A148" s="33">
        <v>41</v>
      </c>
      <c r="B148" s="169" t="s">
        <v>248</v>
      </c>
      <c r="C148" s="170"/>
      <c r="D148" s="62" t="s">
        <v>235</v>
      </c>
      <c r="E148" s="67" t="s">
        <v>249</v>
      </c>
      <c r="F148" s="63">
        <f>4915.97</f>
        <v>4915.97</v>
      </c>
      <c r="G148" s="33"/>
      <c r="H148" s="63">
        <f t="shared" si="75"/>
        <v>14747.91</v>
      </c>
      <c r="I148" s="63">
        <f t="shared" si="76"/>
        <v>368.69774999999998</v>
      </c>
      <c r="J148" s="63"/>
      <c r="K148" s="63">
        <f t="shared" si="77"/>
        <v>2457.9850000000001</v>
      </c>
      <c r="L148" s="36">
        <f t="shared" si="78"/>
        <v>17205.895</v>
      </c>
      <c r="M148" s="63">
        <f t="shared" si="89"/>
        <v>4915.97</v>
      </c>
      <c r="N148" s="36">
        <f t="shared" si="87"/>
        <v>32000</v>
      </c>
      <c r="O148" s="63">
        <f t="shared" si="83"/>
        <v>491.59700000000004</v>
      </c>
      <c r="P148" s="63">
        <v>5000</v>
      </c>
      <c r="Q148" s="63">
        <v>0</v>
      </c>
      <c r="R148" s="36">
        <f t="shared" si="84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74"/>
        <v>41694.370000000003</v>
      </c>
      <c r="X148" s="36">
        <v>15633.700250000016</v>
      </c>
      <c r="Y148" s="36">
        <f t="shared" si="72"/>
        <v>40409.654749999994</v>
      </c>
      <c r="Z148" s="125">
        <v>236.04</v>
      </c>
      <c r="AA148" s="110">
        <f t="shared" si="88"/>
        <v>0</v>
      </c>
    </row>
    <row r="149" spans="1:27" ht="20.100000000000001" customHeight="1" x14ac:dyDescent="0.3">
      <c r="A149" s="33">
        <v>42</v>
      </c>
      <c r="B149" s="169" t="s">
        <v>250</v>
      </c>
      <c r="C149" s="170"/>
      <c r="D149" s="62" t="s">
        <v>251</v>
      </c>
      <c r="E149" s="67" t="s">
        <v>252</v>
      </c>
      <c r="F149" s="63">
        <f t="shared" ref="F149:F154" si="90">4836.3</f>
        <v>4836.3</v>
      </c>
      <c r="G149" s="33"/>
      <c r="H149" s="63">
        <f t="shared" si="75"/>
        <v>14508.900000000001</v>
      </c>
      <c r="I149" s="63">
        <f t="shared" si="76"/>
        <v>362.72250000000003</v>
      </c>
      <c r="J149" s="63"/>
      <c r="K149" s="63">
        <f t="shared" si="77"/>
        <v>2418.15</v>
      </c>
      <c r="L149" s="36">
        <f t="shared" si="78"/>
        <v>16927.05</v>
      </c>
      <c r="M149" s="63">
        <f t="shared" si="89"/>
        <v>4836.3</v>
      </c>
      <c r="N149" s="36">
        <f>25000+4000</f>
        <v>29000</v>
      </c>
      <c r="O149" s="63">
        <f t="shared" si="83"/>
        <v>483.63000000000005</v>
      </c>
      <c r="P149" s="63">
        <v>5000</v>
      </c>
      <c r="Q149" s="63">
        <v>0</v>
      </c>
      <c r="R149" s="36">
        <f t="shared" si="84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74"/>
        <v>5236.04</v>
      </c>
      <c r="X149" s="36">
        <v>39092.030250000018</v>
      </c>
      <c r="Y149" s="36">
        <f t="shared" si="72"/>
        <v>73137.012500000012</v>
      </c>
      <c r="Z149" s="125">
        <v>236.04</v>
      </c>
      <c r="AA149" s="110">
        <f t="shared" si="88"/>
        <v>0</v>
      </c>
    </row>
    <row r="150" spans="1:27" ht="20.100000000000001" customHeight="1" x14ac:dyDescent="0.3">
      <c r="A150" s="33">
        <v>43</v>
      </c>
      <c r="B150" s="169" t="s">
        <v>253</v>
      </c>
      <c r="C150" s="170"/>
      <c r="D150" s="62" t="s">
        <v>251</v>
      </c>
      <c r="E150" s="67" t="s">
        <v>252</v>
      </c>
      <c r="F150" s="63">
        <f t="shared" si="90"/>
        <v>4836.3</v>
      </c>
      <c r="G150" s="33"/>
      <c r="H150" s="63">
        <f t="shared" si="75"/>
        <v>14508.900000000001</v>
      </c>
      <c r="I150" s="63">
        <f t="shared" si="76"/>
        <v>362.72250000000003</v>
      </c>
      <c r="J150" s="63"/>
      <c r="K150" s="63">
        <f t="shared" si="77"/>
        <v>2418.15</v>
      </c>
      <c r="L150" s="36">
        <f t="shared" si="78"/>
        <v>16927.05</v>
      </c>
      <c r="M150" s="63">
        <f t="shared" si="89"/>
        <v>4836.3</v>
      </c>
      <c r="N150" s="36">
        <f>25000+4000</f>
        <v>29000</v>
      </c>
      <c r="O150" s="63">
        <f t="shared" si="83"/>
        <v>483.63000000000005</v>
      </c>
      <c r="P150" s="63">
        <v>5000</v>
      </c>
      <c r="Q150" s="63">
        <v>0</v>
      </c>
      <c r="R150" s="36">
        <f t="shared" si="84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74"/>
        <v>38236.04</v>
      </c>
      <c r="X150" s="36">
        <v>17092.030250000018</v>
      </c>
      <c r="Y150" s="36">
        <f t="shared" si="72"/>
        <v>40137.012500000004</v>
      </c>
      <c r="Z150" s="125">
        <v>236.04</v>
      </c>
      <c r="AA150" s="110">
        <f t="shared" si="88"/>
        <v>0</v>
      </c>
    </row>
    <row r="151" spans="1:27" ht="20.100000000000001" customHeight="1" x14ac:dyDescent="0.3">
      <c r="A151" s="33">
        <v>44</v>
      </c>
      <c r="B151" s="169" t="s">
        <v>254</v>
      </c>
      <c r="C151" s="170"/>
      <c r="D151" s="62" t="s">
        <v>251</v>
      </c>
      <c r="E151" s="67" t="s">
        <v>252</v>
      </c>
      <c r="F151" s="63">
        <f t="shared" si="90"/>
        <v>4836.3</v>
      </c>
      <c r="G151" s="27">
        <f>0</f>
        <v>0</v>
      </c>
      <c r="H151" s="63">
        <f t="shared" si="75"/>
        <v>14508.900000000001</v>
      </c>
      <c r="I151" s="63">
        <f t="shared" si="76"/>
        <v>362.72250000000003</v>
      </c>
      <c r="J151" s="63"/>
      <c r="K151" s="63">
        <f t="shared" si="77"/>
        <v>2418.15</v>
      </c>
      <c r="L151" s="36">
        <f t="shared" si="78"/>
        <v>16927.05</v>
      </c>
      <c r="M151" s="63">
        <f t="shared" si="89"/>
        <v>4836.3</v>
      </c>
      <c r="N151" s="36">
        <f t="shared" si="87"/>
        <v>32000</v>
      </c>
      <c r="O151" s="63">
        <f t="shared" si="83"/>
        <v>483.63000000000005</v>
      </c>
      <c r="P151" s="63">
        <v>5000</v>
      </c>
      <c r="Q151" s="63">
        <v>0</v>
      </c>
      <c r="R151" s="36">
        <f t="shared" si="84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74"/>
        <v>35323.26</v>
      </c>
      <c r="X151" s="36">
        <v>42004.810250000017</v>
      </c>
      <c r="Y151" s="36">
        <f t="shared" si="72"/>
        <v>46049.792500000003</v>
      </c>
      <c r="Z151" s="125">
        <v>236.04</v>
      </c>
      <c r="AA151" s="110">
        <f t="shared" si="88"/>
        <v>0</v>
      </c>
    </row>
    <row r="152" spans="1:27" ht="20.100000000000001" customHeight="1" x14ac:dyDescent="0.3">
      <c r="A152" s="33">
        <v>45</v>
      </c>
      <c r="B152" s="169" t="s">
        <v>255</v>
      </c>
      <c r="C152" s="170"/>
      <c r="D152" s="62" t="s">
        <v>251</v>
      </c>
      <c r="E152" s="67" t="s">
        <v>252</v>
      </c>
      <c r="F152" s="63">
        <f t="shared" si="90"/>
        <v>4836.3</v>
      </c>
      <c r="G152" s="33"/>
      <c r="H152" s="63">
        <f t="shared" si="75"/>
        <v>14508.900000000001</v>
      </c>
      <c r="I152" s="63">
        <f t="shared" si="76"/>
        <v>362.72250000000003</v>
      </c>
      <c r="J152" s="63"/>
      <c r="K152" s="63">
        <f t="shared" si="77"/>
        <v>2418.15</v>
      </c>
      <c r="L152" s="36">
        <f t="shared" si="78"/>
        <v>16927.05</v>
      </c>
      <c r="M152" s="63">
        <f t="shared" si="89"/>
        <v>4836.3</v>
      </c>
      <c r="N152" s="36">
        <f t="shared" si="87"/>
        <v>32000</v>
      </c>
      <c r="O152" s="63">
        <f t="shared" si="83"/>
        <v>483.63000000000005</v>
      </c>
      <c r="P152" s="63">
        <v>5000</v>
      </c>
      <c r="Q152" s="63">
        <v>0</v>
      </c>
      <c r="R152" s="36">
        <f t="shared" si="84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74"/>
        <v>14652.710000000001</v>
      </c>
      <c r="X152" s="36">
        <v>33675.36025000002</v>
      </c>
      <c r="Y152" s="36">
        <f t="shared" si="72"/>
        <v>66720.342499999999</v>
      </c>
      <c r="Z152" s="125">
        <v>236.04</v>
      </c>
      <c r="AA152" s="110">
        <f t="shared" si="88"/>
        <v>0</v>
      </c>
    </row>
    <row r="153" spans="1:27" ht="20.100000000000001" customHeight="1" x14ac:dyDescent="0.3">
      <c r="A153" s="33">
        <v>46</v>
      </c>
      <c r="B153" s="169" t="s">
        <v>256</v>
      </c>
      <c r="C153" s="170"/>
      <c r="D153" s="62" t="s">
        <v>251</v>
      </c>
      <c r="E153" s="67" t="s">
        <v>252</v>
      </c>
      <c r="F153" s="63">
        <f t="shared" si="90"/>
        <v>4836.3</v>
      </c>
      <c r="G153" s="33"/>
      <c r="H153" s="63">
        <f t="shared" si="75"/>
        <v>14508.900000000001</v>
      </c>
      <c r="I153" s="63">
        <f t="shared" si="76"/>
        <v>362.72250000000003</v>
      </c>
      <c r="J153" s="63"/>
      <c r="K153" s="63">
        <f t="shared" si="77"/>
        <v>2418.15</v>
      </c>
      <c r="L153" s="36">
        <f t="shared" si="78"/>
        <v>16927.05</v>
      </c>
      <c r="M153" s="63">
        <f t="shared" si="89"/>
        <v>4836.3</v>
      </c>
      <c r="N153" s="36">
        <f t="shared" si="87"/>
        <v>32000</v>
      </c>
      <c r="O153" s="63">
        <f t="shared" si="83"/>
        <v>483.63000000000005</v>
      </c>
      <c r="P153" s="63">
        <v>5000</v>
      </c>
      <c r="Q153" s="63">
        <v>0</v>
      </c>
      <c r="R153" s="36">
        <f t="shared" si="84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74"/>
        <v>18986.04</v>
      </c>
      <c r="X153" s="36">
        <v>38342.030250000018</v>
      </c>
      <c r="Y153" s="36">
        <f t="shared" si="72"/>
        <v>62387.012500000004</v>
      </c>
      <c r="Z153" s="125">
        <v>236.04</v>
      </c>
      <c r="AA153" s="110">
        <f t="shared" si="88"/>
        <v>0</v>
      </c>
    </row>
    <row r="154" spans="1:27" ht="20.100000000000001" customHeight="1" x14ac:dyDescent="0.3">
      <c r="A154" s="33">
        <v>47</v>
      </c>
      <c r="B154" s="169" t="s">
        <v>257</v>
      </c>
      <c r="C154" s="170"/>
      <c r="D154" s="62" t="s">
        <v>251</v>
      </c>
      <c r="E154" s="67" t="s">
        <v>252</v>
      </c>
      <c r="F154" s="63">
        <f t="shared" si="90"/>
        <v>4836.3</v>
      </c>
      <c r="G154" s="33"/>
      <c r="H154" s="63">
        <f t="shared" si="75"/>
        <v>14508.900000000001</v>
      </c>
      <c r="I154" s="63">
        <f t="shared" si="76"/>
        <v>362.72250000000003</v>
      </c>
      <c r="J154" s="63"/>
      <c r="K154" s="63">
        <f t="shared" si="77"/>
        <v>2418.15</v>
      </c>
      <c r="L154" s="36">
        <f t="shared" si="78"/>
        <v>16927.05</v>
      </c>
      <c r="M154" s="63">
        <f t="shared" si="89"/>
        <v>4836.3</v>
      </c>
      <c r="N154" s="36">
        <f t="shared" si="87"/>
        <v>32000</v>
      </c>
      <c r="O154" s="63">
        <f t="shared" si="83"/>
        <v>483.63000000000005</v>
      </c>
      <c r="P154" s="63">
        <v>5000</v>
      </c>
      <c r="Q154" s="63">
        <v>0</v>
      </c>
      <c r="R154" s="36">
        <f t="shared" si="84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74"/>
        <v>8786.6</v>
      </c>
      <c r="X154" s="36">
        <v>68541.470250000013</v>
      </c>
      <c r="Y154" s="36">
        <f t="shared" si="72"/>
        <v>72586.452499999999</v>
      </c>
      <c r="Z154" s="125">
        <v>236.04</v>
      </c>
      <c r="AA154" s="110">
        <f t="shared" si="88"/>
        <v>0</v>
      </c>
    </row>
    <row r="155" spans="1:27" ht="20.100000000000001" customHeight="1" x14ac:dyDescent="0.3">
      <c r="A155" s="33">
        <v>48</v>
      </c>
      <c r="B155" s="197" t="s">
        <v>258</v>
      </c>
      <c r="C155" s="198"/>
      <c r="D155" s="62" t="s">
        <v>251</v>
      </c>
      <c r="E155" s="67" t="s">
        <v>259</v>
      </c>
      <c r="F155" s="63">
        <f>4395.43</f>
        <v>4395.43</v>
      </c>
      <c r="G155" s="33"/>
      <c r="H155" s="63">
        <f t="shared" si="75"/>
        <v>13186.29</v>
      </c>
      <c r="I155" s="63">
        <f t="shared" si="76"/>
        <v>329.65725000000003</v>
      </c>
      <c r="J155" s="63"/>
      <c r="K155" s="63">
        <f t="shared" si="77"/>
        <v>2197.7150000000001</v>
      </c>
      <c r="L155" s="36">
        <f t="shared" si="78"/>
        <v>15384.005000000001</v>
      </c>
      <c r="M155" s="63">
        <f t="shared" si="89"/>
        <v>4395.43</v>
      </c>
      <c r="N155" s="36">
        <f t="shared" si="87"/>
        <v>32000</v>
      </c>
      <c r="O155" s="63">
        <f t="shared" si="83"/>
        <v>439.54300000000006</v>
      </c>
      <c r="P155" s="63">
        <v>5000</v>
      </c>
      <c r="Q155" s="63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74"/>
        <v>8236.0400000000009</v>
      </c>
      <c r="X155" s="36">
        <v>68744.039250000016</v>
      </c>
      <c r="Y155" s="36">
        <f t="shared" si="72"/>
        <v>69092.030250000011</v>
      </c>
      <c r="Z155" s="125">
        <v>236.04</v>
      </c>
      <c r="AA155" s="110">
        <f t="shared" si="88"/>
        <v>0</v>
      </c>
    </row>
    <row r="156" spans="1:27" ht="20.100000000000001" customHeight="1" x14ac:dyDescent="0.3">
      <c r="A156" s="33">
        <v>49</v>
      </c>
      <c r="B156" s="199" t="s">
        <v>260</v>
      </c>
      <c r="C156" s="200"/>
      <c r="D156" s="62" t="s">
        <v>251</v>
      </c>
      <c r="E156" s="67" t="s">
        <v>259</v>
      </c>
      <c r="F156" s="63">
        <f>4395.43</f>
        <v>4395.43</v>
      </c>
      <c r="G156" s="33"/>
      <c r="H156" s="63">
        <f t="shared" si="75"/>
        <v>13186.29</v>
      </c>
      <c r="I156" s="63">
        <f t="shared" si="76"/>
        <v>329.65725000000003</v>
      </c>
      <c r="J156" s="63"/>
      <c r="K156" s="63">
        <f t="shared" si="77"/>
        <v>2197.7150000000001</v>
      </c>
      <c r="L156" s="36">
        <f t="shared" si="78"/>
        <v>15384.005000000001</v>
      </c>
      <c r="M156" s="63">
        <f t="shared" si="89"/>
        <v>4395.43</v>
      </c>
      <c r="N156" s="36">
        <f t="shared" si="87"/>
        <v>32000</v>
      </c>
      <c r="O156" s="63">
        <f t="shared" si="83"/>
        <v>439.54300000000006</v>
      </c>
      <c r="P156" s="63">
        <v>5000</v>
      </c>
      <c r="Q156" s="63">
        <v>0</v>
      </c>
      <c r="R156" s="36">
        <f t="shared" si="84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74"/>
        <v>20048.54</v>
      </c>
      <c r="X156" s="36">
        <v>56931.539250000009</v>
      </c>
      <c r="Y156" s="36">
        <f t="shared" si="72"/>
        <v>57279.530250000018</v>
      </c>
      <c r="Z156" s="125">
        <v>236.04</v>
      </c>
      <c r="AA156" s="110">
        <f t="shared" si="88"/>
        <v>0</v>
      </c>
    </row>
    <row r="157" spans="1:27" ht="20.100000000000001" customHeight="1" x14ac:dyDescent="0.3">
      <c r="A157" s="33">
        <v>50</v>
      </c>
      <c r="B157" s="99" t="s">
        <v>261</v>
      </c>
      <c r="C157" s="100"/>
      <c r="D157" s="62" t="s">
        <v>251</v>
      </c>
      <c r="E157" s="67" t="s">
        <v>259</v>
      </c>
      <c r="F157" s="63">
        <f>4395.43</f>
        <v>4395.43</v>
      </c>
      <c r="G157" s="27">
        <f>0</f>
        <v>0</v>
      </c>
      <c r="H157" s="63">
        <f t="shared" si="75"/>
        <v>13186.29</v>
      </c>
      <c r="I157" s="63">
        <f t="shared" si="76"/>
        <v>329.65725000000003</v>
      </c>
      <c r="J157" s="63"/>
      <c r="K157" s="63">
        <f t="shared" si="77"/>
        <v>2197.7150000000001</v>
      </c>
      <c r="L157" s="36">
        <f t="shared" si="78"/>
        <v>15384.005000000001</v>
      </c>
      <c r="M157" s="63">
        <f t="shared" si="89"/>
        <v>4395.43</v>
      </c>
      <c r="N157" s="36">
        <f>25000+4000</f>
        <v>29000</v>
      </c>
      <c r="O157" s="63">
        <f t="shared" si="83"/>
        <v>439.54300000000006</v>
      </c>
      <c r="P157" s="63">
        <v>5000</v>
      </c>
      <c r="Q157" s="63">
        <v>0</v>
      </c>
      <c r="R157" s="36">
        <f t="shared" ref="R157" si="91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74"/>
        <v>37736.04</v>
      </c>
      <c r="X157" s="36">
        <v>33895.956499999993</v>
      </c>
      <c r="Y157" s="36">
        <f t="shared" si="72"/>
        <v>36592.030250000018</v>
      </c>
      <c r="Z157" s="125">
        <v>236.04</v>
      </c>
      <c r="AA157" s="110">
        <f t="shared" si="88"/>
        <v>0</v>
      </c>
    </row>
    <row r="158" spans="1:27" ht="20.100000000000001" customHeight="1" x14ac:dyDescent="0.3">
      <c r="A158" s="33"/>
      <c r="B158" s="49" t="s">
        <v>32</v>
      </c>
      <c r="D158" s="50" t="s">
        <v>278</v>
      </c>
      <c r="E158" s="37"/>
      <c r="F158" s="39">
        <f t="shared" ref="F158:Y158" si="92">SUM(F108:F157)</f>
        <v>717734.75000000047</v>
      </c>
      <c r="G158" s="39">
        <f t="shared" si="92"/>
        <v>0</v>
      </c>
      <c r="H158" s="39">
        <f t="shared" si="92"/>
        <v>2153204.2499999995</v>
      </c>
      <c r="I158" s="39">
        <f t="shared" si="92"/>
        <v>53830.106250000004</v>
      </c>
      <c r="J158" s="39">
        <f t="shared" si="92"/>
        <v>240733.14</v>
      </c>
      <c r="K158" s="39">
        <f t="shared" si="92"/>
        <v>358867.37500000023</v>
      </c>
      <c r="L158" s="39">
        <f t="shared" si="92"/>
        <v>2512071.6250000014</v>
      </c>
      <c r="M158" s="39">
        <f t="shared" si="92"/>
        <v>717734.75000000047</v>
      </c>
      <c r="N158" s="39">
        <f t="shared" si="92"/>
        <v>3127000</v>
      </c>
      <c r="O158" s="39">
        <f t="shared" si="92"/>
        <v>71773.475000000035</v>
      </c>
      <c r="P158" s="39">
        <f t="shared" si="92"/>
        <v>425000</v>
      </c>
      <c r="Q158" s="39">
        <f t="shared" si="92"/>
        <v>50000</v>
      </c>
      <c r="R158" s="39">
        <f t="shared" si="92"/>
        <v>10427949.471250005</v>
      </c>
      <c r="S158" s="39">
        <f t="shared" si="92"/>
        <v>993500</v>
      </c>
      <c r="T158" s="39">
        <f t="shared" si="92"/>
        <v>1413447.38</v>
      </c>
      <c r="U158" s="39">
        <f t="shared" si="92"/>
        <v>6304.2222500000007</v>
      </c>
      <c r="V158" s="39">
        <v>215393.33000000028</v>
      </c>
      <c r="W158" s="39">
        <f t="shared" si="92"/>
        <v>2628644.9322500005</v>
      </c>
      <c r="X158" s="39">
        <v>7176869.563500002</v>
      </c>
      <c r="Y158" s="39">
        <f t="shared" si="92"/>
        <v>7799304.5389999999</v>
      </c>
      <c r="Z158" s="64">
        <v>205798.43000000025</v>
      </c>
      <c r="AA158" s="110">
        <f t="shared" si="88"/>
        <v>9594.9000000000233</v>
      </c>
    </row>
    <row r="159" spans="1:27" ht="20.100000000000001" customHeight="1" x14ac:dyDescent="0.3">
      <c r="A159" s="33"/>
      <c r="B159" s="201" t="s">
        <v>263</v>
      </c>
      <c r="C159" s="201"/>
      <c r="D159" s="40"/>
      <c r="E159" s="41"/>
      <c r="F159" s="42">
        <f t="shared" ref="F159:W159" si="93">F28+F33+F47+F51+F58+F65+F77+F84+F91+F105+F158</f>
        <v>3083378.7100000004</v>
      </c>
      <c r="G159" s="42">
        <f t="shared" si="93"/>
        <v>0</v>
      </c>
      <c r="H159" s="42">
        <f t="shared" si="93"/>
        <v>9089647.379999999</v>
      </c>
      <c r="I159" s="42">
        <f t="shared" si="93"/>
        <v>267363.37699999998</v>
      </c>
      <c r="J159" s="42">
        <f t="shared" si="93"/>
        <v>1645009.79</v>
      </c>
      <c r="K159" s="42">
        <f t="shared" si="93"/>
        <v>1533664.9200000002</v>
      </c>
      <c r="L159" s="42">
        <f t="shared" si="93"/>
        <v>10230114.860000001</v>
      </c>
      <c r="M159" s="42">
        <f t="shared" si="93"/>
        <v>3043256.5300000003</v>
      </c>
      <c r="N159" s="42">
        <f t="shared" si="93"/>
        <v>11927000</v>
      </c>
      <c r="O159" s="42">
        <f t="shared" si="93"/>
        <v>308337.87600000005</v>
      </c>
      <c r="P159" s="42">
        <f t="shared" si="93"/>
        <v>1525000</v>
      </c>
      <c r="Q159" s="42">
        <f t="shared" si="93"/>
        <v>1055235</v>
      </c>
      <c r="R159" s="42">
        <f t="shared" si="93"/>
        <v>43425708.365500003</v>
      </c>
      <c r="S159" s="42">
        <f t="shared" si="93"/>
        <v>3851500</v>
      </c>
      <c r="T159" s="42">
        <f t="shared" si="93"/>
        <v>5889607.169999999</v>
      </c>
      <c r="U159" s="42">
        <f t="shared" si="93"/>
        <v>26538.076000000001</v>
      </c>
      <c r="V159" s="42">
        <v>1278598.0200000003</v>
      </c>
      <c r="W159" s="42">
        <f t="shared" si="93"/>
        <v>13161076.420500001</v>
      </c>
      <c r="X159" s="42">
        <v>30608812.215500005</v>
      </c>
      <c r="Y159" s="42">
        <f>Y28+Y33+Y47+Y51+Y58+Y65+Y77+Y84+Y91+Y105+Y158</f>
        <v>32379465.0995</v>
      </c>
      <c r="Z159" s="64">
        <v>1196855.08</v>
      </c>
      <c r="AA159" s="126">
        <f t="shared" si="88"/>
        <v>81742.940000000177</v>
      </c>
    </row>
    <row r="160" spans="1:27" ht="20.100000000000001" customHeight="1" x14ac:dyDescent="0.3">
      <c r="A160" s="33"/>
      <c r="B160" s="196"/>
      <c r="C160" s="196"/>
      <c r="D160" s="47"/>
      <c r="E160" s="73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36"/>
    </row>
    <row r="161" spans="1:26" ht="20.100000000000001" customHeight="1" x14ac:dyDescent="0.3">
      <c r="A161" s="33"/>
      <c r="B161" s="196"/>
      <c r="C161" s="196"/>
      <c r="D161" s="168" t="s">
        <v>264</v>
      </c>
      <c r="E161" s="168"/>
      <c r="F161" s="168"/>
      <c r="G161" s="168"/>
      <c r="H161" s="168"/>
      <c r="I161" s="168"/>
      <c r="J161" s="168"/>
      <c r="K161" s="167" t="s">
        <v>265</v>
      </c>
      <c r="L161" s="167"/>
      <c r="M161" s="167"/>
      <c r="N161" s="41"/>
      <c r="O161" s="167" t="s">
        <v>266</v>
      </c>
      <c r="P161" s="167"/>
      <c r="Q161" s="167"/>
      <c r="R161" s="167"/>
      <c r="S161" s="41"/>
      <c r="T161" s="41"/>
      <c r="U161" s="41"/>
      <c r="V161" s="74"/>
      <c r="W161" s="74"/>
      <c r="X161" s="74"/>
      <c r="Y161" s="74"/>
      <c r="Z161" s="36"/>
    </row>
    <row r="162" spans="1:26" ht="20.100000000000001" customHeight="1" x14ac:dyDescent="0.3">
      <c r="A162" s="3"/>
      <c r="B162" s="196"/>
      <c r="C162" s="196"/>
      <c r="D162" s="168"/>
      <c r="E162" s="168"/>
      <c r="F162" s="168"/>
      <c r="G162" s="168"/>
      <c r="H162" s="168"/>
      <c r="I162" s="168"/>
      <c r="J162" s="168"/>
      <c r="K162" s="167"/>
      <c r="L162" s="167"/>
      <c r="M162" s="167"/>
      <c r="N162" s="41"/>
      <c r="O162" s="167"/>
      <c r="P162" s="167"/>
      <c r="Q162" s="167"/>
      <c r="R162" s="167"/>
      <c r="S162" s="41"/>
      <c r="T162" s="41"/>
      <c r="U162" s="41"/>
      <c r="V162" s="74"/>
      <c r="W162" s="74"/>
      <c r="X162" s="74"/>
      <c r="Y162" s="74"/>
      <c r="Z162" s="36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6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topRight" activeCell="E1" sqref="E1"/>
      <selection pane="bottomLeft" activeCell="A10" sqref="A10"/>
      <selection pane="bottomRight" activeCell="S75" sqref="S75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 x14ac:dyDescent="0.3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AG1" s="1" t="s">
        <v>0</v>
      </c>
    </row>
    <row r="2" spans="1:33" ht="5.25" customHeight="1" x14ac:dyDescent="0.3">
      <c r="R2" s="52"/>
      <c r="S2" s="52"/>
      <c r="T2" s="52"/>
      <c r="U2" s="52"/>
      <c r="V2" s="52"/>
      <c r="W2" s="52"/>
      <c r="X2" s="52"/>
      <c r="Y2" s="52"/>
      <c r="Z2" s="52"/>
      <c r="AA2" s="52"/>
    </row>
    <row r="3" spans="1:33" ht="20.100000000000001" customHeight="1" x14ac:dyDescent="0.3">
      <c r="B3" s="166" t="s">
        <v>279</v>
      </c>
      <c r="C3" s="166"/>
      <c r="D3" s="166"/>
      <c r="E3" s="166"/>
      <c r="F3" s="53"/>
      <c r="G3" s="53"/>
      <c r="H3" s="53"/>
      <c r="I3" s="54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spans="1:33" ht="2.25" customHeight="1" x14ac:dyDescent="0.3">
      <c r="F4" s="56">
        <f>'[1]FEB 08'!E8/'[1]FEB 08'!M8</f>
        <v>0.22</v>
      </c>
      <c r="G4" s="56"/>
      <c r="H4" s="56"/>
      <c r="I4" s="56">
        <f>'[1]FEB 08'!F8/'[1]FEB 08'!Q8</f>
        <v>0.3</v>
      </c>
      <c r="J4" s="56"/>
      <c r="K4" s="56"/>
      <c r="L4" s="56"/>
      <c r="M4" s="56"/>
      <c r="N4" s="56"/>
      <c r="O4" s="56"/>
      <c r="P4" s="56"/>
      <c r="Q4" s="56"/>
    </row>
    <row r="5" spans="1:33" ht="20.100000000000001" customHeight="1" x14ac:dyDescent="0.3">
      <c r="B5" s="166" t="s">
        <v>2</v>
      </c>
      <c r="C5" s="166"/>
      <c r="D5" s="57"/>
      <c r="E5" s="57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165" t="s">
        <v>3</v>
      </c>
      <c r="V5" s="165"/>
      <c r="W5" s="165"/>
      <c r="X5" s="165"/>
      <c r="Y5" s="165"/>
      <c r="Z5" s="57"/>
      <c r="AA5" s="57" t="s">
        <v>4</v>
      </c>
    </row>
    <row r="6" spans="1:33" ht="35.450000000000003" customHeight="1" x14ac:dyDescent="0.3">
      <c r="A6" s="33"/>
      <c r="B6" s="175"/>
      <c r="C6" s="175"/>
      <c r="D6" s="59" t="s">
        <v>5</v>
      </c>
      <c r="E6" s="59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60" t="s">
        <v>280</v>
      </c>
      <c r="S6" s="60" t="s">
        <v>281</v>
      </c>
      <c r="T6" s="60" t="s">
        <v>282</v>
      </c>
      <c r="U6" s="2"/>
      <c r="V6" s="2"/>
      <c r="W6" s="2"/>
      <c r="X6" s="7"/>
      <c r="Y6" s="7"/>
      <c r="Z6" s="7" t="s">
        <v>283</v>
      </c>
      <c r="AA6" s="7" t="s">
        <v>14</v>
      </c>
    </row>
    <row r="7" spans="1:33" ht="55.9" customHeight="1" x14ac:dyDescent="0.3">
      <c r="A7" s="33"/>
      <c r="B7" s="176"/>
      <c r="C7" s="176"/>
      <c r="D7" s="59"/>
      <c r="E7" s="59" t="s">
        <v>16</v>
      </c>
      <c r="F7" s="2" t="s">
        <v>17</v>
      </c>
      <c r="G7" s="60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26</v>
      </c>
      <c r="Q7" s="2" t="s">
        <v>27</v>
      </c>
      <c r="R7" s="2" t="s">
        <v>17</v>
      </c>
      <c r="S7" s="2" t="s">
        <v>17</v>
      </c>
      <c r="T7" s="2"/>
      <c r="U7" s="60" t="s">
        <v>28</v>
      </c>
      <c r="V7" s="60" t="s">
        <v>29</v>
      </c>
      <c r="W7" s="60" t="s">
        <v>30</v>
      </c>
      <c r="X7" s="2" t="s">
        <v>31</v>
      </c>
      <c r="Y7" s="2" t="s">
        <v>32</v>
      </c>
      <c r="Z7" s="2"/>
      <c r="AA7" s="2"/>
    </row>
    <row r="8" spans="1:33" ht="20.100000000000001" customHeight="1" x14ac:dyDescent="0.3">
      <c r="A8" s="21" t="s">
        <v>33</v>
      </c>
      <c r="B8" s="177" t="s">
        <v>34</v>
      </c>
      <c r="C8" s="177"/>
      <c r="D8" s="49"/>
      <c r="E8" s="49"/>
      <c r="F8" s="61" t="s">
        <v>35</v>
      </c>
      <c r="G8" s="7"/>
      <c r="H8" s="61"/>
      <c r="I8" s="61" t="s">
        <v>35</v>
      </c>
      <c r="J8" s="61"/>
      <c r="K8" s="61"/>
      <c r="L8" s="61"/>
      <c r="M8" s="61"/>
      <c r="N8" s="61"/>
      <c r="O8" s="61"/>
      <c r="P8" s="61"/>
      <c r="Q8" s="61"/>
      <c r="R8" s="61" t="s">
        <v>35</v>
      </c>
      <c r="S8" s="61" t="s">
        <v>35</v>
      </c>
      <c r="T8" s="61"/>
      <c r="U8" s="61"/>
      <c r="V8" s="61"/>
      <c r="W8" s="61"/>
      <c r="X8" s="61" t="s">
        <v>35</v>
      </c>
      <c r="Y8" s="61"/>
      <c r="Z8" s="61"/>
      <c r="AA8" s="61"/>
    </row>
    <row r="9" spans="1:33" ht="20.100000000000001" customHeight="1" x14ac:dyDescent="0.3">
      <c r="A9" s="3">
        <v>1</v>
      </c>
      <c r="B9" s="169" t="s">
        <v>36</v>
      </c>
      <c r="C9" s="170"/>
      <c r="D9" s="62" t="s">
        <v>37</v>
      </c>
      <c r="E9" s="62" t="s">
        <v>38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00000000000001" customHeight="1" x14ac:dyDescent="0.3">
      <c r="A10" s="3">
        <v>2</v>
      </c>
      <c r="B10" s="171" t="s">
        <v>42</v>
      </c>
      <c r="C10" s="172"/>
      <c r="D10" s="33" t="s">
        <v>43</v>
      </c>
      <c r="E10" s="38" t="s">
        <v>44</v>
      </c>
      <c r="F10" s="63">
        <v>33507.5</v>
      </c>
      <c r="G10" s="63"/>
      <c r="H10" s="63">
        <f t="shared" ref="H10:H24" si="0">F10*300%</f>
        <v>100522.5</v>
      </c>
      <c r="I10" s="63">
        <f t="shared" ref="I10:I24" si="1">F10*7.5%</f>
        <v>2513.0625</v>
      </c>
      <c r="J10" s="63">
        <v>40122.19</v>
      </c>
      <c r="K10" s="63">
        <f t="shared" ref="K10:K17" si="2">F10*50%</f>
        <v>16753.75</v>
      </c>
      <c r="L10" s="63">
        <f t="shared" ref="L10:L24" si="3">F10*350%</f>
        <v>117276.25</v>
      </c>
      <c r="M10" s="63">
        <f t="shared" ref="M10:M24" si="4">F10*100%</f>
        <v>33507.5</v>
      </c>
      <c r="N10" s="63">
        <f>100000</f>
        <v>100000</v>
      </c>
      <c r="O10" s="63">
        <f t="shared" ref="O10:O24" si="5">F10*10%</f>
        <v>3350.75</v>
      </c>
      <c r="P10" s="63">
        <v>20000</v>
      </c>
      <c r="Q10" s="63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'[3]DECEMBER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00000000000001" customHeight="1" x14ac:dyDescent="0.3">
      <c r="A11" s="3">
        <v>3</v>
      </c>
      <c r="B11" s="173" t="s">
        <v>45</v>
      </c>
      <c r="C11" s="174"/>
      <c r="D11" s="48" t="s">
        <v>46</v>
      </c>
      <c r="E11" s="29" t="s">
        <v>44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'[3]DECEMBER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00000000000001" customHeight="1" x14ac:dyDescent="0.3">
      <c r="A12" s="3">
        <v>4</v>
      </c>
      <c r="B12" s="171" t="s">
        <v>47</v>
      </c>
      <c r="C12" s="172"/>
      <c r="D12" s="33" t="s">
        <v>48</v>
      </c>
      <c r="E12" s="3" t="s">
        <v>44</v>
      </c>
      <c r="F12" s="36">
        <f>33507.5</f>
        <v>33507.5</v>
      </c>
      <c r="G12" s="63"/>
      <c r="H12" s="63">
        <f t="shared" si="0"/>
        <v>100522.5</v>
      </c>
      <c r="I12" s="63">
        <f t="shared" si="1"/>
        <v>2513.0625</v>
      </c>
      <c r="J12" s="63">
        <v>40122.19</v>
      </c>
      <c r="K12" s="63">
        <f t="shared" si="2"/>
        <v>16753.75</v>
      </c>
      <c r="L12" s="63">
        <f t="shared" si="3"/>
        <v>117276.25</v>
      </c>
      <c r="M12" s="63">
        <f t="shared" si="4"/>
        <v>33507.5</v>
      </c>
      <c r="N12" s="36">
        <f>100000</f>
        <v>100000</v>
      </c>
      <c r="O12" s="63">
        <f t="shared" si="5"/>
        <v>3350.75</v>
      </c>
      <c r="P12" s="63">
        <v>20000</v>
      </c>
      <c r="Q12" s="64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'[3]DECEMBER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00000000000001" customHeight="1" x14ac:dyDescent="0.3">
      <c r="A13" s="3">
        <v>5</v>
      </c>
      <c r="B13" s="171" t="s">
        <v>49</v>
      </c>
      <c r="C13" s="172"/>
      <c r="D13" s="44" t="s">
        <v>50</v>
      </c>
      <c r="E13" s="81" t="s">
        <v>284</v>
      </c>
      <c r="F13" s="66">
        <f>41157.69</f>
        <v>41157.69</v>
      </c>
      <c r="G13" s="65"/>
      <c r="H13" s="63">
        <f t="shared" si="0"/>
        <v>123473.07</v>
      </c>
      <c r="I13" s="63">
        <f t="shared" si="1"/>
        <v>3086.8267500000002</v>
      </c>
      <c r="J13" s="63">
        <v>40122.19</v>
      </c>
      <c r="K13" s="63">
        <f t="shared" si="2"/>
        <v>20578.845000000001</v>
      </c>
      <c r="L13" s="63">
        <f t="shared" si="3"/>
        <v>144051.91500000001</v>
      </c>
      <c r="M13" s="63">
        <f t="shared" si="4"/>
        <v>41157.69</v>
      </c>
      <c r="N13" s="63">
        <f>100000</f>
        <v>100000</v>
      </c>
      <c r="O13" s="63">
        <f t="shared" si="5"/>
        <v>4115.7690000000002</v>
      </c>
      <c r="P13" s="63">
        <v>20000</v>
      </c>
      <c r="Q13" s="82"/>
      <c r="R13" s="36">
        <f t="shared" si="6"/>
        <v>537743.99575</v>
      </c>
      <c r="S13" s="66">
        <v>551465.0247500001</v>
      </c>
      <c r="T13" s="36">
        <f t="shared" si="7"/>
        <v>13721.029000000097</v>
      </c>
      <c r="U13" s="66">
        <f>100000</f>
        <v>100000</v>
      </c>
      <c r="V13" s="66">
        <f>137500</f>
        <v>137500</v>
      </c>
      <c r="W13" s="66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00000000000001" customHeight="1" x14ac:dyDescent="0.3">
      <c r="A14" s="3">
        <v>6</v>
      </c>
      <c r="B14" s="171" t="s">
        <v>52</v>
      </c>
      <c r="C14" s="172"/>
      <c r="D14" s="44" t="s">
        <v>53</v>
      </c>
      <c r="E14" s="81" t="s">
        <v>138</v>
      </c>
      <c r="F14" s="66">
        <f>32263.2</f>
        <v>32263.200000000001</v>
      </c>
      <c r="G14" s="65"/>
      <c r="H14" s="63">
        <f t="shared" si="0"/>
        <v>96789.6</v>
      </c>
      <c r="I14" s="63">
        <f t="shared" si="1"/>
        <v>2419.7399999999998</v>
      </c>
      <c r="J14" s="63">
        <v>40122.19</v>
      </c>
      <c r="K14" s="63">
        <f t="shared" si="2"/>
        <v>16131.6</v>
      </c>
      <c r="L14" s="63">
        <f t="shared" si="3"/>
        <v>112921.2</v>
      </c>
      <c r="M14" s="63">
        <f t="shared" si="4"/>
        <v>32263.200000000001</v>
      </c>
      <c r="N14" s="66">
        <f>150000</f>
        <v>150000</v>
      </c>
      <c r="O14" s="63">
        <f t="shared" si="5"/>
        <v>3226.32</v>
      </c>
      <c r="P14" s="63">
        <v>20000</v>
      </c>
      <c r="Q14" s="66">
        <f>100000</f>
        <v>100000</v>
      </c>
      <c r="R14" s="36">
        <f t="shared" si="6"/>
        <v>606137.05000000005</v>
      </c>
      <c r="S14" s="66">
        <v>674023.33374999999</v>
      </c>
      <c r="T14" s="36">
        <f t="shared" si="7"/>
        <v>67886.283749999944</v>
      </c>
      <c r="U14" s="66"/>
      <c r="V14" s="66"/>
      <c r="W14" s="66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00000000000001" customHeight="1" x14ac:dyDescent="0.3">
      <c r="A15" s="3">
        <v>7</v>
      </c>
      <c r="B15" s="171" t="s">
        <v>55</v>
      </c>
      <c r="C15" s="172"/>
      <c r="D15" s="44" t="s">
        <v>56</v>
      </c>
      <c r="E15" s="45" t="s">
        <v>110</v>
      </c>
      <c r="F15" s="65">
        <f>24741.26</f>
        <v>24741.26</v>
      </c>
      <c r="G15" s="65"/>
      <c r="H15" s="65">
        <f t="shared" si="0"/>
        <v>74223.78</v>
      </c>
      <c r="I15" s="65">
        <f t="shared" si="1"/>
        <v>1855.5944999999997</v>
      </c>
      <c r="J15" s="65"/>
      <c r="K15" s="65">
        <f t="shared" si="2"/>
        <v>12370.63</v>
      </c>
      <c r="L15" s="65">
        <f t="shared" si="3"/>
        <v>86594.409999999989</v>
      </c>
      <c r="M15" s="65">
        <f t="shared" si="4"/>
        <v>24741.26</v>
      </c>
      <c r="N15" s="65">
        <f>100000</f>
        <v>100000</v>
      </c>
      <c r="O15" s="65">
        <f t="shared" si="5"/>
        <v>2474.1260000000002</v>
      </c>
      <c r="P15" s="65">
        <v>15000</v>
      </c>
      <c r="Q15" s="65">
        <f>100000</f>
        <v>100000</v>
      </c>
      <c r="R15" s="36">
        <f t="shared" si="6"/>
        <v>442001.06049999996</v>
      </c>
      <c r="S15" s="66">
        <v>449177.65375</v>
      </c>
      <c r="T15" s="36">
        <f t="shared" si="7"/>
        <v>7176.5932500000345</v>
      </c>
      <c r="U15" s="66">
        <f>100000</f>
        <v>100000</v>
      </c>
      <c r="V15" s="66">
        <f>0</f>
        <v>0</v>
      </c>
      <c r="W15" s="66">
        <f>'[3]DECEMBER 2019'!$H$22</f>
        <v>618.53150000000005</v>
      </c>
      <c r="X15" s="66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00000000000001" customHeight="1" x14ac:dyDescent="0.3">
      <c r="A16" s="3">
        <v>8</v>
      </c>
      <c r="B16" s="171" t="s">
        <v>58</v>
      </c>
      <c r="C16" s="172"/>
      <c r="D16" s="44" t="s">
        <v>59</v>
      </c>
      <c r="E16" s="45" t="s">
        <v>110</v>
      </c>
      <c r="F16" s="65">
        <f>24741.26</f>
        <v>24741.26</v>
      </c>
      <c r="G16" s="65"/>
      <c r="H16" s="65">
        <f t="shared" si="0"/>
        <v>74223.78</v>
      </c>
      <c r="I16" s="65">
        <f t="shared" si="1"/>
        <v>1855.5944999999997</v>
      </c>
      <c r="J16" s="65"/>
      <c r="K16" s="65">
        <f t="shared" si="2"/>
        <v>12370.63</v>
      </c>
      <c r="L16" s="65">
        <f t="shared" si="3"/>
        <v>86594.409999999989</v>
      </c>
      <c r="M16" s="65">
        <f t="shared" si="4"/>
        <v>24741.26</v>
      </c>
      <c r="N16" s="65">
        <f>100000</f>
        <v>100000</v>
      </c>
      <c r="O16" s="65">
        <f t="shared" si="5"/>
        <v>2474.1260000000002</v>
      </c>
      <c r="P16" s="65">
        <v>15000</v>
      </c>
      <c r="Q16" s="65">
        <v>50000</v>
      </c>
      <c r="R16" s="36">
        <f t="shared" si="6"/>
        <v>392001.06049999996</v>
      </c>
      <c r="S16" s="66">
        <v>399177.65375</v>
      </c>
      <c r="T16" s="36">
        <f t="shared" si="7"/>
        <v>7176.5932500000345</v>
      </c>
      <c r="U16" s="66">
        <v>10000</v>
      </c>
      <c r="V16" s="66">
        <f>103000</f>
        <v>103000</v>
      </c>
      <c r="W16" s="66">
        <v>0</v>
      </c>
      <c r="X16" s="66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 x14ac:dyDescent="0.3">
      <c r="A17" s="3">
        <v>9</v>
      </c>
      <c r="B17" s="171" t="s">
        <v>60</v>
      </c>
      <c r="C17" s="172"/>
      <c r="D17" s="33" t="s">
        <v>61</v>
      </c>
      <c r="E17" s="3" t="s">
        <v>62</v>
      </c>
      <c r="F17" s="63">
        <v>26339.3</v>
      </c>
      <c r="G17" s="63"/>
      <c r="H17" s="63">
        <f t="shared" si="0"/>
        <v>79017.899999999994</v>
      </c>
      <c r="I17" s="63">
        <f t="shared" si="1"/>
        <v>1975.4474999999998</v>
      </c>
      <c r="J17" s="63"/>
      <c r="K17" s="63">
        <f t="shared" si="2"/>
        <v>13169.65</v>
      </c>
      <c r="L17" s="36">
        <f t="shared" si="3"/>
        <v>92187.55</v>
      </c>
      <c r="M17" s="63">
        <f t="shared" si="4"/>
        <v>26339.3</v>
      </c>
      <c r="N17" s="65">
        <f t="shared" ref="N17:N26" si="10">100000</f>
        <v>100000</v>
      </c>
      <c r="O17" s="63">
        <f t="shared" si="5"/>
        <v>2633.9300000000003</v>
      </c>
      <c r="P17" s="63">
        <v>15000</v>
      </c>
      <c r="Q17" s="63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'[3]DECEMBER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 x14ac:dyDescent="0.3">
      <c r="A18" s="3">
        <v>10</v>
      </c>
      <c r="B18" s="171" t="s">
        <v>63</v>
      </c>
      <c r="C18" s="172"/>
      <c r="D18" s="33" t="s">
        <v>64</v>
      </c>
      <c r="E18" s="3" t="s">
        <v>110</v>
      </c>
      <c r="F18" s="26">
        <f>24741.26</f>
        <v>24741.26</v>
      </c>
      <c r="G18" s="63"/>
      <c r="H18" s="63">
        <f>F18*300%</f>
        <v>74223.78</v>
      </c>
      <c r="I18" s="63">
        <f>F18*7.5%</f>
        <v>1855.5944999999997</v>
      </c>
      <c r="J18" s="63"/>
      <c r="K18" s="63">
        <f>F18*50%</f>
        <v>12370.63</v>
      </c>
      <c r="L18" s="36">
        <f>F18*350%</f>
        <v>86594.409999999989</v>
      </c>
      <c r="M18" s="63">
        <f>F18*100%</f>
        <v>24741.26</v>
      </c>
      <c r="N18" s="26">
        <v>150000</v>
      </c>
      <c r="O18" s="63">
        <f>F18*10%</f>
        <v>2474.1260000000002</v>
      </c>
      <c r="P18" s="63">
        <v>15000</v>
      </c>
      <c r="Q18" s="63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00000000000001" customHeight="1" x14ac:dyDescent="0.3">
      <c r="A19" s="3">
        <v>11</v>
      </c>
      <c r="B19" s="169" t="s">
        <v>65</v>
      </c>
      <c r="C19" s="170"/>
      <c r="D19" s="62" t="s">
        <v>61</v>
      </c>
      <c r="E19" s="67" t="s">
        <v>62</v>
      </c>
      <c r="F19" s="63">
        <f>26339.3</f>
        <v>26339.3</v>
      </c>
      <c r="G19" s="63">
        <v>0</v>
      </c>
      <c r="H19" s="63">
        <f t="shared" si="0"/>
        <v>79017.899999999994</v>
      </c>
      <c r="I19" s="63">
        <f t="shared" si="1"/>
        <v>1975.4474999999998</v>
      </c>
      <c r="J19" s="36">
        <v>0</v>
      </c>
      <c r="K19" s="63">
        <f>F19*50%</f>
        <v>13169.65</v>
      </c>
      <c r="L19" s="36">
        <f t="shared" si="3"/>
        <v>92187.55</v>
      </c>
      <c r="M19" s="63">
        <f t="shared" si="4"/>
        <v>26339.3</v>
      </c>
      <c r="N19" s="65">
        <f t="shared" si="10"/>
        <v>100000</v>
      </c>
      <c r="O19" s="63">
        <f t="shared" si="5"/>
        <v>2633.9300000000003</v>
      </c>
      <c r="P19" s="63">
        <v>15000</v>
      </c>
      <c r="Q19" s="63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63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00000000000001" customHeight="1" x14ac:dyDescent="0.3">
      <c r="A20" s="3">
        <v>12</v>
      </c>
      <c r="B20" s="169" t="s">
        <v>66</v>
      </c>
      <c r="C20" s="170"/>
      <c r="D20" s="62" t="s">
        <v>67</v>
      </c>
      <c r="E20" s="67" t="s">
        <v>85</v>
      </c>
      <c r="F20" s="63">
        <f>17784</f>
        <v>17784</v>
      </c>
      <c r="G20" s="63"/>
      <c r="H20" s="63">
        <f t="shared" si="0"/>
        <v>53352</v>
      </c>
      <c r="I20" s="63">
        <f t="shared" si="1"/>
        <v>1333.8</v>
      </c>
      <c r="J20" s="36"/>
      <c r="K20" s="63">
        <f>F20*50%</f>
        <v>8892</v>
      </c>
      <c r="L20" s="36">
        <f t="shared" si="3"/>
        <v>62244</v>
      </c>
      <c r="M20" s="63">
        <f t="shared" si="4"/>
        <v>17784</v>
      </c>
      <c r="N20" s="65">
        <f t="shared" si="10"/>
        <v>100000</v>
      </c>
      <c r="O20" s="63">
        <f t="shared" si="5"/>
        <v>1778.4</v>
      </c>
      <c r="P20" s="63">
        <v>10000</v>
      </c>
      <c r="Q20" s="63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63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 x14ac:dyDescent="0.3">
      <c r="A21" s="3">
        <v>13</v>
      </c>
      <c r="B21" s="169" t="s">
        <v>69</v>
      </c>
      <c r="C21" s="170"/>
      <c r="D21" s="62" t="s">
        <v>70</v>
      </c>
      <c r="E21" s="67" t="s">
        <v>92</v>
      </c>
      <c r="F21" s="63">
        <f>18779.3</f>
        <v>18779.3</v>
      </c>
      <c r="G21" s="63"/>
      <c r="H21" s="63">
        <f t="shared" si="0"/>
        <v>56337.899999999994</v>
      </c>
      <c r="I21" s="63">
        <f t="shared" si="1"/>
        <v>1408.4475</v>
      </c>
      <c r="J21" s="36"/>
      <c r="K21" s="63">
        <f>F21*50%</f>
        <v>9389.65</v>
      </c>
      <c r="L21" s="36">
        <f t="shared" si="3"/>
        <v>65727.55</v>
      </c>
      <c r="M21" s="63">
        <f t="shared" si="4"/>
        <v>18779.3</v>
      </c>
      <c r="N21" s="65">
        <f t="shared" si="10"/>
        <v>100000</v>
      </c>
      <c r="O21" s="63">
        <f t="shared" si="5"/>
        <v>1877.93</v>
      </c>
      <c r="P21" s="63">
        <v>10000</v>
      </c>
      <c r="Q21" s="63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'[3]DECEMBER 2019'!$H$51</f>
        <v>469.48250000000002</v>
      </c>
      <c r="X21" s="63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 x14ac:dyDescent="0.3">
      <c r="A22" s="3">
        <v>14</v>
      </c>
      <c r="B22" s="84" t="s">
        <v>72</v>
      </c>
      <c r="C22" s="85"/>
      <c r="D22" s="62" t="s">
        <v>70</v>
      </c>
      <c r="E22" s="67" t="s">
        <v>183</v>
      </c>
      <c r="F22" s="68">
        <f>12732</f>
        <v>12732</v>
      </c>
      <c r="G22" s="63"/>
      <c r="H22" s="63">
        <f t="shared" si="0"/>
        <v>38196</v>
      </c>
      <c r="I22" s="63">
        <f t="shared" si="1"/>
        <v>954.9</v>
      </c>
      <c r="J22" s="63"/>
      <c r="K22" s="63">
        <f t="shared" ref="K22:K24" si="12">F22*50%</f>
        <v>6366</v>
      </c>
      <c r="L22" s="36">
        <f t="shared" si="3"/>
        <v>44562</v>
      </c>
      <c r="M22" s="63">
        <f t="shared" si="4"/>
        <v>12732</v>
      </c>
      <c r="N22" s="65">
        <f t="shared" si="10"/>
        <v>100000</v>
      </c>
      <c r="O22" s="63">
        <f t="shared" si="5"/>
        <v>1273.2</v>
      </c>
      <c r="P22" s="63">
        <v>10000</v>
      </c>
      <c r="Q22" s="63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63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 x14ac:dyDescent="0.3">
      <c r="A23" s="3">
        <v>15</v>
      </c>
      <c r="B23" s="84" t="s">
        <v>74</v>
      </c>
      <c r="C23" s="85"/>
      <c r="D23" s="62"/>
      <c r="E23" s="67" t="s">
        <v>76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65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 x14ac:dyDescent="0.3">
      <c r="A24" s="3">
        <v>16</v>
      </c>
      <c r="B24" s="84" t="s">
        <v>77</v>
      </c>
      <c r="C24" s="85"/>
      <c r="D24" s="62"/>
      <c r="E24" s="67" t="s">
        <v>76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65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 x14ac:dyDescent="0.3">
      <c r="A25" s="3">
        <v>17</v>
      </c>
      <c r="B25" s="178" t="s">
        <v>78</v>
      </c>
      <c r="C25" s="178"/>
      <c r="D25" s="33" t="s">
        <v>82</v>
      </c>
      <c r="E25" s="67" t="s">
        <v>285</v>
      </c>
      <c r="F25" s="63">
        <f>19774.62</f>
        <v>19774.62</v>
      </c>
      <c r="G25" s="63"/>
      <c r="H25" s="63">
        <f>F25*300%</f>
        <v>59323.86</v>
      </c>
      <c r="I25" s="63">
        <f>F25*7.5%</f>
        <v>1483.0964999999999</v>
      </c>
      <c r="J25" s="63">
        <v>0</v>
      </c>
      <c r="K25" s="63">
        <f>F25*50%</f>
        <v>9887.31</v>
      </c>
      <c r="L25" s="36">
        <f>F25*350%</f>
        <v>69211.17</v>
      </c>
      <c r="M25" s="63">
        <f>F25*100%</f>
        <v>19774.62</v>
      </c>
      <c r="N25" s="65">
        <f t="shared" si="10"/>
        <v>100000</v>
      </c>
      <c r="O25" s="63">
        <f>F25*10%</f>
        <v>1977.462</v>
      </c>
      <c r="P25" s="63">
        <v>10000</v>
      </c>
      <c r="Q25" s="63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'[3]DECEMBER 2019'!$H$43</f>
        <v>494.3655</v>
      </c>
      <c r="X25" s="63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 x14ac:dyDescent="0.3">
      <c r="A26" s="3">
        <v>18</v>
      </c>
      <c r="B26" s="169" t="s">
        <v>81</v>
      </c>
      <c r="C26" s="170"/>
      <c r="D26" s="33" t="s">
        <v>82</v>
      </c>
      <c r="E26" s="67" t="s">
        <v>85</v>
      </c>
      <c r="F26" s="63">
        <f>17784</f>
        <v>17784</v>
      </c>
      <c r="G26" s="63"/>
      <c r="H26" s="63">
        <f>F26*300%</f>
        <v>53352</v>
      </c>
      <c r="I26" s="63">
        <f>F26*7.5%</f>
        <v>1333.8</v>
      </c>
      <c r="J26" s="63"/>
      <c r="K26" s="63">
        <f>F26*50%</f>
        <v>8892</v>
      </c>
      <c r="L26" s="36">
        <f>F26*350%</f>
        <v>62244</v>
      </c>
      <c r="M26" s="63">
        <f>F26*100%</f>
        <v>17784</v>
      </c>
      <c r="N26" s="65">
        <f t="shared" si="10"/>
        <v>100000</v>
      </c>
      <c r="O26" s="63">
        <f>F26*10%</f>
        <v>1778.4</v>
      </c>
      <c r="P26" s="63">
        <v>10000</v>
      </c>
      <c r="Q26" s="63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63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 x14ac:dyDescent="0.3">
      <c r="A27" s="3">
        <v>19</v>
      </c>
      <c r="B27" s="84" t="s">
        <v>83</v>
      </c>
      <c r="C27" s="85"/>
      <c r="D27" s="33" t="s">
        <v>84</v>
      </c>
      <c r="E27" s="67" t="s">
        <v>286</v>
      </c>
      <c r="F27" s="63">
        <v>17286.330000000002</v>
      </c>
      <c r="G27" s="63">
        <v>0</v>
      </c>
      <c r="H27" s="63">
        <v>51858.990000000005</v>
      </c>
      <c r="I27" s="63">
        <v>1296.4747500000001</v>
      </c>
      <c r="J27" s="63"/>
      <c r="K27" s="63">
        <v>8643.1650000000009</v>
      </c>
      <c r="L27" s="36">
        <v>60502.155000000006</v>
      </c>
      <c r="M27" s="63">
        <v>17286.330000000002</v>
      </c>
      <c r="N27" s="65">
        <v>100000</v>
      </c>
      <c r="O27" s="63">
        <v>1728.6330000000003</v>
      </c>
      <c r="P27" s="63">
        <v>10000</v>
      </c>
      <c r="Q27" s="63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63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 x14ac:dyDescent="0.3">
      <c r="A28" s="3"/>
      <c r="B28" s="179" t="s">
        <v>32</v>
      </c>
      <c r="C28" s="179"/>
      <c r="D28" s="7">
        <v>19</v>
      </c>
      <c r="E28" s="67"/>
      <c r="F28" s="69">
        <f t="shared" ref="F28:AA28" si="15">SUM(F9:F27)</f>
        <v>590178.64999999991</v>
      </c>
      <c r="G28" s="69">
        <f t="shared" si="15"/>
        <v>0</v>
      </c>
      <c r="H28" s="69">
        <f t="shared" si="15"/>
        <v>1610047.2000000002</v>
      </c>
      <c r="I28" s="69">
        <f t="shared" si="15"/>
        <v>80373.372499999983</v>
      </c>
      <c r="J28" s="69">
        <f t="shared" si="15"/>
        <v>320977.52</v>
      </c>
      <c r="K28" s="69">
        <f t="shared" si="15"/>
        <v>287064.89</v>
      </c>
      <c r="L28" s="69">
        <f t="shared" si="15"/>
        <v>1503914.6500000001</v>
      </c>
      <c r="M28" s="69">
        <f t="shared" si="15"/>
        <v>550056.47</v>
      </c>
      <c r="N28" s="69">
        <f t="shared" si="15"/>
        <v>2100000</v>
      </c>
      <c r="O28" s="69">
        <f t="shared" si="15"/>
        <v>59017.87000000001</v>
      </c>
      <c r="P28" s="69">
        <f t="shared" si="15"/>
        <v>280000</v>
      </c>
      <c r="Q28" s="69">
        <f t="shared" si="15"/>
        <v>525235</v>
      </c>
      <c r="R28" s="69">
        <f t="shared" si="15"/>
        <v>7906865.6224999977</v>
      </c>
      <c r="S28" s="69">
        <v>8074523.3254999984</v>
      </c>
      <c r="T28" s="69">
        <f>SUM(T9:T27)</f>
        <v>167657.70300000021</v>
      </c>
      <c r="U28" s="69">
        <f t="shared" si="15"/>
        <v>395000</v>
      </c>
      <c r="V28" s="69">
        <f t="shared" si="15"/>
        <v>1057742.8399999999</v>
      </c>
      <c r="W28" s="69">
        <f t="shared" si="15"/>
        <v>4753.9245000000001</v>
      </c>
      <c r="X28" s="69">
        <f t="shared" si="15"/>
        <v>256339.48000000007</v>
      </c>
      <c r="Y28" s="69">
        <f t="shared" si="15"/>
        <v>1713836.2445</v>
      </c>
      <c r="Z28" s="69">
        <v>6022279.3780000014</v>
      </c>
      <c r="AA28" s="69">
        <f t="shared" si="15"/>
        <v>6193029.3780000014</v>
      </c>
    </row>
    <row r="29" spans="1:28" ht="18.75" customHeight="1" x14ac:dyDescent="0.3">
      <c r="A29" s="3"/>
      <c r="B29" s="101"/>
      <c r="C29" s="101"/>
      <c r="D29" s="33"/>
      <c r="E29" s="67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 spans="1:28" ht="18.75" customHeight="1" x14ac:dyDescent="0.3">
      <c r="A30" s="3"/>
      <c r="B30" s="179" t="s">
        <v>86</v>
      </c>
      <c r="C30" s="179"/>
      <c r="D30" s="33"/>
      <c r="E30" s="67"/>
      <c r="F30" s="63"/>
      <c r="G30" s="63"/>
      <c r="H30" s="63"/>
      <c r="I30" s="63"/>
      <c r="J30" s="63"/>
      <c r="K30" s="63"/>
      <c r="L30" s="36"/>
      <c r="M30" s="63"/>
      <c r="N30" s="63"/>
      <c r="O30" s="63"/>
      <c r="P30" s="63"/>
      <c r="Q30" s="63"/>
      <c r="R30" s="36"/>
      <c r="S30" s="36"/>
      <c r="T30" s="36"/>
      <c r="U30" s="36"/>
      <c r="V30" s="36"/>
      <c r="W30" s="36"/>
      <c r="X30" s="63"/>
      <c r="Y30" s="36"/>
      <c r="Z30" s="36"/>
      <c r="AA30" s="36"/>
    </row>
    <row r="31" spans="1:28" ht="18.75" customHeight="1" x14ac:dyDescent="0.3">
      <c r="A31" s="3">
        <v>1</v>
      </c>
      <c r="B31" s="180" t="s">
        <v>87</v>
      </c>
      <c r="C31" s="181"/>
      <c r="D31" s="62" t="s">
        <v>88</v>
      </c>
      <c r="E31" s="67" t="s">
        <v>287</v>
      </c>
      <c r="F31" s="63">
        <f>76339.3</f>
        <v>76339.3</v>
      </c>
      <c r="G31" s="63"/>
      <c r="H31" s="63">
        <f t="shared" ref="H31" si="16">F31*300%</f>
        <v>229017.90000000002</v>
      </c>
      <c r="I31" s="63">
        <f t="shared" ref="I31" si="17">F31*7.5%</f>
        <v>5725.4475000000002</v>
      </c>
      <c r="J31" s="63">
        <f>80244.38</f>
        <v>80244.38</v>
      </c>
      <c r="K31" s="63">
        <f t="shared" ref="K31" si="18">F31*50%</f>
        <v>38169.65</v>
      </c>
      <c r="L31" s="63">
        <f t="shared" ref="L31" si="19">F31*350%</f>
        <v>267187.55</v>
      </c>
      <c r="M31" s="63">
        <f t="shared" ref="M31" si="20">F31*100%</f>
        <v>76339.3</v>
      </c>
      <c r="N31" s="65">
        <f t="shared" ref="N31:N32" si="21">100000</f>
        <v>100000</v>
      </c>
      <c r="O31" s="63">
        <f t="shared" ref="O31" si="22">F31*10%</f>
        <v>7633.93</v>
      </c>
      <c r="P31" s="63">
        <v>20000</v>
      </c>
      <c r="Q31" s="63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63">
        <f>100000</f>
        <v>100000</v>
      </c>
      <c r="V31" s="63">
        <f>287500</f>
        <v>287500</v>
      </c>
      <c r="W31" s="63">
        <f>'[3]DECEMBER 2019'!$H$26</f>
        <v>1028.9422500000001</v>
      </c>
      <c r="X31" s="63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 x14ac:dyDescent="0.3">
      <c r="A32" s="3">
        <v>2</v>
      </c>
      <c r="B32" s="180" t="s">
        <v>90</v>
      </c>
      <c r="C32" s="181"/>
      <c r="D32" s="62" t="s">
        <v>91</v>
      </c>
      <c r="E32" s="67" t="s">
        <v>92</v>
      </c>
      <c r="F32" s="63">
        <f>18779.3</f>
        <v>18779.3</v>
      </c>
      <c r="G32" s="63"/>
      <c r="H32" s="63">
        <f>F32*300%</f>
        <v>56337.899999999994</v>
      </c>
      <c r="I32" s="63">
        <f>F32*7.5%</f>
        <v>1408.4475</v>
      </c>
      <c r="J32" s="63">
        <v>0</v>
      </c>
      <c r="K32" s="63">
        <f>F32*50%</f>
        <v>9389.65</v>
      </c>
      <c r="L32" s="36">
        <f>F32*350%</f>
        <v>65727.55</v>
      </c>
      <c r="M32" s="63">
        <f>F32*100%</f>
        <v>18779.3</v>
      </c>
      <c r="N32" s="65">
        <f t="shared" si="21"/>
        <v>100000</v>
      </c>
      <c r="O32" s="63">
        <f>F32*10%</f>
        <v>1877.93</v>
      </c>
      <c r="P32" s="63">
        <v>10000</v>
      </c>
      <c r="Q32" s="63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63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 x14ac:dyDescent="0.3">
      <c r="A33" s="3"/>
      <c r="B33" s="33"/>
      <c r="C33" s="21" t="s">
        <v>32</v>
      </c>
      <c r="D33" s="7">
        <v>2</v>
      </c>
      <c r="E33" s="3"/>
      <c r="F33" s="69">
        <f>SUM(F31:F32)</f>
        <v>95118.6</v>
      </c>
      <c r="G33" s="69">
        <f t="shared" ref="G33:Y33" si="24">SUM(G31:G32)</f>
        <v>0</v>
      </c>
      <c r="H33" s="69">
        <f t="shared" si="24"/>
        <v>285355.80000000005</v>
      </c>
      <c r="I33" s="69">
        <f t="shared" si="24"/>
        <v>7133.8950000000004</v>
      </c>
      <c r="J33" s="69">
        <f t="shared" si="24"/>
        <v>80244.38</v>
      </c>
      <c r="K33" s="69">
        <f t="shared" si="24"/>
        <v>47559.3</v>
      </c>
      <c r="L33" s="69">
        <f t="shared" si="24"/>
        <v>332915.09999999998</v>
      </c>
      <c r="M33" s="69">
        <f t="shared" si="24"/>
        <v>95118.6</v>
      </c>
      <c r="N33" s="69">
        <f>SUM(N31:N32)</f>
        <v>200000</v>
      </c>
      <c r="O33" s="69">
        <f t="shared" si="24"/>
        <v>9511.86</v>
      </c>
      <c r="P33" s="69">
        <f t="shared" si="24"/>
        <v>30000</v>
      </c>
      <c r="Q33" s="69">
        <f t="shared" si="24"/>
        <v>0</v>
      </c>
      <c r="R33" s="69">
        <f t="shared" si="24"/>
        <v>1182957.5350000001</v>
      </c>
      <c r="S33" s="69">
        <v>925433.07700000005</v>
      </c>
      <c r="T33" s="69">
        <f>SUM(T31:T32)</f>
        <v>24775.619499999913</v>
      </c>
      <c r="U33" s="69">
        <f t="shared" si="24"/>
        <v>100000</v>
      </c>
      <c r="V33" s="69">
        <f t="shared" si="24"/>
        <v>287500</v>
      </c>
      <c r="W33" s="69">
        <f t="shared" si="24"/>
        <v>1028.9422500000001</v>
      </c>
      <c r="X33" s="69">
        <f t="shared" si="24"/>
        <v>56146.14</v>
      </c>
      <c r="Y33" s="69">
        <f t="shared" si="24"/>
        <v>444675.08225000004</v>
      </c>
      <c r="Z33" s="69">
        <v>705282.45275000017</v>
      </c>
      <c r="AA33" s="69">
        <f>R33-Y33</f>
        <v>738282.45275000017</v>
      </c>
    </row>
    <row r="34" spans="1:28" ht="20.100000000000001" customHeight="1" x14ac:dyDescent="0.3">
      <c r="A34" s="3"/>
      <c r="B34" s="184"/>
      <c r="C34" s="185"/>
      <c r="D34" s="33"/>
      <c r="E34" s="3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36"/>
      <c r="Z34" s="36"/>
      <c r="AA34" s="36"/>
      <c r="AB34" s="34"/>
    </row>
    <row r="35" spans="1:28" ht="20.100000000000001" customHeight="1" x14ac:dyDescent="0.3">
      <c r="A35" s="3"/>
      <c r="B35" s="186" t="s">
        <v>93</v>
      </c>
      <c r="C35" s="187"/>
      <c r="D35" s="51"/>
      <c r="E35" s="2"/>
      <c r="F35" s="69"/>
      <c r="G35" s="69"/>
      <c r="H35" s="6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00000000000001" customHeight="1" x14ac:dyDescent="0.3">
      <c r="A36" s="3">
        <v>1</v>
      </c>
      <c r="B36" s="169" t="s">
        <v>94</v>
      </c>
      <c r="C36" s="170"/>
      <c r="D36" s="33" t="s">
        <v>95</v>
      </c>
      <c r="E36" s="3" t="s">
        <v>89</v>
      </c>
      <c r="F36" s="63">
        <f>79039.64</f>
        <v>79039.64</v>
      </c>
      <c r="G36" s="63"/>
      <c r="H36" s="63">
        <f>F36*300%</f>
        <v>237118.91999999998</v>
      </c>
      <c r="I36" s="63">
        <f>F36*7.5%</f>
        <v>5927.973</v>
      </c>
      <c r="J36" s="63">
        <v>80244.38</v>
      </c>
      <c r="K36" s="63">
        <f>F36*50%</f>
        <v>39519.82</v>
      </c>
      <c r="L36" s="63">
        <f>F36*350%</f>
        <v>276638.74</v>
      </c>
      <c r="M36" s="63">
        <f t="shared" ref="M36:M46" si="25">F36*100%</f>
        <v>79039.64</v>
      </c>
      <c r="N36" s="63">
        <f>150000</f>
        <v>150000</v>
      </c>
      <c r="O36" s="63">
        <f t="shared" ref="O36:O46" si="26">F36*10%</f>
        <v>7903.9639999999999</v>
      </c>
      <c r="P36" s="63">
        <v>20000</v>
      </c>
      <c r="Q36" s="63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63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00000000000001" customHeight="1" x14ac:dyDescent="0.3">
      <c r="A37" s="3">
        <v>2</v>
      </c>
      <c r="B37" s="169" t="s">
        <v>96</v>
      </c>
      <c r="C37" s="170"/>
      <c r="D37" s="33" t="s">
        <v>97</v>
      </c>
      <c r="E37" s="3" t="s">
        <v>44</v>
      </c>
      <c r="F37" s="63">
        <f>33507.5</f>
        <v>33507.5</v>
      </c>
      <c r="G37" s="63"/>
      <c r="H37" s="63">
        <f>F37*300%</f>
        <v>100522.5</v>
      </c>
      <c r="I37" s="63">
        <f>F37*7.5%</f>
        <v>2513.0625</v>
      </c>
      <c r="J37" s="63">
        <v>40122.19</v>
      </c>
      <c r="K37" s="63">
        <f>F37*50%</f>
        <v>16753.75</v>
      </c>
      <c r="L37" s="63">
        <f>F37*350%</f>
        <v>117276.25</v>
      </c>
      <c r="M37" s="63">
        <f>F37*100%</f>
        <v>33507.5</v>
      </c>
      <c r="N37" s="63">
        <f t="shared" ref="N37:N46" si="30">150000</f>
        <v>150000</v>
      </c>
      <c r="O37" s="63">
        <f>F37*10%</f>
        <v>3350.75</v>
      </c>
      <c r="P37" s="63">
        <v>20000</v>
      </c>
      <c r="Q37" s="63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63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00000000000001" customHeight="1" x14ac:dyDescent="0.3">
      <c r="A38" s="3">
        <v>3</v>
      </c>
      <c r="B38" s="169" t="s">
        <v>98</v>
      </c>
      <c r="C38" s="170"/>
      <c r="D38" s="33" t="s">
        <v>99</v>
      </c>
      <c r="E38" s="3" t="s">
        <v>138</v>
      </c>
      <c r="F38" s="63">
        <f>32263.2</f>
        <v>32263.200000000001</v>
      </c>
      <c r="G38" s="63"/>
      <c r="H38" s="63">
        <f>F38*300%</f>
        <v>96789.6</v>
      </c>
      <c r="I38" s="63">
        <f>F38*7.5%</f>
        <v>2419.7399999999998</v>
      </c>
      <c r="J38" s="63">
        <v>40122.19</v>
      </c>
      <c r="K38" s="63">
        <f>F38*50%</f>
        <v>16131.6</v>
      </c>
      <c r="L38" s="63">
        <f>F38*350%</f>
        <v>112921.2</v>
      </c>
      <c r="M38" s="63">
        <f>F38*100%</f>
        <v>32263.200000000001</v>
      </c>
      <c r="N38" s="63">
        <f t="shared" si="30"/>
        <v>150000</v>
      </c>
      <c r="O38" s="63">
        <f>F38*10%</f>
        <v>3226.32</v>
      </c>
      <c r="P38" s="63">
        <v>20000</v>
      </c>
      <c r="Q38" s="63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63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00000000000001" customHeight="1" x14ac:dyDescent="0.3">
      <c r="A39" s="3">
        <v>4</v>
      </c>
      <c r="B39" s="169" t="s">
        <v>100</v>
      </c>
      <c r="C39" s="170"/>
      <c r="D39" s="33" t="s">
        <v>101</v>
      </c>
      <c r="E39" s="3" t="s">
        <v>102</v>
      </c>
      <c r="F39" s="63">
        <v>28489.81</v>
      </c>
      <c r="G39" s="63"/>
      <c r="H39" s="63">
        <f>F39*300%</f>
        <v>85469.430000000008</v>
      </c>
      <c r="I39" s="63">
        <f>F39*7.5%</f>
        <v>2136.7357499999998</v>
      </c>
      <c r="J39" s="63"/>
      <c r="K39" s="63">
        <f>F39*50%</f>
        <v>14244.905000000001</v>
      </c>
      <c r="L39" s="63">
        <f>F39*350%</f>
        <v>99714.335000000006</v>
      </c>
      <c r="M39" s="63">
        <f>F39*100%</f>
        <v>28489.81</v>
      </c>
      <c r="N39" s="63">
        <f t="shared" si="30"/>
        <v>150000</v>
      </c>
      <c r="O39" s="63">
        <f>F39*10%</f>
        <v>2848.9810000000002</v>
      </c>
      <c r="P39" s="63">
        <v>20000</v>
      </c>
      <c r="Q39" s="63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63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00000000000001" customHeight="1" x14ac:dyDescent="0.3">
      <c r="A40" s="3">
        <v>5</v>
      </c>
      <c r="B40" s="169" t="s">
        <v>103</v>
      </c>
      <c r="C40" s="170"/>
      <c r="D40" s="33" t="s">
        <v>101</v>
      </c>
      <c r="E40" s="3" t="s">
        <v>288</v>
      </c>
      <c r="F40" s="63">
        <f>27611.23</f>
        <v>27611.23</v>
      </c>
      <c r="G40" s="63"/>
      <c r="H40" s="63">
        <f t="shared" ref="H40:H46" si="32">F40*300%</f>
        <v>82833.69</v>
      </c>
      <c r="I40" s="63">
        <f t="shared" ref="I40:I46" si="33">F40*7.5%</f>
        <v>2070.8422499999997</v>
      </c>
      <c r="J40" s="63">
        <v>0</v>
      </c>
      <c r="K40" s="63">
        <f t="shared" ref="K40:K46" si="34">F40*50%</f>
        <v>13805.615</v>
      </c>
      <c r="L40" s="63">
        <f t="shared" ref="L40:L46" si="35">F40*350%</f>
        <v>96639.304999999993</v>
      </c>
      <c r="M40" s="63">
        <f t="shared" si="25"/>
        <v>27611.23</v>
      </c>
      <c r="N40" s="63">
        <f t="shared" si="30"/>
        <v>150000</v>
      </c>
      <c r="O40" s="63">
        <f t="shared" si="26"/>
        <v>2761.123</v>
      </c>
      <c r="P40" s="63">
        <v>20000</v>
      </c>
      <c r="Q40" s="63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'[3]DECEMBER 2019'!$H$27</f>
        <v>690.28075000000001</v>
      </c>
      <c r="X40" s="63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00000000000001" customHeight="1" x14ac:dyDescent="0.3">
      <c r="A41" s="3">
        <v>6</v>
      </c>
      <c r="B41" s="169" t="s">
        <v>104</v>
      </c>
      <c r="C41" s="170"/>
      <c r="D41" s="33" t="s">
        <v>112</v>
      </c>
      <c r="E41" s="3" t="s">
        <v>110</v>
      </c>
      <c r="F41" s="63">
        <f>24741.26</f>
        <v>24741.26</v>
      </c>
      <c r="G41" s="63"/>
      <c r="H41" s="63">
        <f t="shared" si="32"/>
        <v>74223.78</v>
      </c>
      <c r="I41" s="63">
        <f t="shared" si="33"/>
        <v>1855.5944999999997</v>
      </c>
      <c r="J41" s="63"/>
      <c r="K41" s="63">
        <f t="shared" si="34"/>
        <v>12370.63</v>
      </c>
      <c r="L41" s="63">
        <f t="shared" si="35"/>
        <v>86594.409999999989</v>
      </c>
      <c r="M41" s="63">
        <f t="shared" si="25"/>
        <v>24741.26</v>
      </c>
      <c r="N41" s="63">
        <f t="shared" si="30"/>
        <v>150000</v>
      </c>
      <c r="O41" s="63">
        <f t="shared" si="26"/>
        <v>2474.1260000000002</v>
      </c>
      <c r="P41" s="63">
        <v>15000</v>
      </c>
      <c r="Q41" s="63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63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00000000000001" customHeight="1" x14ac:dyDescent="0.3">
      <c r="A42" s="3">
        <v>7</v>
      </c>
      <c r="B42" s="182" t="s">
        <v>106</v>
      </c>
      <c r="C42" s="183"/>
      <c r="D42" s="20" t="s">
        <v>107</v>
      </c>
      <c r="E42" s="25" t="s">
        <v>62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3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00000000000001" customHeight="1" x14ac:dyDescent="0.3">
      <c r="A43" s="3">
        <v>8</v>
      </c>
      <c r="B43" s="169" t="s">
        <v>108</v>
      </c>
      <c r="C43" s="170"/>
      <c r="D43" s="33" t="s">
        <v>109</v>
      </c>
      <c r="E43" s="3" t="s">
        <v>80</v>
      </c>
      <c r="F43" s="63">
        <v>23891.119999999999</v>
      </c>
      <c r="G43" s="63"/>
      <c r="H43" s="63">
        <f t="shared" si="32"/>
        <v>71673.36</v>
      </c>
      <c r="I43" s="63">
        <f t="shared" si="33"/>
        <v>1791.8339999999998</v>
      </c>
      <c r="J43" s="63">
        <v>0</v>
      </c>
      <c r="K43" s="63">
        <f t="shared" si="34"/>
        <v>11945.56</v>
      </c>
      <c r="L43" s="63">
        <f t="shared" si="35"/>
        <v>83618.92</v>
      </c>
      <c r="M43" s="63">
        <f t="shared" si="25"/>
        <v>23891.119999999999</v>
      </c>
      <c r="N43" s="63">
        <f t="shared" si="30"/>
        <v>150000</v>
      </c>
      <c r="O43" s="63">
        <f t="shared" si="26"/>
        <v>2389.1120000000001</v>
      </c>
      <c r="P43" s="63">
        <v>15000</v>
      </c>
      <c r="Q43" s="63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63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00000000000001" customHeight="1" x14ac:dyDescent="0.3">
      <c r="A44" s="3">
        <v>9</v>
      </c>
      <c r="B44" s="169" t="s">
        <v>111</v>
      </c>
      <c r="C44" s="170"/>
      <c r="D44" s="33" t="s">
        <v>112</v>
      </c>
      <c r="E44" s="3" t="s">
        <v>110</v>
      </c>
      <c r="F44" s="63">
        <f>24741.26</f>
        <v>24741.26</v>
      </c>
      <c r="G44" s="63"/>
      <c r="H44" s="63">
        <f t="shared" si="32"/>
        <v>74223.78</v>
      </c>
      <c r="I44" s="63">
        <f t="shared" si="33"/>
        <v>1855.5944999999997</v>
      </c>
      <c r="J44" s="63">
        <v>0</v>
      </c>
      <c r="K44" s="63">
        <f t="shared" si="34"/>
        <v>12370.63</v>
      </c>
      <c r="L44" s="63">
        <f t="shared" si="35"/>
        <v>86594.409999999989</v>
      </c>
      <c r="M44" s="63">
        <f t="shared" si="25"/>
        <v>24741.26</v>
      </c>
      <c r="N44" s="63">
        <f t="shared" si="30"/>
        <v>150000</v>
      </c>
      <c r="O44" s="63">
        <f t="shared" si="26"/>
        <v>2474.1260000000002</v>
      </c>
      <c r="P44" s="63">
        <v>15000</v>
      </c>
      <c r="Q44" s="63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63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00000000000001" customHeight="1" x14ac:dyDescent="0.3">
      <c r="A45" s="3">
        <v>10</v>
      </c>
      <c r="B45" s="169" t="s">
        <v>269</v>
      </c>
      <c r="C45" s="170"/>
      <c r="D45" s="33" t="s">
        <v>112</v>
      </c>
      <c r="E45" s="3" t="s">
        <v>110</v>
      </c>
      <c r="F45" s="63">
        <f>24741.26</f>
        <v>24741.26</v>
      </c>
      <c r="G45" s="63"/>
      <c r="H45" s="63">
        <f t="shared" si="32"/>
        <v>74223.78</v>
      </c>
      <c r="I45" s="63">
        <f t="shared" si="33"/>
        <v>1855.5944999999997</v>
      </c>
      <c r="J45" s="63">
        <f>J19</f>
        <v>0</v>
      </c>
      <c r="K45" s="63">
        <f t="shared" si="34"/>
        <v>12370.63</v>
      </c>
      <c r="L45" s="63">
        <f t="shared" si="35"/>
        <v>86594.409999999989</v>
      </c>
      <c r="M45" s="63">
        <f t="shared" si="25"/>
        <v>24741.26</v>
      </c>
      <c r="N45" s="63">
        <f t="shared" si="30"/>
        <v>150000</v>
      </c>
      <c r="O45" s="63">
        <f t="shared" si="26"/>
        <v>2474.1260000000002</v>
      </c>
      <c r="P45" s="63">
        <v>15000</v>
      </c>
      <c r="Q45" s="63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'[3]DECEMBER 2019'!$H$46</f>
        <v>618.53150000000005</v>
      </c>
      <c r="X45" s="63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00000000000001" customHeight="1" x14ac:dyDescent="0.3">
      <c r="A46" s="3">
        <v>11</v>
      </c>
      <c r="B46" s="173" t="s">
        <v>114</v>
      </c>
      <c r="C46" s="174"/>
      <c r="D46" s="20" t="s">
        <v>124</v>
      </c>
      <c r="E46" s="29" t="s">
        <v>68</v>
      </c>
      <c r="F46" s="26">
        <f>18281.64</f>
        <v>18281.64</v>
      </c>
      <c r="G46" s="63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63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'[3]DECEMBER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00000000000001" customHeight="1" x14ac:dyDescent="0.6">
      <c r="A47" s="3"/>
      <c r="B47" s="188" t="s">
        <v>32</v>
      </c>
      <c r="C47" s="189"/>
      <c r="D47" s="30">
        <v>11</v>
      </c>
      <c r="E47" s="30"/>
      <c r="F47" s="103">
        <f>SUM(F36:F46)</f>
        <v>343647.22000000003</v>
      </c>
      <c r="G47" s="103"/>
      <c r="H47" s="103">
        <f t="shared" ref="H47:Y47" si="36">SUM(H36:H46)</f>
        <v>1030941.6600000001</v>
      </c>
      <c r="I47" s="103">
        <f t="shared" si="36"/>
        <v>25773.541499999996</v>
      </c>
      <c r="J47" s="103">
        <f t="shared" si="36"/>
        <v>160488.76</v>
      </c>
      <c r="K47" s="103">
        <f t="shared" si="36"/>
        <v>171823.61000000002</v>
      </c>
      <c r="L47" s="103">
        <f t="shared" si="36"/>
        <v>1202765.27</v>
      </c>
      <c r="M47" s="103">
        <f t="shared" si="36"/>
        <v>343647.22000000003</v>
      </c>
      <c r="N47" s="103">
        <f>SUM(N36:N46)</f>
        <v>1650000</v>
      </c>
      <c r="O47" s="103">
        <f t="shared" si="36"/>
        <v>34364.722000000002</v>
      </c>
      <c r="P47" s="103">
        <f t="shared" si="36"/>
        <v>185000</v>
      </c>
      <c r="Q47" s="103">
        <f t="shared" si="36"/>
        <v>0</v>
      </c>
      <c r="R47" s="103">
        <f t="shared" si="36"/>
        <v>5148452.0035000006</v>
      </c>
      <c r="S47" s="103">
        <v>5297657.5887500001</v>
      </c>
      <c r="T47" s="103">
        <f>SUM(T36:T46)</f>
        <v>138083.91750000004</v>
      </c>
      <c r="U47" s="103">
        <f t="shared" si="36"/>
        <v>328000</v>
      </c>
      <c r="V47" s="103">
        <f t="shared" si="36"/>
        <v>982004.38</v>
      </c>
      <c r="W47" s="103">
        <f t="shared" si="36"/>
        <v>1765.8532499999999</v>
      </c>
      <c r="X47" s="103">
        <f t="shared" si="36"/>
        <v>141209.11999999997</v>
      </c>
      <c r="Y47" s="103">
        <f t="shared" si="36"/>
        <v>1452979.3532500002</v>
      </c>
      <c r="Z47" s="103">
        <v>3902139.3202500008</v>
      </c>
      <c r="AA47" s="103">
        <f>R47-Y47</f>
        <v>3695472.6502500004</v>
      </c>
      <c r="AB47" s="34"/>
    </row>
    <row r="48" spans="1:28" ht="20.100000000000001" customHeight="1" x14ac:dyDescent="0.3">
      <c r="A48" s="3"/>
      <c r="B48" s="83"/>
      <c r="C48" s="83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00000000000001" customHeight="1" x14ac:dyDescent="0.3">
      <c r="A49" s="3"/>
      <c r="B49" s="188" t="s">
        <v>115</v>
      </c>
      <c r="C49" s="189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00000000000001" customHeight="1" x14ac:dyDescent="0.3">
      <c r="A50" s="3">
        <v>1</v>
      </c>
      <c r="B50" s="169" t="s">
        <v>116</v>
      </c>
      <c r="C50" s="170"/>
      <c r="D50" s="62" t="s">
        <v>117</v>
      </c>
      <c r="E50" s="67" t="s">
        <v>41</v>
      </c>
      <c r="F50" s="63">
        <f>81740.02</f>
        <v>81740.02</v>
      </c>
      <c r="G50" s="63"/>
      <c r="H50" s="63">
        <f>F50*300%</f>
        <v>245220.06</v>
      </c>
      <c r="I50" s="63">
        <f>F50*7.5%</f>
        <v>6130.5015000000003</v>
      </c>
      <c r="J50" s="63">
        <v>80244.38</v>
      </c>
      <c r="K50" s="63">
        <f>F50*50%</f>
        <v>40870.01</v>
      </c>
      <c r="L50" s="63">
        <f>F50*350%</f>
        <v>286090.07</v>
      </c>
      <c r="M50" s="63">
        <f>F50*100%</f>
        <v>81740.02</v>
      </c>
      <c r="N50" s="63">
        <f>150000</f>
        <v>150000</v>
      </c>
      <c r="O50" s="63">
        <f>F50*10%</f>
        <v>8174.0020000000004</v>
      </c>
      <c r="P50" s="63">
        <v>20000</v>
      </c>
      <c r="Q50" s="63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63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00000000000001" customHeight="1" x14ac:dyDescent="0.6">
      <c r="A51" s="3"/>
      <c r="B51" s="188" t="s">
        <v>32</v>
      </c>
      <c r="C51" s="189"/>
      <c r="D51" s="30">
        <v>2</v>
      </c>
      <c r="E51" s="30"/>
      <c r="F51" s="103">
        <f t="shared" ref="F51:R51" si="37">SUM(F50:F50)</f>
        <v>81740.02</v>
      </c>
      <c r="G51" s="103">
        <f t="shared" si="37"/>
        <v>0</v>
      </c>
      <c r="H51" s="103">
        <f t="shared" si="37"/>
        <v>245220.06</v>
      </c>
      <c r="I51" s="103">
        <f t="shared" si="37"/>
        <v>6130.5015000000003</v>
      </c>
      <c r="J51" s="103">
        <f t="shared" si="37"/>
        <v>80244.38</v>
      </c>
      <c r="K51" s="103">
        <f t="shared" si="37"/>
        <v>40870.01</v>
      </c>
      <c r="L51" s="103">
        <f t="shared" si="37"/>
        <v>286090.07</v>
      </c>
      <c r="M51" s="103">
        <f t="shared" si="37"/>
        <v>81740.02</v>
      </c>
      <c r="N51" s="103">
        <f t="shared" si="37"/>
        <v>150000</v>
      </c>
      <c r="O51" s="103">
        <f t="shared" si="37"/>
        <v>8174.0020000000004</v>
      </c>
      <c r="P51" s="103">
        <f t="shared" si="37"/>
        <v>20000</v>
      </c>
      <c r="Q51" s="103">
        <f t="shared" si="37"/>
        <v>0</v>
      </c>
      <c r="R51" s="103">
        <f t="shared" si="37"/>
        <v>1000209.0635</v>
      </c>
      <c r="S51" s="103">
        <v>1000209.0635</v>
      </c>
      <c r="T51" s="103">
        <f>SUM(T50:T50)</f>
        <v>0</v>
      </c>
      <c r="U51" s="103"/>
      <c r="V51" s="103"/>
      <c r="W51" s="103">
        <f>SUM(W50:W50)</f>
        <v>0</v>
      </c>
      <c r="X51" s="103">
        <f>SUM(X50:X50)</f>
        <v>52776.63</v>
      </c>
      <c r="Y51" s="103">
        <f>SUM(Y50:Y50)</f>
        <v>52776.63</v>
      </c>
      <c r="Z51" s="103">
        <v>1266435.7067500001</v>
      </c>
      <c r="AA51" s="103">
        <f>R51-Y51</f>
        <v>947432.43350000004</v>
      </c>
      <c r="AB51" s="34"/>
    </row>
    <row r="52" spans="1:28" ht="20.100000000000001" customHeight="1" x14ac:dyDescent="0.3">
      <c r="A52" s="3"/>
      <c r="B52" s="188"/>
      <c r="C52" s="189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00000000000001" customHeight="1" x14ac:dyDescent="0.3">
      <c r="A53" s="3"/>
      <c r="B53" s="188" t="s">
        <v>118</v>
      </c>
      <c r="C53" s="189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00000000000001" customHeight="1" x14ac:dyDescent="0.3">
      <c r="A54" s="3">
        <v>1</v>
      </c>
      <c r="B54" s="173" t="s">
        <v>119</v>
      </c>
      <c r="C54" s="174"/>
      <c r="D54" s="48" t="s">
        <v>120</v>
      </c>
      <c r="E54" s="29" t="s">
        <v>287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63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00000000000001" customHeight="1" x14ac:dyDescent="0.3">
      <c r="A55" s="3">
        <v>2</v>
      </c>
      <c r="B55" s="171" t="s">
        <v>141</v>
      </c>
      <c r="C55" s="172"/>
      <c r="D55" s="33" t="s">
        <v>109</v>
      </c>
      <c r="E55" s="3" t="s">
        <v>57</v>
      </c>
      <c r="F55" s="63">
        <f>25523.45</f>
        <v>25523.45</v>
      </c>
      <c r="G55" s="63"/>
      <c r="H55" s="63">
        <f>F55*300%</f>
        <v>76570.350000000006</v>
      </c>
      <c r="I55" s="63">
        <f>F55*7.5%</f>
        <v>1914.25875</v>
      </c>
      <c r="J55" s="63"/>
      <c r="K55" s="63">
        <f>F55*50%</f>
        <v>12761.725</v>
      </c>
      <c r="L55" s="36">
        <f>F55*350%</f>
        <v>89332.074999999997</v>
      </c>
      <c r="M55" s="63">
        <f>F55*100%</f>
        <v>25523.45</v>
      </c>
      <c r="N55" s="63">
        <f t="shared" si="38"/>
        <v>150000</v>
      </c>
      <c r="O55" s="63">
        <f>F55*10%</f>
        <v>2552.3450000000003</v>
      </c>
      <c r="P55" s="63">
        <v>15000</v>
      </c>
      <c r="Q55" s="63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'[3]DECEMBER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00000000000001" customHeight="1" x14ac:dyDescent="0.3">
      <c r="A56" s="3">
        <v>3</v>
      </c>
      <c r="B56" s="173" t="s">
        <v>122</v>
      </c>
      <c r="C56" s="174"/>
      <c r="D56" s="48" t="s">
        <v>124</v>
      </c>
      <c r="E56" s="29" t="s">
        <v>68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63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00000000000001" customHeight="1" x14ac:dyDescent="0.3">
      <c r="A57" s="3">
        <v>4</v>
      </c>
      <c r="B57" s="178" t="s">
        <v>126</v>
      </c>
      <c r="C57" s="178"/>
      <c r="D57" s="62" t="s">
        <v>127</v>
      </c>
      <c r="E57" s="67" t="s">
        <v>92</v>
      </c>
      <c r="F57" s="63">
        <f>18779.3</f>
        <v>18779.3</v>
      </c>
      <c r="G57" s="63"/>
      <c r="H57" s="63">
        <f>F57*300%</f>
        <v>56337.899999999994</v>
      </c>
      <c r="I57" s="63">
        <f>F57*7.5%</f>
        <v>1408.4475</v>
      </c>
      <c r="J57" s="63">
        <v>0</v>
      </c>
      <c r="K57" s="63">
        <f>F57*50%</f>
        <v>9389.65</v>
      </c>
      <c r="L57" s="36">
        <f>F57*350%</f>
        <v>65727.55</v>
      </c>
      <c r="M57" s="63">
        <f>F57*100%</f>
        <v>18779.3</v>
      </c>
      <c r="N57" s="63">
        <f t="shared" si="38"/>
        <v>150000</v>
      </c>
      <c r="O57" s="63">
        <f>F57*10%</f>
        <v>1877.93</v>
      </c>
      <c r="P57" s="63">
        <v>10000</v>
      </c>
      <c r="Q57" s="63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'[3]DECEMBER 2019'!$H$45</f>
        <v>469.48250000000002</v>
      </c>
      <c r="X57" s="63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00000000000001" customHeight="1" x14ac:dyDescent="0.6">
      <c r="A58" s="3"/>
      <c r="B58" s="188" t="s">
        <v>32</v>
      </c>
      <c r="C58" s="189"/>
      <c r="D58" s="30">
        <v>4</v>
      </c>
      <c r="E58" s="30"/>
      <c r="F58" s="103">
        <f t="shared" ref="F58:Q58" si="41">SUM(F54:F57)</f>
        <v>138923.69</v>
      </c>
      <c r="G58" s="103">
        <f t="shared" si="41"/>
        <v>0</v>
      </c>
      <c r="H58" s="103">
        <f t="shared" si="41"/>
        <v>416771.06999999995</v>
      </c>
      <c r="I58" s="103">
        <f t="shared" si="41"/>
        <v>10419.276750000001</v>
      </c>
      <c r="J58" s="103">
        <f t="shared" si="41"/>
        <v>80244.38</v>
      </c>
      <c r="K58" s="103">
        <f t="shared" si="41"/>
        <v>69461.845000000001</v>
      </c>
      <c r="L58" s="103">
        <f t="shared" si="41"/>
        <v>486232.91499999998</v>
      </c>
      <c r="M58" s="103">
        <f t="shared" si="41"/>
        <v>138923.69</v>
      </c>
      <c r="N58" s="103">
        <f t="shared" si="41"/>
        <v>600000</v>
      </c>
      <c r="O58" s="103">
        <f t="shared" si="41"/>
        <v>13892.369000000002</v>
      </c>
      <c r="P58" s="103">
        <f t="shared" si="41"/>
        <v>55000</v>
      </c>
      <c r="Q58" s="103">
        <f t="shared" si="41"/>
        <v>0</v>
      </c>
      <c r="R58" s="103">
        <f>SUM(R54:R57)</f>
        <v>2009869.23575</v>
      </c>
      <c r="S58" s="103">
        <v>2114833.1545000002</v>
      </c>
      <c r="T58" s="103">
        <f>SUM(T54:T57)</f>
        <v>101902.94725000003</v>
      </c>
      <c r="U58" s="103">
        <f>SUM(U54:U57)</f>
        <v>250000</v>
      </c>
      <c r="V58" s="103">
        <f>SUM(V54:V57)</f>
        <v>363103.58999999997</v>
      </c>
      <c r="W58" s="103">
        <f>SUM(W54:W57)</f>
        <v>1107.5687500000001</v>
      </c>
      <c r="X58" s="103">
        <f>SUM(X54:X57)</f>
        <v>67225.41</v>
      </c>
      <c r="Y58" s="103">
        <f>SUM(R58:X58)</f>
        <v>4908041.90625</v>
      </c>
      <c r="Z58" s="103">
        <v>1428432.6670000001</v>
      </c>
      <c r="AA58" s="103">
        <f>SUM(AA54:AA57)</f>
        <v>1328432.6670000001</v>
      </c>
      <c r="AB58" s="34"/>
    </row>
    <row r="59" spans="1:28" ht="20.100000000000001" customHeight="1" x14ac:dyDescent="0.3">
      <c r="A59" s="3"/>
      <c r="B59" s="70"/>
      <c r="C59" s="71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00000000000001" customHeight="1" x14ac:dyDescent="0.3">
      <c r="A60" s="3"/>
      <c r="B60" s="188" t="s">
        <v>130</v>
      </c>
      <c r="C60" s="189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00000000000001" customHeight="1" x14ac:dyDescent="0.3">
      <c r="A61" s="3">
        <v>1</v>
      </c>
      <c r="B61" s="169" t="s">
        <v>131</v>
      </c>
      <c r="C61" s="170"/>
      <c r="D61" s="33" t="s">
        <v>132</v>
      </c>
      <c r="E61" s="3" t="s">
        <v>41</v>
      </c>
      <c r="F61" s="63">
        <f>81740.02</f>
        <v>81740.02</v>
      </c>
      <c r="G61" s="63"/>
      <c r="H61" s="63">
        <f t="shared" ref="H61:H64" si="42">F61*300%</f>
        <v>245220.06</v>
      </c>
      <c r="I61" s="63">
        <f t="shared" ref="I61:I64" si="43">F61*7.5%</f>
        <v>6130.5015000000003</v>
      </c>
      <c r="J61" s="63">
        <v>80244.38</v>
      </c>
      <c r="K61" s="63">
        <f>F61*50%</f>
        <v>40870.01</v>
      </c>
      <c r="L61" s="63">
        <f t="shared" ref="L61:L64" si="44">F61*350%</f>
        <v>286090.07</v>
      </c>
      <c r="M61" s="63">
        <f>F61*100%</f>
        <v>81740.02</v>
      </c>
      <c r="N61" s="63">
        <f t="shared" ref="N61:N64" si="45">150000</f>
        <v>150000</v>
      </c>
      <c r="O61" s="63">
        <f>F61*10%</f>
        <v>8174.0020000000004</v>
      </c>
      <c r="P61" s="63">
        <v>20000</v>
      </c>
      <c r="Q61" s="63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63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00000000000001" customHeight="1" x14ac:dyDescent="0.3">
      <c r="A62" s="3">
        <v>2</v>
      </c>
      <c r="B62" s="169" t="s">
        <v>139</v>
      </c>
      <c r="C62" s="170"/>
      <c r="D62" s="33" t="s">
        <v>101</v>
      </c>
      <c r="E62" s="3" t="s">
        <v>143</v>
      </c>
      <c r="F62" s="63">
        <f>27611.23</f>
        <v>27611.23</v>
      </c>
      <c r="G62" s="63"/>
      <c r="H62" s="63">
        <f t="shared" si="42"/>
        <v>82833.69</v>
      </c>
      <c r="I62" s="63">
        <f t="shared" si="43"/>
        <v>2070.8422499999997</v>
      </c>
      <c r="J62" s="63"/>
      <c r="K62" s="63">
        <f>F62*50%</f>
        <v>13805.615</v>
      </c>
      <c r="L62" s="63">
        <f t="shared" si="44"/>
        <v>96639.304999999993</v>
      </c>
      <c r="M62" s="63">
        <f>F62*100%</f>
        <v>27611.23</v>
      </c>
      <c r="N62" s="63">
        <f t="shared" si="45"/>
        <v>150000</v>
      </c>
      <c r="O62" s="63">
        <f>F62*10%</f>
        <v>2761.123</v>
      </c>
      <c r="P62" s="63">
        <v>20000</v>
      </c>
      <c r="Q62" s="63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'[3]DECEMBER 2019'!$H$42</f>
        <v>690.28075000000001</v>
      </c>
      <c r="X62" s="63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00000000000001" customHeight="1" x14ac:dyDescent="0.3">
      <c r="A63" s="3">
        <v>3</v>
      </c>
      <c r="B63" s="169" t="s">
        <v>128</v>
      </c>
      <c r="C63" s="170"/>
      <c r="D63" s="33" t="s">
        <v>129</v>
      </c>
      <c r="E63" s="3" t="s">
        <v>85</v>
      </c>
      <c r="F63" s="63">
        <f>17784</f>
        <v>17784</v>
      </c>
      <c r="G63" s="63"/>
      <c r="H63" s="63">
        <f t="shared" si="42"/>
        <v>53352</v>
      </c>
      <c r="I63" s="63">
        <f t="shared" si="43"/>
        <v>1333.8</v>
      </c>
      <c r="J63" s="63"/>
      <c r="K63" s="63">
        <f>F63*50%</f>
        <v>8892</v>
      </c>
      <c r="L63" s="63">
        <f t="shared" si="44"/>
        <v>62244</v>
      </c>
      <c r="M63" s="63">
        <f>F63*100%</f>
        <v>17784</v>
      </c>
      <c r="N63" s="63">
        <f t="shared" si="45"/>
        <v>150000</v>
      </c>
      <c r="O63" s="63">
        <f>F63*10%</f>
        <v>1778.4</v>
      </c>
      <c r="P63" s="63">
        <v>10000</v>
      </c>
      <c r="Q63" s="63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63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00000000000001" customHeight="1" x14ac:dyDescent="0.3">
      <c r="A64" s="3">
        <v>4</v>
      </c>
      <c r="B64" s="169" t="s">
        <v>133</v>
      </c>
      <c r="C64" s="170"/>
      <c r="D64" s="62" t="s">
        <v>129</v>
      </c>
      <c r="E64" s="67" t="s">
        <v>92</v>
      </c>
      <c r="F64" s="63">
        <f>18779.3</f>
        <v>18779.3</v>
      </c>
      <c r="G64" s="63"/>
      <c r="H64" s="63">
        <f t="shared" si="42"/>
        <v>56337.899999999994</v>
      </c>
      <c r="I64" s="63">
        <f t="shared" si="43"/>
        <v>1408.4475</v>
      </c>
      <c r="J64" s="36">
        <v>0</v>
      </c>
      <c r="K64" s="63">
        <f>F64*50%</f>
        <v>9389.65</v>
      </c>
      <c r="L64" s="36">
        <f t="shared" si="44"/>
        <v>65727.55</v>
      </c>
      <c r="M64" s="63">
        <f>F64*100%</f>
        <v>18779.3</v>
      </c>
      <c r="N64" s="63">
        <f t="shared" si="45"/>
        <v>150000</v>
      </c>
      <c r="O64" s="63">
        <f>F64*10%</f>
        <v>1877.93</v>
      </c>
      <c r="P64" s="63">
        <v>10000</v>
      </c>
      <c r="Q64" s="63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'[3]DECEMBER 2019'!$H$48</f>
        <v>469.48250000000002</v>
      </c>
      <c r="X64" s="63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00000000000001" customHeight="1" x14ac:dyDescent="0.6">
      <c r="A65" s="3"/>
      <c r="B65" s="188" t="s">
        <v>32</v>
      </c>
      <c r="C65" s="189"/>
      <c r="D65" s="30">
        <v>4</v>
      </c>
      <c r="E65" s="30"/>
      <c r="F65" s="103">
        <f>SUM(F61:F64)</f>
        <v>145914.54999999999</v>
      </c>
      <c r="G65" s="103"/>
      <c r="H65" s="103">
        <f t="shared" ref="H65:Y65" si="47">SUM(H61:H64)</f>
        <v>437743.65</v>
      </c>
      <c r="I65" s="103">
        <f t="shared" si="47"/>
        <v>10943.591249999999</v>
      </c>
      <c r="J65" s="103">
        <f t="shared" si="47"/>
        <v>80244.38</v>
      </c>
      <c r="K65" s="103">
        <f t="shared" si="47"/>
        <v>72957.274999999994</v>
      </c>
      <c r="L65" s="103">
        <f t="shared" si="47"/>
        <v>510700.92499999999</v>
      </c>
      <c r="M65" s="103">
        <f t="shared" si="47"/>
        <v>145914.54999999999</v>
      </c>
      <c r="N65" s="106">
        <f>SUM(N61:N64)</f>
        <v>600000</v>
      </c>
      <c r="O65" s="103">
        <f t="shared" si="47"/>
        <v>14591.455</v>
      </c>
      <c r="P65" s="103">
        <f t="shared" si="47"/>
        <v>60000</v>
      </c>
      <c r="Q65" s="103">
        <f t="shared" si="47"/>
        <v>0</v>
      </c>
      <c r="R65" s="103">
        <f t="shared" si="47"/>
        <v>2079010.37625</v>
      </c>
      <c r="S65" s="103">
        <v>2218281.1864999998</v>
      </c>
      <c r="T65" s="103">
        <f>SUM(T61:T64)</f>
        <v>139270.81024999998</v>
      </c>
      <c r="U65" s="103">
        <f t="shared" si="47"/>
        <v>220000</v>
      </c>
      <c r="V65" s="103">
        <f t="shared" si="47"/>
        <v>633315.1</v>
      </c>
      <c r="W65" s="103">
        <f t="shared" si="47"/>
        <v>1159.76325</v>
      </c>
      <c r="X65" s="103">
        <f t="shared" si="47"/>
        <v>67225.41</v>
      </c>
      <c r="Y65" s="103">
        <f t="shared" si="47"/>
        <v>921700.27325000009</v>
      </c>
      <c r="Z65" s="103">
        <v>1188810.1030000001</v>
      </c>
      <c r="AA65" s="103">
        <f>SUM(AA61:AA64)</f>
        <v>1157310.1030000001</v>
      </c>
      <c r="AB65" s="34"/>
    </row>
    <row r="66" spans="1:28" ht="20.100000000000001" customHeight="1" x14ac:dyDescent="0.3">
      <c r="A66" s="3"/>
      <c r="B66" s="190"/>
      <c r="C66" s="191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4"/>
      <c r="S66" s="64"/>
      <c r="T66" s="64"/>
      <c r="U66" s="64"/>
      <c r="V66" s="64"/>
      <c r="W66" s="64"/>
      <c r="X66" s="39"/>
      <c r="Y66" s="36"/>
      <c r="Z66" s="36"/>
      <c r="AA66" s="36"/>
      <c r="AB66" s="34"/>
    </row>
    <row r="67" spans="1:28" ht="20.100000000000001" customHeight="1" x14ac:dyDescent="0.3">
      <c r="A67" s="3"/>
      <c r="B67" s="192" t="s">
        <v>134</v>
      </c>
      <c r="C67" s="193"/>
      <c r="D67" s="72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4"/>
      <c r="S67" s="64"/>
      <c r="T67" s="64"/>
      <c r="U67" s="64"/>
      <c r="V67" s="64"/>
      <c r="W67" s="64"/>
      <c r="X67" s="39"/>
      <c r="Y67" s="36"/>
      <c r="Z67" s="36"/>
      <c r="AA67" s="36"/>
    </row>
    <row r="68" spans="1:28" ht="20.100000000000001" customHeight="1" x14ac:dyDescent="0.3">
      <c r="A68" s="3">
        <v>1</v>
      </c>
      <c r="B68" s="169" t="s">
        <v>39</v>
      </c>
      <c r="C68" s="170"/>
      <c r="D68" s="62" t="s">
        <v>270</v>
      </c>
      <c r="E68" s="67" t="s">
        <v>41</v>
      </c>
      <c r="F68" s="63">
        <v>81740.02</v>
      </c>
      <c r="G68" s="63"/>
      <c r="H68" s="63">
        <f>F68*300%</f>
        <v>245220.06</v>
      </c>
      <c r="I68" s="63">
        <f>F68*7.5%</f>
        <v>6130.5015000000003</v>
      </c>
      <c r="J68" s="63">
        <v>80244.38</v>
      </c>
      <c r="K68" s="63">
        <f>F68*50%</f>
        <v>40870.01</v>
      </c>
      <c r="L68" s="63">
        <f>F68*350%</f>
        <v>286090.07</v>
      </c>
      <c r="M68" s="63">
        <f t="shared" ref="M68:M76" si="48">F68*100%</f>
        <v>81740.02</v>
      </c>
      <c r="N68" s="63">
        <f t="shared" ref="N68:N76" si="49">150000</f>
        <v>150000</v>
      </c>
      <c r="O68" s="63">
        <f t="shared" ref="O68:O76" si="50">F68*10%</f>
        <v>8174.0020000000004</v>
      </c>
      <c r="P68" s="63">
        <v>20000</v>
      </c>
      <c r="Q68" s="63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'[3]DECEMBER 2019'!$H$39</f>
        <v>2043.5005000000001</v>
      </c>
      <c r="X68" s="63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00000000000001" customHeight="1" x14ac:dyDescent="0.3">
      <c r="A69" s="3">
        <v>2</v>
      </c>
      <c r="B69" s="169" t="s">
        <v>135</v>
      </c>
      <c r="C69" s="170"/>
      <c r="D69" s="33" t="s">
        <v>271</v>
      </c>
      <c r="E69" s="3" t="s">
        <v>44</v>
      </c>
      <c r="F69" s="63">
        <f>33507.5</f>
        <v>33507.5</v>
      </c>
      <c r="G69" s="63"/>
      <c r="H69" s="63">
        <f t="shared" ref="H69:H76" si="53">F69*300%</f>
        <v>100522.5</v>
      </c>
      <c r="I69" s="63">
        <f t="shared" ref="I69:I76" si="54">F69*7.5%</f>
        <v>2513.0625</v>
      </c>
      <c r="J69" s="63">
        <v>40122.19</v>
      </c>
      <c r="K69" s="63">
        <f t="shared" ref="K69:K76" si="55">F69*50%</f>
        <v>16753.75</v>
      </c>
      <c r="L69" s="63">
        <f t="shared" ref="L69:L76" si="56">F69*350%</f>
        <v>117276.25</v>
      </c>
      <c r="M69" s="63">
        <f t="shared" si="48"/>
        <v>33507.5</v>
      </c>
      <c r="N69" s="63">
        <f t="shared" si="49"/>
        <v>150000</v>
      </c>
      <c r="O69" s="63">
        <f t="shared" si="50"/>
        <v>3350.75</v>
      </c>
      <c r="P69" s="63">
        <v>20000</v>
      </c>
      <c r="Q69" s="63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63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00000000000001" customHeight="1" x14ac:dyDescent="0.3">
      <c r="A70" s="3">
        <v>3</v>
      </c>
      <c r="B70" s="169" t="s">
        <v>137</v>
      </c>
      <c r="C70" s="170"/>
      <c r="D70" s="33" t="s">
        <v>101</v>
      </c>
      <c r="E70" s="3" t="s">
        <v>102</v>
      </c>
      <c r="F70" s="63">
        <v>28489.81</v>
      </c>
      <c r="G70" s="63"/>
      <c r="H70" s="63">
        <f t="shared" si="53"/>
        <v>85469.430000000008</v>
      </c>
      <c r="I70" s="63">
        <f t="shared" si="54"/>
        <v>2136.7357499999998</v>
      </c>
      <c r="J70" s="63"/>
      <c r="K70" s="63">
        <f t="shared" si="55"/>
        <v>14244.905000000001</v>
      </c>
      <c r="L70" s="63">
        <f t="shared" si="56"/>
        <v>99714.335000000006</v>
      </c>
      <c r="M70" s="63">
        <f t="shared" si="48"/>
        <v>28489.81</v>
      </c>
      <c r="N70" s="63">
        <f t="shared" si="49"/>
        <v>150000</v>
      </c>
      <c r="O70" s="63">
        <f t="shared" si="50"/>
        <v>2848.9810000000002</v>
      </c>
      <c r="P70" s="63">
        <v>20000</v>
      </c>
      <c r="Q70" s="63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63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00000000000001" customHeight="1" x14ac:dyDescent="0.3">
      <c r="A71" s="3">
        <v>4</v>
      </c>
      <c r="B71" s="169" t="s">
        <v>140</v>
      </c>
      <c r="C71" s="170"/>
      <c r="D71" s="33" t="s">
        <v>112</v>
      </c>
      <c r="E71" s="3" t="s">
        <v>57</v>
      </c>
      <c r="F71" s="63">
        <f>25523.45</f>
        <v>25523.45</v>
      </c>
      <c r="G71" s="63"/>
      <c r="H71" s="63">
        <f t="shared" si="53"/>
        <v>76570.350000000006</v>
      </c>
      <c r="I71" s="63">
        <f t="shared" si="54"/>
        <v>1914.25875</v>
      </c>
      <c r="J71" s="63">
        <v>0</v>
      </c>
      <c r="K71" s="63">
        <f t="shared" si="55"/>
        <v>12761.725</v>
      </c>
      <c r="L71" s="63">
        <f t="shared" si="56"/>
        <v>89332.074999999997</v>
      </c>
      <c r="M71" s="63">
        <f t="shared" si="48"/>
        <v>25523.45</v>
      </c>
      <c r="N71" s="63">
        <f t="shared" si="49"/>
        <v>150000</v>
      </c>
      <c r="O71" s="63">
        <f t="shared" si="50"/>
        <v>2552.3450000000003</v>
      </c>
      <c r="P71" s="63">
        <v>15000</v>
      </c>
      <c r="Q71" s="63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00000000000001" customHeight="1" x14ac:dyDescent="0.3">
      <c r="A72" s="3">
        <v>5</v>
      </c>
      <c r="B72" s="173" t="s">
        <v>144</v>
      </c>
      <c r="C72" s="174"/>
      <c r="D72" s="20" t="s">
        <v>112</v>
      </c>
      <c r="E72" s="29" t="s">
        <v>110</v>
      </c>
      <c r="F72" s="26">
        <f>24741.26</f>
        <v>24741.26</v>
      </c>
      <c r="G72" s="63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63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00000000000001" customHeight="1" x14ac:dyDescent="0.3">
      <c r="A73" s="3">
        <v>6</v>
      </c>
      <c r="B73" s="173" t="s">
        <v>123</v>
      </c>
      <c r="C73" s="174"/>
      <c r="D73" s="20" t="s">
        <v>124</v>
      </c>
      <c r="E73" s="29" t="s">
        <v>285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63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00000000000001" customHeight="1" x14ac:dyDescent="0.3">
      <c r="A74" s="3">
        <v>7</v>
      </c>
      <c r="B74" s="173" t="s">
        <v>121</v>
      </c>
      <c r="C74" s="174"/>
      <c r="D74" s="20" t="s">
        <v>112</v>
      </c>
      <c r="E74" s="29" t="s">
        <v>110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63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00000000000001" customHeight="1" x14ac:dyDescent="0.3">
      <c r="A75" s="3">
        <v>8</v>
      </c>
      <c r="B75" s="173" t="s">
        <v>145</v>
      </c>
      <c r="C75" s="174"/>
      <c r="D75" s="20" t="s">
        <v>289</v>
      </c>
      <c r="E75" s="29" t="s">
        <v>110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63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'[3]DECEMBER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" customHeight="1" x14ac:dyDescent="0.3">
      <c r="A76" s="3">
        <v>9</v>
      </c>
      <c r="B76" s="178" t="s">
        <v>146</v>
      </c>
      <c r="C76" s="178"/>
      <c r="D76" s="33" t="s">
        <v>124</v>
      </c>
      <c r="E76" s="67" t="s">
        <v>68</v>
      </c>
      <c r="F76" s="63">
        <f>18281.64</f>
        <v>18281.64</v>
      </c>
      <c r="G76" s="63"/>
      <c r="H76" s="63">
        <f t="shared" si="53"/>
        <v>54844.92</v>
      </c>
      <c r="I76" s="63">
        <f t="shared" si="54"/>
        <v>1371.1229999999998</v>
      </c>
      <c r="J76" s="63">
        <v>0</v>
      </c>
      <c r="K76" s="63">
        <f t="shared" si="55"/>
        <v>9140.82</v>
      </c>
      <c r="L76" s="36">
        <f t="shared" si="56"/>
        <v>63985.74</v>
      </c>
      <c r="M76" s="63">
        <f t="shared" si="48"/>
        <v>18281.64</v>
      </c>
      <c r="N76" s="63">
        <f t="shared" si="49"/>
        <v>150000</v>
      </c>
      <c r="O76" s="63">
        <f t="shared" si="50"/>
        <v>1828.164</v>
      </c>
      <c r="P76" s="63">
        <v>10000</v>
      </c>
      <c r="Q76" s="63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63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00000000000001" customHeight="1" x14ac:dyDescent="0.6">
      <c r="A77" s="33"/>
      <c r="B77" s="179" t="s">
        <v>32</v>
      </c>
      <c r="C77" s="179"/>
      <c r="D77" s="7">
        <v>9</v>
      </c>
      <c r="E77" s="7"/>
      <c r="F77" s="106">
        <f>SUM(F68:F76)</f>
        <v>281540.82000000007</v>
      </c>
      <c r="G77" s="106"/>
      <c r="H77" s="106">
        <f t="shared" ref="H77:AA77" si="59">SUM(H68:H76)</f>
        <v>844622.46000000008</v>
      </c>
      <c r="I77" s="106">
        <f t="shared" si="59"/>
        <v>21115.561499999996</v>
      </c>
      <c r="J77" s="106">
        <f t="shared" si="59"/>
        <v>120366.57</v>
      </c>
      <c r="K77" s="106">
        <f t="shared" si="59"/>
        <v>140770.41000000003</v>
      </c>
      <c r="L77" s="106">
        <f t="shared" si="59"/>
        <v>985392.87000000011</v>
      </c>
      <c r="M77" s="106">
        <f t="shared" si="59"/>
        <v>281540.82000000007</v>
      </c>
      <c r="N77" s="106">
        <f>SUM(N68:N76)</f>
        <v>1350000</v>
      </c>
      <c r="O77" s="106">
        <f t="shared" si="59"/>
        <v>28154.082000000002</v>
      </c>
      <c r="P77" s="106">
        <f t="shared" si="59"/>
        <v>140000</v>
      </c>
      <c r="Q77" s="106">
        <f t="shared" si="59"/>
        <v>0</v>
      </c>
      <c r="R77" s="106">
        <f>SUM(R68:R76)</f>
        <v>4193503.5935000004</v>
      </c>
      <c r="S77" s="106">
        <v>4403709.54</v>
      </c>
      <c r="T77" s="106">
        <f>SUM(T68:T76)</f>
        <v>176840.94325000013</v>
      </c>
      <c r="U77" s="106">
        <f>SUM(U68:U76)</f>
        <v>390000</v>
      </c>
      <c r="V77" s="106">
        <f>SUM(V68:V76)</f>
        <v>444827.21</v>
      </c>
      <c r="W77" s="106">
        <f>SUM(W68:W76)</f>
        <v>2662.0320000000002</v>
      </c>
      <c r="X77" s="106">
        <f>SUM(X68:X76)</f>
        <v>113612.77999999996</v>
      </c>
      <c r="Y77" s="106">
        <f>SUM(U77:X77)</f>
        <v>951102.02199999988</v>
      </c>
      <c r="Z77" s="106">
        <v>3362401.5714999996</v>
      </c>
      <c r="AA77" s="106">
        <f t="shared" si="59"/>
        <v>3242401.5714999996</v>
      </c>
      <c r="AB77" s="34"/>
    </row>
    <row r="78" spans="1:28" ht="20.100000000000001" customHeight="1" x14ac:dyDescent="0.3">
      <c r="A78" s="33"/>
      <c r="B78" s="101"/>
      <c r="C78" s="101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00000000000001" customHeight="1" x14ac:dyDescent="0.3">
      <c r="A79" s="33"/>
      <c r="B79" s="179" t="s">
        <v>147</v>
      </c>
      <c r="C79" s="179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00000000000001" customHeight="1" x14ac:dyDescent="0.3">
      <c r="A80" s="33">
        <v>1</v>
      </c>
      <c r="B80" s="169" t="s">
        <v>148</v>
      </c>
      <c r="C80" s="170"/>
      <c r="D80" s="33" t="s">
        <v>290</v>
      </c>
      <c r="E80" s="3" t="s">
        <v>44</v>
      </c>
      <c r="F80" s="63">
        <f>33507.5</f>
        <v>33507.5</v>
      </c>
      <c r="G80" s="63"/>
      <c r="H80" s="63">
        <f>F80*300%</f>
        <v>100522.5</v>
      </c>
      <c r="I80" s="63">
        <f>F80*7.5%</f>
        <v>2513.0625</v>
      </c>
      <c r="J80" s="63">
        <v>40122.19</v>
      </c>
      <c r="K80" s="63">
        <f>F80*50%</f>
        <v>16753.75</v>
      </c>
      <c r="L80" s="63">
        <f>F80*350%</f>
        <v>117276.25</v>
      </c>
      <c r="M80" s="63">
        <f>F80*100%</f>
        <v>33507.5</v>
      </c>
      <c r="N80" s="63">
        <v>150000</v>
      </c>
      <c r="O80" s="63">
        <f>F80*10%</f>
        <v>3350.75</v>
      </c>
      <c r="P80" s="63">
        <v>20000</v>
      </c>
      <c r="Q80" s="63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'[3]DECEMBER 2019'!$H$30</f>
        <v>837.6875</v>
      </c>
      <c r="X80" s="63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00000000000001" customHeight="1" x14ac:dyDescent="0.3">
      <c r="A81" s="33">
        <v>2</v>
      </c>
      <c r="B81" s="173" t="s">
        <v>150</v>
      </c>
      <c r="C81" s="174"/>
      <c r="D81" s="20" t="s">
        <v>151</v>
      </c>
      <c r="E81" s="29" t="s">
        <v>110</v>
      </c>
      <c r="F81" s="26">
        <f>24741.26</f>
        <v>24741.26</v>
      </c>
      <c r="G81" s="63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00000000000001" customHeight="1" x14ac:dyDescent="0.3">
      <c r="A82" s="33">
        <v>3</v>
      </c>
      <c r="B82" s="169" t="s">
        <v>152</v>
      </c>
      <c r="C82" s="170"/>
      <c r="D82" s="33" t="s">
        <v>273</v>
      </c>
      <c r="E82" s="67" t="s">
        <v>85</v>
      </c>
      <c r="F82" s="26">
        <f>17784</f>
        <v>17784</v>
      </c>
      <c r="G82" s="63"/>
      <c r="H82" s="63">
        <f>F82*300%</f>
        <v>53352</v>
      </c>
      <c r="I82" s="63">
        <f>F82*7.5%</f>
        <v>1333.8</v>
      </c>
      <c r="J82" s="63"/>
      <c r="K82" s="63">
        <f>F82*50%</f>
        <v>8892</v>
      </c>
      <c r="L82" s="36">
        <f>F82*350%</f>
        <v>62244</v>
      </c>
      <c r="M82" s="26">
        <f>F82*100%</f>
        <v>17784</v>
      </c>
      <c r="N82" s="63">
        <f t="shared" ref="N82" si="61">100000</f>
        <v>100000</v>
      </c>
      <c r="O82" s="63">
        <f>F82*10%</f>
        <v>1778.4</v>
      </c>
      <c r="P82" s="63">
        <v>10000</v>
      </c>
      <c r="Q82" s="63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63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00000000000001" customHeight="1" x14ac:dyDescent="0.3">
      <c r="A83" s="33">
        <v>4</v>
      </c>
      <c r="B83" s="84" t="s">
        <v>154</v>
      </c>
      <c r="C83" s="85"/>
      <c r="D83" s="33"/>
      <c r="E83" s="67" t="s">
        <v>286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00000000000001" customHeight="1" x14ac:dyDescent="0.6">
      <c r="A84" s="33"/>
      <c r="B84" s="179" t="s">
        <v>32</v>
      </c>
      <c r="C84" s="179"/>
      <c r="D84" s="7">
        <v>4</v>
      </c>
      <c r="E84" s="102"/>
      <c r="F84" s="103">
        <f t="shared" ref="F84:Q84" si="63">SUM(F80:F83)</f>
        <v>93319.09</v>
      </c>
      <c r="G84" s="103">
        <f t="shared" si="63"/>
        <v>0</v>
      </c>
      <c r="H84" s="103">
        <f t="shared" si="63"/>
        <v>279957.27</v>
      </c>
      <c r="I84" s="103">
        <f t="shared" si="63"/>
        <v>6998.9317499999997</v>
      </c>
      <c r="J84" s="103">
        <f t="shared" si="63"/>
        <v>40122.19</v>
      </c>
      <c r="K84" s="103">
        <f t="shared" si="63"/>
        <v>46659.544999999998</v>
      </c>
      <c r="L84" s="103">
        <f t="shared" si="63"/>
        <v>326616.815</v>
      </c>
      <c r="M84" s="103">
        <f t="shared" si="63"/>
        <v>93319.09</v>
      </c>
      <c r="N84" s="103">
        <f t="shared" si="63"/>
        <v>450000</v>
      </c>
      <c r="O84" s="103">
        <f t="shared" si="63"/>
        <v>9331.9089999999997</v>
      </c>
      <c r="P84" s="103">
        <f t="shared" si="63"/>
        <v>55000</v>
      </c>
      <c r="Q84" s="103">
        <f t="shared" si="63"/>
        <v>150000</v>
      </c>
      <c r="R84" s="103">
        <f>SUM(R80:R83)</f>
        <v>1551324.84075</v>
      </c>
      <c r="S84" s="103">
        <v>1643258.6159999999</v>
      </c>
      <c r="T84" s="103">
        <f>SUM(T80:T83)</f>
        <v>80812.107499999984</v>
      </c>
      <c r="U84" s="103">
        <f>SUM(U80:U83)</f>
        <v>35000</v>
      </c>
      <c r="V84" s="103">
        <f>SUM(V80:V83)</f>
        <v>0</v>
      </c>
      <c r="W84" s="103">
        <f>SUM(W80:W83)</f>
        <v>1282.2874999999999</v>
      </c>
      <c r="X84" s="103">
        <f>SUM(X80:X83)</f>
        <v>29997.11</v>
      </c>
      <c r="Y84" s="103">
        <f>SUM(U84:X84)</f>
        <v>66279.397499999992</v>
      </c>
      <c r="Z84" s="103">
        <v>1505045.44325</v>
      </c>
      <c r="AA84" s="103">
        <f>SUM(AA80:AA83)</f>
        <v>1485045.44325</v>
      </c>
      <c r="AB84" s="34"/>
    </row>
    <row r="85" spans="1:28" ht="20.100000000000001" customHeight="1" x14ac:dyDescent="0.3">
      <c r="A85" s="33"/>
      <c r="B85" s="101"/>
      <c r="C85" s="101"/>
      <c r="D85" s="7"/>
      <c r="E85" s="102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00000000000001" customHeight="1" x14ac:dyDescent="0.3">
      <c r="A86" s="33"/>
      <c r="B86" s="179" t="s">
        <v>155</v>
      </c>
      <c r="C86" s="179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00000000000001" customHeight="1" x14ac:dyDescent="0.3">
      <c r="A87" s="33">
        <v>1</v>
      </c>
      <c r="B87" s="169" t="s">
        <v>156</v>
      </c>
      <c r="C87" s="170"/>
      <c r="D87" s="62" t="s">
        <v>157</v>
      </c>
      <c r="E87" s="67" t="s">
        <v>287</v>
      </c>
      <c r="F87" s="63">
        <f>76339.3</f>
        <v>76339.3</v>
      </c>
      <c r="G87" s="63"/>
      <c r="H87" s="63">
        <f>F87*300%</f>
        <v>229017.90000000002</v>
      </c>
      <c r="I87" s="63">
        <f>F87*7.5%</f>
        <v>5725.4475000000002</v>
      </c>
      <c r="J87" s="63">
        <v>80244.38</v>
      </c>
      <c r="K87" s="63">
        <f>F87*50%</f>
        <v>38169.65</v>
      </c>
      <c r="L87" s="63">
        <f>F87*350%</f>
        <v>267187.55</v>
      </c>
      <c r="M87" s="63">
        <f>F87*100%</f>
        <v>76339.3</v>
      </c>
      <c r="N87" s="63">
        <v>150000</v>
      </c>
      <c r="O87" s="63">
        <f>F87*10%</f>
        <v>7633.93</v>
      </c>
      <c r="P87" s="63">
        <v>20000</v>
      </c>
      <c r="Q87" s="63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63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00000000000001" customHeight="1" x14ac:dyDescent="0.3">
      <c r="A88" s="33">
        <v>2</v>
      </c>
      <c r="B88" s="180" t="s">
        <v>158</v>
      </c>
      <c r="C88" s="181"/>
      <c r="D88" s="33" t="s">
        <v>159</v>
      </c>
      <c r="E88" s="3" t="s">
        <v>44</v>
      </c>
      <c r="F88" s="63">
        <f>33507.5</f>
        <v>33507.5</v>
      </c>
      <c r="G88" s="63"/>
      <c r="H88" s="63">
        <f>F88*300%</f>
        <v>100522.5</v>
      </c>
      <c r="I88" s="63">
        <f>F88*7.5%</f>
        <v>2513.0625</v>
      </c>
      <c r="J88" s="63">
        <v>40122.19</v>
      </c>
      <c r="K88" s="63">
        <f>F88*50%</f>
        <v>16753.75</v>
      </c>
      <c r="L88" s="63">
        <f>F88*350%</f>
        <v>117276.25</v>
      </c>
      <c r="M88" s="63">
        <f>F88*100%</f>
        <v>33507.5</v>
      </c>
      <c r="N88" s="63">
        <v>150000</v>
      </c>
      <c r="O88" s="63">
        <f>F88*10%</f>
        <v>3350.75</v>
      </c>
      <c r="P88" s="63">
        <v>20000</v>
      </c>
      <c r="Q88" s="63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'[3]DECEMBER 2019'!$H$37</f>
        <v>837.6875</v>
      </c>
      <c r="X88" s="63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00000000000001" customHeight="1" x14ac:dyDescent="0.3">
      <c r="A89" s="33">
        <v>3</v>
      </c>
      <c r="B89" s="169" t="s">
        <v>160</v>
      </c>
      <c r="C89" s="170"/>
      <c r="D89" s="33" t="s">
        <v>274</v>
      </c>
      <c r="E89" s="3" t="s">
        <v>57</v>
      </c>
      <c r="F89" s="63">
        <f>25523.45</f>
        <v>25523.45</v>
      </c>
      <c r="G89" s="63"/>
      <c r="H89" s="63">
        <f>F89*300%</f>
        <v>76570.350000000006</v>
      </c>
      <c r="I89" s="63">
        <f>F89*7.5%</f>
        <v>1914.25875</v>
      </c>
      <c r="J89" s="63">
        <v>0</v>
      </c>
      <c r="K89" s="63">
        <f>F89*50%</f>
        <v>12761.725</v>
      </c>
      <c r="L89" s="63">
        <f>F89*350%</f>
        <v>89332.074999999997</v>
      </c>
      <c r="M89" s="63">
        <f>F89*100%</f>
        <v>25523.45</v>
      </c>
      <c r="N89" s="63">
        <v>150000</v>
      </c>
      <c r="O89" s="63">
        <f>F89*10%</f>
        <v>2552.3450000000003</v>
      </c>
      <c r="P89" s="63">
        <v>15000</v>
      </c>
      <c r="Q89" s="63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'[3]DECEMBER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00000000000001" customHeight="1" x14ac:dyDescent="0.3">
      <c r="A90" s="33">
        <v>4</v>
      </c>
      <c r="B90" s="173" t="s">
        <v>162</v>
      </c>
      <c r="C90" s="174"/>
      <c r="D90" s="20" t="s">
        <v>275</v>
      </c>
      <c r="E90" s="29" t="s">
        <v>291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63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00000000000001" customHeight="1" x14ac:dyDescent="0.6">
      <c r="A91" s="33"/>
      <c r="B91" s="179" t="s">
        <v>32</v>
      </c>
      <c r="C91" s="179"/>
      <c r="D91" s="3">
        <v>4</v>
      </c>
      <c r="E91" s="33"/>
      <c r="F91" s="104">
        <f>SUM(F87:F90)</f>
        <v>156140.25</v>
      </c>
      <c r="G91" s="105"/>
      <c r="H91" s="104">
        <f t="shared" ref="H91:AA91" si="65">SUM(H87:H90)</f>
        <v>468420.75</v>
      </c>
      <c r="I91" s="104">
        <f t="shared" si="65"/>
        <v>11710.518749999999</v>
      </c>
      <c r="J91" s="104">
        <f t="shared" si="65"/>
        <v>120366.57</v>
      </c>
      <c r="K91" s="104">
        <f t="shared" si="65"/>
        <v>78070.125</v>
      </c>
      <c r="L91" s="104">
        <f t="shared" si="65"/>
        <v>546490.875</v>
      </c>
      <c r="M91" s="104">
        <f t="shared" si="65"/>
        <v>156140.25</v>
      </c>
      <c r="N91" s="104">
        <f t="shared" si="65"/>
        <v>600000</v>
      </c>
      <c r="O91" s="104">
        <f t="shared" si="65"/>
        <v>15614.025000000001</v>
      </c>
      <c r="P91" s="104">
        <f t="shared" si="65"/>
        <v>65000</v>
      </c>
      <c r="Q91" s="104">
        <f t="shared" si="65"/>
        <v>0</v>
      </c>
      <c r="R91" s="104">
        <f>SUM(R87:R90)</f>
        <v>2217953.3637500005</v>
      </c>
      <c r="S91" s="104">
        <v>2291650.7174999998</v>
      </c>
      <c r="T91" s="104">
        <f>SUM(T87:T90)</f>
        <v>73697.353749999835</v>
      </c>
      <c r="U91" s="104">
        <f>SUM(U87:U90)</f>
        <v>220000</v>
      </c>
      <c r="V91" s="104">
        <f>SUM(V87:V90)</f>
        <v>174333.33000000002</v>
      </c>
      <c r="W91" s="104">
        <f>SUM(W87:W90)</f>
        <v>1475.7737500000001</v>
      </c>
      <c r="X91" s="104">
        <f>SUM(X87:X90)</f>
        <v>79404.229999999981</v>
      </c>
      <c r="Y91" s="104">
        <f>SUM(U91:X91)</f>
        <v>475213.33374999999</v>
      </c>
      <c r="Z91" s="104">
        <v>1667586.32</v>
      </c>
      <c r="AA91" s="104">
        <f t="shared" si="65"/>
        <v>1742740.03</v>
      </c>
      <c r="AB91" s="34"/>
    </row>
    <row r="92" spans="1:28" ht="20.100000000000001" customHeight="1" x14ac:dyDescent="0.3">
      <c r="A92" s="33"/>
      <c r="B92" s="101"/>
      <c r="C92" s="101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00000000000001" customHeight="1" x14ac:dyDescent="0.3">
      <c r="A93" s="33"/>
      <c r="B93" s="179" t="s">
        <v>163</v>
      </c>
      <c r="C93" s="179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4"/>
      <c r="S93" s="64"/>
      <c r="T93" s="64"/>
      <c r="U93" s="64"/>
      <c r="V93" s="64"/>
      <c r="W93" s="64"/>
      <c r="X93" s="39"/>
      <c r="Y93" s="36"/>
      <c r="Z93" s="36"/>
      <c r="AA93" s="36"/>
    </row>
    <row r="94" spans="1:28" ht="20.100000000000001" customHeight="1" x14ac:dyDescent="0.3">
      <c r="A94" s="33">
        <v>1</v>
      </c>
      <c r="B94" s="178" t="s">
        <v>164</v>
      </c>
      <c r="C94" s="178"/>
      <c r="D94" s="62" t="s">
        <v>165</v>
      </c>
      <c r="E94" s="67" t="s">
        <v>89</v>
      </c>
      <c r="F94" s="63">
        <f>79039.64</f>
        <v>79039.64</v>
      </c>
      <c r="G94" s="63"/>
      <c r="H94" s="63">
        <f t="shared" ref="H94:H104" si="66">F94*300%</f>
        <v>237118.91999999998</v>
      </c>
      <c r="I94" s="63">
        <f t="shared" ref="I94:I104" si="67">F94*7.5%</f>
        <v>5927.973</v>
      </c>
      <c r="J94" s="63">
        <f>80244.38</f>
        <v>80244.38</v>
      </c>
      <c r="K94" s="63">
        <f t="shared" ref="K94:K104" si="68">F94*50%</f>
        <v>39519.82</v>
      </c>
      <c r="L94" s="63">
        <f t="shared" ref="L94:L104" si="69">F94*350%</f>
        <v>276638.74</v>
      </c>
      <c r="M94" s="63">
        <f t="shared" ref="M94:M103" si="70">F94*100%</f>
        <v>79039.64</v>
      </c>
      <c r="N94" s="63">
        <f>100000</f>
        <v>100000</v>
      </c>
      <c r="O94" s="63">
        <f t="shared" ref="O94:O103" si="71">F94*10%</f>
        <v>7903.9639999999999</v>
      </c>
      <c r="P94" s="63">
        <v>20000</v>
      </c>
      <c r="Q94" s="63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'[3]DECEMBER 2019'!$H$24</f>
        <v>1975.991</v>
      </c>
      <c r="X94" s="63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00000000000001" customHeight="1" x14ac:dyDescent="0.3">
      <c r="A95" s="33">
        <v>2</v>
      </c>
      <c r="B95" s="178" t="s">
        <v>166</v>
      </c>
      <c r="C95" s="178"/>
      <c r="D95" s="62" t="s">
        <v>167</v>
      </c>
      <c r="E95" s="67" t="s">
        <v>284</v>
      </c>
      <c r="F95" s="63">
        <f>41157.69</f>
        <v>41157.69</v>
      </c>
      <c r="G95" s="63"/>
      <c r="H95" s="63">
        <f t="shared" si="66"/>
        <v>123473.07</v>
      </c>
      <c r="I95" s="63">
        <f t="shared" si="67"/>
        <v>3086.8267500000002</v>
      </c>
      <c r="J95" s="63">
        <v>40122.19</v>
      </c>
      <c r="K95" s="63">
        <f t="shared" si="68"/>
        <v>20578.845000000001</v>
      </c>
      <c r="L95" s="63">
        <f t="shared" si="69"/>
        <v>144051.91500000001</v>
      </c>
      <c r="M95" s="63">
        <f t="shared" si="70"/>
        <v>41157.69</v>
      </c>
      <c r="N95" s="63">
        <f t="shared" ref="N95:N103" si="75">100000</f>
        <v>100000</v>
      </c>
      <c r="O95" s="63">
        <f t="shared" si="71"/>
        <v>4115.7690000000002</v>
      </c>
      <c r="P95" s="63">
        <v>20000</v>
      </c>
      <c r="Q95" s="63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63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00000000000001" customHeight="1" x14ac:dyDescent="0.3">
      <c r="A96" s="33">
        <v>3</v>
      </c>
      <c r="B96" s="178" t="s">
        <v>168</v>
      </c>
      <c r="C96" s="178"/>
      <c r="D96" s="62" t="s">
        <v>169</v>
      </c>
      <c r="E96" s="67" t="s">
        <v>138</v>
      </c>
      <c r="F96" s="26">
        <v>32263.200000000001</v>
      </c>
      <c r="G96" s="63"/>
      <c r="H96" s="63">
        <f t="shared" si="66"/>
        <v>96789.6</v>
      </c>
      <c r="I96" s="63">
        <f t="shared" si="67"/>
        <v>2419.7399999999998</v>
      </c>
      <c r="J96" s="63">
        <v>40122.19</v>
      </c>
      <c r="K96" s="63">
        <f t="shared" si="68"/>
        <v>16131.6</v>
      </c>
      <c r="L96" s="36">
        <f t="shared" si="69"/>
        <v>112921.2</v>
      </c>
      <c r="M96" s="63">
        <f t="shared" si="70"/>
        <v>32263.200000000001</v>
      </c>
      <c r="N96" s="63">
        <f t="shared" si="75"/>
        <v>100000</v>
      </c>
      <c r="O96" s="63">
        <f t="shared" si="71"/>
        <v>3226.32</v>
      </c>
      <c r="P96" s="63">
        <v>20000</v>
      </c>
      <c r="Q96" s="63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'[3]DECEMBER 2019'!$H$23</f>
        <v>806.58</v>
      </c>
      <c r="X96" s="63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00000000000001" customHeight="1" x14ac:dyDescent="0.3">
      <c r="A97" s="33">
        <v>4</v>
      </c>
      <c r="B97" s="178" t="s">
        <v>170</v>
      </c>
      <c r="C97" s="178"/>
      <c r="D97" s="62" t="s">
        <v>292</v>
      </c>
      <c r="E97" s="67" t="s">
        <v>57</v>
      </c>
      <c r="F97" s="63">
        <f t="shared" ref="F97:F98" si="77">25523.45</f>
        <v>25523.45</v>
      </c>
      <c r="G97" s="63"/>
      <c r="H97" s="63">
        <f t="shared" si="66"/>
        <v>76570.350000000006</v>
      </c>
      <c r="I97" s="63">
        <f t="shared" si="67"/>
        <v>1914.25875</v>
      </c>
      <c r="J97" s="63">
        <v>0</v>
      </c>
      <c r="K97" s="63">
        <f t="shared" si="68"/>
        <v>12761.725</v>
      </c>
      <c r="L97" s="36">
        <f t="shared" si="69"/>
        <v>89332.074999999997</v>
      </c>
      <c r="M97" s="63">
        <f t="shared" si="70"/>
        <v>25523.45</v>
      </c>
      <c r="N97" s="63">
        <f t="shared" si="75"/>
        <v>100000</v>
      </c>
      <c r="O97" s="63">
        <f t="shared" si="71"/>
        <v>2552.3450000000003</v>
      </c>
      <c r="P97" s="63">
        <v>15000</v>
      </c>
      <c r="Q97" s="63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'[3]DECEMBER 2019'!$H$32</f>
        <v>638.08625000000006</v>
      </c>
      <c r="X97" s="63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00000000000001" customHeight="1" x14ac:dyDescent="0.3">
      <c r="A98" s="33">
        <v>5</v>
      </c>
      <c r="B98" s="194" t="s">
        <v>172</v>
      </c>
      <c r="C98" s="194"/>
      <c r="D98" s="33" t="s">
        <v>293</v>
      </c>
      <c r="E98" s="67" t="s">
        <v>57</v>
      </c>
      <c r="F98" s="63">
        <f t="shared" si="77"/>
        <v>25523.45</v>
      </c>
      <c r="G98" s="63"/>
      <c r="H98" s="63">
        <f t="shared" si="66"/>
        <v>76570.350000000006</v>
      </c>
      <c r="I98" s="63">
        <f t="shared" si="67"/>
        <v>1914.25875</v>
      </c>
      <c r="J98" s="63">
        <v>0</v>
      </c>
      <c r="K98" s="63">
        <f t="shared" si="68"/>
        <v>12761.725</v>
      </c>
      <c r="L98" s="36">
        <f t="shared" si="69"/>
        <v>89332.074999999997</v>
      </c>
      <c r="M98" s="63">
        <f t="shared" si="70"/>
        <v>25523.45</v>
      </c>
      <c r="N98" s="63">
        <f t="shared" si="75"/>
        <v>100000</v>
      </c>
      <c r="O98" s="63">
        <f t="shared" si="71"/>
        <v>2552.3450000000003</v>
      </c>
      <c r="P98" s="63">
        <v>15000</v>
      </c>
      <c r="Q98" s="63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'[3]DECEMBER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00000000000001" customHeight="1" x14ac:dyDescent="0.3">
      <c r="A99" s="33">
        <v>6</v>
      </c>
      <c r="B99" s="195" t="s">
        <v>174</v>
      </c>
      <c r="C99" s="195"/>
      <c r="D99" s="62" t="s">
        <v>175</v>
      </c>
      <c r="E99" s="67" t="s">
        <v>80</v>
      </c>
      <c r="F99" s="63">
        <v>23891.119999999999</v>
      </c>
      <c r="G99" s="63">
        <v>0</v>
      </c>
      <c r="H99" s="63">
        <f t="shared" si="66"/>
        <v>71673.36</v>
      </c>
      <c r="I99" s="63">
        <f t="shared" si="67"/>
        <v>1791.8339999999998</v>
      </c>
      <c r="J99" s="63">
        <v>0</v>
      </c>
      <c r="K99" s="63">
        <f t="shared" si="68"/>
        <v>11945.56</v>
      </c>
      <c r="L99" s="36">
        <f t="shared" si="69"/>
        <v>83618.92</v>
      </c>
      <c r="M99" s="63">
        <f t="shared" si="70"/>
        <v>23891.119999999999</v>
      </c>
      <c r="N99" s="63">
        <f t="shared" si="75"/>
        <v>100000</v>
      </c>
      <c r="O99" s="63">
        <f t="shared" si="71"/>
        <v>2389.1120000000001</v>
      </c>
      <c r="P99" s="63">
        <v>15000</v>
      </c>
      <c r="Q99" s="63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63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00000000000001" customHeight="1" x14ac:dyDescent="0.3">
      <c r="A100" s="33">
        <v>7</v>
      </c>
      <c r="B100" s="178" t="s">
        <v>176</v>
      </c>
      <c r="C100" s="178"/>
      <c r="D100" s="62" t="s">
        <v>294</v>
      </c>
      <c r="E100" s="67" t="s">
        <v>92</v>
      </c>
      <c r="F100" s="63">
        <f>18779.3</f>
        <v>18779.3</v>
      </c>
      <c r="G100" s="63"/>
      <c r="H100" s="63">
        <f t="shared" si="66"/>
        <v>56337.899999999994</v>
      </c>
      <c r="I100" s="63">
        <f t="shared" si="67"/>
        <v>1408.4475</v>
      </c>
      <c r="J100" s="63"/>
      <c r="K100" s="63">
        <f t="shared" si="68"/>
        <v>9389.65</v>
      </c>
      <c r="L100" s="36">
        <f t="shared" si="69"/>
        <v>65727.55</v>
      </c>
      <c r="M100" s="63">
        <f t="shared" si="70"/>
        <v>18779.3</v>
      </c>
      <c r="N100" s="63">
        <f t="shared" si="75"/>
        <v>100000</v>
      </c>
      <c r="O100" s="63">
        <f t="shared" si="71"/>
        <v>1877.93</v>
      </c>
      <c r="P100" s="63">
        <v>10000</v>
      </c>
      <c r="Q100" s="63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'[3]DECEMBER 2019'!$H$55</f>
        <v>469.48250000000002</v>
      </c>
      <c r="X100" s="63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00000000000001" customHeight="1" x14ac:dyDescent="0.3">
      <c r="A101" s="33">
        <v>8</v>
      </c>
      <c r="B101" s="178" t="s">
        <v>178</v>
      </c>
      <c r="C101" s="178"/>
      <c r="D101" s="62" t="s">
        <v>294</v>
      </c>
      <c r="E101" s="67" t="s">
        <v>92</v>
      </c>
      <c r="F101" s="63">
        <f>18779.3</f>
        <v>18779.3</v>
      </c>
      <c r="G101" s="63"/>
      <c r="H101" s="63">
        <f t="shared" si="66"/>
        <v>56337.899999999994</v>
      </c>
      <c r="I101" s="63">
        <f t="shared" si="67"/>
        <v>1408.4475</v>
      </c>
      <c r="J101" s="63"/>
      <c r="K101" s="63">
        <f t="shared" si="68"/>
        <v>9389.65</v>
      </c>
      <c r="L101" s="36">
        <f t="shared" si="69"/>
        <v>65727.55</v>
      </c>
      <c r="M101" s="63">
        <f t="shared" si="70"/>
        <v>18779.3</v>
      </c>
      <c r="N101" s="63">
        <f t="shared" si="75"/>
        <v>100000</v>
      </c>
      <c r="O101" s="63">
        <f t="shared" si="71"/>
        <v>1877.93</v>
      </c>
      <c r="P101" s="63">
        <v>10000</v>
      </c>
      <c r="Q101" s="63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'[3]DECEMBER 2019'!$H$28</f>
        <v>469.48250000000002</v>
      </c>
      <c r="X101" s="63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00000000000001" customHeight="1" x14ac:dyDescent="0.3">
      <c r="A102" s="33">
        <v>9</v>
      </c>
      <c r="B102" s="178" t="s">
        <v>201</v>
      </c>
      <c r="C102" s="178"/>
      <c r="D102" s="33" t="s">
        <v>200</v>
      </c>
      <c r="E102" s="67" t="s">
        <v>110</v>
      </c>
      <c r="F102" s="63">
        <v>24741.26</v>
      </c>
      <c r="G102" s="63"/>
      <c r="H102" s="63">
        <f t="shared" si="66"/>
        <v>74223.78</v>
      </c>
      <c r="I102" s="63">
        <f t="shared" si="67"/>
        <v>1855.5944999999997</v>
      </c>
      <c r="J102" s="63">
        <v>0</v>
      </c>
      <c r="K102" s="63">
        <f t="shared" si="68"/>
        <v>12370.63</v>
      </c>
      <c r="L102" s="36">
        <f t="shared" si="69"/>
        <v>86594.409999999989</v>
      </c>
      <c r="M102" s="63">
        <f t="shared" si="70"/>
        <v>24741.26</v>
      </c>
      <c r="N102" s="63">
        <f t="shared" si="75"/>
        <v>100000</v>
      </c>
      <c r="O102" s="63">
        <f t="shared" si="71"/>
        <v>2474.1260000000002</v>
      </c>
      <c r="P102" s="63">
        <v>15000</v>
      </c>
      <c r="Q102" s="63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63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00000000000001" customHeight="1" x14ac:dyDescent="0.3">
      <c r="A103" s="33">
        <v>10</v>
      </c>
      <c r="B103" s="169" t="s">
        <v>179</v>
      </c>
      <c r="C103" s="170"/>
      <c r="D103" s="62" t="s">
        <v>180</v>
      </c>
      <c r="E103" s="67" t="s">
        <v>295</v>
      </c>
      <c r="F103" s="68">
        <v>12732</v>
      </c>
      <c r="G103" s="63"/>
      <c r="H103" s="63">
        <f t="shared" si="66"/>
        <v>38196</v>
      </c>
      <c r="I103" s="63">
        <f t="shared" si="67"/>
        <v>954.9</v>
      </c>
      <c r="J103" s="63"/>
      <c r="K103" s="63">
        <f t="shared" si="68"/>
        <v>6366</v>
      </c>
      <c r="L103" s="36">
        <f t="shared" si="69"/>
        <v>44562</v>
      </c>
      <c r="M103" s="63">
        <f t="shared" si="70"/>
        <v>12732</v>
      </c>
      <c r="N103" s="63">
        <f t="shared" si="75"/>
        <v>100000</v>
      </c>
      <c r="O103" s="63">
        <f t="shared" si="71"/>
        <v>1273.2</v>
      </c>
      <c r="P103" s="63">
        <v>10000</v>
      </c>
      <c r="Q103" s="63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63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00000000000001" customHeight="1" x14ac:dyDescent="0.3">
      <c r="A104" s="33">
        <v>11</v>
      </c>
      <c r="B104" s="84" t="s">
        <v>182</v>
      </c>
      <c r="C104" s="85"/>
      <c r="D104" s="62" t="s">
        <v>180</v>
      </c>
      <c r="E104" s="67" t="s">
        <v>296</v>
      </c>
      <c r="F104" s="68">
        <v>12351.94</v>
      </c>
      <c r="G104" s="63">
        <f>0</f>
        <v>0</v>
      </c>
      <c r="H104" s="63">
        <f t="shared" si="66"/>
        <v>37055.82</v>
      </c>
      <c r="I104" s="63">
        <f t="shared" si="67"/>
        <v>926.39549999999997</v>
      </c>
      <c r="J104" s="63"/>
      <c r="K104" s="63">
        <f t="shared" si="68"/>
        <v>6175.97</v>
      </c>
      <c r="L104" s="36">
        <f t="shared" si="69"/>
        <v>43231.79</v>
      </c>
      <c r="M104" s="63">
        <f>F104*100%</f>
        <v>12351.94</v>
      </c>
      <c r="N104" s="43">
        <f>100000</f>
        <v>100000</v>
      </c>
      <c r="O104" s="63">
        <f>F104*10%</f>
        <v>1235.1940000000002</v>
      </c>
      <c r="P104" s="63">
        <v>10000</v>
      </c>
      <c r="R104" s="63">
        <f t="shared" si="72"/>
        <v>223329.04949999999</v>
      </c>
      <c r="S104" s="63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63">
        <f>(1484.37)</f>
        <v>1484.37</v>
      </c>
      <c r="Y104" s="110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00000000000001" customHeight="1" x14ac:dyDescent="0.6">
      <c r="A105" s="33"/>
      <c r="B105" s="179" t="s">
        <v>32</v>
      </c>
      <c r="C105" s="179"/>
      <c r="D105" s="102" t="s">
        <v>276</v>
      </c>
      <c r="E105" s="67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64">
        <f t="shared" si="78"/>
        <v>1101738.2250000001</v>
      </c>
      <c r="M105" s="39">
        <f t="shared" si="78"/>
        <v>314782.35000000003</v>
      </c>
      <c r="N105" s="106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64">
        <f t="shared" ref="R105:Y105" si="79">SUM(R94:R104)</f>
        <v>4638616.82125</v>
      </c>
      <c r="S105" s="64">
        <v>5028202.6249999991</v>
      </c>
      <c r="T105" s="64">
        <f>SUM(T94:T104)</f>
        <v>389585.80375000037</v>
      </c>
      <c r="U105" s="64">
        <f t="shared" si="79"/>
        <v>628000</v>
      </c>
      <c r="V105" s="64">
        <f t="shared" si="79"/>
        <v>973333.33999999985</v>
      </c>
      <c r="W105" s="64">
        <f t="shared" si="79"/>
        <v>4997.7085000000006</v>
      </c>
      <c r="X105" s="39">
        <f t="shared" si="79"/>
        <v>130489.84999999996</v>
      </c>
      <c r="Y105" s="64">
        <f t="shared" si="79"/>
        <v>1736820.8985000001</v>
      </c>
      <c r="Z105" s="64">
        <v>2853462.5927500003</v>
      </c>
      <c r="AA105" s="64">
        <f t="shared" si="78"/>
        <v>2901795.9227500004</v>
      </c>
    </row>
    <row r="106" spans="1:28" ht="20.100000000000001" customHeight="1" x14ac:dyDescent="0.3">
      <c r="A106" s="33"/>
      <c r="B106" s="101"/>
      <c r="C106" s="101"/>
      <c r="D106" s="102"/>
      <c r="E106" s="67"/>
      <c r="F106" s="39"/>
      <c r="G106" s="39"/>
      <c r="H106" s="39"/>
      <c r="I106" s="39"/>
      <c r="J106" s="39"/>
      <c r="K106" s="39"/>
      <c r="L106" s="64"/>
      <c r="M106" s="39"/>
      <c r="N106" s="39"/>
      <c r="O106" s="39"/>
      <c r="P106" s="39"/>
      <c r="Q106" s="39"/>
      <c r="R106" s="64"/>
      <c r="S106" s="64"/>
      <c r="T106" s="64"/>
      <c r="U106" s="64"/>
      <c r="V106" s="64"/>
      <c r="W106" s="64"/>
      <c r="X106" s="39"/>
      <c r="Y106" s="64"/>
      <c r="Z106" s="64"/>
      <c r="AA106" s="64"/>
    </row>
    <row r="107" spans="1:28" ht="20.100000000000001" customHeight="1" x14ac:dyDescent="0.3">
      <c r="A107" s="33"/>
      <c r="B107" s="179" t="s">
        <v>185</v>
      </c>
      <c r="C107" s="179"/>
      <c r="D107" s="62"/>
      <c r="E107" s="67"/>
      <c r="F107" s="63"/>
      <c r="G107" s="63"/>
      <c r="H107" s="63"/>
      <c r="I107" s="63"/>
      <c r="J107" s="63"/>
      <c r="K107" s="63"/>
      <c r="L107" s="36"/>
      <c r="M107" s="63"/>
      <c r="N107" s="63"/>
      <c r="O107" s="63"/>
      <c r="P107" s="63"/>
      <c r="Q107" s="63"/>
      <c r="R107" s="36"/>
      <c r="S107" s="36"/>
      <c r="T107" s="36"/>
      <c r="U107" s="36"/>
      <c r="V107" s="36"/>
      <c r="W107" s="36"/>
      <c r="X107" s="63"/>
      <c r="Y107" s="36"/>
      <c r="Z107" s="36"/>
      <c r="AA107" s="36"/>
    </row>
    <row r="108" spans="1:28" ht="20.100000000000001" customHeight="1" x14ac:dyDescent="0.3">
      <c r="A108" s="33">
        <v>1</v>
      </c>
      <c r="B108" s="178" t="s">
        <v>186</v>
      </c>
      <c r="C108" s="178"/>
      <c r="D108" s="62" t="s">
        <v>187</v>
      </c>
      <c r="E108" s="67" t="s">
        <v>41</v>
      </c>
      <c r="F108" s="63">
        <v>81740.02</v>
      </c>
      <c r="G108" s="63">
        <v>0</v>
      </c>
      <c r="H108" s="63">
        <f>F108*300%</f>
        <v>245220.06</v>
      </c>
      <c r="I108" s="63">
        <f>F108*7.5%</f>
        <v>6130.5015000000003</v>
      </c>
      <c r="J108" s="63">
        <v>80244.38</v>
      </c>
      <c r="K108" s="63">
        <f>F108*50%</f>
        <v>40870.01</v>
      </c>
      <c r="L108" s="63">
        <f>F108*350%</f>
        <v>286090.07</v>
      </c>
      <c r="M108" s="63">
        <f>F108*100%</f>
        <v>81740.02</v>
      </c>
      <c r="N108" s="63">
        <f>100000</f>
        <v>100000</v>
      </c>
      <c r="O108" s="63">
        <f>F108*10%</f>
        <v>8174.0020000000004</v>
      </c>
      <c r="P108" s="63">
        <v>20000</v>
      </c>
      <c r="Q108" s="63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63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00000000000001" customHeight="1" x14ac:dyDescent="0.3">
      <c r="A109" s="33">
        <v>2</v>
      </c>
      <c r="B109" s="178" t="s">
        <v>188</v>
      </c>
      <c r="C109" s="178"/>
      <c r="D109" s="62" t="s">
        <v>189</v>
      </c>
      <c r="E109" s="67" t="s">
        <v>89</v>
      </c>
      <c r="F109" s="63">
        <f>79039.64</f>
        <v>79039.64</v>
      </c>
      <c r="G109" s="63"/>
      <c r="H109" s="63">
        <f>F109*300%</f>
        <v>237118.91999999998</v>
      </c>
      <c r="I109" s="63">
        <f>F109*7.5%</f>
        <v>5927.973</v>
      </c>
      <c r="J109" s="63">
        <f>80244.38</f>
        <v>80244.38</v>
      </c>
      <c r="K109" s="63">
        <f>F109*50%</f>
        <v>39519.82</v>
      </c>
      <c r="L109" s="63">
        <f>F109*350%</f>
        <v>276638.74</v>
      </c>
      <c r="M109" s="63">
        <f>F109*100%</f>
        <v>79039.64</v>
      </c>
      <c r="N109" s="63">
        <f t="shared" ref="N109:N129" si="81">100000</f>
        <v>100000</v>
      </c>
      <c r="O109" s="63">
        <f>F109*10%</f>
        <v>7903.9639999999999</v>
      </c>
      <c r="P109" s="63">
        <v>20000</v>
      </c>
      <c r="Q109" s="63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63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00000000000001" customHeight="1" x14ac:dyDescent="0.3">
      <c r="A110" s="33">
        <v>3</v>
      </c>
      <c r="B110" s="195" t="s">
        <v>190</v>
      </c>
      <c r="C110" s="195"/>
      <c r="D110" s="62" t="s">
        <v>191</v>
      </c>
      <c r="E110" s="67" t="s">
        <v>284</v>
      </c>
      <c r="F110" s="63">
        <f>41157.69</f>
        <v>41157.69</v>
      </c>
      <c r="G110" s="63"/>
      <c r="H110" s="63">
        <f t="shared" ref="H110:H157" si="84">F110*300%</f>
        <v>123473.07</v>
      </c>
      <c r="I110" s="63">
        <f t="shared" ref="I110:I157" si="85">F110*7.5%</f>
        <v>3086.8267500000002</v>
      </c>
      <c r="J110" s="63">
        <v>40122.19</v>
      </c>
      <c r="K110" s="63">
        <f t="shared" ref="K110:K157" si="86">F110*50%</f>
        <v>20578.845000000001</v>
      </c>
      <c r="L110" s="63">
        <f t="shared" ref="L110:L157" si="87">F110*350%</f>
        <v>144051.91500000001</v>
      </c>
      <c r="M110" s="63">
        <f t="shared" ref="M110:M129" si="88">F110*100%</f>
        <v>41157.69</v>
      </c>
      <c r="N110" s="63">
        <f t="shared" si="81"/>
        <v>100000</v>
      </c>
      <c r="O110" s="63">
        <f t="shared" ref="O110:O129" si="89">F110*10%</f>
        <v>4115.7690000000002</v>
      </c>
      <c r="P110" s="63">
        <v>20000</v>
      </c>
      <c r="Q110" s="63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63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00000000000001" customHeight="1" x14ac:dyDescent="0.3">
      <c r="A111" s="33">
        <v>4</v>
      </c>
      <c r="B111" s="182" t="s">
        <v>192</v>
      </c>
      <c r="C111" s="183"/>
      <c r="D111" s="20" t="s">
        <v>193</v>
      </c>
      <c r="E111" s="25" t="s">
        <v>44</v>
      </c>
      <c r="F111" s="63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63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'[3]DECEMBER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00000000000001" customHeight="1" x14ac:dyDescent="0.3">
      <c r="A112" s="33">
        <v>5</v>
      </c>
      <c r="B112" s="171" t="s">
        <v>194</v>
      </c>
      <c r="C112" s="172"/>
      <c r="D112" s="33" t="s">
        <v>195</v>
      </c>
      <c r="E112" s="67" t="s">
        <v>110</v>
      </c>
      <c r="F112" s="63">
        <v>24741.26</v>
      </c>
      <c r="G112" s="63"/>
      <c r="H112" s="63">
        <f t="shared" si="84"/>
        <v>74223.78</v>
      </c>
      <c r="I112" s="63">
        <f t="shared" si="85"/>
        <v>1855.5944999999997</v>
      </c>
      <c r="J112" s="63"/>
      <c r="K112" s="63">
        <f t="shared" si="86"/>
        <v>12370.63</v>
      </c>
      <c r="L112" s="36">
        <f t="shared" si="87"/>
        <v>86594.409999999989</v>
      </c>
      <c r="M112" s="63">
        <f t="shared" si="88"/>
        <v>24741.26</v>
      </c>
      <c r="N112" s="63">
        <f t="shared" si="81"/>
        <v>100000</v>
      </c>
      <c r="O112" s="63">
        <f t="shared" si="89"/>
        <v>2474.1260000000002</v>
      </c>
      <c r="P112" s="63">
        <v>15000</v>
      </c>
      <c r="Q112" s="63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00000000000001" customHeight="1" x14ac:dyDescent="0.3">
      <c r="A113" s="33">
        <v>6</v>
      </c>
      <c r="B113" s="169" t="s">
        <v>196</v>
      </c>
      <c r="C113" s="170"/>
      <c r="D113" s="62" t="s">
        <v>127</v>
      </c>
      <c r="E113" s="67" t="s">
        <v>92</v>
      </c>
      <c r="F113" s="63">
        <f>18779.3</f>
        <v>18779.3</v>
      </c>
      <c r="G113" s="63"/>
      <c r="H113" s="63">
        <f t="shared" si="84"/>
        <v>56337.899999999994</v>
      </c>
      <c r="I113" s="63">
        <f t="shared" si="85"/>
        <v>1408.4475</v>
      </c>
      <c r="J113" s="63">
        <v>0</v>
      </c>
      <c r="K113" s="63">
        <f t="shared" si="86"/>
        <v>9389.65</v>
      </c>
      <c r="L113" s="36">
        <f t="shared" si="87"/>
        <v>65727.55</v>
      </c>
      <c r="M113" s="63">
        <f t="shared" si="88"/>
        <v>18779.3</v>
      </c>
      <c r="N113" s="63">
        <f t="shared" si="81"/>
        <v>100000</v>
      </c>
      <c r="O113" s="63">
        <f t="shared" si="89"/>
        <v>1877.93</v>
      </c>
      <c r="P113" s="63">
        <v>10000</v>
      </c>
      <c r="Q113" s="63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'[3]DECEMBER 2019'!$H$45</f>
        <v>469.48250000000002</v>
      </c>
      <c r="X113" s="63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00000000000001" customHeight="1" x14ac:dyDescent="0.3">
      <c r="A114" s="33">
        <v>7</v>
      </c>
      <c r="B114" s="178" t="s">
        <v>197</v>
      </c>
      <c r="C114" s="178"/>
      <c r="D114" s="62" t="s">
        <v>198</v>
      </c>
      <c r="E114" s="67" t="s">
        <v>110</v>
      </c>
      <c r="F114" s="63">
        <v>24741.26</v>
      </c>
      <c r="G114" s="63"/>
      <c r="H114" s="63">
        <f t="shared" si="84"/>
        <v>74223.78</v>
      </c>
      <c r="I114" s="63">
        <f t="shared" si="85"/>
        <v>1855.5944999999997</v>
      </c>
      <c r="J114" s="63">
        <v>0</v>
      </c>
      <c r="K114" s="63">
        <f t="shared" si="86"/>
        <v>12370.63</v>
      </c>
      <c r="L114" s="36">
        <f t="shared" si="87"/>
        <v>86594.409999999989</v>
      </c>
      <c r="M114" s="63">
        <f t="shared" si="88"/>
        <v>24741.26</v>
      </c>
      <c r="N114" s="63">
        <f t="shared" si="81"/>
        <v>100000</v>
      </c>
      <c r="O114" s="63">
        <f t="shared" si="89"/>
        <v>2474.1260000000002</v>
      </c>
      <c r="P114" s="63">
        <v>15000</v>
      </c>
      <c r="Q114" s="63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'[3]DECEMBER 2019'!$H$53</f>
        <v>618.53150000000005</v>
      </c>
      <c r="X114" s="63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00000000000001" customHeight="1" x14ac:dyDescent="0.3">
      <c r="A115" s="33">
        <v>8</v>
      </c>
      <c r="B115" s="178" t="s">
        <v>199</v>
      </c>
      <c r="C115" s="178"/>
      <c r="D115" s="33" t="s">
        <v>200</v>
      </c>
      <c r="E115" s="67" t="s">
        <v>110</v>
      </c>
      <c r="F115" s="63">
        <v>24741.26</v>
      </c>
      <c r="G115" s="63"/>
      <c r="H115" s="63">
        <f t="shared" si="84"/>
        <v>74223.78</v>
      </c>
      <c r="I115" s="63">
        <f t="shared" si="85"/>
        <v>1855.5944999999997</v>
      </c>
      <c r="J115" s="63">
        <v>0</v>
      </c>
      <c r="K115" s="63">
        <f t="shared" si="86"/>
        <v>12370.63</v>
      </c>
      <c r="L115" s="36">
        <f t="shared" si="87"/>
        <v>86594.409999999989</v>
      </c>
      <c r="M115" s="63">
        <f t="shared" si="88"/>
        <v>24741.26</v>
      </c>
      <c r="N115" s="63">
        <f t="shared" si="81"/>
        <v>100000</v>
      </c>
      <c r="O115" s="63">
        <f t="shared" si="89"/>
        <v>2474.1260000000002</v>
      </c>
      <c r="P115" s="63">
        <v>15000</v>
      </c>
      <c r="Q115" s="63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'[3]DECEMBER 2019'!$H$57</f>
        <v>618.53150000000005</v>
      </c>
      <c r="X115" s="63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00000000000001" customHeight="1" x14ac:dyDescent="0.3">
      <c r="A116" s="33">
        <v>9</v>
      </c>
      <c r="B116" s="178" t="s">
        <v>202</v>
      </c>
      <c r="C116" s="178"/>
      <c r="D116" s="33" t="s">
        <v>205</v>
      </c>
      <c r="E116" s="67" t="s">
        <v>92</v>
      </c>
      <c r="F116" s="63">
        <f>18779.3</f>
        <v>18779.3</v>
      </c>
      <c r="G116" s="63"/>
      <c r="H116" s="63">
        <f t="shared" si="84"/>
        <v>56337.899999999994</v>
      </c>
      <c r="I116" s="63">
        <f t="shared" si="85"/>
        <v>1408.4475</v>
      </c>
      <c r="J116" s="36">
        <v>0</v>
      </c>
      <c r="K116" s="63">
        <f t="shared" si="86"/>
        <v>9389.65</v>
      </c>
      <c r="L116" s="36">
        <f t="shared" si="87"/>
        <v>65727.55</v>
      </c>
      <c r="M116" s="63">
        <f t="shared" si="88"/>
        <v>18779.3</v>
      </c>
      <c r="N116" s="63">
        <f t="shared" si="81"/>
        <v>100000</v>
      </c>
      <c r="O116" s="63">
        <f t="shared" si="89"/>
        <v>1877.93</v>
      </c>
      <c r="P116" s="63">
        <v>10000</v>
      </c>
      <c r="Q116" s="63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63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00000000000001" customHeight="1" x14ac:dyDescent="0.3">
      <c r="A117" s="33">
        <v>10</v>
      </c>
      <c r="B117" s="178" t="s">
        <v>203</v>
      </c>
      <c r="C117" s="178"/>
      <c r="D117" s="33" t="s">
        <v>127</v>
      </c>
      <c r="E117" s="67" t="s">
        <v>68</v>
      </c>
      <c r="F117" s="36">
        <v>18281.64</v>
      </c>
      <c r="G117" s="63"/>
      <c r="H117" s="63">
        <f>F117*300%</f>
        <v>54844.92</v>
      </c>
      <c r="I117" s="63">
        <f>F117*7.5%</f>
        <v>1371.1229999999998</v>
      </c>
      <c r="J117" s="63">
        <v>0</v>
      </c>
      <c r="K117" s="63">
        <f>F117*50%</f>
        <v>9140.82</v>
      </c>
      <c r="L117" s="36">
        <f>F117*350%</f>
        <v>63985.74</v>
      </c>
      <c r="M117" s="26">
        <f t="shared" si="88"/>
        <v>18281.64</v>
      </c>
      <c r="N117" s="63">
        <f t="shared" si="81"/>
        <v>100000</v>
      </c>
      <c r="O117" s="63">
        <f t="shared" si="89"/>
        <v>1828.164</v>
      </c>
      <c r="P117" s="63">
        <v>10000</v>
      </c>
      <c r="Q117" s="63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63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00000000000001" customHeight="1" x14ac:dyDescent="0.3">
      <c r="A118" s="33">
        <v>11</v>
      </c>
      <c r="B118" s="169" t="s">
        <v>204</v>
      </c>
      <c r="C118" s="170"/>
      <c r="D118" s="33" t="s">
        <v>205</v>
      </c>
      <c r="E118" s="67" t="s">
        <v>85</v>
      </c>
      <c r="F118" s="26">
        <f>17784</f>
        <v>17784</v>
      </c>
      <c r="G118" s="63"/>
      <c r="H118" s="63">
        <f>F118*300%</f>
        <v>53352</v>
      </c>
      <c r="I118" s="63">
        <f>F118*7.5%</f>
        <v>1333.8</v>
      </c>
      <c r="J118" s="63"/>
      <c r="K118" s="63">
        <f>F118*50%</f>
        <v>8892</v>
      </c>
      <c r="L118" s="36">
        <f>F118*350%</f>
        <v>62244</v>
      </c>
      <c r="M118" s="26">
        <f t="shared" si="88"/>
        <v>17784</v>
      </c>
      <c r="N118" s="63">
        <f t="shared" si="81"/>
        <v>100000</v>
      </c>
      <c r="O118" s="63">
        <f t="shared" si="89"/>
        <v>1778.4</v>
      </c>
      <c r="P118" s="63">
        <v>10000</v>
      </c>
      <c r="Q118" s="63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63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00000000000001" customHeight="1" x14ac:dyDescent="0.3">
      <c r="A119" s="33">
        <v>12</v>
      </c>
      <c r="B119" s="169" t="s">
        <v>206</v>
      </c>
      <c r="C119" s="170"/>
      <c r="D119" s="62" t="s">
        <v>297</v>
      </c>
      <c r="E119" s="67" t="s">
        <v>210</v>
      </c>
      <c r="F119" s="68">
        <v>13492.21</v>
      </c>
      <c r="G119" s="63"/>
      <c r="H119" s="63">
        <f t="shared" si="84"/>
        <v>40476.629999999997</v>
      </c>
      <c r="I119" s="63">
        <f t="shared" si="85"/>
        <v>1011.9157499999999</v>
      </c>
      <c r="J119" s="63"/>
      <c r="K119" s="63">
        <f t="shared" si="86"/>
        <v>6746.1049999999996</v>
      </c>
      <c r="L119" s="36">
        <f t="shared" si="87"/>
        <v>47222.735000000001</v>
      </c>
      <c r="M119" s="63">
        <f t="shared" si="88"/>
        <v>13492.21</v>
      </c>
      <c r="N119" s="63">
        <f t="shared" si="81"/>
        <v>100000</v>
      </c>
      <c r="O119" s="63">
        <f t="shared" si="89"/>
        <v>1349.221</v>
      </c>
      <c r="P119" s="63">
        <v>10000</v>
      </c>
      <c r="Q119" s="63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'[3]DECEMBER 2019'!$H$49</f>
        <v>337.30525</v>
      </c>
      <c r="X119" s="63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00000000000001" customHeight="1" x14ac:dyDescent="0.3">
      <c r="A120" s="33">
        <v>13</v>
      </c>
      <c r="B120" s="169" t="s">
        <v>208</v>
      </c>
      <c r="C120" s="170"/>
      <c r="D120" s="62" t="s">
        <v>209</v>
      </c>
      <c r="E120" s="67" t="s">
        <v>181</v>
      </c>
      <c r="F120" s="68">
        <v>13112.16</v>
      </c>
      <c r="G120" s="63"/>
      <c r="H120" s="63">
        <f t="shared" si="84"/>
        <v>39336.479999999996</v>
      </c>
      <c r="I120" s="63">
        <f t="shared" si="85"/>
        <v>983.41199999999992</v>
      </c>
      <c r="J120" s="63"/>
      <c r="K120" s="63">
        <f t="shared" si="86"/>
        <v>6556.08</v>
      </c>
      <c r="L120" s="36">
        <f t="shared" si="87"/>
        <v>45892.56</v>
      </c>
      <c r="M120" s="63">
        <f t="shared" si="88"/>
        <v>13112.16</v>
      </c>
      <c r="N120" s="63">
        <f t="shared" si="81"/>
        <v>100000</v>
      </c>
      <c r="O120" s="63">
        <f t="shared" si="89"/>
        <v>1311.2160000000001</v>
      </c>
      <c r="P120" s="63">
        <v>10000</v>
      </c>
      <c r="Q120" s="63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63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00000000000001" customHeight="1" x14ac:dyDescent="0.3">
      <c r="A121" s="33">
        <v>14</v>
      </c>
      <c r="B121" s="169" t="s">
        <v>211</v>
      </c>
      <c r="C121" s="170"/>
      <c r="D121" s="62" t="s">
        <v>209</v>
      </c>
      <c r="E121" s="67" t="s">
        <v>181</v>
      </c>
      <c r="F121" s="68">
        <v>13112.16</v>
      </c>
      <c r="G121" s="63"/>
      <c r="H121" s="63">
        <f t="shared" si="84"/>
        <v>39336.479999999996</v>
      </c>
      <c r="I121" s="63">
        <f t="shared" si="85"/>
        <v>983.41199999999992</v>
      </c>
      <c r="J121" s="63"/>
      <c r="K121" s="63">
        <f t="shared" si="86"/>
        <v>6556.08</v>
      </c>
      <c r="L121" s="36">
        <f t="shared" si="87"/>
        <v>45892.56</v>
      </c>
      <c r="M121" s="63">
        <f t="shared" si="88"/>
        <v>13112.16</v>
      </c>
      <c r="N121" s="63">
        <f t="shared" si="81"/>
        <v>100000</v>
      </c>
      <c r="O121" s="63">
        <f t="shared" si="89"/>
        <v>1311.2160000000001</v>
      </c>
      <c r="P121" s="63">
        <v>10000</v>
      </c>
      <c r="Q121" s="63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'[3]DECEMBER 2019'!$H$41</f>
        <v>327.80400000000003</v>
      </c>
      <c r="X121" s="63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00000000000001" customHeight="1" x14ac:dyDescent="0.3">
      <c r="A122" s="33">
        <v>15</v>
      </c>
      <c r="B122" s="169" t="s">
        <v>212</v>
      </c>
      <c r="C122" s="170"/>
      <c r="D122" s="62" t="s">
        <v>209</v>
      </c>
      <c r="E122" s="67" t="s">
        <v>181</v>
      </c>
      <c r="F122" s="68">
        <v>13112.16</v>
      </c>
      <c r="G122" s="63"/>
      <c r="H122" s="63">
        <f t="shared" si="84"/>
        <v>39336.479999999996</v>
      </c>
      <c r="I122" s="63">
        <f t="shared" si="85"/>
        <v>983.41199999999992</v>
      </c>
      <c r="J122" s="63"/>
      <c r="K122" s="63">
        <f t="shared" si="86"/>
        <v>6556.08</v>
      </c>
      <c r="L122" s="36">
        <f t="shared" si="87"/>
        <v>45892.56</v>
      </c>
      <c r="M122" s="63">
        <f t="shared" si="88"/>
        <v>13112.16</v>
      </c>
      <c r="N122" s="63">
        <f t="shared" si="81"/>
        <v>100000</v>
      </c>
      <c r="O122" s="63">
        <f t="shared" si="89"/>
        <v>1311.2160000000001</v>
      </c>
      <c r="P122" s="63">
        <v>10000</v>
      </c>
      <c r="Q122" s="63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63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00000000000001" customHeight="1" x14ac:dyDescent="0.3">
      <c r="A123" s="33">
        <v>16</v>
      </c>
      <c r="B123" s="169" t="s">
        <v>213</v>
      </c>
      <c r="C123" s="170"/>
      <c r="D123" s="62" t="s">
        <v>209</v>
      </c>
      <c r="E123" s="67" t="s">
        <v>295</v>
      </c>
      <c r="F123" s="68">
        <v>12732</v>
      </c>
      <c r="G123" s="63"/>
      <c r="H123" s="63">
        <f t="shared" si="84"/>
        <v>38196</v>
      </c>
      <c r="I123" s="63">
        <f t="shared" si="85"/>
        <v>954.9</v>
      </c>
      <c r="J123" s="63"/>
      <c r="K123" s="63">
        <f t="shared" si="86"/>
        <v>6366</v>
      </c>
      <c r="L123" s="36">
        <f t="shared" si="87"/>
        <v>44562</v>
      </c>
      <c r="M123" s="63">
        <f t="shared" si="88"/>
        <v>12732</v>
      </c>
      <c r="N123" s="63">
        <f t="shared" si="81"/>
        <v>100000</v>
      </c>
      <c r="O123" s="63">
        <f t="shared" si="89"/>
        <v>1273.2</v>
      </c>
      <c r="P123" s="63">
        <v>10000</v>
      </c>
      <c r="Q123" s="63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63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00000000000001" customHeight="1" x14ac:dyDescent="0.3">
      <c r="A124" s="33">
        <v>17</v>
      </c>
      <c r="B124" s="169" t="s">
        <v>214</v>
      </c>
      <c r="C124" s="170"/>
      <c r="D124" s="62" t="s">
        <v>215</v>
      </c>
      <c r="E124" s="67" t="s">
        <v>295</v>
      </c>
      <c r="F124" s="68">
        <v>12732</v>
      </c>
      <c r="G124" s="63"/>
      <c r="H124" s="63">
        <f t="shared" si="84"/>
        <v>38196</v>
      </c>
      <c r="I124" s="63">
        <f t="shared" si="85"/>
        <v>954.9</v>
      </c>
      <c r="J124" s="63"/>
      <c r="K124" s="63">
        <f t="shared" si="86"/>
        <v>6366</v>
      </c>
      <c r="L124" s="36">
        <f t="shared" si="87"/>
        <v>44562</v>
      </c>
      <c r="M124" s="63">
        <f t="shared" si="88"/>
        <v>12732</v>
      </c>
      <c r="N124" s="63">
        <f t="shared" si="81"/>
        <v>100000</v>
      </c>
      <c r="O124" s="63">
        <f t="shared" si="89"/>
        <v>1273.2</v>
      </c>
      <c r="P124" s="63">
        <v>10000</v>
      </c>
      <c r="Q124" s="63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63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00000000000001" customHeight="1" x14ac:dyDescent="0.3">
      <c r="A125" s="33">
        <v>18</v>
      </c>
      <c r="B125" s="169" t="s">
        <v>216</v>
      </c>
      <c r="C125" s="170"/>
      <c r="D125" s="62" t="s">
        <v>217</v>
      </c>
      <c r="E125" s="67" t="s">
        <v>295</v>
      </c>
      <c r="F125" s="68">
        <v>12732</v>
      </c>
      <c r="G125" s="63"/>
      <c r="H125" s="63">
        <f t="shared" si="84"/>
        <v>38196</v>
      </c>
      <c r="I125" s="63">
        <f t="shared" si="85"/>
        <v>954.9</v>
      </c>
      <c r="J125" s="63"/>
      <c r="K125" s="63">
        <f t="shared" si="86"/>
        <v>6366</v>
      </c>
      <c r="L125" s="36">
        <f t="shared" si="87"/>
        <v>44562</v>
      </c>
      <c r="M125" s="63">
        <f t="shared" si="88"/>
        <v>12732</v>
      </c>
      <c r="N125" s="63">
        <f t="shared" si="81"/>
        <v>100000</v>
      </c>
      <c r="O125" s="63">
        <f t="shared" si="89"/>
        <v>1273.2</v>
      </c>
      <c r="P125" s="63">
        <v>10000</v>
      </c>
      <c r="Q125" s="63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63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00000000000001" customHeight="1" x14ac:dyDescent="0.3">
      <c r="A126" s="33">
        <v>19</v>
      </c>
      <c r="B126" s="169" t="s">
        <v>218</v>
      </c>
      <c r="C126" s="170"/>
      <c r="D126" s="62" t="s">
        <v>217</v>
      </c>
      <c r="E126" s="67" t="s">
        <v>295</v>
      </c>
      <c r="F126" s="68">
        <v>12732</v>
      </c>
      <c r="G126" s="63"/>
      <c r="H126" s="63">
        <f t="shared" si="84"/>
        <v>38196</v>
      </c>
      <c r="I126" s="63">
        <f t="shared" si="85"/>
        <v>954.9</v>
      </c>
      <c r="J126" s="63"/>
      <c r="K126" s="63">
        <f t="shared" si="86"/>
        <v>6366</v>
      </c>
      <c r="L126" s="36">
        <f t="shared" si="87"/>
        <v>44562</v>
      </c>
      <c r="M126" s="63">
        <f t="shared" si="88"/>
        <v>12732</v>
      </c>
      <c r="N126" s="63">
        <f t="shared" si="81"/>
        <v>100000</v>
      </c>
      <c r="O126" s="63">
        <f t="shared" si="89"/>
        <v>1273.2</v>
      </c>
      <c r="P126" s="63">
        <v>10000</v>
      </c>
      <c r="Q126" s="63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63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00000000000001" customHeight="1" x14ac:dyDescent="0.3">
      <c r="A127" s="33">
        <v>20</v>
      </c>
      <c r="B127" s="169" t="s">
        <v>219</v>
      </c>
      <c r="C127" s="170"/>
      <c r="D127" s="62" t="s">
        <v>209</v>
      </c>
      <c r="E127" s="67" t="s">
        <v>295</v>
      </c>
      <c r="F127" s="68">
        <v>12732</v>
      </c>
      <c r="G127" s="63"/>
      <c r="H127" s="63">
        <f t="shared" si="84"/>
        <v>38196</v>
      </c>
      <c r="I127" s="63">
        <f t="shared" si="85"/>
        <v>954.9</v>
      </c>
      <c r="J127" s="63"/>
      <c r="K127" s="63">
        <f t="shared" si="86"/>
        <v>6366</v>
      </c>
      <c r="L127" s="36">
        <f t="shared" si="87"/>
        <v>44562</v>
      </c>
      <c r="M127" s="63">
        <f t="shared" si="88"/>
        <v>12732</v>
      </c>
      <c r="N127" s="63">
        <f t="shared" si="81"/>
        <v>100000</v>
      </c>
      <c r="O127" s="63">
        <f t="shared" si="89"/>
        <v>1273.2</v>
      </c>
      <c r="P127" s="63">
        <v>10000</v>
      </c>
      <c r="Q127" s="63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63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00000000000001" customHeight="1" x14ac:dyDescent="0.3">
      <c r="A128" s="33">
        <v>21</v>
      </c>
      <c r="B128" s="169" t="s">
        <v>220</v>
      </c>
      <c r="C128" s="170"/>
      <c r="D128" s="62" t="s">
        <v>221</v>
      </c>
      <c r="E128" s="67" t="s">
        <v>92</v>
      </c>
      <c r="F128" s="63">
        <f>18779.3</f>
        <v>18779.3</v>
      </c>
      <c r="G128" s="63"/>
      <c r="H128" s="63">
        <f t="shared" si="84"/>
        <v>56337.899999999994</v>
      </c>
      <c r="I128" s="63">
        <f t="shared" si="85"/>
        <v>1408.4475</v>
      </c>
      <c r="J128" s="36"/>
      <c r="K128" s="63">
        <f t="shared" si="86"/>
        <v>9389.65</v>
      </c>
      <c r="L128" s="36">
        <f t="shared" si="87"/>
        <v>65727.55</v>
      </c>
      <c r="M128" s="63">
        <f t="shared" si="88"/>
        <v>18779.3</v>
      </c>
      <c r="N128" s="63">
        <f t="shared" si="81"/>
        <v>100000</v>
      </c>
      <c r="O128" s="63">
        <f t="shared" si="89"/>
        <v>1877.93</v>
      </c>
      <c r="P128" s="63">
        <v>10000</v>
      </c>
      <c r="Q128" s="63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63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00000000000001" customHeight="1" x14ac:dyDescent="0.3">
      <c r="A129" s="33">
        <v>22</v>
      </c>
      <c r="B129" s="169" t="s">
        <v>222</v>
      </c>
      <c r="C129" s="170"/>
      <c r="D129" s="62" t="s">
        <v>209</v>
      </c>
      <c r="E129" s="67" t="s">
        <v>85</v>
      </c>
      <c r="F129" s="26">
        <f>17784</f>
        <v>17784</v>
      </c>
      <c r="G129" s="63"/>
      <c r="H129" s="63">
        <f t="shared" si="84"/>
        <v>53352</v>
      </c>
      <c r="I129" s="63">
        <f t="shared" si="85"/>
        <v>1333.8</v>
      </c>
      <c r="J129" s="36"/>
      <c r="K129" s="63">
        <f t="shared" si="86"/>
        <v>8892</v>
      </c>
      <c r="L129" s="36">
        <f t="shared" si="87"/>
        <v>62244</v>
      </c>
      <c r="M129" s="63">
        <f t="shared" si="88"/>
        <v>17784</v>
      </c>
      <c r="N129" s="63">
        <f t="shared" si="81"/>
        <v>100000</v>
      </c>
      <c r="O129" s="63">
        <f t="shared" si="89"/>
        <v>1778.4</v>
      </c>
      <c r="P129" s="63">
        <v>10000</v>
      </c>
      <c r="Q129" s="63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'[3]DECEMBER 2019'!$H$34</f>
        <v>444.6</v>
      </c>
      <c r="X129" s="63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00000000000001" customHeight="1" x14ac:dyDescent="0.3">
      <c r="A130" s="33">
        <v>23</v>
      </c>
      <c r="B130" s="84" t="s">
        <v>223</v>
      </c>
      <c r="C130" s="85"/>
      <c r="D130" s="62" t="s">
        <v>224</v>
      </c>
      <c r="E130" s="67" t="s">
        <v>296</v>
      </c>
      <c r="F130" s="68">
        <v>12351.94</v>
      </c>
      <c r="G130" s="63">
        <f>0</f>
        <v>0</v>
      </c>
      <c r="H130" s="63">
        <f t="shared" si="84"/>
        <v>37055.82</v>
      </c>
      <c r="I130" s="63">
        <f t="shared" si="85"/>
        <v>926.39549999999997</v>
      </c>
      <c r="J130" s="63"/>
      <c r="K130" s="63">
        <f t="shared" si="86"/>
        <v>6175.97</v>
      </c>
      <c r="L130" s="36">
        <f t="shared" si="87"/>
        <v>43231.79</v>
      </c>
      <c r="M130" s="63">
        <f>F130*100%</f>
        <v>12351.94</v>
      </c>
      <c r="N130" s="43">
        <f>100000</f>
        <v>100000</v>
      </c>
      <c r="O130" s="63">
        <f>F130*10%</f>
        <v>1235.1940000000002</v>
      </c>
      <c r="P130" s="63">
        <v>10000</v>
      </c>
      <c r="R130" s="63">
        <f t="shared" si="90"/>
        <v>223329.04949999999</v>
      </c>
      <c r="S130" s="63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63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00000000000001" customHeight="1" x14ac:dyDescent="0.3">
      <c r="A131" s="33">
        <v>24</v>
      </c>
      <c r="B131" s="178" t="s">
        <v>225</v>
      </c>
      <c r="C131" s="178"/>
      <c r="D131" s="62" t="s">
        <v>235</v>
      </c>
      <c r="E131" s="67" t="s">
        <v>298</v>
      </c>
      <c r="F131" s="68">
        <f>5769.6</f>
        <v>5769.6</v>
      </c>
      <c r="G131" s="33"/>
      <c r="H131" s="63">
        <f t="shared" si="84"/>
        <v>17308.800000000003</v>
      </c>
      <c r="I131" s="63">
        <f t="shared" si="85"/>
        <v>432.72</v>
      </c>
      <c r="J131" s="68">
        <v>0</v>
      </c>
      <c r="K131" s="63">
        <f t="shared" si="86"/>
        <v>2884.8</v>
      </c>
      <c r="L131" s="36">
        <f t="shared" si="87"/>
        <v>20193.600000000002</v>
      </c>
      <c r="M131" s="63">
        <f t="shared" ref="M131:M140" si="91">F131*100%</f>
        <v>5769.6</v>
      </c>
      <c r="N131" s="36">
        <f>25000+4000</f>
        <v>29000</v>
      </c>
      <c r="O131" s="63">
        <f t="shared" ref="O131:O157" si="92">F131*10%</f>
        <v>576.96</v>
      </c>
      <c r="P131" s="68">
        <v>5000</v>
      </c>
      <c r="Q131" s="63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'[3]DECEMBER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00000000000001" customHeight="1" x14ac:dyDescent="0.3">
      <c r="A132" s="33">
        <v>25</v>
      </c>
      <c r="B132" s="178" t="s">
        <v>228</v>
      </c>
      <c r="C132" s="178"/>
      <c r="D132" s="62" t="s">
        <v>235</v>
      </c>
      <c r="E132" s="67" t="s">
        <v>298</v>
      </c>
      <c r="F132" s="68">
        <f t="shared" ref="F132:F137" si="93">5769.6</f>
        <v>5769.6</v>
      </c>
      <c r="G132" s="33"/>
      <c r="H132" s="63">
        <f t="shared" si="84"/>
        <v>17308.800000000003</v>
      </c>
      <c r="I132" s="63">
        <f t="shared" si="85"/>
        <v>432.72</v>
      </c>
      <c r="J132" s="68">
        <v>0</v>
      </c>
      <c r="K132" s="63">
        <f t="shared" si="86"/>
        <v>2884.8</v>
      </c>
      <c r="L132" s="36">
        <f t="shared" si="87"/>
        <v>20193.600000000002</v>
      </c>
      <c r="M132" s="63">
        <f t="shared" si="91"/>
        <v>5769.6</v>
      </c>
      <c r="N132" s="36">
        <f>25000+7000</f>
        <v>32000</v>
      </c>
      <c r="O132" s="63">
        <f t="shared" si="92"/>
        <v>576.96</v>
      </c>
      <c r="P132" s="68">
        <v>5000</v>
      </c>
      <c r="Q132" s="63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00000000000001" customHeight="1" x14ac:dyDescent="0.3">
      <c r="A133" s="33">
        <v>26</v>
      </c>
      <c r="B133" s="178" t="s">
        <v>229</v>
      </c>
      <c r="C133" s="178"/>
      <c r="D133" s="62" t="s">
        <v>235</v>
      </c>
      <c r="E133" s="67" t="s">
        <v>298</v>
      </c>
      <c r="F133" s="68">
        <f t="shared" si="93"/>
        <v>5769.6</v>
      </c>
      <c r="G133" s="33"/>
      <c r="H133" s="63">
        <f t="shared" si="84"/>
        <v>17308.800000000003</v>
      </c>
      <c r="I133" s="63">
        <f t="shared" si="85"/>
        <v>432.72</v>
      </c>
      <c r="J133" s="63">
        <v>0</v>
      </c>
      <c r="K133" s="63">
        <f t="shared" si="86"/>
        <v>2884.8</v>
      </c>
      <c r="L133" s="36">
        <f t="shared" si="87"/>
        <v>20193.600000000002</v>
      </c>
      <c r="M133" s="63">
        <f t="shared" si="91"/>
        <v>5769.6</v>
      </c>
      <c r="N133" s="36">
        <f>25000+4000</f>
        <v>29000</v>
      </c>
      <c r="O133" s="63">
        <f t="shared" si="92"/>
        <v>576.96</v>
      </c>
      <c r="P133" s="63">
        <v>5000</v>
      </c>
      <c r="Q133" s="63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00000000000001" customHeight="1" x14ac:dyDescent="0.3">
      <c r="A134" s="33">
        <v>27</v>
      </c>
      <c r="B134" s="178" t="s">
        <v>230</v>
      </c>
      <c r="C134" s="178"/>
      <c r="D134" s="62" t="s">
        <v>235</v>
      </c>
      <c r="E134" s="67" t="s">
        <v>298</v>
      </c>
      <c r="F134" s="68">
        <f t="shared" si="93"/>
        <v>5769.6</v>
      </c>
      <c r="G134" s="33"/>
      <c r="H134" s="63">
        <f t="shared" si="84"/>
        <v>17308.800000000003</v>
      </c>
      <c r="I134" s="63">
        <f t="shared" si="85"/>
        <v>432.72</v>
      </c>
      <c r="J134" s="63">
        <v>0</v>
      </c>
      <c r="K134" s="63">
        <f t="shared" si="86"/>
        <v>2884.8</v>
      </c>
      <c r="L134" s="36">
        <f t="shared" si="87"/>
        <v>20193.600000000002</v>
      </c>
      <c r="M134" s="63">
        <f t="shared" si="91"/>
        <v>5769.6</v>
      </c>
      <c r="N134" s="36">
        <f>25000+4000</f>
        <v>29000</v>
      </c>
      <c r="O134" s="63">
        <f t="shared" si="92"/>
        <v>576.96</v>
      </c>
      <c r="P134" s="63">
        <v>5000</v>
      </c>
      <c r="Q134" s="63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00000000000001" customHeight="1" x14ac:dyDescent="0.3">
      <c r="A135" s="33">
        <v>28</v>
      </c>
      <c r="B135" s="178" t="s">
        <v>231</v>
      </c>
      <c r="C135" s="178"/>
      <c r="D135" s="62" t="s">
        <v>235</v>
      </c>
      <c r="E135" s="67" t="s">
        <v>298</v>
      </c>
      <c r="F135" s="68">
        <f t="shared" si="93"/>
        <v>5769.6</v>
      </c>
      <c r="G135" s="33"/>
      <c r="H135" s="63">
        <f t="shared" si="84"/>
        <v>17308.800000000003</v>
      </c>
      <c r="I135" s="63">
        <f t="shared" si="85"/>
        <v>432.72</v>
      </c>
      <c r="J135" s="63">
        <v>0</v>
      </c>
      <c r="K135" s="63">
        <f t="shared" si="86"/>
        <v>2884.8</v>
      </c>
      <c r="L135" s="36">
        <f t="shared" si="87"/>
        <v>20193.600000000002</v>
      </c>
      <c r="M135" s="63">
        <f t="shared" si="91"/>
        <v>5769.6</v>
      </c>
      <c r="N135" s="36">
        <f>25000+4000</f>
        <v>29000</v>
      </c>
      <c r="O135" s="63">
        <f t="shared" si="92"/>
        <v>576.96</v>
      </c>
      <c r="P135" s="63">
        <v>5000</v>
      </c>
      <c r="Q135" s="63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00000000000001" customHeight="1" x14ac:dyDescent="0.3">
      <c r="A136" s="33">
        <v>29</v>
      </c>
      <c r="B136" s="178" t="s">
        <v>232</v>
      </c>
      <c r="C136" s="178"/>
      <c r="D136" s="62" t="s">
        <v>235</v>
      </c>
      <c r="E136" s="67" t="s">
        <v>298</v>
      </c>
      <c r="F136" s="68">
        <f t="shared" si="93"/>
        <v>5769.6</v>
      </c>
      <c r="G136" s="27">
        <f>0</f>
        <v>0</v>
      </c>
      <c r="H136" s="63">
        <f t="shared" si="84"/>
        <v>17308.800000000003</v>
      </c>
      <c r="I136" s="63">
        <f t="shared" si="85"/>
        <v>432.72</v>
      </c>
      <c r="J136" s="63">
        <v>0</v>
      </c>
      <c r="K136" s="63">
        <f t="shared" si="86"/>
        <v>2884.8</v>
      </c>
      <c r="L136" s="36">
        <f t="shared" si="87"/>
        <v>20193.600000000002</v>
      </c>
      <c r="M136" s="63">
        <f t="shared" si="91"/>
        <v>5769.6</v>
      </c>
      <c r="N136" s="36">
        <f>25000+3000</f>
        <v>28000</v>
      </c>
      <c r="O136" s="63">
        <f t="shared" si="92"/>
        <v>576.96</v>
      </c>
      <c r="P136" s="63">
        <v>5000</v>
      </c>
      <c r="Q136" s="63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'[3]DECEMBER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00000000000001" customHeight="1" x14ac:dyDescent="0.3">
      <c r="A137" s="33">
        <v>30</v>
      </c>
      <c r="B137" s="178" t="s">
        <v>233</v>
      </c>
      <c r="C137" s="178"/>
      <c r="D137" s="62" t="s">
        <v>235</v>
      </c>
      <c r="E137" s="67" t="s">
        <v>298</v>
      </c>
      <c r="F137" s="68">
        <f t="shared" si="93"/>
        <v>5769.6</v>
      </c>
      <c r="G137" s="33"/>
      <c r="H137" s="63">
        <f t="shared" si="84"/>
        <v>17308.800000000003</v>
      </c>
      <c r="I137" s="63">
        <f t="shared" si="85"/>
        <v>432.72</v>
      </c>
      <c r="J137" s="63">
        <v>0</v>
      </c>
      <c r="K137" s="63">
        <f t="shared" si="86"/>
        <v>2884.8</v>
      </c>
      <c r="L137" s="36">
        <f t="shared" si="87"/>
        <v>20193.600000000002</v>
      </c>
      <c r="M137" s="63">
        <f t="shared" si="91"/>
        <v>5769.6</v>
      </c>
      <c r="N137" s="36">
        <f>25000+7000</f>
        <v>32000</v>
      </c>
      <c r="O137" s="63">
        <f t="shared" si="92"/>
        <v>576.96</v>
      </c>
      <c r="P137" s="63">
        <v>5000</v>
      </c>
      <c r="Q137" s="63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00000000000001" customHeight="1" x14ac:dyDescent="0.3">
      <c r="A138" s="33">
        <v>31</v>
      </c>
      <c r="B138" s="178" t="s">
        <v>234</v>
      </c>
      <c r="C138" s="178"/>
      <c r="D138" s="62" t="s">
        <v>251</v>
      </c>
      <c r="E138" s="67" t="s">
        <v>299</v>
      </c>
      <c r="F138" s="63">
        <f>5428.12</f>
        <v>5428.12</v>
      </c>
      <c r="G138" s="33"/>
      <c r="H138" s="63">
        <f t="shared" si="84"/>
        <v>16284.36</v>
      </c>
      <c r="I138" s="63">
        <f t="shared" si="85"/>
        <v>407.10899999999998</v>
      </c>
      <c r="J138" s="63">
        <v>0</v>
      </c>
      <c r="K138" s="63">
        <f t="shared" si="86"/>
        <v>2714.06</v>
      </c>
      <c r="L138" s="36">
        <f t="shared" si="87"/>
        <v>18998.419999999998</v>
      </c>
      <c r="M138" s="63">
        <f t="shared" si="91"/>
        <v>5428.12</v>
      </c>
      <c r="N138" s="36">
        <f t="shared" ref="N138:N156" si="94">25000+7000</f>
        <v>32000</v>
      </c>
      <c r="O138" s="63">
        <f t="shared" si="92"/>
        <v>542.81200000000001</v>
      </c>
      <c r="P138" s="63">
        <v>5000</v>
      </c>
      <c r="Q138" s="63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00000000000001" customHeight="1" x14ac:dyDescent="0.3">
      <c r="A139" s="33">
        <v>32</v>
      </c>
      <c r="B139" s="178" t="s">
        <v>237</v>
      </c>
      <c r="C139" s="178"/>
      <c r="D139" s="62" t="s">
        <v>251</v>
      </c>
      <c r="E139" s="67" t="s">
        <v>299</v>
      </c>
      <c r="F139" s="63">
        <f t="shared" ref="F139:F144" si="95">5428.12</f>
        <v>5428.12</v>
      </c>
      <c r="G139" s="33"/>
      <c r="H139" s="63">
        <f t="shared" si="84"/>
        <v>16284.36</v>
      </c>
      <c r="I139" s="63">
        <f t="shared" si="85"/>
        <v>407.10899999999998</v>
      </c>
      <c r="J139" s="63">
        <v>0</v>
      </c>
      <c r="K139" s="63">
        <f t="shared" si="86"/>
        <v>2714.06</v>
      </c>
      <c r="L139" s="36">
        <f t="shared" si="87"/>
        <v>18998.419999999998</v>
      </c>
      <c r="M139" s="63">
        <f t="shared" si="91"/>
        <v>5428.12</v>
      </c>
      <c r="N139" s="36">
        <f>25000+4000</f>
        <v>29000</v>
      </c>
      <c r="O139" s="63">
        <f t="shared" si="92"/>
        <v>542.81200000000001</v>
      </c>
      <c r="P139" s="63">
        <v>5000</v>
      </c>
      <c r="Q139" s="63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00000000000001" customHeight="1" x14ac:dyDescent="0.3">
      <c r="A140" s="33">
        <v>33</v>
      </c>
      <c r="B140" s="178" t="s">
        <v>238</v>
      </c>
      <c r="C140" s="178"/>
      <c r="D140" s="62" t="s">
        <v>251</v>
      </c>
      <c r="E140" s="67" t="s">
        <v>299</v>
      </c>
      <c r="F140" s="63">
        <f t="shared" si="95"/>
        <v>5428.12</v>
      </c>
      <c r="G140" s="33"/>
      <c r="H140" s="63">
        <f t="shared" si="84"/>
        <v>16284.36</v>
      </c>
      <c r="I140" s="63">
        <f t="shared" si="85"/>
        <v>407.10899999999998</v>
      </c>
      <c r="J140" s="63">
        <v>0</v>
      </c>
      <c r="K140" s="63">
        <f t="shared" si="86"/>
        <v>2714.06</v>
      </c>
      <c r="L140" s="36">
        <f t="shared" si="87"/>
        <v>18998.419999999998</v>
      </c>
      <c r="M140" s="63">
        <f t="shared" si="91"/>
        <v>5428.12</v>
      </c>
      <c r="N140" s="36">
        <f>25000+4000</f>
        <v>29000</v>
      </c>
      <c r="O140" s="63">
        <f t="shared" si="92"/>
        <v>542.81200000000001</v>
      </c>
      <c r="P140" s="63">
        <v>5000</v>
      </c>
      <c r="Q140" s="63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00000000000001" customHeight="1" x14ac:dyDescent="0.3">
      <c r="A141" s="33">
        <v>34</v>
      </c>
      <c r="B141" s="33" t="s">
        <v>239</v>
      </c>
      <c r="C141" s="33"/>
      <c r="D141" s="62" t="s">
        <v>251</v>
      </c>
      <c r="E141" s="67" t="s">
        <v>299</v>
      </c>
      <c r="F141" s="63">
        <f t="shared" si="95"/>
        <v>5428.12</v>
      </c>
      <c r="G141" s="33"/>
      <c r="H141" s="63">
        <f t="shared" si="84"/>
        <v>16284.36</v>
      </c>
      <c r="I141" s="63">
        <f t="shared" si="85"/>
        <v>407.10899999999998</v>
      </c>
      <c r="J141" s="63">
        <v>0</v>
      </c>
      <c r="K141" s="63">
        <f t="shared" si="86"/>
        <v>2714.06</v>
      </c>
      <c r="L141" s="36">
        <f t="shared" si="87"/>
        <v>18998.419999999998</v>
      </c>
      <c r="M141" s="63">
        <f>F140*100%</f>
        <v>5428.12</v>
      </c>
      <c r="N141" s="36">
        <f t="shared" si="94"/>
        <v>32000</v>
      </c>
      <c r="O141" s="63">
        <f t="shared" si="92"/>
        <v>542.81200000000001</v>
      </c>
      <c r="P141" s="63">
        <v>5000</v>
      </c>
      <c r="Q141" s="63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00000000000001" customHeight="1" x14ac:dyDescent="0.3">
      <c r="A142" s="33">
        <v>35</v>
      </c>
      <c r="B142" s="169" t="s">
        <v>240</v>
      </c>
      <c r="C142" s="170"/>
      <c r="D142" s="62" t="s">
        <v>251</v>
      </c>
      <c r="E142" s="67" t="s">
        <v>299</v>
      </c>
      <c r="F142" s="63">
        <f t="shared" si="95"/>
        <v>5428.12</v>
      </c>
      <c r="G142" s="33"/>
      <c r="H142" s="63">
        <f t="shared" si="84"/>
        <v>16284.36</v>
      </c>
      <c r="I142" s="63">
        <f t="shared" si="85"/>
        <v>407.10899999999998</v>
      </c>
      <c r="J142" s="63"/>
      <c r="K142" s="63">
        <f t="shared" si="86"/>
        <v>2714.06</v>
      </c>
      <c r="L142" s="36">
        <f t="shared" si="87"/>
        <v>18998.419999999998</v>
      </c>
      <c r="M142" s="63">
        <f t="shared" ref="M142:M157" si="96">F142*100%</f>
        <v>5428.12</v>
      </c>
      <c r="N142" s="36">
        <f>25000+4000</f>
        <v>29000</v>
      </c>
      <c r="O142" s="63">
        <f t="shared" si="92"/>
        <v>542.81200000000001</v>
      </c>
      <c r="P142" s="63">
        <v>5000</v>
      </c>
      <c r="Q142" s="63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00000000000001" customHeight="1" x14ac:dyDescent="0.3">
      <c r="A143" s="33">
        <v>36</v>
      </c>
      <c r="B143" s="62" t="s">
        <v>241</v>
      </c>
      <c r="C143" s="33"/>
      <c r="D143" s="62" t="s">
        <v>251</v>
      </c>
      <c r="E143" s="67" t="s">
        <v>299</v>
      </c>
      <c r="F143" s="63">
        <f t="shared" si="95"/>
        <v>5428.12</v>
      </c>
      <c r="G143" s="33"/>
      <c r="H143" s="63">
        <f t="shared" si="84"/>
        <v>16284.36</v>
      </c>
      <c r="I143" s="63">
        <f t="shared" si="85"/>
        <v>407.10899999999998</v>
      </c>
      <c r="J143" s="63"/>
      <c r="K143" s="63">
        <f t="shared" si="86"/>
        <v>2714.06</v>
      </c>
      <c r="L143" s="36">
        <f t="shared" si="87"/>
        <v>18998.419999999998</v>
      </c>
      <c r="M143" s="63">
        <f t="shared" si="96"/>
        <v>5428.12</v>
      </c>
      <c r="N143" s="36">
        <f>25000+4000</f>
        <v>29000</v>
      </c>
      <c r="O143" s="63">
        <f t="shared" si="92"/>
        <v>542.81200000000001</v>
      </c>
      <c r="P143" s="63">
        <v>5000</v>
      </c>
      <c r="Q143" s="63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00000000000001" customHeight="1" x14ac:dyDescent="0.3">
      <c r="A144" s="33">
        <v>37</v>
      </c>
      <c r="B144" s="62" t="s">
        <v>242</v>
      </c>
      <c r="C144" s="33"/>
      <c r="D144" s="62" t="s">
        <v>251</v>
      </c>
      <c r="E144" s="67" t="s">
        <v>299</v>
      </c>
      <c r="F144" s="63">
        <f t="shared" si="95"/>
        <v>5428.12</v>
      </c>
      <c r="G144" s="33"/>
      <c r="H144" s="63">
        <f t="shared" si="84"/>
        <v>16284.36</v>
      </c>
      <c r="I144" s="63">
        <f t="shared" si="85"/>
        <v>407.10899999999998</v>
      </c>
      <c r="J144" s="63"/>
      <c r="K144" s="63">
        <f t="shared" si="86"/>
        <v>2714.06</v>
      </c>
      <c r="L144" s="36">
        <f t="shared" si="87"/>
        <v>18998.419999999998</v>
      </c>
      <c r="M144" s="63">
        <f t="shared" si="96"/>
        <v>5428.12</v>
      </c>
      <c r="N144" s="36">
        <f t="shared" si="94"/>
        <v>32000</v>
      </c>
      <c r="O144" s="63">
        <f t="shared" si="92"/>
        <v>542.81200000000001</v>
      </c>
      <c r="P144" s="63">
        <v>5000</v>
      </c>
      <c r="Q144" s="63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00000000000001" customHeight="1" x14ac:dyDescent="0.3">
      <c r="A145" s="33">
        <v>38</v>
      </c>
      <c r="B145" s="169" t="s">
        <v>243</v>
      </c>
      <c r="C145" s="170"/>
      <c r="D145" s="62" t="s">
        <v>251</v>
      </c>
      <c r="E145" s="67" t="s">
        <v>249</v>
      </c>
      <c r="F145" s="63">
        <f>4915.97</f>
        <v>4915.97</v>
      </c>
      <c r="G145" s="33"/>
      <c r="H145" s="63">
        <f t="shared" si="84"/>
        <v>14747.91</v>
      </c>
      <c r="I145" s="63">
        <f t="shared" si="85"/>
        <v>368.69774999999998</v>
      </c>
      <c r="J145" s="63"/>
      <c r="K145" s="63">
        <f t="shared" si="86"/>
        <v>2457.9850000000001</v>
      </c>
      <c r="L145" s="36">
        <f t="shared" si="87"/>
        <v>17205.895</v>
      </c>
      <c r="M145" s="63">
        <f t="shared" si="96"/>
        <v>4915.97</v>
      </c>
      <c r="N145" s="36">
        <f t="shared" si="94"/>
        <v>32000</v>
      </c>
      <c r="O145" s="63">
        <f t="shared" si="92"/>
        <v>491.59700000000004</v>
      </c>
      <c r="P145" s="63">
        <v>5000</v>
      </c>
      <c r="Q145" s="63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00000000000001" customHeight="1" x14ac:dyDescent="0.3">
      <c r="A146" s="33">
        <v>39</v>
      </c>
      <c r="B146" s="169" t="s">
        <v>245</v>
      </c>
      <c r="C146" s="170"/>
      <c r="D146" s="62" t="s">
        <v>251</v>
      </c>
      <c r="E146" s="67" t="s">
        <v>249</v>
      </c>
      <c r="F146" s="63">
        <f>4915.97</f>
        <v>4915.97</v>
      </c>
      <c r="G146" s="33"/>
      <c r="H146" s="63">
        <f t="shared" si="84"/>
        <v>14747.91</v>
      </c>
      <c r="I146" s="63">
        <f t="shared" si="85"/>
        <v>368.69774999999998</v>
      </c>
      <c r="J146" s="63"/>
      <c r="K146" s="63">
        <f t="shared" si="86"/>
        <v>2457.9850000000001</v>
      </c>
      <c r="L146" s="36">
        <f t="shared" si="87"/>
        <v>17205.895</v>
      </c>
      <c r="M146" s="63">
        <f t="shared" si="96"/>
        <v>4915.97</v>
      </c>
      <c r="N146" s="36">
        <f t="shared" si="94"/>
        <v>32000</v>
      </c>
      <c r="O146" s="63">
        <f t="shared" si="92"/>
        <v>491.59700000000004</v>
      </c>
      <c r="P146" s="63">
        <v>5000</v>
      </c>
      <c r="Q146" s="63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00000000000001" customHeight="1" x14ac:dyDescent="0.3">
      <c r="A147" s="33">
        <v>40</v>
      </c>
      <c r="B147" s="62" t="s">
        <v>246</v>
      </c>
      <c r="C147" s="33"/>
      <c r="D147" s="62" t="s">
        <v>251</v>
      </c>
      <c r="E147" s="67" t="s">
        <v>300</v>
      </c>
      <c r="F147" s="63">
        <f>4836.3</f>
        <v>4836.3</v>
      </c>
      <c r="G147" s="33"/>
      <c r="H147" s="63">
        <f t="shared" si="84"/>
        <v>14508.900000000001</v>
      </c>
      <c r="I147" s="63">
        <f t="shared" si="85"/>
        <v>362.72250000000003</v>
      </c>
      <c r="J147" s="63"/>
      <c r="K147" s="63">
        <f t="shared" si="86"/>
        <v>2418.15</v>
      </c>
      <c r="L147" s="36">
        <f t="shared" si="87"/>
        <v>16927.05</v>
      </c>
      <c r="M147" s="63">
        <f t="shared" si="96"/>
        <v>4836.3</v>
      </c>
      <c r="N147" s="36">
        <f t="shared" si="94"/>
        <v>32000</v>
      </c>
      <c r="O147" s="63">
        <f t="shared" si="92"/>
        <v>483.63000000000005</v>
      </c>
      <c r="P147" s="63">
        <v>5000</v>
      </c>
      <c r="Q147" s="63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00000000000001" customHeight="1" x14ac:dyDescent="0.3">
      <c r="A148" s="33">
        <v>41</v>
      </c>
      <c r="B148" s="169" t="s">
        <v>248</v>
      </c>
      <c r="C148" s="170"/>
      <c r="D148" s="62" t="s">
        <v>251</v>
      </c>
      <c r="E148" s="67" t="s">
        <v>259</v>
      </c>
      <c r="F148" s="63">
        <f>4395.43</f>
        <v>4395.43</v>
      </c>
      <c r="G148" s="33"/>
      <c r="H148" s="63">
        <f t="shared" si="84"/>
        <v>13186.29</v>
      </c>
      <c r="I148" s="63">
        <f t="shared" si="85"/>
        <v>329.65725000000003</v>
      </c>
      <c r="J148" s="63"/>
      <c r="K148" s="63">
        <f t="shared" si="86"/>
        <v>2197.7150000000001</v>
      </c>
      <c r="L148" s="36">
        <f t="shared" si="87"/>
        <v>15384.005000000001</v>
      </c>
      <c r="M148" s="63">
        <f t="shared" si="96"/>
        <v>4395.43</v>
      </c>
      <c r="N148" s="36">
        <f t="shared" si="94"/>
        <v>32000</v>
      </c>
      <c r="O148" s="63">
        <f t="shared" si="92"/>
        <v>439.54300000000006</v>
      </c>
      <c r="P148" s="63">
        <v>5000</v>
      </c>
      <c r="Q148" s="63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00000000000001" customHeight="1" x14ac:dyDescent="0.3">
      <c r="A149" s="33">
        <v>42</v>
      </c>
      <c r="B149" s="169" t="s">
        <v>250</v>
      </c>
      <c r="C149" s="170"/>
      <c r="D149" s="62" t="s">
        <v>251</v>
      </c>
      <c r="E149" s="67" t="s">
        <v>259</v>
      </c>
      <c r="F149" s="63">
        <f t="shared" ref="F149:F154" si="97">4395.43</f>
        <v>4395.43</v>
      </c>
      <c r="G149" s="33"/>
      <c r="H149" s="63">
        <f t="shared" si="84"/>
        <v>13186.29</v>
      </c>
      <c r="I149" s="63">
        <f t="shared" si="85"/>
        <v>329.65725000000003</v>
      </c>
      <c r="J149" s="63"/>
      <c r="K149" s="63">
        <f t="shared" si="86"/>
        <v>2197.7150000000001</v>
      </c>
      <c r="L149" s="36">
        <f t="shared" si="87"/>
        <v>15384.005000000001</v>
      </c>
      <c r="M149" s="63">
        <f t="shared" si="96"/>
        <v>4395.43</v>
      </c>
      <c r="N149" s="36">
        <f>25000+4000</f>
        <v>29000</v>
      </c>
      <c r="O149" s="63">
        <f t="shared" si="92"/>
        <v>439.54300000000006</v>
      </c>
      <c r="P149" s="63">
        <v>5000</v>
      </c>
      <c r="Q149" s="63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00000000000001" customHeight="1" x14ac:dyDescent="0.3">
      <c r="A150" s="33">
        <v>43</v>
      </c>
      <c r="B150" s="169" t="s">
        <v>253</v>
      </c>
      <c r="C150" s="170"/>
      <c r="D150" s="62" t="s">
        <v>251</v>
      </c>
      <c r="E150" s="67" t="s">
        <v>259</v>
      </c>
      <c r="F150" s="63">
        <f t="shared" si="97"/>
        <v>4395.43</v>
      </c>
      <c r="G150" s="33"/>
      <c r="H150" s="63">
        <f t="shared" si="84"/>
        <v>13186.29</v>
      </c>
      <c r="I150" s="63">
        <f t="shared" si="85"/>
        <v>329.65725000000003</v>
      </c>
      <c r="J150" s="63"/>
      <c r="K150" s="63">
        <f t="shared" si="86"/>
        <v>2197.7150000000001</v>
      </c>
      <c r="L150" s="36">
        <f t="shared" si="87"/>
        <v>15384.005000000001</v>
      </c>
      <c r="M150" s="63">
        <f t="shared" si="96"/>
        <v>4395.43</v>
      </c>
      <c r="N150" s="36">
        <f>25000+4000</f>
        <v>29000</v>
      </c>
      <c r="O150" s="63">
        <f t="shared" si="92"/>
        <v>439.54300000000006</v>
      </c>
      <c r="P150" s="63">
        <v>5000</v>
      </c>
      <c r="Q150" s="63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00000000000001" customHeight="1" x14ac:dyDescent="0.3">
      <c r="A151" s="33">
        <v>44</v>
      </c>
      <c r="B151" s="169" t="s">
        <v>254</v>
      </c>
      <c r="C151" s="170"/>
      <c r="D151" s="62" t="s">
        <v>251</v>
      </c>
      <c r="E151" s="67" t="s">
        <v>259</v>
      </c>
      <c r="F151" s="63">
        <f t="shared" si="97"/>
        <v>4395.43</v>
      </c>
      <c r="G151" s="27">
        <f>0</f>
        <v>0</v>
      </c>
      <c r="H151" s="63">
        <f t="shared" si="84"/>
        <v>13186.29</v>
      </c>
      <c r="I151" s="63">
        <f t="shared" si="85"/>
        <v>329.65725000000003</v>
      </c>
      <c r="J151" s="63"/>
      <c r="K151" s="63">
        <f t="shared" si="86"/>
        <v>2197.7150000000001</v>
      </c>
      <c r="L151" s="36">
        <f t="shared" si="87"/>
        <v>15384.005000000001</v>
      </c>
      <c r="M151" s="63">
        <f t="shared" si="96"/>
        <v>4395.43</v>
      </c>
      <c r="N151" s="36">
        <f t="shared" si="94"/>
        <v>32000</v>
      </c>
      <c r="O151" s="63">
        <f t="shared" si="92"/>
        <v>439.54300000000006</v>
      </c>
      <c r="P151" s="63">
        <v>5000</v>
      </c>
      <c r="Q151" s="63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00000000000001" customHeight="1" x14ac:dyDescent="0.3">
      <c r="A152" s="33">
        <v>45</v>
      </c>
      <c r="B152" s="169" t="s">
        <v>255</v>
      </c>
      <c r="C152" s="170"/>
      <c r="D152" s="62" t="s">
        <v>251</v>
      </c>
      <c r="E152" s="67" t="s">
        <v>259</v>
      </c>
      <c r="F152" s="63">
        <f t="shared" si="97"/>
        <v>4395.43</v>
      </c>
      <c r="G152" s="33"/>
      <c r="H152" s="63">
        <f t="shared" si="84"/>
        <v>13186.29</v>
      </c>
      <c r="I152" s="63">
        <f t="shared" si="85"/>
        <v>329.65725000000003</v>
      </c>
      <c r="J152" s="63"/>
      <c r="K152" s="63">
        <f t="shared" si="86"/>
        <v>2197.7150000000001</v>
      </c>
      <c r="L152" s="36">
        <f t="shared" si="87"/>
        <v>15384.005000000001</v>
      </c>
      <c r="M152" s="63">
        <f t="shared" si="96"/>
        <v>4395.43</v>
      </c>
      <c r="N152" s="36">
        <f t="shared" si="94"/>
        <v>32000</v>
      </c>
      <c r="O152" s="63">
        <f t="shared" si="92"/>
        <v>439.54300000000006</v>
      </c>
      <c r="P152" s="63">
        <v>5000</v>
      </c>
      <c r="Q152" s="63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00000000000001" customHeight="1" x14ac:dyDescent="0.3">
      <c r="A153" s="33">
        <v>46</v>
      </c>
      <c r="B153" s="169" t="s">
        <v>256</v>
      </c>
      <c r="C153" s="170"/>
      <c r="D153" s="62" t="s">
        <v>251</v>
      </c>
      <c r="E153" s="67" t="s">
        <v>259</v>
      </c>
      <c r="F153" s="63">
        <f t="shared" si="97"/>
        <v>4395.43</v>
      </c>
      <c r="G153" s="33"/>
      <c r="H153" s="63">
        <f t="shared" si="84"/>
        <v>13186.29</v>
      </c>
      <c r="I153" s="63">
        <f t="shared" si="85"/>
        <v>329.65725000000003</v>
      </c>
      <c r="J153" s="63"/>
      <c r="K153" s="63">
        <f t="shared" si="86"/>
        <v>2197.7150000000001</v>
      </c>
      <c r="L153" s="36">
        <f t="shared" si="87"/>
        <v>15384.005000000001</v>
      </c>
      <c r="M153" s="63">
        <f t="shared" si="96"/>
        <v>4395.43</v>
      </c>
      <c r="N153" s="36">
        <f t="shared" si="94"/>
        <v>32000</v>
      </c>
      <c r="O153" s="63">
        <f t="shared" si="92"/>
        <v>439.54300000000006</v>
      </c>
      <c r="P153" s="63">
        <v>5000</v>
      </c>
      <c r="Q153" s="63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00000000000001" customHeight="1" x14ac:dyDescent="0.3">
      <c r="A154" s="33">
        <v>47</v>
      </c>
      <c r="B154" s="169" t="s">
        <v>257</v>
      </c>
      <c r="C154" s="170"/>
      <c r="D154" s="62" t="s">
        <v>251</v>
      </c>
      <c r="E154" s="67" t="s">
        <v>259</v>
      </c>
      <c r="F154" s="63">
        <f t="shared" si="97"/>
        <v>4395.43</v>
      </c>
      <c r="G154" s="33"/>
      <c r="H154" s="63">
        <f t="shared" si="84"/>
        <v>13186.29</v>
      </c>
      <c r="I154" s="63">
        <f t="shared" si="85"/>
        <v>329.65725000000003</v>
      </c>
      <c r="J154" s="63"/>
      <c r="K154" s="63">
        <f t="shared" si="86"/>
        <v>2197.7150000000001</v>
      </c>
      <c r="L154" s="36">
        <f t="shared" si="87"/>
        <v>15384.005000000001</v>
      </c>
      <c r="M154" s="63">
        <f t="shared" si="96"/>
        <v>4395.43</v>
      </c>
      <c r="N154" s="36">
        <f t="shared" si="94"/>
        <v>32000</v>
      </c>
      <c r="O154" s="63">
        <f t="shared" si="92"/>
        <v>439.54300000000006</v>
      </c>
      <c r="P154" s="63">
        <v>5000</v>
      </c>
      <c r="Q154" s="63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00000000000001" customHeight="1" x14ac:dyDescent="0.3">
      <c r="A155" s="33">
        <v>48</v>
      </c>
      <c r="B155" s="197" t="s">
        <v>258</v>
      </c>
      <c r="C155" s="198"/>
      <c r="D155" s="62" t="s">
        <v>251</v>
      </c>
      <c r="E155" s="67" t="s">
        <v>301</v>
      </c>
      <c r="F155" s="63">
        <f>4248.51</f>
        <v>4248.51</v>
      </c>
      <c r="G155" s="33"/>
      <c r="H155" s="63">
        <f t="shared" si="84"/>
        <v>12745.53</v>
      </c>
      <c r="I155" s="63">
        <f t="shared" si="85"/>
        <v>318.63825000000003</v>
      </c>
      <c r="J155" s="63"/>
      <c r="K155" s="63">
        <f t="shared" si="86"/>
        <v>2124.2550000000001</v>
      </c>
      <c r="L155" s="36">
        <f t="shared" si="87"/>
        <v>14869.785</v>
      </c>
      <c r="M155" s="63">
        <f t="shared" si="96"/>
        <v>4248.51</v>
      </c>
      <c r="N155" s="36">
        <f t="shared" si="94"/>
        <v>32000</v>
      </c>
      <c r="O155" s="63">
        <f t="shared" si="92"/>
        <v>424.85100000000006</v>
      </c>
      <c r="P155" s="63">
        <v>5000</v>
      </c>
      <c r="Q155" s="63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00000000000001" customHeight="1" x14ac:dyDescent="0.3">
      <c r="A156" s="33">
        <v>49</v>
      </c>
      <c r="B156" s="199" t="s">
        <v>260</v>
      </c>
      <c r="C156" s="200"/>
      <c r="D156" s="62" t="s">
        <v>251</v>
      </c>
      <c r="E156" s="67" t="s">
        <v>301</v>
      </c>
      <c r="F156" s="63">
        <f>4248.51</f>
        <v>4248.51</v>
      </c>
      <c r="G156" s="33"/>
      <c r="H156" s="63">
        <f t="shared" si="84"/>
        <v>12745.53</v>
      </c>
      <c r="I156" s="63">
        <f t="shared" si="85"/>
        <v>318.63825000000003</v>
      </c>
      <c r="J156" s="63"/>
      <c r="K156" s="63">
        <f t="shared" si="86"/>
        <v>2124.2550000000001</v>
      </c>
      <c r="L156" s="36">
        <f t="shared" si="87"/>
        <v>14869.785</v>
      </c>
      <c r="M156" s="63">
        <f t="shared" si="96"/>
        <v>4248.51</v>
      </c>
      <c r="N156" s="36">
        <f t="shared" si="94"/>
        <v>32000</v>
      </c>
      <c r="O156" s="63">
        <f t="shared" si="92"/>
        <v>424.85100000000006</v>
      </c>
      <c r="P156" s="63">
        <v>5000</v>
      </c>
      <c r="Q156" s="63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00000000000001" customHeight="1" x14ac:dyDescent="0.3">
      <c r="A157" s="33">
        <v>50</v>
      </c>
      <c r="B157" s="99" t="s">
        <v>261</v>
      </c>
      <c r="C157" s="100"/>
      <c r="D157" s="62" t="s">
        <v>251</v>
      </c>
      <c r="E157" s="67" t="s">
        <v>301</v>
      </c>
      <c r="F157" s="63">
        <f>4101.58</f>
        <v>4101.58</v>
      </c>
      <c r="G157" s="27">
        <f>0</f>
        <v>0</v>
      </c>
      <c r="H157" s="63">
        <f t="shared" si="84"/>
        <v>12304.74</v>
      </c>
      <c r="I157" s="63">
        <f t="shared" si="85"/>
        <v>307.61849999999998</v>
      </c>
      <c r="J157" s="63"/>
      <c r="K157" s="63">
        <f t="shared" si="86"/>
        <v>2050.79</v>
      </c>
      <c r="L157" s="36">
        <f t="shared" si="87"/>
        <v>14355.529999999999</v>
      </c>
      <c r="M157" s="63">
        <f t="shared" si="96"/>
        <v>4101.58</v>
      </c>
      <c r="N157" s="36">
        <f>25000+4000</f>
        <v>29000</v>
      </c>
      <c r="O157" s="63">
        <f t="shared" si="92"/>
        <v>410.15800000000002</v>
      </c>
      <c r="P157" s="63">
        <v>5000</v>
      </c>
      <c r="Q157" s="63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00000000000001" customHeight="1" x14ac:dyDescent="0.3">
      <c r="A158" s="33"/>
      <c r="B158" s="49" t="s">
        <v>32</v>
      </c>
      <c r="D158" s="50" t="s">
        <v>278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00000000000001" customHeight="1" x14ac:dyDescent="0.3">
      <c r="A159" s="33"/>
      <c r="B159" s="201" t="s">
        <v>263</v>
      </c>
      <c r="C159" s="201"/>
      <c r="D159" s="40"/>
      <c r="E159" s="41"/>
      <c r="F159" s="42">
        <f t="shared" ref="F159:R159" si="99">F28+F33+F47+F51+F58+F65+F77+F84+F91+F105+F158</f>
        <v>2926420.93</v>
      </c>
      <c r="G159" s="42">
        <f t="shared" si="99"/>
        <v>0</v>
      </c>
      <c r="H159" s="42">
        <f t="shared" si="99"/>
        <v>8618774.040000001</v>
      </c>
      <c r="I159" s="42">
        <f t="shared" si="99"/>
        <v>255591.54349999991</v>
      </c>
      <c r="J159" s="42">
        <f t="shared" si="99"/>
        <v>1484521.0300000003</v>
      </c>
      <c r="K159" s="42">
        <f t="shared" si="99"/>
        <v>1455186.03</v>
      </c>
      <c r="L159" s="42">
        <f t="shared" si="99"/>
        <v>9680762.629999999</v>
      </c>
      <c r="M159" s="42">
        <f t="shared" si="99"/>
        <v>2886298.75</v>
      </c>
      <c r="N159" s="42">
        <f t="shared" si="99"/>
        <v>11927000</v>
      </c>
      <c r="O159" s="42">
        <f t="shared" si="99"/>
        <v>292642.098</v>
      </c>
      <c r="P159" s="42">
        <f t="shared" si="99"/>
        <v>1470000</v>
      </c>
      <c r="Q159" s="42">
        <f t="shared" si="99"/>
        <v>1055235</v>
      </c>
      <c r="R159" s="42">
        <f t="shared" si="99"/>
        <v>42052432.0515</v>
      </c>
      <c r="S159" s="42">
        <v>43425708.365500003</v>
      </c>
      <c r="T159" s="42">
        <f>T158+T105+T91+T84+T77+T65+T58+T47+T51+T33+T28</f>
        <v>1787089.5090000005</v>
      </c>
      <c r="U159" s="42">
        <f>U28+U33+U47+U51+U58+U65+U77+U84+U91+U105+U158</f>
        <v>3479500</v>
      </c>
      <c r="V159" s="42">
        <f>V28+V33+V47+V51+V58+V65+V77+V84+V91+V105+V158</f>
        <v>6737357.169999999</v>
      </c>
      <c r="W159" s="42">
        <f>W28+W33+W47+W51+W58+W65+W77+W84+W91+W105+W158</f>
        <v>26538.076000000001</v>
      </c>
      <c r="X159" s="42">
        <f>X28+X33+X47+X51+X58+X65+X77+X84+X91+X105+X158</f>
        <v>1200224.5900000001</v>
      </c>
      <c r="Y159" s="42">
        <f>Y28+Y33+Y47+Y51+Y58+Y65+Y77+Y84+Y91+Y105+Y158</f>
        <v>15670225.173500003</v>
      </c>
      <c r="Z159" s="42">
        <v>31457193.518750004</v>
      </c>
      <c r="AA159" s="42">
        <f>AA28+AA33+AA47+AA51+AA58+AA65+AA77+AA84+AA91+AA105+AA158</f>
        <v>30608812.215500005</v>
      </c>
      <c r="AB159" s="36"/>
    </row>
    <row r="160" spans="1:28" ht="20.100000000000001" customHeight="1" x14ac:dyDescent="0.3">
      <c r="A160" s="33"/>
      <c r="B160" s="196"/>
      <c r="C160" s="196"/>
      <c r="D160" s="47"/>
      <c r="E160" s="73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36"/>
    </row>
    <row r="161" spans="1:28" ht="20.100000000000001" customHeight="1" x14ac:dyDescent="0.3">
      <c r="A161" s="33"/>
      <c r="B161" s="196"/>
      <c r="C161" s="196"/>
      <c r="D161" s="168" t="s">
        <v>264</v>
      </c>
      <c r="E161" s="168"/>
      <c r="F161" s="168"/>
      <c r="G161" s="168"/>
      <c r="H161" s="168"/>
      <c r="I161" s="168"/>
      <c r="J161" s="168"/>
      <c r="K161" s="167" t="s">
        <v>265</v>
      </c>
      <c r="L161" s="167"/>
      <c r="M161" s="167"/>
      <c r="N161" s="41"/>
      <c r="O161" s="167" t="s">
        <v>266</v>
      </c>
      <c r="P161" s="167"/>
      <c r="Q161" s="167"/>
      <c r="R161" s="167"/>
      <c r="S161" s="41"/>
      <c r="T161" s="41"/>
      <c r="U161" s="41"/>
      <c r="V161" s="41"/>
      <c r="W161" s="41"/>
      <c r="X161" s="74"/>
      <c r="Y161" s="74"/>
      <c r="Z161" s="74"/>
      <c r="AA161" s="74"/>
      <c r="AB161" s="36"/>
    </row>
    <row r="162" spans="1:28" ht="20.100000000000001" customHeight="1" x14ac:dyDescent="0.3">
      <c r="A162" s="3"/>
      <c r="B162" s="196"/>
      <c r="C162" s="196"/>
      <c r="D162" s="168"/>
      <c r="E162" s="168"/>
      <c r="F162" s="168"/>
      <c r="G162" s="168"/>
      <c r="H162" s="168"/>
      <c r="I162" s="168"/>
      <c r="J162" s="168"/>
      <c r="K162" s="167"/>
      <c r="L162" s="167"/>
      <c r="M162" s="167"/>
      <c r="N162" s="41"/>
      <c r="O162" s="167"/>
      <c r="P162" s="167"/>
      <c r="Q162" s="167"/>
      <c r="R162" s="167"/>
      <c r="S162" s="41"/>
      <c r="T162" s="41"/>
      <c r="U162" s="41"/>
      <c r="V162" s="41"/>
      <c r="W162" s="41"/>
      <c r="X162" s="74"/>
      <c r="Y162" s="74"/>
      <c r="Z162" s="74"/>
      <c r="AA162" s="74"/>
      <c r="AB162" s="36"/>
    </row>
    <row r="163" spans="1:28" ht="20.100000000000001" customHeight="1" x14ac:dyDescent="0.3">
      <c r="A163" s="33"/>
      <c r="AB163" s="36"/>
    </row>
    <row r="164" spans="1:28" ht="20.100000000000001" customHeight="1" x14ac:dyDescent="0.3">
      <c r="A164" s="33"/>
      <c r="AA164" s="34"/>
      <c r="AB164" s="36"/>
    </row>
    <row r="165" spans="1:28" ht="20.100000000000001" customHeight="1" x14ac:dyDescent="0.3">
      <c r="A165" s="33"/>
      <c r="AB165" s="36"/>
    </row>
    <row r="166" spans="1:28" ht="20.100000000000001" customHeight="1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00000000000001" customHeight="1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00000000000001" customHeight="1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00000000000001" customHeight="1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00000000000001" customHeight="1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00000000000001" customHeight="1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00000000000001" customHeight="1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00000000000001" customHeight="1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00000000000001" customHeight="1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00000000000001" customHeight="1" x14ac:dyDescent="0.3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00000000000001" customHeight="1" x14ac:dyDescent="0.3">
      <c r="AB176" s="36"/>
    </row>
    <row r="177" spans="28:28" ht="20.100000000000001" customHeight="1" x14ac:dyDescent="0.3">
      <c r="AB177" s="36"/>
    </row>
    <row r="178" spans="28:28" ht="20.100000000000001" customHeight="1" x14ac:dyDescent="0.3">
      <c r="AB178" s="36"/>
    </row>
    <row r="179" spans="28:28" ht="20.100000000000001" customHeight="1" x14ac:dyDescent="0.3">
      <c r="AB179" s="36"/>
    </row>
    <row r="180" spans="28:28" ht="20.100000000000001" customHeight="1" x14ac:dyDescent="0.3">
      <c r="AB180" s="36"/>
    </row>
    <row r="181" spans="28:28" ht="20.100000000000001" customHeight="1" x14ac:dyDescent="0.3">
      <c r="AB181" s="36"/>
    </row>
    <row r="182" spans="28:28" ht="20.100000000000001" customHeight="1" x14ac:dyDescent="0.3">
      <c r="AB182" s="36"/>
    </row>
    <row r="183" spans="28:28" ht="20.100000000000001" customHeight="1" x14ac:dyDescent="0.3">
      <c r="AB183" s="36"/>
    </row>
    <row r="184" spans="28:28" ht="20.100000000000001" customHeight="1" x14ac:dyDescent="0.3">
      <c r="AB184" s="36"/>
    </row>
    <row r="185" spans="28:28" ht="20.100000000000001" customHeight="1" x14ac:dyDescent="0.3">
      <c r="AB185" s="36"/>
    </row>
    <row r="186" spans="28:28" ht="20.100000000000001" customHeight="1" x14ac:dyDescent="0.3">
      <c r="AB186" s="36"/>
    </row>
    <row r="187" spans="28:28" ht="20.100000000000001" customHeight="1" x14ac:dyDescent="0.3">
      <c r="AB187" s="36"/>
    </row>
    <row r="188" spans="28:28" ht="20.100000000000001" customHeight="1" x14ac:dyDescent="0.3">
      <c r="AB188" s="36"/>
    </row>
    <row r="189" spans="28:28" ht="20.100000000000001" customHeight="1" x14ac:dyDescent="0.3">
      <c r="AB189" s="36"/>
    </row>
    <row r="190" spans="28:28" ht="20.100000000000001" customHeight="1" x14ac:dyDescent="0.3">
      <c r="AB190" s="36"/>
    </row>
    <row r="191" spans="28:28" ht="20.100000000000001" customHeight="1" x14ac:dyDescent="0.3">
      <c r="AB191" s="36"/>
    </row>
    <row r="192" spans="28:28" ht="20.100000000000001" customHeight="1" x14ac:dyDescent="0.3">
      <c r="AB192" s="36"/>
    </row>
    <row r="193" spans="28:28" ht="20.100000000000001" customHeight="1" x14ac:dyDescent="0.3">
      <c r="AB193" s="36"/>
    </row>
    <row r="194" spans="28:28" ht="20.100000000000001" customHeight="1" x14ac:dyDescent="0.3">
      <c r="AB194" s="36"/>
    </row>
    <row r="195" spans="28:28" ht="20.100000000000001" customHeight="1" x14ac:dyDescent="0.3">
      <c r="AB195" s="36"/>
    </row>
    <row r="196" spans="28:28" ht="20.100000000000001" customHeight="1" x14ac:dyDescent="0.3">
      <c r="AB196" s="36"/>
    </row>
    <row r="197" spans="28:28" ht="20.100000000000001" customHeight="1" x14ac:dyDescent="0.3">
      <c r="AB197" s="36"/>
    </row>
    <row r="198" spans="28:28" ht="20.100000000000001" customHeight="1" x14ac:dyDescent="0.3">
      <c r="AB198" s="36"/>
    </row>
    <row r="199" spans="28:28" ht="20.100000000000001" customHeight="1" x14ac:dyDescent="0.3">
      <c r="AB199" s="36"/>
    </row>
    <row r="200" spans="28:28" ht="20.100000000000001" customHeight="1" x14ac:dyDescent="0.3">
      <c r="AB200" s="36"/>
    </row>
    <row r="201" spans="28:28" ht="20.100000000000001" customHeight="1" x14ac:dyDescent="0.3">
      <c r="AB201" s="36"/>
    </row>
    <row r="202" spans="28:28" ht="20.100000000000001" customHeight="1" x14ac:dyDescent="0.3">
      <c r="AB202" s="36"/>
    </row>
    <row r="203" spans="28:28" ht="20.100000000000001" customHeight="1" x14ac:dyDescent="0.3">
      <c r="AB203" s="36"/>
    </row>
    <row r="204" spans="28:28" ht="20.100000000000001" customHeight="1" x14ac:dyDescent="0.3">
      <c r="AB204" s="36"/>
    </row>
    <row r="205" spans="28:28" ht="20.100000000000001" customHeight="1" x14ac:dyDescent="0.3">
      <c r="AB205" s="36"/>
    </row>
    <row r="206" spans="28:28" ht="20.100000000000001" customHeight="1" x14ac:dyDescent="0.3">
      <c r="AB206" s="36"/>
    </row>
    <row r="207" spans="28:28" ht="20.100000000000001" customHeight="1" x14ac:dyDescent="0.3">
      <c r="AB207" s="36"/>
    </row>
    <row r="208" spans="28:28" ht="20.100000000000001" customHeight="1" x14ac:dyDescent="0.3">
      <c r="AB208" s="36"/>
    </row>
    <row r="209" spans="28:28" ht="20.100000000000001" customHeight="1" x14ac:dyDescent="0.3">
      <c r="AB209" s="36"/>
    </row>
    <row r="210" spans="28:28" ht="20.100000000000001" customHeight="1" x14ac:dyDescent="0.3">
      <c r="AB210" s="36"/>
    </row>
    <row r="211" spans="28:28" ht="20.100000000000001" customHeight="1" x14ac:dyDescent="0.3">
      <c r="AB211" s="36"/>
    </row>
    <row r="212" spans="28:28" ht="20.100000000000001" customHeight="1" x14ac:dyDescent="0.3">
      <c r="AB212" s="36"/>
    </row>
    <row r="213" spans="28:28" ht="20.100000000000001" customHeight="1" x14ac:dyDescent="0.3">
      <c r="AB213" s="36"/>
    </row>
    <row r="214" spans="28:28" ht="20.100000000000001" customHeight="1" x14ac:dyDescent="0.3">
      <c r="AB214" s="36"/>
    </row>
    <row r="215" spans="28:28" ht="20.100000000000001" customHeight="1" x14ac:dyDescent="0.3">
      <c r="AB215" s="36"/>
    </row>
    <row r="216" spans="28:28" ht="20.100000000000001" customHeight="1" x14ac:dyDescent="0.3">
      <c r="AB216" s="36"/>
    </row>
    <row r="217" spans="28:28" ht="20.100000000000001" customHeight="1" x14ac:dyDescent="0.3">
      <c r="AB217" s="36"/>
    </row>
    <row r="218" spans="28:28" ht="20.100000000000001" customHeight="1" x14ac:dyDescent="0.3">
      <c r="AB218" s="36"/>
    </row>
    <row r="219" spans="28:28" ht="20.100000000000001" customHeight="1" x14ac:dyDescent="0.3">
      <c r="AB219" s="36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2"/>
  <sheetViews>
    <sheetView view="pageBreakPreview" zoomScaleNormal="100" zoomScaleSheetLayoutView="100" workbookViewId="0">
      <pane xSplit="4" ySplit="8" topLeftCell="U33" activePane="bottomRight" state="frozen"/>
      <selection pane="topRight" activeCell="E1" sqref="E1"/>
      <selection pane="bottomLeft" activeCell="A10" sqref="A10"/>
      <selection pane="bottomRight" activeCell="AJ64" sqref="AJ64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 x14ac:dyDescent="0.3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AI1" s="1" t="s">
        <v>0</v>
      </c>
    </row>
    <row r="2" spans="1:36" ht="5.25" customHeight="1" x14ac:dyDescent="0.3"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spans="1:36" ht="20.100000000000001" customHeight="1" x14ac:dyDescent="0.3">
      <c r="B3" s="166" t="s">
        <v>279</v>
      </c>
      <c r="C3" s="166"/>
      <c r="D3" s="166"/>
      <c r="E3" s="166"/>
      <c r="F3" s="53"/>
      <c r="G3" s="53"/>
      <c r="H3" s="53"/>
      <c r="I3" s="54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</row>
    <row r="4" spans="1:36" ht="2.25" customHeight="1" x14ac:dyDescent="0.3">
      <c r="F4" s="56">
        <f>'[1]FEB 08'!E8/'[1]FEB 08'!M8</f>
        <v>0.22</v>
      </c>
      <c r="G4" s="56"/>
      <c r="H4" s="56"/>
      <c r="I4" s="56">
        <f>'[1]FEB 08'!F8/'[1]FEB 08'!Q8</f>
        <v>0.3</v>
      </c>
      <c r="J4" s="56"/>
      <c r="K4" s="56"/>
      <c r="L4" s="56"/>
      <c r="M4" s="56"/>
      <c r="N4" s="56"/>
      <c r="O4" s="56"/>
      <c r="P4" s="56"/>
      <c r="Q4" s="56"/>
    </row>
    <row r="5" spans="1:36" ht="20.100000000000001" customHeight="1" x14ac:dyDescent="0.3">
      <c r="B5" s="166" t="s">
        <v>2</v>
      </c>
      <c r="C5" s="166"/>
      <c r="D5" s="57"/>
      <c r="E5" s="57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165" t="s">
        <v>3</v>
      </c>
      <c r="X5" s="165"/>
      <c r="Y5" s="165"/>
      <c r="Z5" s="165"/>
      <c r="AA5" s="165"/>
      <c r="AB5" s="57"/>
      <c r="AC5" s="57" t="s">
        <v>4</v>
      </c>
    </row>
    <row r="6" spans="1:36" ht="54" customHeight="1" x14ac:dyDescent="0.3">
      <c r="A6" s="33"/>
      <c r="B6" s="175"/>
      <c r="C6" s="175"/>
      <c r="D6" s="59" t="s">
        <v>5</v>
      </c>
      <c r="E6" s="59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60" t="s">
        <v>302</v>
      </c>
      <c r="S6" s="60" t="s">
        <v>303</v>
      </c>
      <c r="T6" s="60" t="s">
        <v>304</v>
      </c>
      <c r="U6" s="60" t="s">
        <v>305</v>
      </c>
      <c r="V6" s="60" t="s">
        <v>306</v>
      </c>
      <c r="W6" s="2"/>
      <c r="X6" s="2"/>
      <c r="Y6" s="2"/>
      <c r="Z6" s="7"/>
      <c r="AA6" s="7"/>
      <c r="AB6" s="7" t="s">
        <v>283</v>
      </c>
      <c r="AC6" s="7" t="s">
        <v>14</v>
      </c>
    </row>
    <row r="7" spans="1:36" ht="55.9" customHeight="1" x14ac:dyDescent="0.3">
      <c r="A7" s="33"/>
      <c r="B7" s="176"/>
      <c r="C7" s="176"/>
      <c r="D7" s="59"/>
      <c r="E7" s="59" t="s">
        <v>16</v>
      </c>
      <c r="F7" s="2" t="s">
        <v>17</v>
      </c>
      <c r="G7" s="60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26</v>
      </c>
      <c r="Q7" s="2" t="s">
        <v>27</v>
      </c>
      <c r="R7" s="2" t="s">
        <v>17</v>
      </c>
      <c r="S7" s="2" t="s">
        <v>17</v>
      </c>
      <c r="T7" s="2" t="s">
        <v>17</v>
      </c>
      <c r="U7" s="2"/>
      <c r="V7" s="2" t="s">
        <v>17</v>
      </c>
      <c r="W7" s="60" t="s">
        <v>28</v>
      </c>
      <c r="X7" s="60" t="s">
        <v>29</v>
      </c>
      <c r="Y7" s="60" t="s">
        <v>30</v>
      </c>
      <c r="Z7" s="2" t="s">
        <v>31</v>
      </c>
      <c r="AA7" s="2" t="s">
        <v>32</v>
      </c>
      <c r="AB7" s="2"/>
      <c r="AC7" s="2"/>
    </row>
    <row r="8" spans="1:36" ht="20.100000000000001" customHeight="1" x14ac:dyDescent="0.3">
      <c r="A8" s="21" t="s">
        <v>33</v>
      </c>
      <c r="B8" s="177" t="s">
        <v>34</v>
      </c>
      <c r="C8" s="177"/>
      <c r="D8" s="49"/>
      <c r="E8" s="49"/>
      <c r="F8" s="61" t="s">
        <v>35</v>
      </c>
      <c r="G8" s="7"/>
      <c r="H8" s="61"/>
      <c r="I8" s="61" t="s">
        <v>35</v>
      </c>
      <c r="J8" s="61"/>
      <c r="K8" s="61"/>
      <c r="L8" s="61"/>
      <c r="M8" s="61"/>
      <c r="N8" s="61"/>
      <c r="O8" s="61"/>
      <c r="P8" s="61"/>
      <c r="Q8" s="61"/>
      <c r="R8" s="61" t="s">
        <v>35</v>
      </c>
      <c r="S8" s="61" t="s">
        <v>35</v>
      </c>
      <c r="T8" s="61" t="s">
        <v>35</v>
      </c>
      <c r="U8" s="61"/>
      <c r="V8" s="61" t="s">
        <v>35</v>
      </c>
      <c r="W8" s="61"/>
      <c r="X8" s="61"/>
      <c r="Y8" s="61"/>
      <c r="Z8" s="61" t="s">
        <v>35</v>
      </c>
      <c r="AA8" s="61"/>
      <c r="AB8" s="61"/>
      <c r="AC8" s="61"/>
    </row>
    <row r="9" spans="1:36" ht="18.75" customHeight="1" x14ac:dyDescent="0.3">
      <c r="A9" s="3">
        <v>1</v>
      </c>
      <c r="B9" s="178" t="s">
        <v>78</v>
      </c>
      <c r="C9" s="178"/>
      <c r="D9" s="33" t="s">
        <v>82</v>
      </c>
      <c r="E9" s="67" t="s">
        <v>285</v>
      </c>
      <c r="F9" s="63">
        <f>19774.62</f>
        <v>19774.62</v>
      </c>
      <c r="G9" s="63"/>
      <c r="H9" s="63">
        <f>F9*300%</f>
        <v>59323.86</v>
      </c>
      <c r="I9" s="63">
        <f>F9*7.5%</f>
        <v>1483.0964999999999</v>
      </c>
      <c r="J9" s="63">
        <v>0</v>
      </c>
      <c r="K9" s="63">
        <f>F9*50%</f>
        <v>9887.31</v>
      </c>
      <c r="L9" s="36">
        <f>F9*350%</f>
        <v>69211.17</v>
      </c>
      <c r="M9" s="63">
        <f>F9*100%</f>
        <v>19774.62</v>
      </c>
      <c r="N9" s="65">
        <f t="shared" ref="N9" si="0">100000</f>
        <v>100000</v>
      </c>
      <c r="O9" s="63">
        <f>F9*10%</f>
        <v>1977.462</v>
      </c>
      <c r="P9" s="63">
        <v>10000</v>
      </c>
      <c r="Q9" s="63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'[3]DECEMBER 2019'!$H$43</f>
        <v>494.3655</v>
      </c>
      <c r="Z9" s="63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25">
        <f>AI9*12</f>
        <v>52083</v>
      </c>
    </row>
    <row r="10" spans="1:36" ht="18.75" customHeight="1" x14ac:dyDescent="0.3">
      <c r="A10" s="3"/>
      <c r="B10" s="179" t="s">
        <v>32</v>
      </c>
      <c r="C10" s="179"/>
      <c r="D10" s="7">
        <v>19</v>
      </c>
      <c r="E10" s="67"/>
      <c r="F10" s="69">
        <f t="shared" ref="F10:R10" si="1">SUM(F9:F9)</f>
        <v>19774.62</v>
      </c>
      <c r="G10" s="69">
        <f t="shared" si="1"/>
        <v>0</v>
      </c>
      <c r="H10" s="69">
        <f t="shared" si="1"/>
        <v>59323.86</v>
      </c>
      <c r="I10" s="69">
        <f t="shared" si="1"/>
        <v>1483.0964999999999</v>
      </c>
      <c r="J10" s="69">
        <f t="shared" si="1"/>
        <v>0</v>
      </c>
      <c r="K10" s="69">
        <f t="shared" si="1"/>
        <v>9887.31</v>
      </c>
      <c r="L10" s="69">
        <f t="shared" si="1"/>
        <v>69211.17</v>
      </c>
      <c r="M10" s="69">
        <f t="shared" si="1"/>
        <v>19774.62</v>
      </c>
      <c r="N10" s="69">
        <f t="shared" si="1"/>
        <v>100000</v>
      </c>
      <c r="O10" s="69">
        <f t="shared" si="1"/>
        <v>1977.462</v>
      </c>
      <c r="P10" s="69">
        <f t="shared" si="1"/>
        <v>10000</v>
      </c>
      <c r="Q10" s="69">
        <f t="shared" si="1"/>
        <v>0</v>
      </c>
      <c r="R10" s="69">
        <f t="shared" si="1"/>
        <v>191432</v>
      </c>
      <c r="S10" s="69"/>
      <c r="T10" s="69"/>
      <c r="U10" s="69"/>
      <c r="V10" s="69">
        <f>SUM(V9)</f>
        <v>423372</v>
      </c>
      <c r="W10" s="69">
        <f>SUM(W9:W9)</f>
        <v>10000</v>
      </c>
      <c r="X10" s="69">
        <f>SUM(X9:X9)</f>
        <v>0</v>
      </c>
      <c r="Y10" s="69">
        <f>SUM(Y9:Y9)</f>
        <v>494.3655</v>
      </c>
      <c r="Z10" s="69">
        <f>SUM(Z9:Z9)</f>
        <v>3369.51</v>
      </c>
      <c r="AA10" s="69">
        <f>SUM(AA9:AA9)</f>
        <v>13863.8755</v>
      </c>
      <c r="AB10" s="69">
        <v>6022279.3780000014</v>
      </c>
      <c r="AC10" s="69">
        <f>SUM(AC9:AC9)</f>
        <v>177568.12450000001</v>
      </c>
    </row>
    <row r="11" spans="1:36" ht="20.100000000000001" customHeight="1" x14ac:dyDescent="0.3">
      <c r="A11" s="3"/>
      <c r="B11" s="186" t="s">
        <v>93</v>
      </c>
      <c r="C11" s="187"/>
      <c r="D11" s="51"/>
      <c r="E11" s="2"/>
      <c r="F11" s="69"/>
      <c r="G11" s="69"/>
      <c r="H11" s="69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00000000000001" customHeight="1" x14ac:dyDescent="0.3">
      <c r="A12" s="3">
        <v>1</v>
      </c>
      <c r="B12" s="169" t="s">
        <v>104</v>
      </c>
      <c r="C12" s="170"/>
      <c r="D12" s="33" t="s">
        <v>112</v>
      </c>
      <c r="E12" s="3" t="s">
        <v>110</v>
      </c>
      <c r="F12" s="63">
        <f>24741.26</f>
        <v>24741.26</v>
      </c>
      <c r="G12" s="63"/>
      <c r="H12" s="63">
        <f t="shared" ref="H12:H13" si="2">F12*300%</f>
        <v>74223.78</v>
      </c>
      <c r="I12" s="63">
        <f t="shared" ref="I12:I13" si="3">F12*7.5%</f>
        <v>1855.5944999999997</v>
      </c>
      <c r="J12" s="63"/>
      <c r="K12" s="63">
        <f t="shared" ref="K12:K13" si="4">F12*50%</f>
        <v>12370.63</v>
      </c>
      <c r="L12" s="63">
        <f t="shared" ref="L12:L13" si="5">F12*350%</f>
        <v>86594.409999999989</v>
      </c>
      <c r="M12" s="63">
        <f t="shared" ref="M12:M13" si="6">F12*100%</f>
        <v>24741.26</v>
      </c>
      <c r="N12" s="63">
        <f t="shared" ref="N12:N13" si="7">150000</f>
        <v>150000</v>
      </c>
      <c r="O12" s="63">
        <f t="shared" ref="O12:O13" si="8">F12*10%</f>
        <v>2474.1260000000002</v>
      </c>
      <c r="P12" s="63">
        <v>15000</v>
      </c>
      <c r="Q12" s="63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63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3">
        <f>7709.76</f>
        <v>7709.76</v>
      </c>
      <c r="AH12" s="43">
        <f>7709.76</f>
        <v>7709.76</v>
      </c>
      <c r="AI12" s="43">
        <f>AH12-AG12</f>
        <v>0</v>
      </c>
      <c r="AJ12" s="43"/>
    </row>
    <row r="13" spans="1:36" ht="20.100000000000001" customHeight="1" x14ac:dyDescent="0.3">
      <c r="A13" s="3">
        <v>2</v>
      </c>
      <c r="B13" s="173" t="s">
        <v>114</v>
      </c>
      <c r="C13" s="174"/>
      <c r="D13" s="20" t="s">
        <v>124</v>
      </c>
      <c r="E13" s="29" t="s">
        <v>68</v>
      </c>
      <c r="F13" s="26">
        <f>18281.64</f>
        <v>18281.64</v>
      </c>
      <c r="G13" s="63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63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'[3]DECEMBER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3"/>
      <c r="AH13" s="43"/>
      <c r="AI13" s="43"/>
      <c r="AJ13" s="43"/>
    </row>
    <row r="14" spans="1:36" ht="20.100000000000001" customHeight="1" x14ac:dyDescent="0.6">
      <c r="A14" s="3"/>
      <c r="B14" s="188" t="s">
        <v>32</v>
      </c>
      <c r="C14" s="189"/>
      <c r="D14" s="30">
        <v>11</v>
      </c>
      <c r="E14" s="30"/>
      <c r="F14" s="103">
        <f>SUM(F12:F13)</f>
        <v>43022.899999999994</v>
      </c>
      <c r="G14" s="103"/>
      <c r="H14" s="103">
        <f t="shared" ref="H14:R14" si="11">SUM(H12:H13)</f>
        <v>129068.7</v>
      </c>
      <c r="I14" s="103">
        <f t="shared" si="11"/>
        <v>3226.7174999999997</v>
      </c>
      <c r="J14" s="103">
        <f t="shared" si="11"/>
        <v>0</v>
      </c>
      <c r="K14" s="103">
        <f t="shared" si="11"/>
        <v>21511.449999999997</v>
      </c>
      <c r="L14" s="103">
        <f t="shared" si="11"/>
        <v>150580.15</v>
      </c>
      <c r="M14" s="103">
        <f t="shared" si="11"/>
        <v>43022.899999999994</v>
      </c>
      <c r="N14" s="103">
        <f t="shared" si="11"/>
        <v>300000</v>
      </c>
      <c r="O14" s="103">
        <f t="shared" si="11"/>
        <v>4302.29</v>
      </c>
      <c r="P14" s="103">
        <f t="shared" si="11"/>
        <v>25000</v>
      </c>
      <c r="Q14" s="103">
        <f t="shared" si="11"/>
        <v>0</v>
      </c>
      <c r="R14" s="103">
        <f t="shared" si="11"/>
        <v>419735</v>
      </c>
      <c r="S14" s="103"/>
      <c r="T14" s="103"/>
      <c r="U14" s="103"/>
      <c r="V14" s="103">
        <f t="shared" ref="V14:AA14" si="12">SUM(V12:V13)</f>
        <v>259199</v>
      </c>
      <c r="W14" s="103">
        <f t="shared" si="12"/>
        <v>75000</v>
      </c>
      <c r="X14" s="103">
        <f t="shared" si="12"/>
        <v>106666.67</v>
      </c>
      <c r="Y14" s="103">
        <f t="shared" si="12"/>
        <v>457.041</v>
      </c>
      <c r="Z14" s="103">
        <f t="shared" si="12"/>
        <v>11079.27</v>
      </c>
      <c r="AA14" s="103">
        <f t="shared" si="12"/>
        <v>193202.981</v>
      </c>
      <c r="AB14" s="103">
        <v>3902139.3202500008</v>
      </c>
      <c r="AC14" s="103">
        <f>R14-AA14</f>
        <v>226532.019</v>
      </c>
      <c r="AD14" s="34"/>
      <c r="AG14" s="43">
        <f>3369.51</f>
        <v>3369.51</v>
      </c>
      <c r="AH14" s="43">
        <f>7709.76</f>
        <v>7709.76</v>
      </c>
      <c r="AI14" s="43">
        <f>AH14-AG14</f>
        <v>4340.25</v>
      </c>
      <c r="AJ14" s="125">
        <f>AI14*5</f>
        <v>21701.25</v>
      </c>
    </row>
    <row r="15" spans="1:36" ht="20.100000000000001" customHeight="1" x14ac:dyDescent="0.3">
      <c r="A15" s="3"/>
      <c r="B15" s="83"/>
      <c r="C15" s="83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00000000000001" customHeight="1" x14ac:dyDescent="0.3">
      <c r="A16" s="3"/>
      <c r="B16" s="188" t="s">
        <v>118</v>
      </c>
      <c r="C16" s="189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00000000000001" customHeight="1" x14ac:dyDescent="0.3">
      <c r="A17" s="3">
        <v>1</v>
      </c>
      <c r="B17" s="171" t="s">
        <v>141</v>
      </c>
      <c r="C17" s="172"/>
      <c r="D17" s="33" t="s">
        <v>109</v>
      </c>
      <c r="E17" s="3" t="s">
        <v>57</v>
      </c>
      <c r="F17" s="63">
        <f>25523.45</f>
        <v>25523.45</v>
      </c>
      <c r="G17" s="63"/>
      <c r="H17" s="63">
        <f>F17*300%</f>
        <v>76570.350000000006</v>
      </c>
      <c r="I17" s="63">
        <f>F17*7.5%</f>
        <v>1914.25875</v>
      </c>
      <c r="J17" s="63"/>
      <c r="K17" s="63">
        <f>F17*50%</f>
        <v>12761.725</v>
      </c>
      <c r="L17" s="36">
        <f>F17*350%</f>
        <v>89332.074999999997</v>
      </c>
      <c r="M17" s="63">
        <f>F17*100%</f>
        <v>25523.45</v>
      </c>
      <c r="N17" s="63">
        <f t="shared" ref="N17:N18" si="13">150000</f>
        <v>150000</v>
      </c>
      <c r="O17" s="63">
        <f>F17*10%</f>
        <v>2552.3450000000003</v>
      </c>
      <c r="P17" s="63">
        <v>15000</v>
      </c>
      <c r="Q17" s="63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'[3]DECEMBER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3">
        <f>7709.76</f>
        <v>7709.76</v>
      </c>
      <c r="AH17" s="43">
        <f>7709.76</f>
        <v>7709.76</v>
      </c>
      <c r="AI17" s="43">
        <f>AH17-AG17</f>
        <v>0</v>
      </c>
    </row>
    <row r="18" spans="1:36" ht="20.100000000000001" customHeight="1" x14ac:dyDescent="0.3">
      <c r="A18" s="3">
        <v>2</v>
      </c>
      <c r="B18" s="173" t="s">
        <v>122</v>
      </c>
      <c r="C18" s="174"/>
      <c r="D18" s="48" t="s">
        <v>124</v>
      </c>
      <c r="E18" s="29" t="s">
        <v>68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63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3">
        <f>3369.51</f>
        <v>3369.51</v>
      </c>
      <c r="AH18" s="43">
        <f>7709.76</f>
        <v>7709.76</v>
      </c>
      <c r="AI18" s="43">
        <f>AH18-AG18</f>
        <v>4340.25</v>
      </c>
      <c r="AJ18" s="125">
        <f>AI18*5</f>
        <v>21701.25</v>
      </c>
    </row>
    <row r="19" spans="1:36" ht="20.100000000000001" customHeight="1" x14ac:dyDescent="0.6">
      <c r="A19" s="3"/>
      <c r="B19" s="188" t="s">
        <v>32</v>
      </c>
      <c r="C19" s="189"/>
      <c r="D19" s="30">
        <v>4</v>
      </c>
      <c r="E19" s="30"/>
      <c r="F19" s="103">
        <f t="shared" ref="F19:R19" si="15">SUM(F17:F18)</f>
        <v>43805.09</v>
      </c>
      <c r="G19" s="103">
        <f t="shared" si="15"/>
        <v>0</v>
      </c>
      <c r="H19" s="103">
        <f t="shared" si="15"/>
        <v>131415.27000000002</v>
      </c>
      <c r="I19" s="103">
        <f t="shared" si="15"/>
        <v>3285.3817499999996</v>
      </c>
      <c r="J19" s="103">
        <f t="shared" si="15"/>
        <v>0</v>
      </c>
      <c r="K19" s="103">
        <f t="shared" si="15"/>
        <v>21902.544999999998</v>
      </c>
      <c r="L19" s="103">
        <f t="shared" si="15"/>
        <v>153317.815</v>
      </c>
      <c r="M19" s="103">
        <f t="shared" si="15"/>
        <v>43805.09</v>
      </c>
      <c r="N19" s="103">
        <f t="shared" si="15"/>
        <v>300000</v>
      </c>
      <c r="O19" s="103">
        <f t="shared" si="15"/>
        <v>4380.509</v>
      </c>
      <c r="P19" s="103">
        <f t="shared" si="15"/>
        <v>25000</v>
      </c>
      <c r="Q19" s="103">
        <f t="shared" si="15"/>
        <v>0</v>
      </c>
      <c r="R19" s="103">
        <f t="shared" si="15"/>
        <v>426911</v>
      </c>
      <c r="S19" s="103"/>
      <c r="T19" s="103"/>
      <c r="U19" s="103"/>
      <c r="V19" s="103">
        <f>SUM(V17:V18)</f>
        <v>341303</v>
      </c>
      <c r="W19" s="103">
        <f>SUM(W17:W18)</f>
        <v>130000</v>
      </c>
      <c r="X19" s="103">
        <f>SUM(X17:X18)</f>
        <v>163103.59</v>
      </c>
      <c r="Y19" s="103">
        <f>SUM(Y17:Y18)</f>
        <v>638.08625000000006</v>
      </c>
      <c r="Z19" s="103">
        <f>SUM(Z17:Z18)</f>
        <v>11079.27</v>
      </c>
      <c r="AA19" s="103">
        <f>SUM(R19:Z19)</f>
        <v>1073034.94625</v>
      </c>
      <c r="AB19" s="103">
        <v>1428432.6670000001</v>
      </c>
      <c r="AC19" s="103">
        <f>SUM(AC17:AC18)</f>
        <v>122090.05375000001</v>
      </c>
      <c r="AD19" s="34"/>
      <c r="AJ19" s="43"/>
    </row>
    <row r="20" spans="1:36" ht="20.100000000000001" customHeight="1" x14ac:dyDescent="0.3">
      <c r="A20" s="3"/>
      <c r="B20" s="70"/>
      <c r="C20" s="71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3"/>
    </row>
    <row r="21" spans="1:36" ht="20.100000000000001" customHeight="1" x14ac:dyDescent="0.3">
      <c r="A21" s="3"/>
      <c r="B21" s="188" t="s">
        <v>130</v>
      </c>
      <c r="C21" s="189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3"/>
    </row>
    <row r="22" spans="1:36" ht="20.100000000000001" customHeight="1" x14ac:dyDescent="0.3">
      <c r="A22" s="3"/>
      <c r="B22" s="169" t="s">
        <v>139</v>
      </c>
      <c r="C22" s="170"/>
      <c r="D22" s="33" t="s">
        <v>101</v>
      </c>
      <c r="E22" s="3" t="s">
        <v>143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3">
        <f>7709.76</f>
        <v>7709.76</v>
      </c>
      <c r="AH22" s="43">
        <f>15548.33</f>
        <v>15548.33</v>
      </c>
      <c r="AI22" s="43">
        <f>AH22-AG22</f>
        <v>7838.57</v>
      </c>
      <c r="AJ22" s="43">
        <f>AI22*3</f>
        <v>23515.71</v>
      </c>
    </row>
    <row r="23" spans="1:36" ht="20.100000000000001" customHeight="1" x14ac:dyDescent="0.3">
      <c r="A23" s="3">
        <v>1</v>
      </c>
      <c r="B23" s="169" t="s">
        <v>133</v>
      </c>
      <c r="C23" s="170"/>
      <c r="D23" s="62" t="s">
        <v>129</v>
      </c>
      <c r="E23" s="67" t="s">
        <v>92</v>
      </c>
      <c r="F23" s="63">
        <f>18779.3</f>
        <v>18779.3</v>
      </c>
      <c r="G23" s="63"/>
      <c r="H23" s="63">
        <f t="shared" ref="H23" si="16">F23*300%</f>
        <v>56337.899999999994</v>
      </c>
      <c r="I23" s="63">
        <f t="shared" ref="I23" si="17">F23*7.5%</f>
        <v>1408.4475</v>
      </c>
      <c r="J23" s="36">
        <v>0</v>
      </c>
      <c r="K23" s="63">
        <f>F23*50%</f>
        <v>9389.65</v>
      </c>
      <c r="L23" s="36">
        <f t="shared" ref="L23" si="18">F23*350%</f>
        <v>65727.55</v>
      </c>
      <c r="M23" s="63">
        <f>F23*100%</f>
        <v>18779.3</v>
      </c>
      <c r="N23" s="63">
        <f t="shared" ref="N23" si="19">150000</f>
        <v>150000</v>
      </c>
      <c r="O23" s="63">
        <f>F23*10%</f>
        <v>1877.93</v>
      </c>
      <c r="P23" s="63">
        <v>10000</v>
      </c>
      <c r="Q23" s="63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'[3]DECEMBER 2019'!$H$48</f>
        <v>469.48250000000002</v>
      </c>
      <c r="Z23" s="63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3">
        <f>3369.51</f>
        <v>3369.51</v>
      </c>
      <c r="AH23" s="43">
        <f>7709.76</f>
        <v>7709.76</v>
      </c>
      <c r="AI23" s="43">
        <f>AH23-AG23</f>
        <v>4340.25</v>
      </c>
      <c r="AJ23" s="43">
        <f>AI23*12</f>
        <v>52083</v>
      </c>
    </row>
    <row r="24" spans="1:36" ht="20.100000000000001" customHeight="1" x14ac:dyDescent="0.6">
      <c r="A24" s="3"/>
      <c r="B24" s="188" t="s">
        <v>32</v>
      </c>
      <c r="C24" s="189"/>
      <c r="D24" s="30">
        <v>4</v>
      </c>
      <c r="E24" s="30"/>
      <c r="F24" s="103">
        <f>SUM(F23:F23)</f>
        <v>18779.3</v>
      </c>
      <c r="G24" s="103"/>
      <c r="H24" s="103">
        <f t="shared" ref="H24:R24" si="20">SUM(H23:H23)</f>
        <v>56337.899999999994</v>
      </c>
      <c r="I24" s="103">
        <f t="shared" si="20"/>
        <v>1408.4475</v>
      </c>
      <c r="J24" s="103">
        <f t="shared" si="20"/>
        <v>0</v>
      </c>
      <c r="K24" s="103">
        <f t="shared" si="20"/>
        <v>9389.65</v>
      </c>
      <c r="L24" s="103">
        <f t="shared" si="20"/>
        <v>65727.55</v>
      </c>
      <c r="M24" s="103">
        <f t="shared" si="20"/>
        <v>18779.3</v>
      </c>
      <c r="N24" s="106">
        <f t="shared" si="20"/>
        <v>150000</v>
      </c>
      <c r="O24" s="103">
        <f t="shared" si="20"/>
        <v>1877.93</v>
      </c>
      <c r="P24" s="103">
        <f t="shared" si="20"/>
        <v>10000</v>
      </c>
      <c r="Q24" s="103">
        <f t="shared" si="20"/>
        <v>0</v>
      </c>
      <c r="R24" s="103">
        <f t="shared" si="20"/>
        <v>182300</v>
      </c>
      <c r="S24" s="103"/>
      <c r="T24" s="103"/>
      <c r="U24" s="103"/>
      <c r="V24" s="103">
        <f>SUM(V22:V23)</f>
        <v>771300</v>
      </c>
      <c r="W24" s="103">
        <f>SUM(W23:W23)</f>
        <v>0</v>
      </c>
      <c r="X24" s="103">
        <f>SUM(X23:X23)</f>
        <v>0</v>
      </c>
      <c r="Y24" s="103">
        <f>SUM(Y23:Y23)</f>
        <v>469.48250000000002</v>
      </c>
      <c r="Z24" s="103">
        <f>SUM(Z23:Z23)</f>
        <v>3369.51</v>
      </c>
      <c r="AA24" s="103">
        <f>SUM(AA23:AA23)</f>
        <v>3838.9925000000003</v>
      </c>
      <c r="AB24" s="103">
        <v>1188810.1030000001</v>
      </c>
      <c r="AC24" s="103">
        <f>SUM(AC23:AC23)</f>
        <v>178461.00750000001</v>
      </c>
      <c r="AD24" s="34"/>
      <c r="AJ24" s="125">
        <f>SUM(AJ22:AJ23)</f>
        <v>75598.709999999992</v>
      </c>
    </row>
    <row r="25" spans="1:36" ht="20.100000000000001" customHeight="1" x14ac:dyDescent="0.3">
      <c r="A25" s="3"/>
      <c r="B25" s="190"/>
      <c r="C25" s="191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64"/>
      <c r="S25" s="64"/>
      <c r="T25" s="64"/>
      <c r="U25" s="64"/>
      <c r="V25" s="64"/>
      <c r="W25" s="64"/>
      <c r="X25" s="64"/>
      <c r="Y25" s="64"/>
      <c r="Z25" s="39"/>
      <c r="AA25" s="36"/>
      <c r="AB25" s="36"/>
      <c r="AC25" s="36"/>
      <c r="AD25" s="34"/>
      <c r="AJ25" s="43"/>
    </row>
    <row r="26" spans="1:36" ht="20.100000000000001" customHeight="1" x14ac:dyDescent="0.3">
      <c r="A26" s="3"/>
      <c r="B26" s="192" t="s">
        <v>134</v>
      </c>
      <c r="C26" s="193"/>
      <c r="D26" s="72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64"/>
      <c r="S26" s="64"/>
      <c r="T26" s="64"/>
      <c r="U26" s="64"/>
      <c r="V26" s="64"/>
      <c r="W26" s="64"/>
      <c r="X26" s="64"/>
      <c r="Y26" s="64"/>
      <c r="Z26" s="39"/>
      <c r="AA26" s="36"/>
      <c r="AB26" s="36"/>
      <c r="AC26" s="36"/>
      <c r="AJ26" s="43"/>
    </row>
    <row r="27" spans="1:36" ht="20.100000000000001" customHeight="1" x14ac:dyDescent="0.3">
      <c r="A27" s="3">
        <v>1</v>
      </c>
      <c r="B27" s="169" t="s">
        <v>137</v>
      </c>
      <c r="C27" s="170"/>
      <c r="D27" s="33" t="s">
        <v>101</v>
      </c>
      <c r="E27" s="3" t="s">
        <v>102</v>
      </c>
      <c r="F27" s="63">
        <v>28489.81</v>
      </c>
      <c r="G27" s="63"/>
      <c r="H27" s="63">
        <f t="shared" ref="H27:H31" si="21">F27*300%</f>
        <v>85469.430000000008</v>
      </c>
      <c r="I27" s="63">
        <f t="shared" ref="I27:I31" si="22">F27*7.5%</f>
        <v>2136.7357499999998</v>
      </c>
      <c r="J27" s="63"/>
      <c r="K27" s="63">
        <f t="shared" ref="K27:K31" si="23">F27*50%</f>
        <v>14244.905000000001</v>
      </c>
      <c r="L27" s="63">
        <f t="shared" ref="L27:L31" si="24">F27*350%</f>
        <v>99714.335000000006</v>
      </c>
      <c r="M27" s="63">
        <f t="shared" ref="M27:M31" si="25">F27*100%</f>
        <v>28489.81</v>
      </c>
      <c r="N27" s="63">
        <f t="shared" ref="N27:N31" si="26">150000</f>
        <v>150000</v>
      </c>
      <c r="O27" s="63">
        <f t="shared" ref="O27:O31" si="27">F27*10%</f>
        <v>2848.9810000000002</v>
      </c>
      <c r="P27" s="63">
        <v>20000</v>
      </c>
      <c r="Q27" s="63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63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3">
        <f>7709.76</f>
        <v>7709.76</v>
      </c>
      <c r="AH27" s="43">
        <f>15548.33</f>
        <v>15548.33</v>
      </c>
      <c r="AI27" s="43">
        <f>AH27-AG27</f>
        <v>7838.57</v>
      </c>
      <c r="AJ27" s="43">
        <f>AI27*3</f>
        <v>23515.71</v>
      </c>
    </row>
    <row r="28" spans="1:36" ht="20.100000000000001" customHeight="1" x14ac:dyDescent="0.3">
      <c r="A28" s="3">
        <v>2</v>
      </c>
      <c r="B28" s="169" t="s">
        <v>140</v>
      </c>
      <c r="C28" s="170"/>
      <c r="D28" s="33" t="s">
        <v>112</v>
      </c>
      <c r="E28" s="3" t="s">
        <v>57</v>
      </c>
      <c r="F28" s="63">
        <f>25523.45</f>
        <v>25523.45</v>
      </c>
      <c r="G28" s="63"/>
      <c r="H28" s="63">
        <f t="shared" si="21"/>
        <v>76570.350000000006</v>
      </c>
      <c r="I28" s="63">
        <f t="shared" si="22"/>
        <v>1914.25875</v>
      </c>
      <c r="J28" s="63">
        <v>0</v>
      </c>
      <c r="K28" s="63">
        <f t="shared" si="23"/>
        <v>12761.725</v>
      </c>
      <c r="L28" s="63">
        <f t="shared" si="24"/>
        <v>89332.074999999997</v>
      </c>
      <c r="M28" s="63">
        <f t="shared" si="25"/>
        <v>25523.45</v>
      </c>
      <c r="N28" s="63">
        <f t="shared" si="26"/>
        <v>150000</v>
      </c>
      <c r="O28" s="63">
        <f t="shared" si="27"/>
        <v>2552.3450000000003</v>
      </c>
      <c r="P28" s="63">
        <v>15000</v>
      </c>
      <c r="Q28" s="63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3">
        <f>7709.76</f>
        <v>7709.76</v>
      </c>
      <c r="AH28" s="43">
        <f>7709.76</f>
        <v>7709.76</v>
      </c>
      <c r="AI28" s="43">
        <f>AH28-AG28</f>
        <v>0</v>
      </c>
      <c r="AJ28" s="43"/>
    </row>
    <row r="29" spans="1:36" ht="20.100000000000001" customHeight="1" x14ac:dyDescent="0.3">
      <c r="A29" s="3">
        <v>3</v>
      </c>
      <c r="B29" s="173" t="s">
        <v>144</v>
      </c>
      <c r="C29" s="174"/>
      <c r="D29" s="20" t="s">
        <v>112</v>
      </c>
      <c r="E29" s="29" t="s">
        <v>110</v>
      </c>
      <c r="F29" s="26">
        <f>24741.26</f>
        <v>24741.26</v>
      </c>
      <c r="G29" s="63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63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3">
        <f>7709.76</f>
        <v>7709.76</v>
      </c>
      <c r="AH29" s="43">
        <f>7709.76</f>
        <v>7709.76</v>
      </c>
      <c r="AI29" s="43">
        <f>AH29-AG29</f>
        <v>0</v>
      </c>
      <c r="AJ29" s="43"/>
    </row>
    <row r="30" spans="1:36" ht="20.100000000000001" customHeight="1" x14ac:dyDescent="0.3">
      <c r="A30" s="3">
        <v>4</v>
      </c>
      <c r="B30" s="173" t="s">
        <v>145</v>
      </c>
      <c r="C30" s="174"/>
      <c r="D30" s="20" t="s">
        <v>289</v>
      </c>
      <c r="E30" s="29" t="s">
        <v>110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63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'[3]DECEMBER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3">
        <f>7709.76</f>
        <v>7709.76</v>
      </c>
      <c r="AH30" s="43">
        <f>7709.76</f>
        <v>7709.76</v>
      </c>
      <c r="AI30" s="43">
        <f>AH30-AG30</f>
        <v>0</v>
      </c>
      <c r="AJ30" s="43"/>
    </row>
    <row r="31" spans="1:36" ht="21.6" customHeight="1" x14ac:dyDescent="0.3">
      <c r="A31" s="3">
        <v>5</v>
      </c>
      <c r="B31" s="178" t="s">
        <v>146</v>
      </c>
      <c r="C31" s="178"/>
      <c r="D31" s="33" t="s">
        <v>124</v>
      </c>
      <c r="E31" s="67" t="s">
        <v>68</v>
      </c>
      <c r="F31" s="63">
        <f>18281.64</f>
        <v>18281.64</v>
      </c>
      <c r="G31" s="63"/>
      <c r="H31" s="63">
        <f t="shared" si="21"/>
        <v>54844.92</v>
      </c>
      <c r="I31" s="63">
        <f t="shared" si="22"/>
        <v>1371.1229999999998</v>
      </c>
      <c r="J31" s="63">
        <v>0</v>
      </c>
      <c r="K31" s="63">
        <f t="shared" si="23"/>
        <v>9140.82</v>
      </c>
      <c r="L31" s="36">
        <f t="shared" si="24"/>
        <v>63985.74</v>
      </c>
      <c r="M31" s="63">
        <f t="shared" si="25"/>
        <v>18281.64</v>
      </c>
      <c r="N31" s="63">
        <f t="shared" si="26"/>
        <v>150000</v>
      </c>
      <c r="O31" s="63">
        <f t="shared" si="27"/>
        <v>1828.164</v>
      </c>
      <c r="P31" s="63">
        <v>10000</v>
      </c>
      <c r="Q31" s="63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63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3">
        <f>3369.51</f>
        <v>3369.51</v>
      </c>
      <c r="AH31" s="43">
        <f>7709.76</f>
        <v>7709.76</v>
      </c>
      <c r="AI31" s="43">
        <f>AH31-AG31</f>
        <v>4340.25</v>
      </c>
      <c r="AJ31" s="43">
        <f>AI31*3</f>
        <v>13020.75</v>
      </c>
    </row>
    <row r="32" spans="1:36" ht="20.100000000000001" customHeight="1" x14ac:dyDescent="0.6">
      <c r="A32" s="33"/>
      <c r="B32" s="179" t="s">
        <v>32</v>
      </c>
      <c r="C32" s="179"/>
      <c r="D32" s="7">
        <v>9</v>
      </c>
      <c r="E32" s="7"/>
      <c r="F32" s="106">
        <f>SUM(F27:F31)</f>
        <v>121777.42</v>
      </c>
      <c r="G32" s="106"/>
      <c r="H32" s="106">
        <f t="shared" ref="H32:R32" si="32">SUM(H27:H31)</f>
        <v>365332.26</v>
      </c>
      <c r="I32" s="106">
        <f t="shared" si="32"/>
        <v>9133.3064999999988</v>
      </c>
      <c r="J32" s="106">
        <f t="shared" si="32"/>
        <v>0</v>
      </c>
      <c r="K32" s="106">
        <f t="shared" si="32"/>
        <v>60888.71</v>
      </c>
      <c r="L32" s="106">
        <f t="shared" si="32"/>
        <v>426220.97</v>
      </c>
      <c r="M32" s="106">
        <f t="shared" si="32"/>
        <v>121777.42</v>
      </c>
      <c r="N32" s="106">
        <f t="shared" si="32"/>
        <v>750000</v>
      </c>
      <c r="O32" s="106">
        <f t="shared" si="32"/>
        <v>12177.742000000002</v>
      </c>
      <c r="P32" s="106">
        <f t="shared" si="32"/>
        <v>75000</v>
      </c>
      <c r="Q32" s="106">
        <f t="shared" si="32"/>
        <v>0</v>
      </c>
      <c r="R32" s="106">
        <f t="shared" si="32"/>
        <v>1192307</v>
      </c>
      <c r="S32" s="106"/>
      <c r="T32" s="106"/>
      <c r="U32" s="106"/>
      <c r="V32" s="106">
        <f>SUM(V27:V31)</f>
        <v>476235</v>
      </c>
      <c r="W32" s="106">
        <f>SUM(W27:W31)</f>
        <v>130000</v>
      </c>
      <c r="X32" s="106">
        <f>SUM(X27:X31)</f>
        <v>87500</v>
      </c>
      <c r="Y32" s="106">
        <f>SUM(Y27:Y31)</f>
        <v>618.53150000000005</v>
      </c>
      <c r="Z32" s="106">
        <f>SUM(Z27:Z31)</f>
        <v>34208.550000000003</v>
      </c>
      <c r="AA32" s="106">
        <f>SUM(W32:Z32)</f>
        <v>252327.08150000003</v>
      </c>
      <c r="AB32" s="106">
        <v>3362401.5714999996</v>
      </c>
      <c r="AC32" s="106">
        <f>SUM(AC27:AC31)</f>
        <v>939979.91849999991</v>
      </c>
      <c r="AD32" s="34"/>
      <c r="AJ32" s="125">
        <f>SUM(AJ27:AJ31)</f>
        <v>36536.46</v>
      </c>
    </row>
    <row r="33" spans="1:36" ht="20.100000000000001" customHeight="1" x14ac:dyDescent="0.3">
      <c r="A33" s="33"/>
      <c r="B33" s="101"/>
      <c r="C33" s="101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3"/>
    </row>
    <row r="34" spans="1:36" ht="20.100000000000001" customHeight="1" x14ac:dyDescent="0.3">
      <c r="A34" s="33"/>
      <c r="B34" s="179" t="s">
        <v>147</v>
      </c>
      <c r="C34" s="179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3"/>
    </row>
    <row r="35" spans="1:36" ht="20.100000000000001" customHeight="1" x14ac:dyDescent="0.3">
      <c r="A35" s="33">
        <v>1</v>
      </c>
      <c r="B35" s="173" t="s">
        <v>150</v>
      </c>
      <c r="C35" s="174"/>
      <c r="D35" s="20" t="s">
        <v>151</v>
      </c>
      <c r="E35" s="29" t="s">
        <v>110</v>
      </c>
      <c r="F35" s="26">
        <f>24741.26</f>
        <v>24741.26</v>
      </c>
      <c r="G35" s="63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3"/>
    </row>
    <row r="36" spans="1:36" ht="20.100000000000001" customHeight="1" x14ac:dyDescent="0.6">
      <c r="A36" s="33"/>
      <c r="B36" s="179" t="s">
        <v>32</v>
      </c>
      <c r="C36" s="179"/>
      <c r="D36" s="7">
        <v>4</v>
      </c>
      <c r="E36" s="102"/>
      <c r="F36" s="103">
        <f t="shared" ref="F36:R36" si="33">SUM(F35:F35)</f>
        <v>24741.26</v>
      </c>
      <c r="G36" s="103">
        <f t="shared" si="33"/>
        <v>0</v>
      </c>
      <c r="H36" s="103">
        <f t="shared" si="33"/>
        <v>74223.78</v>
      </c>
      <c r="I36" s="103">
        <f t="shared" si="33"/>
        <v>1855.5944999999997</v>
      </c>
      <c r="J36" s="103">
        <f t="shared" si="33"/>
        <v>0</v>
      </c>
      <c r="K36" s="103">
        <f t="shared" si="33"/>
        <v>12370.63</v>
      </c>
      <c r="L36" s="103">
        <f t="shared" si="33"/>
        <v>86594.409999999989</v>
      </c>
      <c r="M36" s="103">
        <f t="shared" si="33"/>
        <v>24741.26</v>
      </c>
      <c r="N36" s="103">
        <f t="shared" si="33"/>
        <v>100000</v>
      </c>
      <c r="O36" s="103">
        <f t="shared" si="33"/>
        <v>2474.1260000000002</v>
      </c>
      <c r="P36" s="103">
        <f t="shared" si="33"/>
        <v>15000</v>
      </c>
      <c r="Q36" s="103">
        <f t="shared" si="33"/>
        <v>0</v>
      </c>
      <c r="R36" s="103">
        <f t="shared" si="33"/>
        <v>242001</v>
      </c>
      <c r="S36" s="103"/>
      <c r="T36" s="103"/>
      <c r="U36" s="103"/>
      <c r="V36" s="103">
        <f>SUM(V35)</f>
        <v>42912</v>
      </c>
      <c r="W36" s="103">
        <f>SUM(W35:W35)</f>
        <v>0</v>
      </c>
      <c r="X36" s="103">
        <f>SUM(X35:X35)</f>
        <v>0</v>
      </c>
      <c r="Y36" s="103">
        <f>SUM(Y35:Y35)</f>
        <v>0</v>
      </c>
      <c r="Z36" s="103">
        <f>SUM(Z35:Z35)</f>
        <v>7709.76</v>
      </c>
      <c r="AA36" s="103">
        <f>SUM(W36:Z36)</f>
        <v>7709.76</v>
      </c>
      <c r="AB36" s="103">
        <v>1505045.44325</v>
      </c>
      <c r="AC36" s="103">
        <f>SUM(AC35:AC35)</f>
        <v>234291.24</v>
      </c>
      <c r="AD36" s="34"/>
      <c r="AJ36" s="43"/>
    </row>
    <row r="37" spans="1:36" ht="20.100000000000001" customHeight="1" x14ac:dyDescent="0.3">
      <c r="A37" s="33"/>
      <c r="B37" s="101"/>
      <c r="C37" s="101"/>
      <c r="D37" s="7"/>
      <c r="E37" s="102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3"/>
    </row>
    <row r="38" spans="1:36" ht="20.100000000000001" customHeight="1" x14ac:dyDescent="0.3">
      <c r="A38" s="33"/>
      <c r="B38" s="179" t="s">
        <v>155</v>
      </c>
      <c r="C38" s="179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3"/>
    </row>
    <row r="39" spans="1:36" ht="20.100000000000001" customHeight="1" x14ac:dyDescent="0.3">
      <c r="A39" s="33">
        <v>1</v>
      </c>
      <c r="B39" s="173" t="s">
        <v>162</v>
      </c>
      <c r="C39" s="174"/>
      <c r="D39" s="20" t="s">
        <v>275</v>
      </c>
      <c r="E39" s="29" t="s">
        <v>291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63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3">
        <f>234201</f>
        <v>234201</v>
      </c>
      <c r="AF39" s="110">
        <f>AE39-AD39</f>
        <v>33637</v>
      </c>
      <c r="AG39" s="1">
        <v>12</v>
      </c>
      <c r="AH39" s="110">
        <f>AF39*12</f>
        <v>403644</v>
      </c>
      <c r="AI39" s="116">
        <f>V39+AH39</f>
        <v>557219</v>
      </c>
      <c r="AJ39" s="43"/>
    </row>
    <row r="40" spans="1:36" ht="20.100000000000001" customHeight="1" x14ac:dyDescent="0.6">
      <c r="A40" s="33"/>
      <c r="B40" s="179" t="s">
        <v>32</v>
      </c>
      <c r="C40" s="179"/>
      <c r="D40" s="3">
        <v>4</v>
      </c>
      <c r="E40" s="33"/>
      <c r="F40" s="104">
        <f>SUM(F39:F39)</f>
        <v>20770</v>
      </c>
      <c r="G40" s="105"/>
      <c r="H40" s="104">
        <f t="shared" ref="H40:R40" si="34">SUM(H39:H39)</f>
        <v>62310</v>
      </c>
      <c r="I40" s="104">
        <f t="shared" si="34"/>
        <v>1557.75</v>
      </c>
      <c r="J40" s="104">
        <f t="shared" si="34"/>
        <v>0</v>
      </c>
      <c r="K40" s="104">
        <f t="shared" si="34"/>
        <v>10385</v>
      </c>
      <c r="L40" s="104">
        <f t="shared" si="34"/>
        <v>72695</v>
      </c>
      <c r="M40" s="104">
        <f t="shared" si="34"/>
        <v>20770</v>
      </c>
      <c r="N40" s="104">
        <f t="shared" si="34"/>
        <v>150000</v>
      </c>
      <c r="O40" s="104">
        <f t="shared" si="34"/>
        <v>2077</v>
      </c>
      <c r="P40" s="104">
        <f t="shared" si="34"/>
        <v>10000</v>
      </c>
      <c r="Q40" s="104">
        <f t="shared" si="34"/>
        <v>0</v>
      </c>
      <c r="R40" s="104">
        <f t="shared" si="34"/>
        <v>195998</v>
      </c>
      <c r="S40" s="104"/>
      <c r="T40" s="104"/>
      <c r="U40" s="104"/>
      <c r="V40" s="104">
        <f>AI39</f>
        <v>557219</v>
      </c>
      <c r="W40" s="104">
        <f>SUM(W39:W39)</f>
        <v>50000</v>
      </c>
      <c r="X40" s="104">
        <f>SUM(X39:X39)</f>
        <v>43083.33</v>
      </c>
      <c r="Y40" s="104">
        <f>SUM(Y39:Y39)</f>
        <v>0</v>
      </c>
      <c r="Z40" s="104">
        <f>SUM(Z39:Z39)</f>
        <v>3369.51</v>
      </c>
      <c r="AA40" s="104">
        <f>SUM(W40:Z40)</f>
        <v>96452.84</v>
      </c>
      <c r="AB40" s="104">
        <v>1667586.32</v>
      </c>
      <c r="AC40" s="104">
        <f>SUM(AC39:AC39)</f>
        <v>99545.16</v>
      </c>
      <c r="AD40" s="34"/>
      <c r="AG40" s="43">
        <f>3369.51</f>
        <v>3369.51</v>
      </c>
      <c r="AH40" s="43">
        <f>7709.76</f>
        <v>7709.76</v>
      </c>
      <c r="AI40" s="43">
        <f>AH40-AG40</f>
        <v>4340.25</v>
      </c>
      <c r="AJ40" s="125">
        <f>AI40*17</f>
        <v>73784.25</v>
      </c>
    </row>
    <row r="41" spans="1:36" ht="20.100000000000001" customHeight="1" x14ac:dyDescent="0.3">
      <c r="A41" s="33"/>
      <c r="B41" s="101"/>
      <c r="C41" s="101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3"/>
    </row>
    <row r="42" spans="1:36" ht="20.100000000000001" customHeight="1" x14ac:dyDescent="0.3">
      <c r="A42" s="33"/>
      <c r="B42" s="179" t="s">
        <v>163</v>
      </c>
      <c r="C42" s="179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4"/>
      <c r="S42" s="64"/>
      <c r="T42" s="64"/>
      <c r="U42" s="64"/>
      <c r="V42" s="64"/>
      <c r="W42" s="64"/>
      <c r="X42" s="64"/>
      <c r="Y42" s="64"/>
      <c r="Z42" s="39"/>
      <c r="AA42" s="36"/>
      <c r="AB42" s="36"/>
      <c r="AC42" s="36"/>
      <c r="AJ42" s="43"/>
    </row>
    <row r="43" spans="1:36" ht="20.100000000000001" customHeight="1" x14ac:dyDescent="0.3">
      <c r="A43" s="33">
        <v>1</v>
      </c>
      <c r="B43" s="178" t="s">
        <v>170</v>
      </c>
      <c r="C43" s="178"/>
      <c r="D43" s="62" t="s">
        <v>292</v>
      </c>
      <c r="E43" s="67" t="s">
        <v>57</v>
      </c>
      <c r="F43" s="63">
        <f t="shared" ref="F43:F44" si="35">25523.45</f>
        <v>25523.45</v>
      </c>
      <c r="G43" s="63"/>
      <c r="H43" s="63">
        <f t="shared" ref="H43:H46" si="36">F43*300%</f>
        <v>76570.350000000006</v>
      </c>
      <c r="I43" s="63">
        <f t="shared" ref="I43:I46" si="37">F43*7.5%</f>
        <v>1914.25875</v>
      </c>
      <c r="J43" s="63">
        <v>0</v>
      </c>
      <c r="K43" s="63">
        <f t="shared" ref="K43:K46" si="38">F43*50%</f>
        <v>12761.725</v>
      </c>
      <c r="L43" s="36">
        <f t="shared" ref="L43:L46" si="39">F43*350%</f>
        <v>89332.074999999997</v>
      </c>
      <c r="M43" s="63">
        <f t="shared" ref="M43:M46" si="40">F43*100%</f>
        <v>25523.45</v>
      </c>
      <c r="N43" s="63">
        <f t="shared" ref="N43:N46" si="41">100000</f>
        <v>100000</v>
      </c>
      <c r="O43" s="63">
        <f t="shared" ref="O43:O46" si="42">F43*10%</f>
        <v>2552.3450000000003</v>
      </c>
      <c r="P43" s="63">
        <v>15000</v>
      </c>
      <c r="Q43" s="63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'[3]DECEMBER 2019'!$H$32</f>
        <v>638.08625000000006</v>
      </c>
      <c r="Z43" s="63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3">
        <f t="shared" ref="AG43:AG44" si="45">7709.76</f>
        <v>7709.76</v>
      </c>
      <c r="AH43" s="43">
        <f t="shared" ref="AH43:AH44" si="46">15548.33</f>
        <v>15548.33</v>
      </c>
      <c r="AI43" s="43">
        <f>15548.33-7709.76</f>
        <v>7838.57</v>
      </c>
      <c r="AJ43" s="43">
        <f>AI43*12</f>
        <v>94062.84</v>
      </c>
    </row>
    <row r="44" spans="1:36" ht="20.100000000000001" customHeight="1" x14ac:dyDescent="0.3">
      <c r="A44" s="33">
        <v>2</v>
      </c>
      <c r="B44" s="194" t="s">
        <v>172</v>
      </c>
      <c r="C44" s="194"/>
      <c r="D44" s="33" t="s">
        <v>293</v>
      </c>
      <c r="E44" s="67" t="s">
        <v>57</v>
      </c>
      <c r="F44" s="63">
        <f t="shared" si="35"/>
        <v>25523.45</v>
      </c>
      <c r="G44" s="63"/>
      <c r="H44" s="63">
        <f t="shared" si="36"/>
        <v>76570.350000000006</v>
      </c>
      <c r="I44" s="63">
        <f t="shared" si="37"/>
        <v>1914.25875</v>
      </c>
      <c r="J44" s="63">
        <v>0</v>
      </c>
      <c r="K44" s="63">
        <f t="shared" si="38"/>
        <v>12761.725</v>
      </c>
      <c r="L44" s="36">
        <f t="shared" si="39"/>
        <v>89332.074999999997</v>
      </c>
      <c r="M44" s="63">
        <f t="shared" si="40"/>
        <v>25523.45</v>
      </c>
      <c r="N44" s="63">
        <f t="shared" si="41"/>
        <v>100000</v>
      </c>
      <c r="O44" s="63">
        <f t="shared" si="42"/>
        <v>2552.3450000000003</v>
      </c>
      <c r="P44" s="63">
        <v>15000</v>
      </c>
      <c r="Q44" s="63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'[3]DECEMBER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3">
        <f t="shared" si="45"/>
        <v>7709.76</v>
      </c>
      <c r="AH44" s="43">
        <f t="shared" si="46"/>
        <v>15548.33</v>
      </c>
      <c r="AI44" s="43">
        <f>15548.33-7709.76</f>
        <v>7838.57</v>
      </c>
      <c r="AJ44" s="43">
        <f>AI44*12</f>
        <v>94062.84</v>
      </c>
    </row>
    <row r="45" spans="1:36" ht="20.100000000000001" customHeight="1" x14ac:dyDescent="0.3">
      <c r="A45" s="33">
        <v>3</v>
      </c>
      <c r="B45" s="178" t="s">
        <v>176</v>
      </c>
      <c r="C45" s="178"/>
      <c r="D45" s="62" t="s">
        <v>294</v>
      </c>
      <c r="E45" s="67" t="s">
        <v>92</v>
      </c>
      <c r="F45" s="63">
        <f>18779.3</f>
        <v>18779.3</v>
      </c>
      <c r="G45" s="63"/>
      <c r="H45" s="63">
        <f t="shared" si="36"/>
        <v>56337.899999999994</v>
      </c>
      <c r="I45" s="63">
        <f t="shared" si="37"/>
        <v>1408.4475</v>
      </c>
      <c r="J45" s="63"/>
      <c r="K45" s="63">
        <f t="shared" si="38"/>
        <v>9389.65</v>
      </c>
      <c r="L45" s="36">
        <f t="shared" si="39"/>
        <v>65727.55</v>
      </c>
      <c r="M45" s="63">
        <f t="shared" si="40"/>
        <v>18779.3</v>
      </c>
      <c r="N45" s="63">
        <f t="shared" si="41"/>
        <v>100000</v>
      </c>
      <c r="O45" s="63">
        <f t="shared" si="42"/>
        <v>1877.93</v>
      </c>
      <c r="P45" s="63">
        <v>10000</v>
      </c>
      <c r="Q45" s="63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'[3]DECEMBER 2019'!$H$55</f>
        <v>469.48250000000002</v>
      </c>
      <c r="Z45" s="63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3">
        <f t="shared" ref="AG45:AG46" si="47">3369.51</f>
        <v>3369.51</v>
      </c>
      <c r="AH45" s="43">
        <f t="shared" ref="AH45:AH46" si="48">7709.76</f>
        <v>7709.76</v>
      </c>
      <c r="AI45" s="43">
        <f t="shared" ref="AI45:AI46" si="49">AH45-AG45</f>
        <v>4340.25</v>
      </c>
      <c r="AJ45" s="43">
        <f>AI45*12</f>
        <v>52083</v>
      </c>
    </row>
    <row r="46" spans="1:36" ht="20.100000000000001" customHeight="1" x14ac:dyDescent="0.3">
      <c r="A46" s="33">
        <v>4</v>
      </c>
      <c r="B46" s="178" t="s">
        <v>178</v>
      </c>
      <c r="C46" s="178"/>
      <c r="D46" s="62" t="s">
        <v>294</v>
      </c>
      <c r="E46" s="67" t="s">
        <v>92</v>
      </c>
      <c r="F46" s="63">
        <f>18779.3</f>
        <v>18779.3</v>
      </c>
      <c r="G46" s="63"/>
      <c r="H46" s="63">
        <f t="shared" si="36"/>
        <v>56337.899999999994</v>
      </c>
      <c r="I46" s="63">
        <f t="shared" si="37"/>
        <v>1408.4475</v>
      </c>
      <c r="J46" s="63"/>
      <c r="K46" s="63">
        <f t="shared" si="38"/>
        <v>9389.65</v>
      </c>
      <c r="L46" s="36">
        <f t="shared" si="39"/>
        <v>65727.55</v>
      </c>
      <c r="M46" s="63">
        <f t="shared" si="40"/>
        <v>18779.3</v>
      </c>
      <c r="N46" s="63">
        <f t="shared" si="41"/>
        <v>100000</v>
      </c>
      <c r="O46" s="63">
        <f t="shared" si="42"/>
        <v>1877.93</v>
      </c>
      <c r="P46" s="63">
        <v>10000</v>
      </c>
      <c r="Q46" s="63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'[3]DECEMBER 2019'!$H$28</f>
        <v>469.48250000000002</v>
      </c>
      <c r="Z46" s="63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3">
        <f t="shared" si="47"/>
        <v>3369.51</v>
      </c>
      <c r="AH46" s="43">
        <f t="shared" si="48"/>
        <v>7709.76</v>
      </c>
      <c r="AI46" s="43">
        <f t="shared" si="49"/>
        <v>4340.25</v>
      </c>
      <c r="AJ46" s="43">
        <f>AI46*12</f>
        <v>52083</v>
      </c>
    </row>
    <row r="47" spans="1:36" ht="20.100000000000001" customHeight="1" x14ac:dyDescent="0.6">
      <c r="A47" s="33"/>
      <c r="B47" s="179" t="s">
        <v>32</v>
      </c>
      <c r="C47" s="179"/>
      <c r="D47" s="102" t="s">
        <v>276</v>
      </c>
      <c r="E47" s="67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64">
        <f t="shared" si="50"/>
        <v>310119.25</v>
      </c>
      <c r="M47" s="39">
        <f t="shared" si="50"/>
        <v>88605.5</v>
      </c>
      <c r="N47" s="106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64">
        <f t="shared" si="50"/>
        <v>862954</v>
      </c>
      <c r="S47" s="64"/>
      <c r="T47" s="64"/>
      <c r="U47" s="64"/>
      <c r="V47" s="109">
        <f t="shared" ref="V47:AA47" si="51">SUM(V43:V46)</f>
        <v>3358944</v>
      </c>
      <c r="W47" s="64">
        <f t="shared" si="51"/>
        <v>200000</v>
      </c>
      <c r="X47" s="64">
        <f t="shared" si="51"/>
        <v>411388.89</v>
      </c>
      <c r="Y47" s="64">
        <f t="shared" si="51"/>
        <v>2215.1375000000003</v>
      </c>
      <c r="Z47" s="39">
        <f t="shared" si="51"/>
        <v>22158.54</v>
      </c>
      <c r="AA47" s="64">
        <f t="shared" si="51"/>
        <v>635762.5675</v>
      </c>
      <c r="AB47" s="64">
        <v>2853462.5927500003</v>
      </c>
      <c r="AC47" s="64">
        <f>SUM(AC43:AC46)</f>
        <v>227191.43249999994</v>
      </c>
      <c r="AJ47" s="125">
        <f>SUM(AJ43:AJ46)</f>
        <v>292291.68</v>
      </c>
    </row>
    <row r="48" spans="1:36" ht="20.100000000000001" customHeight="1" x14ac:dyDescent="0.3">
      <c r="A48" s="33"/>
      <c r="B48" s="101"/>
      <c r="C48" s="101"/>
      <c r="D48" s="102"/>
      <c r="E48" s="67"/>
      <c r="F48" s="39"/>
      <c r="G48" s="39"/>
      <c r="H48" s="39"/>
      <c r="I48" s="39"/>
      <c r="J48" s="39"/>
      <c r="K48" s="39"/>
      <c r="L48" s="64"/>
      <c r="M48" s="39"/>
      <c r="N48" s="39"/>
      <c r="O48" s="39"/>
      <c r="P48" s="39"/>
      <c r="Q48" s="39"/>
      <c r="R48" s="64"/>
      <c r="S48" s="64"/>
      <c r="T48" s="64"/>
      <c r="U48" s="64"/>
      <c r="V48" s="64"/>
      <c r="W48" s="64"/>
      <c r="X48" s="64"/>
      <c r="Y48" s="64"/>
      <c r="Z48" s="39"/>
      <c r="AA48" s="64"/>
      <c r="AB48" s="64"/>
      <c r="AC48" s="64"/>
      <c r="AJ48" s="43"/>
    </row>
    <row r="49" spans="1:36" ht="20.100000000000001" customHeight="1" x14ac:dyDescent="0.3">
      <c r="A49" s="33"/>
      <c r="B49" s="179" t="s">
        <v>185</v>
      </c>
      <c r="C49" s="179"/>
      <c r="D49" s="62"/>
      <c r="E49" s="67"/>
      <c r="F49" s="63"/>
      <c r="G49" s="63"/>
      <c r="H49" s="63"/>
      <c r="I49" s="63"/>
      <c r="J49" s="63"/>
      <c r="K49" s="63"/>
      <c r="L49" s="36"/>
      <c r="M49" s="63"/>
      <c r="N49" s="63"/>
      <c r="O49" s="63"/>
      <c r="P49" s="63"/>
      <c r="Q49" s="63"/>
      <c r="R49" s="36"/>
      <c r="S49" s="36"/>
      <c r="T49" s="36"/>
      <c r="U49" s="36"/>
      <c r="V49" s="36"/>
      <c r="W49" s="36"/>
      <c r="X49" s="36"/>
      <c r="Y49" s="36"/>
      <c r="Z49" s="63"/>
      <c r="AA49" s="36"/>
      <c r="AB49" s="36"/>
      <c r="AC49" s="36"/>
      <c r="AJ49" s="43"/>
    </row>
    <row r="50" spans="1:36" ht="20.100000000000001" customHeight="1" x14ac:dyDescent="0.3">
      <c r="A50" s="33">
        <v>1</v>
      </c>
      <c r="B50" s="178" t="s">
        <v>202</v>
      </c>
      <c r="C50" s="178"/>
      <c r="D50" s="33" t="s">
        <v>205</v>
      </c>
      <c r="E50" s="67" t="s">
        <v>92</v>
      </c>
      <c r="F50" s="63">
        <f>18779.3</f>
        <v>18779.3</v>
      </c>
      <c r="G50" s="63"/>
      <c r="H50" s="63">
        <f t="shared" ref="H50:H60" si="52">F50*300%</f>
        <v>56337.899999999994</v>
      </c>
      <c r="I50" s="63">
        <f t="shared" ref="I50:I60" si="53">F50*7.5%</f>
        <v>1408.4475</v>
      </c>
      <c r="J50" s="36">
        <v>0</v>
      </c>
      <c r="K50" s="63">
        <f t="shared" ref="K50:K60" si="54">F50*50%</f>
        <v>9389.65</v>
      </c>
      <c r="L50" s="36">
        <f t="shared" ref="L50:L60" si="55">F50*350%</f>
        <v>65727.55</v>
      </c>
      <c r="M50" s="63">
        <f t="shared" ref="M50:M51" si="56">F50*100%</f>
        <v>18779.3</v>
      </c>
      <c r="N50" s="63">
        <f t="shared" ref="N50:N51" si="57">100000</f>
        <v>100000</v>
      </c>
      <c r="O50" s="63">
        <f t="shared" ref="O50:O51" si="58">F50*10%</f>
        <v>1877.93</v>
      </c>
      <c r="P50" s="63">
        <v>10000</v>
      </c>
      <c r="Q50" s="63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63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3">
        <f t="shared" ref="AG50" si="61">3369.51</f>
        <v>3369.51</v>
      </c>
      <c r="AH50" s="43">
        <f t="shared" ref="AH50" si="62">7709.76</f>
        <v>7709.76</v>
      </c>
      <c r="AI50" s="43">
        <f t="shared" ref="AI50" si="63">AH50-AG50</f>
        <v>4340.25</v>
      </c>
      <c r="AJ50" s="43">
        <f>AI50*10</f>
        <v>43402.5</v>
      </c>
    </row>
    <row r="51" spans="1:36" ht="20.100000000000001" customHeight="1" x14ac:dyDescent="0.3">
      <c r="A51" s="33">
        <v>2</v>
      </c>
      <c r="B51" s="169" t="s">
        <v>206</v>
      </c>
      <c r="C51" s="170"/>
      <c r="D51" s="62" t="s">
        <v>297</v>
      </c>
      <c r="E51" s="67" t="s">
        <v>210</v>
      </c>
      <c r="F51" s="68">
        <v>13492.21</v>
      </c>
      <c r="G51" s="63"/>
      <c r="H51" s="63">
        <f t="shared" si="52"/>
        <v>40476.629999999997</v>
      </c>
      <c r="I51" s="63">
        <f t="shared" si="53"/>
        <v>1011.9157499999999</v>
      </c>
      <c r="J51" s="63"/>
      <c r="K51" s="63">
        <f t="shared" si="54"/>
        <v>6746.1049999999996</v>
      </c>
      <c r="L51" s="36">
        <f t="shared" si="55"/>
        <v>47222.735000000001</v>
      </c>
      <c r="M51" s="63">
        <f t="shared" si="56"/>
        <v>13492.21</v>
      </c>
      <c r="N51" s="63">
        <f t="shared" si="57"/>
        <v>100000</v>
      </c>
      <c r="O51" s="63">
        <f t="shared" si="58"/>
        <v>1349.221</v>
      </c>
      <c r="P51" s="63">
        <v>10000</v>
      </c>
      <c r="Q51" s="63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'[3]DECEMBER 2019'!$H$49</f>
        <v>337.30525</v>
      </c>
      <c r="Z51" s="63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3"/>
    </row>
    <row r="52" spans="1:36" ht="20.100000000000001" customHeight="1" x14ac:dyDescent="0.3">
      <c r="A52" s="33">
        <v>3</v>
      </c>
      <c r="B52" s="178" t="s">
        <v>225</v>
      </c>
      <c r="C52" s="178"/>
      <c r="D52" s="62" t="s">
        <v>235</v>
      </c>
      <c r="E52" s="67" t="s">
        <v>298</v>
      </c>
      <c r="F52" s="68">
        <f>5769.6</f>
        <v>5769.6</v>
      </c>
      <c r="G52" s="33"/>
      <c r="H52" s="63">
        <f t="shared" si="52"/>
        <v>17308.800000000003</v>
      </c>
      <c r="I52" s="63">
        <f t="shared" si="53"/>
        <v>432.72</v>
      </c>
      <c r="J52" s="68">
        <v>0</v>
      </c>
      <c r="K52" s="63">
        <f t="shared" si="54"/>
        <v>2884.8</v>
      </c>
      <c r="L52" s="36">
        <f t="shared" si="55"/>
        <v>20193.600000000002</v>
      </c>
      <c r="M52" s="63">
        <f t="shared" ref="M52:M58" si="64">F52*100%</f>
        <v>5769.6</v>
      </c>
      <c r="N52" s="36">
        <f>25000+4000</f>
        <v>29000</v>
      </c>
      <c r="O52" s="63">
        <f t="shared" ref="O52:O60" si="65">F52*10%</f>
        <v>576.96</v>
      </c>
      <c r="P52" s="68">
        <v>5000</v>
      </c>
      <c r="Q52" s="63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'[3]DECEMBER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3"/>
    </row>
    <row r="53" spans="1:36" ht="20.100000000000001" customHeight="1" x14ac:dyDescent="0.3">
      <c r="A53" s="33">
        <v>4</v>
      </c>
      <c r="B53" s="178" t="s">
        <v>228</v>
      </c>
      <c r="C53" s="178"/>
      <c r="D53" s="62" t="s">
        <v>235</v>
      </c>
      <c r="E53" s="67" t="s">
        <v>298</v>
      </c>
      <c r="F53" s="68">
        <f t="shared" ref="F53:F58" si="68">5769.6</f>
        <v>5769.6</v>
      </c>
      <c r="G53" s="33"/>
      <c r="H53" s="63">
        <f t="shared" si="52"/>
        <v>17308.800000000003</v>
      </c>
      <c r="I53" s="63">
        <f t="shared" si="53"/>
        <v>432.72</v>
      </c>
      <c r="J53" s="68">
        <v>0</v>
      </c>
      <c r="K53" s="63">
        <f t="shared" si="54"/>
        <v>2884.8</v>
      </c>
      <c r="L53" s="36">
        <f t="shared" si="55"/>
        <v>20193.600000000002</v>
      </c>
      <c r="M53" s="63">
        <f t="shared" si="64"/>
        <v>5769.6</v>
      </c>
      <c r="N53" s="36">
        <f>25000+7000</f>
        <v>32000</v>
      </c>
      <c r="O53" s="63">
        <f t="shared" si="65"/>
        <v>576.96</v>
      </c>
      <c r="P53" s="68">
        <v>5000</v>
      </c>
      <c r="Q53" s="63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3"/>
    </row>
    <row r="54" spans="1:36" ht="20.100000000000001" customHeight="1" x14ac:dyDescent="0.3">
      <c r="A54" s="33">
        <v>5</v>
      </c>
      <c r="B54" s="178" t="s">
        <v>229</v>
      </c>
      <c r="C54" s="178"/>
      <c r="D54" s="62" t="s">
        <v>235</v>
      </c>
      <c r="E54" s="67" t="s">
        <v>298</v>
      </c>
      <c r="F54" s="68">
        <f t="shared" si="68"/>
        <v>5769.6</v>
      </c>
      <c r="G54" s="33"/>
      <c r="H54" s="63">
        <f t="shared" si="52"/>
        <v>17308.800000000003</v>
      </c>
      <c r="I54" s="63">
        <f t="shared" si="53"/>
        <v>432.72</v>
      </c>
      <c r="J54" s="63">
        <v>0</v>
      </c>
      <c r="K54" s="63">
        <f t="shared" si="54"/>
        <v>2884.8</v>
      </c>
      <c r="L54" s="36">
        <f t="shared" si="55"/>
        <v>20193.600000000002</v>
      </c>
      <c r="M54" s="63">
        <f t="shared" si="64"/>
        <v>5769.6</v>
      </c>
      <c r="N54" s="36">
        <f>25000+4000</f>
        <v>29000</v>
      </c>
      <c r="O54" s="63">
        <f t="shared" si="65"/>
        <v>576.96</v>
      </c>
      <c r="P54" s="63">
        <v>5000</v>
      </c>
      <c r="Q54" s="63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3"/>
    </row>
    <row r="55" spans="1:36" ht="20.100000000000001" customHeight="1" x14ac:dyDescent="0.3">
      <c r="A55" s="33">
        <v>6</v>
      </c>
      <c r="B55" s="178" t="s">
        <v>230</v>
      </c>
      <c r="C55" s="178"/>
      <c r="D55" s="62" t="s">
        <v>235</v>
      </c>
      <c r="E55" s="67" t="s">
        <v>298</v>
      </c>
      <c r="F55" s="68">
        <f t="shared" si="68"/>
        <v>5769.6</v>
      </c>
      <c r="G55" s="33"/>
      <c r="H55" s="63">
        <f t="shared" si="52"/>
        <v>17308.800000000003</v>
      </c>
      <c r="I55" s="63">
        <f t="shared" si="53"/>
        <v>432.72</v>
      </c>
      <c r="J55" s="63">
        <v>0</v>
      </c>
      <c r="K55" s="63">
        <f t="shared" si="54"/>
        <v>2884.8</v>
      </c>
      <c r="L55" s="36">
        <f t="shared" si="55"/>
        <v>20193.600000000002</v>
      </c>
      <c r="M55" s="63">
        <f t="shared" si="64"/>
        <v>5769.6</v>
      </c>
      <c r="N55" s="36">
        <f>25000+4000</f>
        <v>29000</v>
      </c>
      <c r="O55" s="63">
        <f t="shared" si="65"/>
        <v>576.96</v>
      </c>
      <c r="P55" s="63">
        <v>5000</v>
      </c>
      <c r="Q55" s="63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3"/>
    </row>
    <row r="56" spans="1:36" ht="20.100000000000001" customHeight="1" x14ac:dyDescent="0.3">
      <c r="A56" s="33">
        <v>7</v>
      </c>
      <c r="B56" s="178" t="s">
        <v>231</v>
      </c>
      <c r="C56" s="178"/>
      <c r="D56" s="62" t="s">
        <v>235</v>
      </c>
      <c r="E56" s="67" t="s">
        <v>298</v>
      </c>
      <c r="F56" s="68">
        <f t="shared" si="68"/>
        <v>5769.6</v>
      </c>
      <c r="G56" s="33"/>
      <c r="H56" s="63">
        <f t="shared" si="52"/>
        <v>17308.800000000003</v>
      </c>
      <c r="I56" s="63">
        <f t="shared" si="53"/>
        <v>432.72</v>
      </c>
      <c r="J56" s="63">
        <v>0</v>
      </c>
      <c r="K56" s="63">
        <f t="shared" si="54"/>
        <v>2884.8</v>
      </c>
      <c r="L56" s="36">
        <f t="shared" si="55"/>
        <v>20193.600000000002</v>
      </c>
      <c r="M56" s="63">
        <f t="shared" si="64"/>
        <v>5769.6</v>
      </c>
      <c r="N56" s="36">
        <f>25000+4000</f>
        <v>29000</v>
      </c>
      <c r="O56" s="63">
        <f t="shared" si="65"/>
        <v>576.96</v>
      </c>
      <c r="P56" s="63">
        <v>5000</v>
      </c>
      <c r="Q56" s="63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3"/>
    </row>
    <row r="57" spans="1:36" ht="20.100000000000001" customHeight="1" x14ac:dyDescent="0.3">
      <c r="A57" s="33">
        <v>8</v>
      </c>
      <c r="B57" s="178" t="s">
        <v>232</v>
      </c>
      <c r="C57" s="178"/>
      <c r="D57" s="62" t="s">
        <v>235</v>
      </c>
      <c r="E57" s="67" t="s">
        <v>298</v>
      </c>
      <c r="F57" s="68">
        <f t="shared" si="68"/>
        <v>5769.6</v>
      </c>
      <c r="G57" s="27">
        <f>0</f>
        <v>0</v>
      </c>
      <c r="H57" s="63">
        <f t="shared" si="52"/>
        <v>17308.800000000003</v>
      </c>
      <c r="I57" s="63">
        <f t="shared" si="53"/>
        <v>432.72</v>
      </c>
      <c r="J57" s="63">
        <v>0</v>
      </c>
      <c r="K57" s="63">
        <f t="shared" si="54"/>
        <v>2884.8</v>
      </c>
      <c r="L57" s="36">
        <f t="shared" si="55"/>
        <v>20193.600000000002</v>
      </c>
      <c r="M57" s="63">
        <f t="shared" si="64"/>
        <v>5769.6</v>
      </c>
      <c r="N57" s="36">
        <f>25000+3000</f>
        <v>28000</v>
      </c>
      <c r="O57" s="63">
        <f t="shared" si="65"/>
        <v>576.96</v>
      </c>
      <c r="P57" s="63">
        <v>5000</v>
      </c>
      <c r="Q57" s="63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'[3]DECEMBER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3"/>
    </row>
    <row r="58" spans="1:36" ht="20.100000000000001" customHeight="1" x14ac:dyDescent="0.3">
      <c r="A58" s="33">
        <v>9</v>
      </c>
      <c r="B58" s="178" t="s">
        <v>233</v>
      </c>
      <c r="C58" s="178"/>
      <c r="D58" s="62" t="s">
        <v>235</v>
      </c>
      <c r="E58" s="67" t="s">
        <v>298</v>
      </c>
      <c r="F58" s="68">
        <f t="shared" si="68"/>
        <v>5769.6</v>
      </c>
      <c r="G58" s="33"/>
      <c r="H58" s="63">
        <f t="shared" si="52"/>
        <v>17308.800000000003</v>
      </c>
      <c r="I58" s="63">
        <f t="shared" si="53"/>
        <v>432.72</v>
      </c>
      <c r="J58" s="63">
        <v>0</v>
      </c>
      <c r="K58" s="63">
        <f t="shared" si="54"/>
        <v>2884.8</v>
      </c>
      <c r="L58" s="36">
        <f t="shared" si="55"/>
        <v>20193.600000000002</v>
      </c>
      <c r="M58" s="63">
        <f t="shared" si="64"/>
        <v>5769.6</v>
      </c>
      <c r="N58" s="36">
        <f>25000+7000</f>
        <v>32000</v>
      </c>
      <c r="O58" s="63">
        <f t="shared" si="65"/>
        <v>576.96</v>
      </c>
      <c r="P58" s="63">
        <v>5000</v>
      </c>
      <c r="Q58" s="63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3"/>
    </row>
    <row r="59" spans="1:36" ht="20.100000000000001" customHeight="1" x14ac:dyDescent="0.3">
      <c r="A59" s="33">
        <v>10</v>
      </c>
      <c r="B59" s="62" t="s">
        <v>246</v>
      </c>
      <c r="C59" s="33"/>
      <c r="D59" s="62" t="s">
        <v>251</v>
      </c>
      <c r="E59" s="67" t="s">
        <v>300</v>
      </c>
      <c r="F59" s="63">
        <f>4836.3</f>
        <v>4836.3</v>
      </c>
      <c r="G59" s="33"/>
      <c r="H59" s="63">
        <f t="shared" si="52"/>
        <v>14508.900000000001</v>
      </c>
      <c r="I59" s="63">
        <f t="shared" si="53"/>
        <v>362.72250000000003</v>
      </c>
      <c r="J59" s="63"/>
      <c r="K59" s="63">
        <f t="shared" si="54"/>
        <v>2418.15</v>
      </c>
      <c r="L59" s="36">
        <f t="shared" si="55"/>
        <v>16927.05</v>
      </c>
      <c r="M59" s="63">
        <f t="shared" ref="M59:M60" si="70">F59*100%</f>
        <v>4836.3</v>
      </c>
      <c r="N59" s="36">
        <f t="shared" ref="N59:N60" si="71">25000+7000</f>
        <v>32000</v>
      </c>
      <c r="O59" s="63">
        <f t="shared" si="65"/>
        <v>483.63000000000005</v>
      </c>
      <c r="P59" s="63">
        <v>5000</v>
      </c>
      <c r="Q59" s="63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3">
        <f>(51671-48025)+(53237-49373)</f>
        <v>7510</v>
      </c>
      <c r="AE59" s="1">
        <f>24</f>
        <v>24</v>
      </c>
      <c r="AF59" s="43">
        <f>AD59*AE59</f>
        <v>180240</v>
      </c>
      <c r="AG59" s="117">
        <f>V59+AF59</f>
        <v>217948</v>
      </c>
      <c r="AJ59" s="43"/>
    </row>
    <row r="60" spans="1:36" ht="20.100000000000001" customHeight="1" x14ac:dyDescent="0.3">
      <c r="A60" s="33">
        <v>11</v>
      </c>
      <c r="B60" s="169" t="s">
        <v>248</v>
      </c>
      <c r="C60" s="170"/>
      <c r="D60" s="62" t="s">
        <v>251</v>
      </c>
      <c r="E60" s="67" t="s">
        <v>259</v>
      </c>
      <c r="F60" s="63">
        <f>4395.43</f>
        <v>4395.43</v>
      </c>
      <c r="G60" s="33"/>
      <c r="H60" s="63">
        <f t="shared" si="52"/>
        <v>13186.29</v>
      </c>
      <c r="I60" s="63">
        <f t="shared" si="53"/>
        <v>329.65725000000003</v>
      </c>
      <c r="J60" s="63"/>
      <c r="K60" s="63">
        <f t="shared" si="54"/>
        <v>2197.7150000000001</v>
      </c>
      <c r="L60" s="36">
        <f t="shared" si="55"/>
        <v>15384.005000000001</v>
      </c>
      <c r="M60" s="63">
        <f t="shared" si="70"/>
        <v>4395.43</v>
      </c>
      <c r="N60" s="36">
        <f t="shared" si="71"/>
        <v>32000</v>
      </c>
      <c r="O60" s="63">
        <f t="shared" si="65"/>
        <v>439.54300000000006</v>
      </c>
      <c r="P60" s="63">
        <v>5000</v>
      </c>
      <c r="Q60" s="63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3"/>
    </row>
    <row r="61" spans="1:36" ht="20.100000000000001" customHeight="1" x14ac:dyDescent="0.3">
      <c r="A61" s="33"/>
      <c r="B61" s="49" t="s">
        <v>32</v>
      </c>
      <c r="D61" s="50" t="s">
        <v>278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64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52">
        <f>SUM(AC50:AC60)</f>
        <v>282975.12475000002</v>
      </c>
      <c r="AD61" s="80"/>
      <c r="AJ61" s="43"/>
    </row>
    <row r="62" spans="1:36" ht="20.100000000000001" customHeight="1" x14ac:dyDescent="0.3">
      <c r="A62" s="33"/>
      <c r="B62" s="201" t="s">
        <v>263</v>
      </c>
      <c r="C62" s="201"/>
      <c r="D62" s="40"/>
      <c r="E62" s="41"/>
      <c r="F62" s="42" t="e">
        <f>F10+#REF!+F14+#REF!+F19+F24+F32+F36+F40+F47+F61</f>
        <v>#REF!</v>
      </c>
      <c r="G62" s="42" t="e">
        <f>G10+#REF!+G14+#REF!+G19+G24+G32+G36+G40+G47+G61</f>
        <v>#REF!</v>
      </c>
      <c r="H62" s="42" t="e">
        <f>H10+#REF!+H14+#REF!+H19+H24+H32+H36+H40+H47+H61</f>
        <v>#REF!</v>
      </c>
      <c r="I62" s="42" t="e">
        <f>I10+#REF!+I14+#REF!+I19+I24+I32+I36+I40+I47+I61</f>
        <v>#REF!</v>
      </c>
      <c r="J62" s="42" t="e">
        <f>J10+#REF!+J14+#REF!+J19+J24+J32+J36+J40+J47+J61</f>
        <v>#REF!</v>
      </c>
      <c r="K62" s="42" t="e">
        <f>K10+#REF!+K14+#REF!+K19+K24+K32+K36+K40+K47+K61</f>
        <v>#REF!</v>
      </c>
      <c r="L62" s="42" t="e">
        <f>L10+#REF!+L14+#REF!+L19+L24+L32+L36+L40+L47+L61</f>
        <v>#REF!</v>
      </c>
      <c r="M62" s="42" t="e">
        <f>M10+#REF!+M14+#REF!+M19+M24+M32+M36+M40+M47+M61</f>
        <v>#REF!</v>
      </c>
      <c r="N62" s="42" t="e">
        <f>N10+#REF!+N14+#REF!+N19+N24+N32+N36+N40+N47+N61</f>
        <v>#REF!</v>
      </c>
      <c r="O62" s="42" t="e">
        <f>O10+#REF!+O14+#REF!+O19+O24+O32+O36+O40+O47+O61</f>
        <v>#REF!</v>
      </c>
      <c r="P62" s="42" t="e">
        <f>P10+#REF!+P14+#REF!+P19+P24+P32+P36+P40+P47+P61</f>
        <v>#REF!</v>
      </c>
      <c r="Q62" s="42" t="e">
        <f>Q10+#REF!+Q14+#REF!+Q19+Q24+Q32+Q36+Q40+Q47+Q61</f>
        <v>#REF!</v>
      </c>
      <c r="R62" s="42"/>
      <c r="S62" s="42"/>
      <c r="T62" s="42"/>
      <c r="U62" s="42"/>
      <c r="V62" s="42">
        <f>V10+V14+V19+V24+V32+V36+V40+V47+V61</f>
        <v>9036660</v>
      </c>
      <c r="W62" s="42" t="e">
        <f>W10+#REF!+W14+#REF!+W19+W24+W32+W36+W40+W47+W61</f>
        <v>#REF!</v>
      </c>
      <c r="X62" s="42" t="e">
        <f>X10+#REF!+X14+#REF!+X19+X24+X32+X36+X40+X47+X61</f>
        <v>#REF!</v>
      </c>
      <c r="Y62" s="42" t="e">
        <f>Y10+#REF!+Y14+#REF!+Y19+Y24+Y32+Y36+Y40+Y47+Y61</f>
        <v>#REF!</v>
      </c>
      <c r="Z62" s="42" t="e">
        <f>Z10+#REF!+Z14+#REF!+Z19+Z24+Z32+Z36+Z40+Z47+Z61</f>
        <v>#REF!</v>
      </c>
      <c r="AA62" s="42" t="e">
        <f>AA10+#REF!+AA14+#REF!+AA19+AA24+AA32+AA36+AA40+AA47+AA61</f>
        <v>#REF!</v>
      </c>
      <c r="AB62" s="42">
        <v>31457193.518750004</v>
      </c>
      <c r="AC62" s="153" t="e">
        <f>AC10+#REF!+AC14+#REF!+AC19+AC24+AC32+AC36+AC40+AC47+AC61</f>
        <v>#REF!</v>
      </c>
      <c r="AD62" s="80"/>
      <c r="AJ62" s="43"/>
    </row>
    <row r="63" spans="1:36" ht="20.100000000000001" customHeight="1" x14ac:dyDescent="0.3">
      <c r="A63" s="33"/>
      <c r="B63" s="196"/>
      <c r="C63" s="196"/>
      <c r="D63" s="47"/>
      <c r="E63" s="73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>
        <f>V62+AF59</f>
        <v>9216900</v>
      </c>
      <c r="W63" s="74"/>
      <c r="X63" s="74"/>
      <c r="Y63" s="74"/>
      <c r="Z63" s="74"/>
      <c r="AA63" s="74"/>
      <c r="AB63" s="74"/>
      <c r="AC63" s="154"/>
      <c r="AD63" s="80"/>
      <c r="AJ63" s="43">
        <f>AJ47+AJ40+AJ32+AJ24+AJ18+AJ14+AJ9+AJ50</f>
        <v>617099.1</v>
      </c>
    </row>
    <row r="64" spans="1:36" ht="20.100000000000001" customHeight="1" x14ac:dyDescent="0.3">
      <c r="A64" s="33"/>
      <c r="B64" s="196"/>
      <c r="C64" s="196"/>
      <c r="D64" s="168" t="s">
        <v>264</v>
      </c>
      <c r="E64" s="168"/>
      <c r="F64" s="168"/>
      <c r="G64" s="168"/>
      <c r="H64" s="168"/>
      <c r="I64" s="168"/>
      <c r="J64" s="168"/>
      <c r="K64" s="167" t="s">
        <v>265</v>
      </c>
      <c r="L64" s="167"/>
      <c r="M64" s="167"/>
      <c r="N64" s="41"/>
      <c r="O64" s="167" t="s">
        <v>266</v>
      </c>
      <c r="P64" s="167"/>
      <c r="Q64" s="167"/>
      <c r="R64" s="167"/>
      <c r="S64" s="41"/>
      <c r="T64" s="41"/>
      <c r="U64" s="41"/>
      <c r="V64" s="41"/>
      <c r="W64" s="41"/>
      <c r="X64" s="41"/>
      <c r="Y64" s="41"/>
      <c r="Z64" s="74"/>
      <c r="AA64" s="74"/>
      <c r="AB64" s="74"/>
      <c r="AC64" s="154"/>
      <c r="AD64" s="80"/>
      <c r="AJ64" s="43"/>
    </row>
    <row r="65" spans="1:36" ht="20.100000000000001" customHeight="1" x14ac:dyDescent="0.3">
      <c r="A65" s="3"/>
      <c r="B65" s="196"/>
      <c r="C65" s="196"/>
      <c r="D65" s="168"/>
      <c r="E65" s="168"/>
      <c r="F65" s="168"/>
      <c r="G65" s="168"/>
      <c r="H65" s="168"/>
      <c r="I65" s="168"/>
      <c r="J65" s="168"/>
      <c r="K65" s="167"/>
      <c r="L65" s="167"/>
      <c r="M65" s="167"/>
      <c r="N65" s="41"/>
      <c r="O65" s="167"/>
      <c r="P65" s="167"/>
      <c r="Q65" s="167"/>
      <c r="R65" s="167"/>
      <c r="S65" s="41"/>
      <c r="T65" s="41"/>
      <c r="U65" s="41"/>
      <c r="V65" s="41"/>
      <c r="W65" s="41"/>
      <c r="X65" s="41"/>
      <c r="Y65" s="41"/>
      <c r="Z65" s="74"/>
      <c r="AA65" s="74"/>
      <c r="AB65" s="74"/>
      <c r="AC65" s="154"/>
      <c r="AD65" s="80"/>
      <c r="AJ65" s="43"/>
    </row>
    <row r="66" spans="1:36" ht="20.100000000000001" customHeight="1" x14ac:dyDescent="0.3">
      <c r="A66" s="33"/>
      <c r="AD66" s="80"/>
      <c r="AJ66" s="43"/>
    </row>
    <row r="67" spans="1:36" ht="20.100000000000001" customHeight="1" x14ac:dyDescent="0.3">
      <c r="A67" s="33"/>
      <c r="AC67" s="34"/>
      <c r="AD67" s="80"/>
      <c r="AJ67" s="43"/>
    </row>
    <row r="68" spans="1:36" ht="20.100000000000001" customHeight="1" x14ac:dyDescent="0.3">
      <c r="A68" s="33"/>
      <c r="AD68" s="80"/>
      <c r="AJ68" s="43"/>
    </row>
    <row r="69" spans="1:36" ht="20.100000000000001" customHeight="1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80"/>
      <c r="AJ69" s="43"/>
    </row>
    <row r="70" spans="1:36" ht="20.100000000000001" customHeight="1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80"/>
      <c r="AJ70" s="43"/>
    </row>
    <row r="71" spans="1:36" ht="20.100000000000001" customHeight="1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80"/>
      <c r="AJ71" s="43"/>
    </row>
    <row r="72" spans="1:36" ht="20.100000000000001" customHeight="1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80"/>
      <c r="AJ72" s="43"/>
    </row>
    <row r="73" spans="1:36" ht="20.100000000000001" customHeight="1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80"/>
      <c r="AJ73" s="43"/>
    </row>
    <row r="74" spans="1:36" ht="20.100000000000001" customHeight="1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80"/>
      <c r="AJ74" s="43"/>
    </row>
    <row r="75" spans="1:36" ht="20.100000000000001" customHeight="1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80"/>
      <c r="AJ75" s="43"/>
    </row>
    <row r="76" spans="1:36" ht="20.100000000000001" customHeight="1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80"/>
      <c r="AJ76" s="43"/>
    </row>
    <row r="77" spans="1:36" ht="20.100000000000001" customHeight="1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80"/>
      <c r="AJ77" s="43"/>
    </row>
    <row r="78" spans="1:36" ht="20.100000000000001" customHeight="1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80"/>
      <c r="AJ78" s="43"/>
    </row>
    <row r="79" spans="1:36" ht="20.100000000000001" customHeight="1" x14ac:dyDescent="0.3">
      <c r="AD79" s="80"/>
      <c r="AJ79" s="43"/>
    </row>
    <row r="80" spans="1:36" ht="20.100000000000001" customHeight="1" x14ac:dyDescent="0.3">
      <c r="AD80" s="80"/>
      <c r="AJ80" s="43"/>
    </row>
    <row r="81" spans="30:36" ht="20.100000000000001" customHeight="1" x14ac:dyDescent="0.3">
      <c r="AD81" s="80"/>
      <c r="AJ81" s="43"/>
    </row>
    <row r="82" spans="30:36" ht="20.100000000000001" customHeight="1" x14ac:dyDescent="0.3">
      <c r="AD82" s="80"/>
      <c r="AJ82" s="43"/>
    </row>
    <row r="83" spans="30:36" ht="20.100000000000001" customHeight="1" x14ac:dyDescent="0.3">
      <c r="AD83" s="80"/>
      <c r="AJ83" s="43"/>
    </row>
    <row r="84" spans="30:36" ht="20.100000000000001" customHeight="1" x14ac:dyDescent="0.3">
      <c r="AD84" s="80"/>
      <c r="AJ84" s="43"/>
    </row>
    <row r="85" spans="30:36" ht="20.100000000000001" customHeight="1" x14ac:dyDescent="0.3">
      <c r="AD85" s="80"/>
      <c r="AJ85" s="43"/>
    </row>
    <row r="86" spans="30:36" ht="20.100000000000001" customHeight="1" x14ac:dyDescent="0.3">
      <c r="AD86" s="80"/>
      <c r="AJ86" s="43"/>
    </row>
    <row r="87" spans="30:36" ht="20.100000000000001" customHeight="1" x14ac:dyDescent="0.3">
      <c r="AD87" s="80"/>
      <c r="AJ87" s="43"/>
    </row>
    <row r="88" spans="30:36" ht="20.100000000000001" customHeight="1" x14ac:dyDescent="0.3">
      <c r="AD88" s="80"/>
      <c r="AJ88" s="43"/>
    </row>
    <row r="89" spans="30:36" ht="20.100000000000001" customHeight="1" x14ac:dyDescent="0.3">
      <c r="AD89" s="80"/>
      <c r="AJ89" s="43"/>
    </row>
    <row r="90" spans="30:36" ht="20.100000000000001" customHeight="1" x14ac:dyDescent="0.3">
      <c r="AD90" s="80"/>
      <c r="AJ90" s="43"/>
    </row>
    <row r="91" spans="30:36" ht="20.100000000000001" customHeight="1" x14ac:dyDescent="0.3">
      <c r="AD91" s="80"/>
      <c r="AJ91" s="43"/>
    </row>
    <row r="92" spans="30:36" ht="20.100000000000001" customHeight="1" x14ac:dyDescent="0.3">
      <c r="AD92" s="80"/>
      <c r="AJ92" s="43"/>
    </row>
    <row r="93" spans="30:36" ht="20.100000000000001" customHeight="1" x14ac:dyDescent="0.3">
      <c r="AD93" s="80"/>
      <c r="AJ93" s="43"/>
    </row>
    <row r="94" spans="30:36" ht="20.100000000000001" customHeight="1" x14ac:dyDescent="0.3">
      <c r="AD94" s="80"/>
      <c r="AJ94" s="43"/>
    </row>
    <row r="95" spans="30:36" ht="20.100000000000001" customHeight="1" x14ac:dyDescent="0.3">
      <c r="AD95" s="80"/>
    </row>
    <row r="96" spans="30:36" ht="20.100000000000001" customHeight="1" x14ac:dyDescent="0.3">
      <c r="AD96" s="80"/>
    </row>
    <row r="97" spans="30:30" ht="20.100000000000001" customHeight="1" x14ac:dyDescent="0.3">
      <c r="AD97" s="80"/>
    </row>
    <row r="98" spans="30:30" ht="20.100000000000001" customHeight="1" x14ac:dyDescent="0.3">
      <c r="AD98" s="80"/>
    </row>
    <row r="99" spans="30:30" ht="20.100000000000001" customHeight="1" x14ac:dyDescent="0.3">
      <c r="AD99" s="80"/>
    </row>
    <row r="100" spans="30:30" ht="20.100000000000001" customHeight="1" x14ac:dyDescent="0.3">
      <c r="AD100" s="80"/>
    </row>
    <row r="101" spans="30:30" ht="20.100000000000001" customHeight="1" x14ac:dyDescent="0.3">
      <c r="AD101" s="80"/>
    </row>
    <row r="102" spans="30:30" ht="20.100000000000001" customHeight="1" x14ac:dyDescent="0.3">
      <c r="AD102" s="80"/>
    </row>
    <row r="103" spans="30:30" ht="20.100000000000001" customHeight="1" x14ac:dyDescent="0.3">
      <c r="AD103" s="80"/>
    </row>
    <row r="104" spans="30:30" ht="20.100000000000001" customHeight="1" x14ac:dyDescent="0.3">
      <c r="AD104" s="80"/>
    </row>
    <row r="105" spans="30:30" ht="20.100000000000001" customHeight="1" x14ac:dyDescent="0.3">
      <c r="AD105" s="80"/>
    </row>
    <row r="106" spans="30:30" ht="20.100000000000001" customHeight="1" x14ac:dyDescent="0.3">
      <c r="AD106" s="80"/>
    </row>
    <row r="107" spans="30:30" ht="20.100000000000001" customHeight="1" x14ac:dyDescent="0.3">
      <c r="AD107" s="80"/>
    </row>
    <row r="108" spans="30:30" ht="20.100000000000001" customHeight="1" x14ac:dyDescent="0.3">
      <c r="AD108" s="80"/>
    </row>
    <row r="109" spans="30:30" ht="20.100000000000001" customHeight="1" x14ac:dyDescent="0.3">
      <c r="AD109" s="80"/>
    </row>
    <row r="110" spans="30:30" ht="20.100000000000001" customHeight="1" x14ac:dyDescent="0.3">
      <c r="AD110" s="80"/>
    </row>
    <row r="111" spans="30:30" ht="20.100000000000001" customHeight="1" x14ac:dyDescent="0.3">
      <c r="AD111" s="80"/>
    </row>
    <row r="112" spans="30:30" ht="20.100000000000001" customHeight="1" x14ac:dyDescent="0.3">
      <c r="AD112" s="80"/>
    </row>
    <row r="113" spans="30:30" ht="20.100000000000001" customHeight="1" x14ac:dyDescent="0.3">
      <c r="AD113" s="80"/>
    </row>
    <row r="114" spans="30:30" ht="20.100000000000001" customHeight="1" x14ac:dyDescent="0.3">
      <c r="AD114" s="80"/>
    </row>
    <row r="115" spans="30:30" ht="20.100000000000001" customHeight="1" x14ac:dyDescent="0.3">
      <c r="AD115" s="80"/>
    </row>
    <row r="116" spans="30:30" ht="20.100000000000001" customHeight="1" x14ac:dyDescent="0.3">
      <c r="AD116" s="80"/>
    </row>
    <row r="117" spans="30:30" ht="20.100000000000001" customHeight="1" x14ac:dyDescent="0.3">
      <c r="AD117" s="80"/>
    </row>
    <row r="118" spans="30:30" ht="20.100000000000001" customHeight="1" x14ac:dyDescent="0.3">
      <c r="AD118" s="80"/>
    </row>
    <row r="119" spans="30:30" ht="20.100000000000001" customHeight="1" x14ac:dyDescent="0.3">
      <c r="AD119" s="80"/>
    </row>
    <row r="120" spans="30:30" ht="20.100000000000001" customHeight="1" x14ac:dyDescent="0.3">
      <c r="AD120" s="80"/>
    </row>
    <row r="121" spans="30:30" ht="20.100000000000001" customHeight="1" x14ac:dyDescent="0.3">
      <c r="AD121" s="80"/>
    </row>
    <row r="122" spans="30:30" ht="20.100000000000001" customHeight="1" x14ac:dyDescent="0.3">
      <c r="AD122" s="80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47" max="24" man="1"/>
  </rowBreaks>
  <colBreaks count="1" manualBreakCount="1">
    <brk id="2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75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B14" sqref="B14:C14"/>
    </sheetView>
  </sheetViews>
  <sheetFormatPr defaultColWidth="9.140625" defaultRowHeight="20.100000000000001" customHeight="1" x14ac:dyDescent="0.3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16384" width="9.140625" style="1"/>
  </cols>
  <sheetData>
    <row r="1" spans="1:30" ht="29.25" customHeight="1" x14ac:dyDescent="0.3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AD1" s="1" t="s">
        <v>0</v>
      </c>
    </row>
    <row r="2" spans="1:30" ht="5.25" customHeight="1" x14ac:dyDescent="0.3">
      <c r="R2" s="52"/>
      <c r="S2" s="52"/>
      <c r="T2" s="52"/>
      <c r="U2" s="52"/>
      <c r="V2" s="52"/>
      <c r="W2" s="52"/>
      <c r="X2" s="52"/>
      <c r="Y2" s="52"/>
    </row>
    <row r="3" spans="1:30" ht="20.100000000000001" customHeight="1" x14ac:dyDescent="0.3">
      <c r="B3" s="166" t="s">
        <v>1</v>
      </c>
      <c r="C3" s="166"/>
      <c r="D3" s="166"/>
      <c r="E3" s="166"/>
      <c r="F3" s="53"/>
      <c r="G3" s="53"/>
      <c r="H3" s="53"/>
      <c r="I3" s="54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</row>
    <row r="4" spans="1:30" ht="2.25" customHeight="1" x14ac:dyDescent="0.3">
      <c r="F4" s="56">
        <f>'[1]FEB 08'!E8/'[1]FEB 08'!M8</f>
        <v>0.22</v>
      </c>
      <c r="G4" s="56"/>
      <c r="H4" s="56"/>
      <c r="I4" s="56">
        <f>'[1]FEB 08'!F8/'[1]FEB 08'!Q8</f>
        <v>0.3</v>
      </c>
      <c r="J4" s="56"/>
      <c r="K4" s="56"/>
      <c r="L4" s="56"/>
      <c r="M4" s="56"/>
      <c r="N4" s="56"/>
      <c r="O4" s="56"/>
      <c r="P4" s="56"/>
      <c r="Q4" s="56"/>
    </row>
    <row r="5" spans="1:30" ht="20.100000000000001" customHeight="1" x14ac:dyDescent="0.3">
      <c r="B5" s="166" t="s">
        <v>2</v>
      </c>
      <c r="C5" s="166"/>
      <c r="D5" s="57"/>
      <c r="E5" s="57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165" t="s">
        <v>3</v>
      </c>
      <c r="T5" s="165"/>
      <c r="U5" s="165"/>
      <c r="V5" s="165"/>
      <c r="W5" s="165"/>
      <c r="X5" s="57"/>
      <c r="Y5" s="57" t="s">
        <v>4</v>
      </c>
    </row>
    <row r="6" spans="1:30" ht="35.450000000000003" customHeight="1" x14ac:dyDescent="0.3">
      <c r="A6" s="33"/>
      <c r="B6" s="175"/>
      <c r="C6" s="175"/>
      <c r="D6" s="59" t="s">
        <v>5</v>
      </c>
      <c r="E6" s="59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/>
      <c r="T6" s="2"/>
      <c r="U6" s="2"/>
      <c r="V6" s="7"/>
      <c r="W6" s="7"/>
      <c r="X6" s="7" t="s">
        <v>14</v>
      </c>
      <c r="Y6" s="7" t="s">
        <v>15</v>
      </c>
    </row>
    <row r="7" spans="1:30" ht="55.9" customHeight="1" x14ac:dyDescent="0.3">
      <c r="A7" s="33"/>
      <c r="B7" s="176"/>
      <c r="C7" s="176"/>
      <c r="D7" s="59"/>
      <c r="E7" s="59" t="s">
        <v>16</v>
      </c>
      <c r="F7" s="2" t="s">
        <v>17</v>
      </c>
      <c r="G7" s="60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26</v>
      </c>
      <c r="Q7" s="2" t="s">
        <v>27</v>
      </c>
      <c r="R7" s="2" t="s">
        <v>17</v>
      </c>
      <c r="S7" s="60" t="s">
        <v>28</v>
      </c>
      <c r="T7" s="60" t="s">
        <v>29</v>
      </c>
      <c r="U7" s="60" t="s">
        <v>30</v>
      </c>
      <c r="V7" s="2" t="s">
        <v>31</v>
      </c>
      <c r="W7" s="2" t="s">
        <v>32</v>
      </c>
      <c r="X7" s="2"/>
      <c r="Y7" s="2"/>
    </row>
    <row r="8" spans="1:30" ht="20.100000000000001" customHeight="1" x14ac:dyDescent="0.3">
      <c r="A8" s="21" t="s">
        <v>33</v>
      </c>
      <c r="B8" s="177" t="s">
        <v>34</v>
      </c>
      <c r="C8" s="177"/>
      <c r="D8" s="49"/>
      <c r="E8" s="49"/>
      <c r="F8" s="61" t="s">
        <v>35</v>
      </c>
      <c r="G8" s="7"/>
      <c r="H8" s="61"/>
      <c r="I8" s="61" t="s">
        <v>35</v>
      </c>
      <c r="J8" s="61"/>
      <c r="K8" s="61"/>
      <c r="L8" s="61"/>
      <c r="M8" s="61"/>
      <c r="N8" s="61"/>
      <c r="O8" s="61"/>
      <c r="P8" s="61"/>
      <c r="Q8" s="61"/>
      <c r="R8" s="61" t="s">
        <v>35</v>
      </c>
      <c r="S8" s="61"/>
      <c r="T8" s="61"/>
      <c r="U8" s="61"/>
      <c r="V8" s="61" t="s">
        <v>35</v>
      </c>
      <c r="W8" s="61"/>
      <c r="X8" s="61"/>
      <c r="Y8" s="61"/>
    </row>
    <row r="9" spans="1:30" ht="20.100000000000001" customHeight="1" x14ac:dyDescent="0.3">
      <c r="A9" s="3">
        <v>1</v>
      </c>
      <c r="B9" s="169" t="s">
        <v>36</v>
      </c>
      <c r="C9" s="170"/>
      <c r="D9" s="62" t="s">
        <v>37</v>
      </c>
      <c r="E9" s="62" t="s">
        <v>38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00000000000001" customHeight="1" x14ac:dyDescent="0.3">
      <c r="A10" s="3">
        <v>2</v>
      </c>
      <c r="B10" s="171" t="s">
        <v>42</v>
      </c>
      <c r="C10" s="172"/>
      <c r="D10" s="33" t="s">
        <v>43</v>
      </c>
      <c r="E10" s="38" t="s">
        <v>44</v>
      </c>
      <c r="F10" s="63">
        <v>33507.5</v>
      </c>
      <c r="G10" s="63"/>
      <c r="H10" s="63">
        <f t="shared" ref="H10:H24" si="0">F10*300%</f>
        <v>100522.5</v>
      </c>
      <c r="I10" s="63">
        <f t="shared" ref="I10:I24" si="1">F10*7.5%</f>
        <v>2513.0625</v>
      </c>
      <c r="J10" s="63">
        <v>40122.19</v>
      </c>
      <c r="K10" s="63">
        <f t="shared" ref="K10:K17" si="2">F10*50%</f>
        <v>16753.75</v>
      </c>
      <c r="L10" s="63">
        <f t="shared" ref="L10:L24" si="3">F10*350%</f>
        <v>117276.25</v>
      </c>
      <c r="M10" s="63">
        <f t="shared" ref="M10:M24" si="4">F10*100%</f>
        <v>33507.5</v>
      </c>
      <c r="N10" s="63">
        <f>100000</f>
        <v>100000</v>
      </c>
      <c r="O10" s="63">
        <f t="shared" ref="O10:O24" si="5">F10*10%</f>
        <v>3350.75</v>
      </c>
      <c r="P10" s="63">
        <v>20000</v>
      </c>
      <c r="Q10" s="63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00000000000001" customHeight="1" x14ac:dyDescent="0.3">
      <c r="A11" s="3">
        <v>3</v>
      </c>
      <c r="B11" s="173" t="s">
        <v>45</v>
      </c>
      <c r="C11" s="174"/>
      <c r="D11" s="48" t="s">
        <v>46</v>
      </c>
      <c r="E11" s="29" t="s">
        <v>44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00000000000001" customHeight="1" x14ac:dyDescent="0.3">
      <c r="A12" s="3">
        <v>4</v>
      </c>
      <c r="B12" s="171" t="s">
        <v>47</v>
      </c>
      <c r="C12" s="172"/>
      <c r="D12" s="33" t="s">
        <v>48</v>
      </c>
      <c r="E12" s="3" t="s">
        <v>44</v>
      </c>
      <c r="F12" s="36">
        <f>33507.5</f>
        <v>33507.5</v>
      </c>
      <c r="G12" s="63"/>
      <c r="H12" s="63">
        <f t="shared" si="0"/>
        <v>100522.5</v>
      </c>
      <c r="I12" s="63">
        <f t="shared" si="1"/>
        <v>2513.0625</v>
      </c>
      <c r="J12" s="63">
        <v>40122.19</v>
      </c>
      <c r="K12" s="63">
        <f t="shared" si="2"/>
        <v>16753.75</v>
      </c>
      <c r="L12" s="63">
        <f t="shared" si="3"/>
        <v>117276.25</v>
      </c>
      <c r="M12" s="63">
        <f t="shared" si="4"/>
        <v>33507.5</v>
      </c>
      <c r="N12" s="36">
        <f>100000</f>
        <v>100000</v>
      </c>
      <c r="O12" s="63">
        <f t="shared" si="5"/>
        <v>3350.75</v>
      </c>
      <c r="P12" s="63">
        <v>20000</v>
      </c>
      <c r="Q12" s="64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00000000000001" customHeight="1" x14ac:dyDescent="0.3">
      <c r="A13" s="3">
        <v>5</v>
      </c>
      <c r="B13" s="171" t="s">
        <v>49</v>
      </c>
      <c r="C13" s="172"/>
      <c r="D13" s="44" t="s">
        <v>50</v>
      </c>
      <c r="E13" s="81" t="s">
        <v>51</v>
      </c>
      <c r="F13" s="66">
        <f>42653.17</f>
        <v>42653.17</v>
      </c>
      <c r="G13" s="65"/>
      <c r="H13" s="63">
        <f t="shared" si="0"/>
        <v>127959.51</v>
      </c>
      <c r="I13" s="63">
        <f t="shared" si="1"/>
        <v>3198.9877499999998</v>
      </c>
      <c r="J13" s="63">
        <v>40122.19</v>
      </c>
      <c r="K13" s="63">
        <f t="shared" si="2"/>
        <v>21326.584999999999</v>
      </c>
      <c r="L13" s="63">
        <f t="shared" si="3"/>
        <v>149286.095</v>
      </c>
      <c r="M13" s="63">
        <f t="shared" si="4"/>
        <v>42653.17</v>
      </c>
      <c r="N13" s="63">
        <f>100000</f>
        <v>100000</v>
      </c>
      <c r="O13" s="63">
        <f t="shared" si="5"/>
        <v>4265.317</v>
      </c>
      <c r="P13" s="63">
        <v>20000</v>
      </c>
      <c r="Q13" s="82"/>
      <c r="R13" s="36">
        <f t="shared" si="6"/>
        <v>551465.0247500001</v>
      </c>
      <c r="S13" s="66">
        <f>100000</f>
        <v>100000</v>
      </c>
      <c r="T13" s="66">
        <f>137500</f>
        <v>137500</v>
      </c>
      <c r="U13" s="66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00000000000001" customHeight="1" x14ac:dyDescent="0.3">
      <c r="A14" s="3">
        <v>6</v>
      </c>
      <c r="B14" s="171" t="s">
        <v>52</v>
      </c>
      <c r="C14" s="172"/>
      <c r="D14" s="44" t="s">
        <v>53</v>
      </c>
      <c r="E14" s="81" t="s">
        <v>54</v>
      </c>
      <c r="F14" s="66">
        <f>39662.25</f>
        <v>39662.25</v>
      </c>
      <c r="G14" s="65"/>
      <c r="H14" s="63">
        <f t="shared" si="0"/>
        <v>118986.75</v>
      </c>
      <c r="I14" s="63">
        <f t="shared" si="1"/>
        <v>2974.6687499999998</v>
      </c>
      <c r="J14" s="63">
        <v>40122.19</v>
      </c>
      <c r="K14" s="63">
        <f t="shared" si="2"/>
        <v>19831.125</v>
      </c>
      <c r="L14" s="63">
        <f t="shared" si="3"/>
        <v>138817.875</v>
      </c>
      <c r="M14" s="63">
        <f t="shared" si="4"/>
        <v>39662.25</v>
      </c>
      <c r="N14" s="66">
        <f>150000</f>
        <v>150000</v>
      </c>
      <c r="O14" s="63">
        <f t="shared" si="5"/>
        <v>3966.2250000000004</v>
      </c>
      <c r="P14" s="63">
        <v>20000</v>
      </c>
      <c r="Q14" s="66">
        <f>100000</f>
        <v>100000</v>
      </c>
      <c r="R14" s="36">
        <f t="shared" si="6"/>
        <v>674023.33374999999</v>
      </c>
      <c r="S14" s="66"/>
      <c r="T14" s="66"/>
      <c r="U14" s="66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00000000000001" customHeight="1" x14ac:dyDescent="0.3">
      <c r="A15" s="3">
        <v>7</v>
      </c>
      <c r="B15" s="171" t="s">
        <v>55</v>
      </c>
      <c r="C15" s="172"/>
      <c r="D15" s="44" t="s">
        <v>56</v>
      </c>
      <c r="E15" s="45" t="s">
        <v>57</v>
      </c>
      <c r="F15" s="65">
        <f>25523.45</f>
        <v>25523.45</v>
      </c>
      <c r="G15" s="65"/>
      <c r="H15" s="65">
        <f t="shared" si="0"/>
        <v>76570.350000000006</v>
      </c>
      <c r="I15" s="65">
        <f t="shared" si="1"/>
        <v>1914.25875</v>
      </c>
      <c r="J15" s="65"/>
      <c r="K15" s="65">
        <f t="shared" si="2"/>
        <v>12761.725</v>
      </c>
      <c r="L15" s="65">
        <f t="shared" si="3"/>
        <v>89332.074999999997</v>
      </c>
      <c r="M15" s="65">
        <f t="shared" si="4"/>
        <v>25523.45</v>
      </c>
      <c r="N15" s="65">
        <f>100000</f>
        <v>100000</v>
      </c>
      <c r="O15" s="65">
        <f t="shared" si="5"/>
        <v>2552.3450000000003</v>
      </c>
      <c r="P15" s="65">
        <v>15000</v>
      </c>
      <c r="Q15" s="65">
        <f>100000</f>
        <v>100000</v>
      </c>
      <c r="R15" s="36">
        <f t="shared" si="6"/>
        <v>449177.65375</v>
      </c>
      <c r="S15" s="66">
        <f>100000</f>
        <v>100000</v>
      </c>
      <c r="T15" s="66">
        <f>0</f>
        <v>0</v>
      </c>
      <c r="U15" s="66">
        <f>'[3]DECEMBER 2019'!$H$22</f>
        <v>618.53150000000005</v>
      </c>
      <c r="V15" s="66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00000000000001" customHeight="1" x14ac:dyDescent="0.3">
      <c r="A16" s="3">
        <v>8</v>
      </c>
      <c r="B16" s="171" t="s">
        <v>58</v>
      </c>
      <c r="C16" s="172"/>
      <c r="D16" s="44" t="s">
        <v>59</v>
      </c>
      <c r="E16" s="45" t="s">
        <v>57</v>
      </c>
      <c r="F16" s="65">
        <f>25523.45</f>
        <v>25523.45</v>
      </c>
      <c r="G16" s="65"/>
      <c r="H16" s="65">
        <f t="shared" si="0"/>
        <v>76570.350000000006</v>
      </c>
      <c r="I16" s="65">
        <f t="shared" si="1"/>
        <v>1914.25875</v>
      </c>
      <c r="J16" s="65"/>
      <c r="K16" s="65">
        <f t="shared" si="2"/>
        <v>12761.725</v>
      </c>
      <c r="L16" s="65">
        <f t="shared" si="3"/>
        <v>89332.074999999997</v>
      </c>
      <c r="M16" s="65">
        <f t="shared" si="4"/>
        <v>25523.45</v>
      </c>
      <c r="N16" s="65">
        <f>100000</f>
        <v>100000</v>
      </c>
      <c r="O16" s="65">
        <f t="shared" si="5"/>
        <v>2552.3450000000003</v>
      </c>
      <c r="P16" s="65">
        <v>15000</v>
      </c>
      <c r="Q16" s="65">
        <v>50000</v>
      </c>
      <c r="R16" s="36">
        <f t="shared" si="6"/>
        <v>399177.65375</v>
      </c>
      <c r="S16" s="66">
        <v>10000</v>
      </c>
      <c r="T16" s="66">
        <f>103000</f>
        <v>103000</v>
      </c>
      <c r="U16" s="66">
        <v>0</v>
      </c>
      <c r="V16" s="66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 x14ac:dyDescent="0.3">
      <c r="A17" s="3">
        <v>9</v>
      </c>
      <c r="B17" s="171" t="s">
        <v>60</v>
      </c>
      <c r="C17" s="172"/>
      <c r="D17" s="33" t="s">
        <v>61</v>
      </c>
      <c r="E17" s="3" t="s">
        <v>62</v>
      </c>
      <c r="F17" s="63">
        <v>26339.3</v>
      </c>
      <c r="G17" s="63"/>
      <c r="H17" s="63">
        <f t="shared" si="0"/>
        <v>79017.899999999994</v>
      </c>
      <c r="I17" s="63">
        <f t="shared" si="1"/>
        <v>1975.4474999999998</v>
      </c>
      <c r="J17" s="63"/>
      <c r="K17" s="63">
        <f t="shared" si="2"/>
        <v>13169.65</v>
      </c>
      <c r="L17" s="36">
        <f t="shared" si="3"/>
        <v>92187.55</v>
      </c>
      <c r="M17" s="63">
        <f t="shared" si="4"/>
        <v>26339.3</v>
      </c>
      <c r="N17" s="65">
        <f t="shared" ref="N17:N26" si="8">100000</f>
        <v>100000</v>
      </c>
      <c r="O17" s="63">
        <f t="shared" si="5"/>
        <v>2633.9300000000003</v>
      </c>
      <c r="P17" s="63">
        <v>15000</v>
      </c>
      <c r="Q17" s="63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 x14ac:dyDescent="0.3">
      <c r="A18" s="3">
        <v>10</v>
      </c>
      <c r="B18" s="171" t="s">
        <v>63</v>
      </c>
      <c r="C18" s="172"/>
      <c r="D18" s="33" t="s">
        <v>64</v>
      </c>
      <c r="E18" s="3" t="s">
        <v>57</v>
      </c>
      <c r="F18" s="26">
        <f>25523.45</f>
        <v>25523.45</v>
      </c>
      <c r="G18" s="63"/>
      <c r="H18" s="63">
        <f>F18*300%</f>
        <v>76570.350000000006</v>
      </c>
      <c r="I18" s="63">
        <f>F18*7.5%</f>
        <v>1914.25875</v>
      </c>
      <c r="J18" s="63"/>
      <c r="K18" s="63">
        <f>F18*50%</f>
        <v>12761.725</v>
      </c>
      <c r="L18" s="36">
        <f>F18*350%</f>
        <v>89332.074999999997</v>
      </c>
      <c r="M18" s="63">
        <f>F18*100%</f>
        <v>25523.45</v>
      </c>
      <c r="N18" s="26">
        <v>150000</v>
      </c>
      <c r="O18" s="63">
        <f>F18*10%</f>
        <v>2552.3450000000003</v>
      </c>
      <c r="P18" s="63">
        <v>15000</v>
      </c>
      <c r="Q18" s="63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00000000000001" customHeight="1" x14ac:dyDescent="0.3">
      <c r="A19" s="3">
        <v>11</v>
      </c>
      <c r="B19" s="169" t="s">
        <v>65</v>
      </c>
      <c r="C19" s="170"/>
      <c r="D19" s="62" t="s">
        <v>61</v>
      </c>
      <c r="E19" s="67" t="s">
        <v>62</v>
      </c>
      <c r="F19" s="63">
        <f>26339.3</f>
        <v>26339.3</v>
      </c>
      <c r="G19" s="63">
        <v>0</v>
      </c>
      <c r="H19" s="63">
        <f t="shared" si="0"/>
        <v>79017.899999999994</v>
      </c>
      <c r="I19" s="63">
        <f t="shared" si="1"/>
        <v>1975.4474999999998</v>
      </c>
      <c r="J19" s="36">
        <v>0</v>
      </c>
      <c r="K19" s="63">
        <f>F19*50%</f>
        <v>13169.65</v>
      </c>
      <c r="L19" s="36">
        <f t="shared" si="3"/>
        <v>92187.55</v>
      </c>
      <c r="M19" s="63">
        <f t="shared" si="4"/>
        <v>26339.3</v>
      </c>
      <c r="N19" s="65">
        <f t="shared" si="8"/>
        <v>100000</v>
      </c>
      <c r="O19" s="63">
        <f t="shared" si="5"/>
        <v>2633.9300000000003</v>
      </c>
      <c r="P19" s="63">
        <v>15000</v>
      </c>
      <c r="Q19" s="63">
        <f>0</f>
        <v>0</v>
      </c>
      <c r="R19" s="36">
        <f t="shared" si="6"/>
        <v>356663.07749999996</v>
      </c>
      <c r="S19" s="36"/>
      <c r="T19" s="36"/>
      <c r="U19" s="36"/>
      <c r="V19" s="63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00000000000001" customHeight="1" x14ac:dyDescent="0.3">
      <c r="A20" s="3">
        <v>12</v>
      </c>
      <c r="B20" s="169" t="s">
        <v>66</v>
      </c>
      <c r="C20" s="170"/>
      <c r="D20" s="62" t="s">
        <v>67</v>
      </c>
      <c r="E20" s="67" t="s">
        <v>68</v>
      </c>
      <c r="F20" s="63">
        <f>18281.64</f>
        <v>18281.64</v>
      </c>
      <c r="G20" s="63"/>
      <c r="H20" s="63">
        <f t="shared" si="0"/>
        <v>54844.92</v>
      </c>
      <c r="I20" s="63">
        <f t="shared" si="1"/>
        <v>1371.1229999999998</v>
      </c>
      <c r="J20" s="36"/>
      <c r="K20" s="63">
        <f>F20*50%</f>
        <v>9140.82</v>
      </c>
      <c r="L20" s="36">
        <f t="shared" si="3"/>
        <v>63985.74</v>
      </c>
      <c r="M20" s="63">
        <f t="shared" si="4"/>
        <v>18281.64</v>
      </c>
      <c r="N20" s="65">
        <f t="shared" si="8"/>
        <v>100000</v>
      </c>
      <c r="O20" s="63">
        <f t="shared" si="5"/>
        <v>1828.164</v>
      </c>
      <c r="P20" s="63">
        <v>10000</v>
      </c>
      <c r="Q20" s="63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3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 x14ac:dyDescent="0.3">
      <c r="A21" s="3">
        <v>13</v>
      </c>
      <c r="B21" s="169" t="s">
        <v>69</v>
      </c>
      <c r="C21" s="170"/>
      <c r="D21" s="62" t="s">
        <v>70</v>
      </c>
      <c r="E21" s="67" t="s">
        <v>71</v>
      </c>
      <c r="F21" s="63">
        <f>19276.95</f>
        <v>19276.95</v>
      </c>
      <c r="G21" s="63"/>
      <c r="H21" s="63">
        <f t="shared" si="0"/>
        <v>57830.850000000006</v>
      </c>
      <c r="I21" s="63">
        <f t="shared" si="1"/>
        <v>1445.77125</v>
      </c>
      <c r="J21" s="36"/>
      <c r="K21" s="63">
        <f>F21*50%</f>
        <v>9638.4750000000004</v>
      </c>
      <c r="L21" s="36">
        <f t="shared" si="3"/>
        <v>67469.324999999997</v>
      </c>
      <c r="M21" s="63">
        <f t="shared" si="4"/>
        <v>19276.95</v>
      </c>
      <c r="N21" s="65">
        <f t="shared" si="8"/>
        <v>100000</v>
      </c>
      <c r="O21" s="63">
        <f t="shared" si="5"/>
        <v>1927.6950000000002</v>
      </c>
      <c r="P21" s="63">
        <v>10000</v>
      </c>
      <c r="Q21" s="63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3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 x14ac:dyDescent="0.3">
      <c r="A22" s="3">
        <v>14</v>
      </c>
      <c r="B22" s="84" t="s">
        <v>72</v>
      </c>
      <c r="C22" s="85"/>
      <c r="D22" s="62" t="s">
        <v>70</v>
      </c>
      <c r="E22" s="67" t="s">
        <v>73</v>
      </c>
      <c r="F22" s="68">
        <f>13112.16</f>
        <v>13112.16</v>
      </c>
      <c r="G22" s="63"/>
      <c r="H22" s="63">
        <f t="shared" si="0"/>
        <v>39336.479999999996</v>
      </c>
      <c r="I22" s="63">
        <f t="shared" si="1"/>
        <v>983.41199999999992</v>
      </c>
      <c r="J22" s="63"/>
      <c r="K22" s="63">
        <f t="shared" ref="K22:K24" si="10">F22*50%</f>
        <v>6556.08</v>
      </c>
      <c r="L22" s="36">
        <f t="shared" si="3"/>
        <v>45892.56</v>
      </c>
      <c r="M22" s="63">
        <f t="shared" si="4"/>
        <v>13112.16</v>
      </c>
      <c r="N22" s="65">
        <f t="shared" si="8"/>
        <v>100000</v>
      </c>
      <c r="O22" s="63">
        <f t="shared" si="5"/>
        <v>1311.2160000000001</v>
      </c>
      <c r="P22" s="63">
        <v>10000</v>
      </c>
      <c r="Q22" s="63"/>
      <c r="R22" s="36">
        <f t="shared" si="6"/>
        <v>230304.068</v>
      </c>
      <c r="S22" s="36">
        <f>10000</f>
        <v>10000</v>
      </c>
      <c r="T22" s="36"/>
      <c r="U22" s="36"/>
      <c r="V22" s="63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 x14ac:dyDescent="0.3">
      <c r="A23" s="3">
        <v>15</v>
      </c>
      <c r="B23" s="84" t="s">
        <v>74</v>
      </c>
      <c r="C23" s="85"/>
      <c r="D23" s="62" t="s">
        <v>224</v>
      </c>
      <c r="E23" s="67" t="s">
        <v>76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65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 x14ac:dyDescent="0.3">
      <c r="A24" s="3">
        <v>16</v>
      </c>
      <c r="B24" s="84" t="s">
        <v>77</v>
      </c>
      <c r="C24" s="85"/>
      <c r="D24" s="62" t="s">
        <v>224</v>
      </c>
      <c r="E24" s="67" t="s">
        <v>76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65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 x14ac:dyDescent="0.3">
      <c r="A25" s="3">
        <v>17</v>
      </c>
      <c r="B25" s="178" t="s">
        <v>78</v>
      </c>
      <c r="C25" s="178"/>
      <c r="D25" s="33" t="s">
        <v>79</v>
      </c>
      <c r="E25" s="67" t="s">
        <v>80</v>
      </c>
      <c r="F25" s="63">
        <f>23891.12</f>
        <v>23891.119999999999</v>
      </c>
      <c r="G25" s="63"/>
      <c r="H25" s="63">
        <f>F25*300%</f>
        <v>71673.36</v>
      </c>
      <c r="I25" s="63">
        <f>F25*7.5%</f>
        <v>1791.8339999999998</v>
      </c>
      <c r="J25" s="63">
        <v>0</v>
      </c>
      <c r="K25" s="63">
        <f>F25*50%</f>
        <v>11945.56</v>
      </c>
      <c r="L25" s="36">
        <f>F25*350%</f>
        <v>83618.92</v>
      </c>
      <c r="M25" s="63">
        <f>F25*100%</f>
        <v>23891.119999999999</v>
      </c>
      <c r="N25" s="65">
        <f t="shared" si="8"/>
        <v>100000</v>
      </c>
      <c r="O25" s="63">
        <f>F25*10%</f>
        <v>2389.1120000000001</v>
      </c>
      <c r="P25" s="63">
        <v>15000</v>
      </c>
      <c r="Q25" s="63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3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 x14ac:dyDescent="0.3">
      <c r="A26" s="3">
        <v>18</v>
      </c>
      <c r="B26" s="169" t="s">
        <v>81</v>
      </c>
      <c r="C26" s="170"/>
      <c r="D26" s="33" t="s">
        <v>82</v>
      </c>
      <c r="E26" s="67" t="s">
        <v>68</v>
      </c>
      <c r="F26" s="63">
        <f>18281.64</f>
        <v>18281.64</v>
      </c>
      <c r="G26" s="63"/>
      <c r="H26" s="63">
        <f>F26*300%</f>
        <v>54844.92</v>
      </c>
      <c r="I26" s="63">
        <f>F26*7.5%</f>
        <v>1371.1229999999998</v>
      </c>
      <c r="J26" s="63"/>
      <c r="K26" s="63">
        <f>F26*50%</f>
        <v>9140.82</v>
      </c>
      <c r="L26" s="36">
        <f>F26*350%</f>
        <v>63985.74</v>
      </c>
      <c r="M26" s="63">
        <f>F26*100%</f>
        <v>18281.64</v>
      </c>
      <c r="N26" s="65">
        <f t="shared" si="8"/>
        <v>100000</v>
      </c>
      <c r="O26" s="63">
        <f>F26*10%</f>
        <v>1828.164</v>
      </c>
      <c r="P26" s="63">
        <v>10000</v>
      </c>
      <c r="Q26" s="63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3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 x14ac:dyDescent="0.3">
      <c r="A27" s="3">
        <v>19</v>
      </c>
      <c r="B27" s="84" t="s">
        <v>83</v>
      </c>
      <c r="C27" s="85"/>
      <c r="D27" s="33" t="s">
        <v>84</v>
      </c>
      <c r="E27" s="67" t="s">
        <v>85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3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 x14ac:dyDescent="0.3">
      <c r="A28" s="3"/>
      <c r="B28" s="179" t="s">
        <v>32</v>
      </c>
      <c r="C28" s="179"/>
      <c r="D28" s="7">
        <v>19</v>
      </c>
      <c r="E28" s="67"/>
      <c r="F28" s="69">
        <f t="shared" ref="F28:W28" si="13">SUM(F9:F27)</f>
        <v>607907.00999999989</v>
      </c>
      <c r="G28" s="69">
        <f t="shared" si="13"/>
        <v>0</v>
      </c>
      <c r="H28" s="69">
        <f t="shared" si="13"/>
        <v>1663232.28</v>
      </c>
      <c r="I28" s="69">
        <f t="shared" si="13"/>
        <v>81702.999499999991</v>
      </c>
      <c r="J28" s="69">
        <f t="shared" si="13"/>
        <v>320977.52</v>
      </c>
      <c r="K28" s="69">
        <f t="shared" si="13"/>
        <v>295929.07</v>
      </c>
      <c r="L28" s="69">
        <f t="shared" si="13"/>
        <v>1565963.91</v>
      </c>
      <c r="M28" s="69">
        <f t="shared" si="13"/>
        <v>567784.83000000007</v>
      </c>
      <c r="N28" s="69">
        <f t="shared" si="13"/>
        <v>2100000</v>
      </c>
      <c r="O28" s="69">
        <f t="shared" si="13"/>
        <v>60790.706000000006</v>
      </c>
      <c r="P28" s="69">
        <f t="shared" si="13"/>
        <v>285000</v>
      </c>
      <c r="Q28" s="69">
        <f t="shared" si="13"/>
        <v>525235</v>
      </c>
      <c r="R28" s="69">
        <f t="shared" si="13"/>
        <v>8074523.3254999984</v>
      </c>
      <c r="S28" s="69">
        <f t="shared" si="13"/>
        <v>435000</v>
      </c>
      <c r="T28" s="69">
        <f t="shared" si="13"/>
        <v>957742.84</v>
      </c>
      <c r="U28" s="69">
        <f t="shared" si="13"/>
        <v>4753.9245000000001</v>
      </c>
      <c r="V28" s="69">
        <f t="shared" si="13"/>
        <v>266749.49000000005</v>
      </c>
      <c r="W28" s="69">
        <f t="shared" si="13"/>
        <v>1664246.2545</v>
      </c>
      <c r="X28" s="69">
        <v>6193029.3780000014</v>
      </c>
      <c r="Y28" s="69">
        <f>SUM(Y9:Y27)</f>
        <v>10250000</v>
      </c>
    </row>
    <row r="29" spans="1:25" ht="18.75" customHeight="1" x14ac:dyDescent="0.3">
      <c r="A29" s="3"/>
      <c r="B29" s="101"/>
      <c r="C29" s="101"/>
      <c r="D29" s="33"/>
      <c r="E29" s="67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 spans="1:25" ht="18.75" customHeight="1" x14ac:dyDescent="0.3">
      <c r="A30" s="3"/>
      <c r="B30" s="179" t="s">
        <v>86</v>
      </c>
      <c r="C30" s="179"/>
      <c r="D30" s="33"/>
      <c r="E30" s="67"/>
      <c r="F30" s="63"/>
      <c r="G30" s="63"/>
      <c r="H30" s="63"/>
      <c r="I30" s="63"/>
      <c r="J30" s="63"/>
      <c r="K30" s="63"/>
      <c r="L30" s="36"/>
      <c r="M30" s="63"/>
      <c r="N30" s="63"/>
      <c r="O30" s="63"/>
      <c r="P30" s="63"/>
      <c r="Q30" s="63"/>
      <c r="R30" s="36"/>
      <c r="S30" s="36"/>
      <c r="T30" s="36"/>
      <c r="U30" s="36"/>
      <c r="V30" s="63"/>
      <c r="W30" s="36"/>
      <c r="X30" s="36"/>
      <c r="Y30" s="36"/>
    </row>
    <row r="31" spans="1:25" ht="18.75" customHeight="1" x14ac:dyDescent="0.3">
      <c r="A31" s="3">
        <v>1</v>
      </c>
      <c r="B31" s="180" t="s">
        <v>87</v>
      </c>
      <c r="C31" s="181"/>
      <c r="D31" s="62" t="s">
        <v>88</v>
      </c>
      <c r="E31" s="67" t="s">
        <v>89</v>
      </c>
      <c r="F31" s="63">
        <f>79039.64</f>
        <v>79039.64</v>
      </c>
      <c r="G31" s="63"/>
      <c r="H31" s="63">
        <f t="shared" ref="H31" si="14">F31*300%</f>
        <v>237118.91999999998</v>
      </c>
      <c r="I31" s="63">
        <f t="shared" ref="I31" si="15">F31*7.5%</f>
        <v>5927.973</v>
      </c>
      <c r="J31" s="63">
        <f>80244.38</f>
        <v>80244.38</v>
      </c>
      <c r="K31" s="63">
        <f t="shared" ref="K31" si="16">F31*50%</f>
        <v>39519.82</v>
      </c>
      <c r="L31" s="63">
        <f t="shared" ref="L31" si="17">F31*350%</f>
        <v>276638.74</v>
      </c>
      <c r="M31" s="63">
        <f t="shared" ref="M31" si="18">F31*100%</f>
        <v>79039.64</v>
      </c>
      <c r="N31" s="65">
        <f t="shared" ref="N31:N32" si="19">100000</f>
        <v>100000</v>
      </c>
      <c r="O31" s="63">
        <f t="shared" ref="O31" si="20">F31*10%</f>
        <v>7903.9639999999999</v>
      </c>
      <c r="P31" s="63">
        <v>20000</v>
      </c>
      <c r="Q31" s="63">
        <v>0</v>
      </c>
      <c r="R31" s="36">
        <f t="shared" ref="R31" si="21">SUM(F31:Q31)</f>
        <v>925433.07700000005</v>
      </c>
      <c r="S31" s="63">
        <f>100000</f>
        <v>100000</v>
      </c>
      <c r="T31" s="63">
        <f>287500</f>
        <v>287500</v>
      </c>
      <c r="U31" s="63">
        <f>'[3]DECEMBER 2019'!$H$26</f>
        <v>1028.9422500000001</v>
      </c>
      <c r="V31" s="63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 x14ac:dyDescent="0.3">
      <c r="A32" s="3">
        <v>2</v>
      </c>
      <c r="B32" s="180" t="s">
        <v>90</v>
      </c>
      <c r="C32" s="181"/>
      <c r="D32" s="62" t="s">
        <v>91</v>
      </c>
      <c r="E32" s="67" t="s">
        <v>92</v>
      </c>
      <c r="F32" s="63">
        <f>18779.3</f>
        <v>18779.3</v>
      </c>
      <c r="G32" s="63"/>
      <c r="H32" s="63">
        <f>F32*300%</f>
        <v>56337.899999999994</v>
      </c>
      <c r="I32" s="63">
        <f>F32*7.5%</f>
        <v>1408.4475</v>
      </c>
      <c r="J32" s="63">
        <v>0</v>
      </c>
      <c r="K32" s="63">
        <f>F32*50%</f>
        <v>9389.65</v>
      </c>
      <c r="L32" s="36">
        <f>F32*350%</f>
        <v>65727.55</v>
      </c>
      <c r="M32" s="63">
        <f>F32*100%</f>
        <v>18779.3</v>
      </c>
      <c r="N32" s="65">
        <f t="shared" si="19"/>
        <v>100000</v>
      </c>
      <c r="O32" s="63">
        <f>F32*10%</f>
        <v>1877.93</v>
      </c>
      <c r="P32" s="63">
        <v>10000</v>
      </c>
      <c r="Q32" s="63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3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 x14ac:dyDescent="0.3">
      <c r="A33" s="3"/>
      <c r="B33" s="33"/>
      <c r="C33" s="21" t="s">
        <v>32</v>
      </c>
      <c r="D33" s="7">
        <v>2</v>
      </c>
      <c r="E33" s="3"/>
      <c r="F33" s="69">
        <f>SUM(F31:F32)</f>
        <v>97818.94</v>
      </c>
      <c r="G33" s="69">
        <f t="shared" ref="G33:W33" si="22">SUM(G31:G32)</f>
        <v>0</v>
      </c>
      <c r="H33" s="69">
        <f t="shared" si="22"/>
        <v>293456.81999999995</v>
      </c>
      <c r="I33" s="69">
        <f t="shared" si="22"/>
        <v>7336.4205000000002</v>
      </c>
      <c r="J33" s="69">
        <f t="shared" si="22"/>
        <v>80244.38</v>
      </c>
      <c r="K33" s="69">
        <f t="shared" si="22"/>
        <v>48909.47</v>
      </c>
      <c r="L33" s="69">
        <f t="shared" si="22"/>
        <v>342366.29</v>
      </c>
      <c r="M33" s="69">
        <f t="shared" si="22"/>
        <v>97818.94</v>
      </c>
      <c r="N33" s="69">
        <f>SUM(N31:N32)</f>
        <v>200000</v>
      </c>
      <c r="O33" s="69">
        <f t="shared" si="22"/>
        <v>9781.8940000000002</v>
      </c>
      <c r="P33" s="69">
        <f t="shared" si="22"/>
        <v>30000</v>
      </c>
      <c r="Q33" s="69">
        <f t="shared" si="22"/>
        <v>0</v>
      </c>
      <c r="R33" s="69">
        <f t="shared" si="22"/>
        <v>925433.07700000005</v>
      </c>
      <c r="S33" s="69">
        <f t="shared" si="22"/>
        <v>100000</v>
      </c>
      <c r="T33" s="69">
        <f t="shared" si="22"/>
        <v>287500</v>
      </c>
      <c r="U33" s="69">
        <f t="shared" si="22"/>
        <v>1028.9422500000001</v>
      </c>
      <c r="V33" s="69">
        <f t="shared" si="22"/>
        <v>52776.63</v>
      </c>
      <c r="W33" s="69">
        <f t="shared" si="22"/>
        <v>441305.57225000003</v>
      </c>
      <c r="X33" s="69">
        <v>738282.45275000017</v>
      </c>
      <c r="Y33" s="69">
        <f>SUM(Y31:Y32)</f>
        <v>500000</v>
      </c>
    </row>
    <row r="34" spans="1:25" ht="20.100000000000001" customHeight="1" x14ac:dyDescent="0.3">
      <c r="A34" s="3"/>
      <c r="B34" s="184"/>
      <c r="C34" s="185"/>
      <c r="D34" s="33"/>
      <c r="E34" s="3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36"/>
      <c r="X34" s="36"/>
      <c r="Y34" s="36"/>
    </row>
    <row r="35" spans="1:25" ht="20.100000000000001" customHeight="1" x14ac:dyDescent="0.3">
      <c r="A35" s="3"/>
      <c r="B35" s="186" t="s">
        <v>93</v>
      </c>
      <c r="C35" s="187"/>
      <c r="D35" s="51"/>
      <c r="E35" s="2"/>
      <c r="F35" s="69"/>
      <c r="G35" s="69"/>
      <c r="H35" s="6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00000000000001" customHeight="1" x14ac:dyDescent="0.3">
      <c r="A36" s="3">
        <v>1</v>
      </c>
      <c r="B36" s="169" t="s">
        <v>94</v>
      </c>
      <c r="C36" s="170"/>
      <c r="D36" s="33" t="s">
        <v>95</v>
      </c>
      <c r="E36" s="3" t="s">
        <v>41</v>
      </c>
      <c r="F36" s="63">
        <f>81740.02</f>
        <v>81740.02</v>
      </c>
      <c r="G36" s="63"/>
      <c r="H36" s="63">
        <f>F36*300%</f>
        <v>245220.06</v>
      </c>
      <c r="I36" s="63">
        <f>F36*7.5%</f>
        <v>6130.5015000000003</v>
      </c>
      <c r="J36" s="63">
        <v>80244.38</v>
      </c>
      <c r="K36" s="63">
        <f>F36*50%</f>
        <v>40870.01</v>
      </c>
      <c r="L36" s="63">
        <f>F36*350%</f>
        <v>286090.07</v>
      </c>
      <c r="M36" s="63">
        <f t="shared" ref="M36:M46" si="23">F36*100%</f>
        <v>81740.02</v>
      </c>
      <c r="N36" s="63">
        <f>150000</f>
        <v>150000</v>
      </c>
      <c r="O36" s="63">
        <f t="shared" ref="O36:O46" si="24">F36*10%</f>
        <v>8174.0020000000004</v>
      </c>
      <c r="P36" s="63">
        <v>20000</v>
      </c>
      <c r="Q36" s="63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63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00000000000001" customHeight="1" x14ac:dyDescent="0.3">
      <c r="A37" s="3">
        <v>2</v>
      </c>
      <c r="B37" s="169" t="s">
        <v>96</v>
      </c>
      <c r="C37" s="170"/>
      <c r="D37" s="33" t="s">
        <v>97</v>
      </c>
      <c r="E37" s="3" t="s">
        <v>44</v>
      </c>
      <c r="F37" s="63">
        <f>33507.5</f>
        <v>33507.5</v>
      </c>
      <c r="G37" s="63"/>
      <c r="H37" s="63">
        <f>F37*300%</f>
        <v>100522.5</v>
      </c>
      <c r="I37" s="63">
        <f>F37*7.5%</f>
        <v>2513.0625</v>
      </c>
      <c r="J37" s="63">
        <v>40122.19</v>
      </c>
      <c r="K37" s="63">
        <f>F37*50%</f>
        <v>16753.75</v>
      </c>
      <c r="L37" s="63">
        <f>F37*350%</f>
        <v>117276.25</v>
      </c>
      <c r="M37" s="63">
        <f>F37*100%</f>
        <v>33507.5</v>
      </c>
      <c r="N37" s="63">
        <f t="shared" ref="N37:N46" si="27">150000</f>
        <v>150000</v>
      </c>
      <c r="O37" s="63">
        <f>F37*10%</f>
        <v>3350.75</v>
      </c>
      <c r="P37" s="63">
        <v>20000</v>
      </c>
      <c r="Q37" s="63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3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00000000000001" customHeight="1" x14ac:dyDescent="0.3">
      <c r="A38" s="3">
        <v>3</v>
      </c>
      <c r="B38" s="169" t="s">
        <v>98</v>
      </c>
      <c r="C38" s="170"/>
      <c r="D38" s="33" t="s">
        <v>99</v>
      </c>
      <c r="E38" s="3" t="s">
        <v>44</v>
      </c>
      <c r="F38" s="63">
        <f>33507.5</f>
        <v>33507.5</v>
      </c>
      <c r="G38" s="63"/>
      <c r="H38" s="63">
        <f>F38*300%</f>
        <v>100522.5</v>
      </c>
      <c r="I38" s="63">
        <f>F38*7.5%</f>
        <v>2513.0625</v>
      </c>
      <c r="J38" s="63">
        <v>40122.19</v>
      </c>
      <c r="K38" s="63">
        <f>F38*50%</f>
        <v>16753.75</v>
      </c>
      <c r="L38" s="63">
        <f>F38*350%</f>
        <v>117276.25</v>
      </c>
      <c r="M38" s="63">
        <f>F38*100%</f>
        <v>33507.5</v>
      </c>
      <c r="N38" s="63">
        <f t="shared" si="27"/>
        <v>150000</v>
      </c>
      <c r="O38" s="63">
        <f>F38*10%</f>
        <v>3350.75</v>
      </c>
      <c r="P38" s="63">
        <v>20000</v>
      </c>
      <c r="Q38" s="63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3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00000000000001" customHeight="1" x14ac:dyDescent="0.3">
      <c r="A39" s="3">
        <v>4</v>
      </c>
      <c r="B39" s="169" t="s">
        <v>100</v>
      </c>
      <c r="C39" s="170"/>
      <c r="D39" s="33" t="s">
        <v>101</v>
      </c>
      <c r="E39" s="3" t="s">
        <v>102</v>
      </c>
      <c r="F39" s="63">
        <v>28489.81</v>
      </c>
      <c r="G39" s="63"/>
      <c r="H39" s="63">
        <f>F39*300%</f>
        <v>85469.430000000008</v>
      </c>
      <c r="I39" s="63">
        <f>F39*7.5%</f>
        <v>2136.7357499999998</v>
      </c>
      <c r="J39" s="63"/>
      <c r="K39" s="63">
        <f>F39*50%</f>
        <v>14244.905000000001</v>
      </c>
      <c r="L39" s="63">
        <f>F39*350%</f>
        <v>99714.335000000006</v>
      </c>
      <c r="M39" s="63">
        <f>F39*100%</f>
        <v>28489.81</v>
      </c>
      <c r="N39" s="63">
        <f t="shared" si="27"/>
        <v>150000</v>
      </c>
      <c r="O39" s="63">
        <f>F39*10%</f>
        <v>2848.9810000000002</v>
      </c>
      <c r="P39" s="63">
        <v>20000</v>
      </c>
      <c r="Q39" s="63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3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00000000000001" customHeight="1" x14ac:dyDescent="0.3">
      <c r="A40" s="3">
        <v>5</v>
      </c>
      <c r="B40" s="169" t="s">
        <v>103</v>
      </c>
      <c r="C40" s="170"/>
      <c r="D40" s="33" t="s">
        <v>101</v>
      </c>
      <c r="E40" s="3" t="s">
        <v>102</v>
      </c>
      <c r="F40" s="63">
        <f>28489.81</f>
        <v>28489.81</v>
      </c>
      <c r="G40" s="63"/>
      <c r="H40" s="63">
        <f t="shared" ref="H40:H46" si="29">F40*300%</f>
        <v>85469.430000000008</v>
      </c>
      <c r="I40" s="63">
        <f t="shared" ref="I40:I46" si="30">F40*7.5%</f>
        <v>2136.7357499999998</v>
      </c>
      <c r="J40" s="63">
        <v>0</v>
      </c>
      <c r="K40" s="63">
        <f t="shared" ref="K40:K46" si="31">F40*50%</f>
        <v>14244.905000000001</v>
      </c>
      <c r="L40" s="63">
        <f t="shared" ref="L40:L46" si="32">F40*350%</f>
        <v>99714.335000000006</v>
      </c>
      <c r="M40" s="63">
        <f t="shared" si="23"/>
        <v>28489.81</v>
      </c>
      <c r="N40" s="63">
        <f t="shared" si="27"/>
        <v>150000</v>
      </c>
      <c r="O40" s="63">
        <f t="shared" si="24"/>
        <v>2848.9810000000002</v>
      </c>
      <c r="P40" s="63">
        <v>20000</v>
      </c>
      <c r="Q40" s="63">
        <v>0</v>
      </c>
      <c r="R40" s="36">
        <f t="shared" si="25"/>
        <v>431394.00675000006</v>
      </c>
      <c r="S40" s="36"/>
      <c r="T40" s="36"/>
      <c r="U40" s="36">
        <f>'[3]DECEMBER 2019'!$H$27</f>
        <v>690.28075000000001</v>
      </c>
      <c r="V40" s="63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00000000000001" customHeight="1" x14ac:dyDescent="0.3">
      <c r="A41" s="3">
        <v>6</v>
      </c>
      <c r="B41" s="169" t="s">
        <v>104</v>
      </c>
      <c r="C41" s="170"/>
      <c r="D41" s="33" t="s">
        <v>101</v>
      </c>
      <c r="E41" s="3" t="s">
        <v>143</v>
      </c>
      <c r="F41" s="63">
        <f>27611.23</f>
        <v>27611.23</v>
      </c>
      <c r="G41" s="63"/>
      <c r="H41" s="63">
        <f t="shared" si="29"/>
        <v>82833.69</v>
      </c>
      <c r="I41" s="63">
        <f t="shared" si="30"/>
        <v>2070.8422499999997</v>
      </c>
      <c r="J41" s="63"/>
      <c r="K41" s="63">
        <f t="shared" si="31"/>
        <v>13805.615</v>
      </c>
      <c r="L41" s="63">
        <f t="shared" si="32"/>
        <v>96639.304999999993</v>
      </c>
      <c r="M41" s="63">
        <f t="shared" si="23"/>
        <v>27611.23</v>
      </c>
      <c r="N41" s="63">
        <f t="shared" si="27"/>
        <v>150000</v>
      </c>
      <c r="O41" s="63">
        <f t="shared" si="24"/>
        <v>2761.123</v>
      </c>
      <c r="P41" s="63">
        <v>15000</v>
      </c>
      <c r="Q41" s="63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63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00000000000001" customHeight="1" x14ac:dyDescent="0.3">
      <c r="A42" s="3">
        <v>7</v>
      </c>
      <c r="B42" s="182" t="s">
        <v>106</v>
      </c>
      <c r="C42" s="183"/>
      <c r="D42" s="20" t="s">
        <v>107</v>
      </c>
      <c r="E42" s="25" t="s">
        <v>62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3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00000000000001" customHeight="1" x14ac:dyDescent="0.3">
      <c r="A43" s="3">
        <v>8</v>
      </c>
      <c r="B43" s="169" t="s">
        <v>108</v>
      </c>
      <c r="C43" s="170"/>
      <c r="D43" s="33" t="s">
        <v>109</v>
      </c>
      <c r="E43" s="3" t="s">
        <v>110</v>
      </c>
      <c r="F43" s="63">
        <f>24741.26</f>
        <v>24741.26</v>
      </c>
      <c r="G43" s="63"/>
      <c r="H43" s="63">
        <f t="shared" si="29"/>
        <v>74223.78</v>
      </c>
      <c r="I43" s="63">
        <f t="shared" si="30"/>
        <v>1855.5944999999997</v>
      </c>
      <c r="J43" s="63">
        <v>0</v>
      </c>
      <c r="K43" s="63">
        <f t="shared" si="31"/>
        <v>12370.63</v>
      </c>
      <c r="L43" s="63">
        <f t="shared" si="32"/>
        <v>86594.409999999989</v>
      </c>
      <c r="M43" s="63">
        <f t="shared" si="23"/>
        <v>24741.26</v>
      </c>
      <c r="N43" s="63">
        <f t="shared" si="27"/>
        <v>150000</v>
      </c>
      <c r="O43" s="63">
        <f t="shared" si="24"/>
        <v>2474.1260000000002</v>
      </c>
      <c r="P43" s="63">
        <v>15000</v>
      </c>
      <c r="Q43" s="63">
        <v>0</v>
      </c>
      <c r="R43" s="36">
        <f t="shared" si="25"/>
        <v>392001.06049999996</v>
      </c>
      <c r="S43" s="36"/>
      <c r="T43" s="36"/>
      <c r="U43" s="36"/>
      <c r="V43" s="63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00000000000001" customHeight="1" x14ac:dyDescent="0.3">
      <c r="A44" s="3">
        <v>9</v>
      </c>
      <c r="B44" s="169" t="s">
        <v>111</v>
      </c>
      <c r="C44" s="170"/>
      <c r="D44" s="33" t="s">
        <v>112</v>
      </c>
      <c r="E44" s="3" t="s">
        <v>57</v>
      </c>
      <c r="F44" s="63">
        <f>25523.45</f>
        <v>25523.45</v>
      </c>
      <c r="G44" s="63"/>
      <c r="H44" s="63">
        <f t="shared" si="29"/>
        <v>76570.350000000006</v>
      </c>
      <c r="I44" s="63">
        <f t="shared" si="30"/>
        <v>1914.25875</v>
      </c>
      <c r="J44" s="63">
        <v>0</v>
      </c>
      <c r="K44" s="63">
        <f t="shared" si="31"/>
        <v>12761.725</v>
      </c>
      <c r="L44" s="63">
        <f t="shared" si="32"/>
        <v>89332.074999999997</v>
      </c>
      <c r="M44" s="63">
        <f t="shared" si="23"/>
        <v>25523.45</v>
      </c>
      <c r="N44" s="63">
        <f t="shared" si="27"/>
        <v>150000</v>
      </c>
      <c r="O44" s="63">
        <f t="shared" si="24"/>
        <v>2552.3450000000003</v>
      </c>
      <c r="P44" s="63">
        <v>15000</v>
      </c>
      <c r="Q44" s="63">
        <v>0</v>
      </c>
      <c r="R44" s="36">
        <f t="shared" si="25"/>
        <v>399177.65375</v>
      </c>
      <c r="S44" s="36"/>
      <c r="T44" s="36"/>
      <c r="U44" s="36"/>
      <c r="V44" s="63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00000000000001" customHeight="1" x14ac:dyDescent="0.3">
      <c r="A45" s="3">
        <v>10</v>
      </c>
      <c r="B45" s="169" t="s">
        <v>269</v>
      </c>
      <c r="C45" s="170"/>
      <c r="D45" s="33" t="s">
        <v>112</v>
      </c>
      <c r="E45" s="3" t="s">
        <v>57</v>
      </c>
      <c r="F45" s="63">
        <f>25523.45</f>
        <v>25523.45</v>
      </c>
      <c r="G45" s="63"/>
      <c r="H45" s="63">
        <f t="shared" si="29"/>
        <v>76570.350000000006</v>
      </c>
      <c r="I45" s="63">
        <f t="shared" si="30"/>
        <v>1914.25875</v>
      </c>
      <c r="J45" s="63">
        <f>J19</f>
        <v>0</v>
      </c>
      <c r="K45" s="63">
        <f t="shared" si="31"/>
        <v>12761.725</v>
      </c>
      <c r="L45" s="63">
        <f t="shared" si="32"/>
        <v>89332.074999999997</v>
      </c>
      <c r="M45" s="63">
        <f t="shared" si="23"/>
        <v>25523.45</v>
      </c>
      <c r="N45" s="63">
        <f t="shared" si="27"/>
        <v>150000</v>
      </c>
      <c r="O45" s="63">
        <f t="shared" si="24"/>
        <v>2552.3450000000003</v>
      </c>
      <c r="P45" s="63">
        <v>15000</v>
      </c>
      <c r="Q45" s="63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3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00000000000001" customHeight="1" x14ac:dyDescent="0.3">
      <c r="A46" s="3">
        <v>11</v>
      </c>
      <c r="B46" s="173" t="s">
        <v>114</v>
      </c>
      <c r="C46" s="174"/>
      <c r="D46" s="33" t="s">
        <v>112</v>
      </c>
      <c r="E46" s="29" t="s">
        <v>80</v>
      </c>
      <c r="F46" s="26">
        <f>23891.12</f>
        <v>23891.119999999999</v>
      </c>
      <c r="G46" s="63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63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00000000000001" customHeight="1" x14ac:dyDescent="0.6">
      <c r="A47" s="3"/>
      <c r="B47" s="188" t="s">
        <v>32</v>
      </c>
      <c r="C47" s="189"/>
      <c r="D47" s="30">
        <v>11</v>
      </c>
      <c r="E47" s="30"/>
      <c r="F47" s="103">
        <f>SUM(F36:F46)</f>
        <v>359364.45</v>
      </c>
      <c r="G47" s="103"/>
      <c r="H47" s="103">
        <f t="shared" ref="H47:W47" si="33">SUM(H36:H46)</f>
        <v>1078093.3500000001</v>
      </c>
      <c r="I47" s="103">
        <f t="shared" si="33"/>
        <v>26952.333749999998</v>
      </c>
      <c r="J47" s="103">
        <f t="shared" si="33"/>
        <v>160488.76</v>
      </c>
      <c r="K47" s="103">
        <f t="shared" si="33"/>
        <v>179682.22500000001</v>
      </c>
      <c r="L47" s="103">
        <f t="shared" si="33"/>
        <v>1257775.575</v>
      </c>
      <c r="M47" s="103">
        <f t="shared" si="33"/>
        <v>359364.45</v>
      </c>
      <c r="N47" s="103">
        <f>SUM(N36:N46)</f>
        <v>1650000</v>
      </c>
      <c r="O47" s="103">
        <f t="shared" si="33"/>
        <v>35936.445</v>
      </c>
      <c r="P47" s="103">
        <f t="shared" si="33"/>
        <v>190000</v>
      </c>
      <c r="Q47" s="103">
        <f t="shared" si="33"/>
        <v>0</v>
      </c>
      <c r="R47" s="103">
        <f t="shared" si="33"/>
        <v>5297657.5887500001</v>
      </c>
      <c r="S47" s="103">
        <f t="shared" si="33"/>
        <v>330000</v>
      </c>
      <c r="T47" s="103">
        <f t="shared" si="33"/>
        <v>982004.38</v>
      </c>
      <c r="U47" s="103">
        <f t="shared" si="33"/>
        <v>1765.8532499999999</v>
      </c>
      <c r="V47" s="103">
        <f t="shared" si="33"/>
        <v>145551.36999999997</v>
      </c>
      <c r="W47" s="103">
        <f t="shared" si="33"/>
        <v>1459321.6032500002</v>
      </c>
      <c r="X47" s="103">
        <v>3695472.6502500004</v>
      </c>
      <c r="Y47" s="103">
        <f>SUM(Y36:Y46)</f>
        <v>6400000</v>
      </c>
    </row>
    <row r="48" spans="1:25" ht="20.100000000000001" customHeight="1" x14ac:dyDescent="0.3">
      <c r="A48" s="3"/>
      <c r="B48" s="83"/>
      <c r="C48" s="83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 x14ac:dyDescent="0.3">
      <c r="A49" s="3"/>
      <c r="B49" s="188" t="s">
        <v>115</v>
      </c>
      <c r="C49" s="189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 x14ac:dyDescent="0.3">
      <c r="A50" s="3">
        <v>1</v>
      </c>
      <c r="B50" s="169" t="s">
        <v>116</v>
      </c>
      <c r="C50" s="170"/>
      <c r="D50" s="62" t="s">
        <v>117</v>
      </c>
      <c r="E50" s="67" t="s">
        <v>41</v>
      </c>
      <c r="F50" s="63">
        <f>81740.02</f>
        <v>81740.02</v>
      </c>
      <c r="G50" s="63"/>
      <c r="H50" s="63">
        <f>F50*300%</f>
        <v>245220.06</v>
      </c>
      <c r="I50" s="63">
        <f>F50*7.5%</f>
        <v>6130.5015000000003</v>
      </c>
      <c r="J50" s="63">
        <v>80244.38</v>
      </c>
      <c r="K50" s="63">
        <f>F50*50%</f>
        <v>40870.01</v>
      </c>
      <c r="L50" s="63">
        <f>F50*350%</f>
        <v>286090.07</v>
      </c>
      <c r="M50" s="63">
        <f>F50*100%</f>
        <v>81740.02</v>
      </c>
      <c r="N50" s="63">
        <f>150000</f>
        <v>150000</v>
      </c>
      <c r="O50" s="63">
        <f>F50*10%</f>
        <v>8174.0020000000004</v>
      </c>
      <c r="P50" s="63">
        <v>20000</v>
      </c>
      <c r="Q50" s="63">
        <v>0</v>
      </c>
      <c r="R50" s="36">
        <f>SUM(F50:Q50)</f>
        <v>1000209.0635</v>
      </c>
      <c r="S50" s="36"/>
      <c r="T50" s="36"/>
      <c r="U50" s="36">
        <v>0</v>
      </c>
      <c r="V50" s="63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00000000000001" customHeight="1" x14ac:dyDescent="0.6">
      <c r="A51" s="3"/>
      <c r="B51" s="188" t="s">
        <v>32</v>
      </c>
      <c r="C51" s="189"/>
      <c r="D51" s="30">
        <v>2</v>
      </c>
      <c r="E51" s="30"/>
      <c r="F51" s="103">
        <f t="shared" ref="F51:R51" si="34">SUM(F50:F50)</f>
        <v>81740.02</v>
      </c>
      <c r="G51" s="103">
        <f t="shared" si="34"/>
        <v>0</v>
      </c>
      <c r="H51" s="103">
        <f t="shared" si="34"/>
        <v>245220.06</v>
      </c>
      <c r="I51" s="103">
        <f t="shared" si="34"/>
        <v>6130.5015000000003</v>
      </c>
      <c r="J51" s="103">
        <f t="shared" si="34"/>
        <v>80244.38</v>
      </c>
      <c r="K51" s="103">
        <f t="shared" si="34"/>
        <v>40870.01</v>
      </c>
      <c r="L51" s="103">
        <f t="shared" si="34"/>
        <v>286090.07</v>
      </c>
      <c r="M51" s="103">
        <f t="shared" si="34"/>
        <v>81740.02</v>
      </c>
      <c r="N51" s="103">
        <f t="shared" si="34"/>
        <v>150000</v>
      </c>
      <c r="O51" s="103">
        <f t="shared" si="34"/>
        <v>8174.0020000000004</v>
      </c>
      <c r="P51" s="103">
        <f t="shared" si="34"/>
        <v>20000</v>
      </c>
      <c r="Q51" s="103">
        <f t="shared" si="34"/>
        <v>0</v>
      </c>
      <c r="R51" s="103">
        <f t="shared" si="34"/>
        <v>1000209.0635</v>
      </c>
      <c r="S51" s="103"/>
      <c r="T51" s="103"/>
      <c r="U51" s="103">
        <f>SUM(U50:U50)</f>
        <v>0</v>
      </c>
      <c r="V51" s="103">
        <f>SUM(V50:V50)</f>
        <v>52776.63</v>
      </c>
      <c r="W51" s="103">
        <f>SUM(W50:W50)</f>
        <v>52776.63</v>
      </c>
      <c r="X51" s="103">
        <v>947432.43350000004</v>
      </c>
      <c r="Y51" s="103">
        <f>SUM(Y50)</f>
        <v>500000</v>
      </c>
    </row>
    <row r="52" spans="1:25" ht="20.100000000000001" customHeight="1" x14ac:dyDescent="0.3">
      <c r="A52" s="3"/>
      <c r="B52" s="188"/>
      <c r="C52" s="189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 x14ac:dyDescent="0.3">
      <c r="A53" s="3"/>
      <c r="B53" s="188" t="s">
        <v>118</v>
      </c>
      <c r="C53" s="189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 x14ac:dyDescent="0.3">
      <c r="A54" s="3">
        <v>1</v>
      </c>
      <c r="B54" s="173" t="s">
        <v>119</v>
      </c>
      <c r="C54" s="174"/>
      <c r="D54" s="48" t="s">
        <v>120</v>
      </c>
      <c r="E54" s="29" t="s">
        <v>89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3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00000000000001" customHeight="1" x14ac:dyDescent="0.3">
      <c r="A55" s="3">
        <v>2</v>
      </c>
      <c r="B55" s="171" t="s">
        <v>141</v>
      </c>
      <c r="C55" s="172"/>
      <c r="D55" s="33" t="s">
        <v>142</v>
      </c>
      <c r="E55" s="3" t="s">
        <v>143</v>
      </c>
      <c r="F55" s="63">
        <f>27611.23</f>
        <v>27611.23</v>
      </c>
      <c r="G55" s="63"/>
      <c r="H55" s="63">
        <f>F55*300%</f>
        <v>82833.69</v>
      </c>
      <c r="I55" s="63">
        <f>F55*7.5%</f>
        <v>2070.8422499999997</v>
      </c>
      <c r="J55" s="63"/>
      <c r="K55" s="63">
        <f>F55*50%</f>
        <v>13805.615</v>
      </c>
      <c r="L55" s="36">
        <f>F55*350%</f>
        <v>96639.304999999993</v>
      </c>
      <c r="M55" s="63">
        <f>F55*100%</f>
        <v>27611.23</v>
      </c>
      <c r="N55" s="63">
        <f t="shared" si="35"/>
        <v>150000</v>
      </c>
      <c r="O55" s="63">
        <f>F55*10%</f>
        <v>2761.123</v>
      </c>
      <c r="P55" s="63">
        <v>15000</v>
      </c>
      <c r="Q55" s="63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00000000000001" customHeight="1" x14ac:dyDescent="0.3">
      <c r="A56" s="3">
        <v>3</v>
      </c>
      <c r="B56" s="173" t="s">
        <v>122</v>
      </c>
      <c r="C56" s="174"/>
      <c r="D56" s="33" t="s">
        <v>109</v>
      </c>
      <c r="E56" s="29" t="s">
        <v>80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3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00000000000001" customHeight="1" x14ac:dyDescent="0.3">
      <c r="A57" s="3">
        <v>4</v>
      </c>
      <c r="B57" s="178" t="s">
        <v>126</v>
      </c>
      <c r="C57" s="178"/>
      <c r="D57" s="62" t="s">
        <v>127</v>
      </c>
      <c r="E57" s="67" t="s">
        <v>71</v>
      </c>
      <c r="F57" s="63">
        <f>19276.95</f>
        <v>19276.95</v>
      </c>
      <c r="G57" s="63"/>
      <c r="H57" s="63">
        <f>F57*300%</f>
        <v>57830.850000000006</v>
      </c>
      <c r="I57" s="63">
        <f>F57*7.5%</f>
        <v>1445.77125</v>
      </c>
      <c r="J57" s="63">
        <v>0</v>
      </c>
      <c r="K57" s="63">
        <f>F57*50%</f>
        <v>9638.4750000000004</v>
      </c>
      <c r="L57" s="36">
        <f>F57*350%</f>
        <v>67469.324999999997</v>
      </c>
      <c r="M57" s="63">
        <f>F57*100%</f>
        <v>19276.95</v>
      </c>
      <c r="N57" s="63">
        <f t="shared" si="35"/>
        <v>150000</v>
      </c>
      <c r="O57" s="63">
        <f>F57*10%</f>
        <v>1927.6950000000002</v>
      </c>
      <c r="P57" s="63">
        <v>10000</v>
      </c>
      <c r="Q57" s="63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3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00000000000001" customHeight="1" x14ac:dyDescent="0.6">
      <c r="A58" s="3"/>
      <c r="B58" s="188" t="s">
        <v>32</v>
      </c>
      <c r="C58" s="189"/>
      <c r="D58" s="30">
        <v>4</v>
      </c>
      <c r="E58" s="30"/>
      <c r="F58" s="103">
        <f t="shared" ref="F58:Q58" si="37">SUM(F54:F57)</f>
        <v>149818.94</v>
      </c>
      <c r="G58" s="103">
        <f t="shared" si="37"/>
        <v>0</v>
      </c>
      <c r="H58" s="103">
        <f t="shared" si="37"/>
        <v>449456.81999999995</v>
      </c>
      <c r="I58" s="103">
        <f t="shared" si="37"/>
        <v>11236.420499999998</v>
      </c>
      <c r="J58" s="103">
        <f t="shared" si="37"/>
        <v>80244.38</v>
      </c>
      <c r="K58" s="103">
        <f t="shared" si="37"/>
        <v>74909.47</v>
      </c>
      <c r="L58" s="103">
        <f t="shared" si="37"/>
        <v>524366.28999999992</v>
      </c>
      <c r="M58" s="103">
        <f t="shared" si="37"/>
        <v>149818.94</v>
      </c>
      <c r="N58" s="103">
        <f t="shared" si="37"/>
        <v>600000</v>
      </c>
      <c r="O58" s="103">
        <f t="shared" si="37"/>
        <v>14981.894</v>
      </c>
      <c r="P58" s="103">
        <f t="shared" si="37"/>
        <v>60000</v>
      </c>
      <c r="Q58" s="103">
        <f t="shared" si="37"/>
        <v>0</v>
      </c>
      <c r="R58" s="103">
        <f>SUM(R54:R57)</f>
        <v>2114833.1545000002</v>
      </c>
      <c r="S58" s="103">
        <f>SUM(S54:S57)</f>
        <v>250000</v>
      </c>
      <c r="T58" s="103">
        <f>SUM(T54:T57)</f>
        <v>263103.58999999997</v>
      </c>
      <c r="U58" s="103">
        <f>SUM(U54:U57)</f>
        <v>1107.5687500000001</v>
      </c>
      <c r="V58" s="103">
        <f>SUM(V54:V57)</f>
        <v>71565.659999999989</v>
      </c>
      <c r="W58" s="103">
        <f>SUM(R58:V58)</f>
        <v>2700609.9732500003</v>
      </c>
      <c r="X58" s="103">
        <v>1328432.6670000001</v>
      </c>
      <c r="Y58" s="103">
        <f>SUM(Y54:Y57)</f>
        <v>1800000</v>
      </c>
    </row>
    <row r="59" spans="1:25" ht="20.100000000000001" customHeight="1" x14ac:dyDescent="0.3">
      <c r="A59" s="3"/>
      <c r="B59" s="70"/>
      <c r="C59" s="71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 x14ac:dyDescent="0.3">
      <c r="A60" s="3"/>
      <c r="B60" s="188" t="s">
        <v>130</v>
      </c>
      <c r="C60" s="189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 x14ac:dyDescent="0.3">
      <c r="A61" s="3">
        <v>1</v>
      </c>
      <c r="B61" s="169" t="s">
        <v>131</v>
      </c>
      <c r="C61" s="170"/>
      <c r="D61" s="33" t="s">
        <v>132</v>
      </c>
      <c r="E61" s="3" t="s">
        <v>41</v>
      </c>
      <c r="F61" s="63">
        <f>81740.02</f>
        <v>81740.02</v>
      </c>
      <c r="G61" s="63"/>
      <c r="H61" s="63">
        <f t="shared" ref="H61:H64" si="38">F61*300%</f>
        <v>245220.06</v>
      </c>
      <c r="I61" s="63">
        <f t="shared" ref="I61:I64" si="39">F61*7.5%</f>
        <v>6130.5015000000003</v>
      </c>
      <c r="J61" s="63">
        <v>80244.38</v>
      </c>
      <c r="K61" s="63">
        <f>F61*50%</f>
        <v>40870.01</v>
      </c>
      <c r="L61" s="63">
        <f t="shared" ref="L61:L64" si="40">F61*350%</f>
        <v>286090.07</v>
      </c>
      <c r="M61" s="63">
        <f>F61*100%</f>
        <v>81740.02</v>
      </c>
      <c r="N61" s="63">
        <f t="shared" ref="N61:N64" si="41">150000</f>
        <v>150000</v>
      </c>
      <c r="O61" s="63">
        <f>F61*10%</f>
        <v>8174.0020000000004</v>
      </c>
      <c r="P61" s="63">
        <v>20000</v>
      </c>
      <c r="Q61" s="63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3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00000000000001" customHeight="1" x14ac:dyDescent="0.3">
      <c r="A62" s="3">
        <v>2</v>
      </c>
      <c r="B62" s="169" t="s">
        <v>139</v>
      </c>
      <c r="C62" s="170"/>
      <c r="D62" s="33" t="s">
        <v>99</v>
      </c>
      <c r="E62" s="3" t="s">
        <v>138</v>
      </c>
      <c r="F62" s="63">
        <f>32263.2</f>
        <v>32263.200000000001</v>
      </c>
      <c r="G62" s="63"/>
      <c r="H62" s="63">
        <f t="shared" si="38"/>
        <v>96789.6</v>
      </c>
      <c r="I62" s="63">
        <f t="shared" si="39"/>
        <v>2419.7399999999998</v>
      </c>
      <c r="J62" s="63">
        <f>40122.19</f>
        <v>40122.19</v>
      </c>
      <c r="K62" s="63">
        <f>F62*50%</f>
        <v>16131.6</v>
      </c>
      <c r="L62" s="63">
        <f t="shared" si="40"/>
        <v>112921.2</v>
      </c>
      <c r="M62" s="63">
        <f>F62*100%</f>
        <v>32263.200000000001</v>
      </c>
      <c r="N62" s="63">
        <f t="shared" si="41"/>
        <v>150000</v>
      </c>
      <c r="O62" s="63">
        <f>F62*10%</f>
        <v>3226.32</v>
      </c>
      <c r="P62" s="63">
        <v>20000</v>
      </c>
      <c r="Q62" s="63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3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00000000000001" customHeight="1" x14ac:dyDescent="0.3">
      <c r="A63" s="3">
        <v>3</v>
      </c>
      <c r="B63" s="169" t="s">
        <v>128</v>
      </c>
      <c r="C63" s="170"/>
      <c r="D63" s="33" t="s">
        <v>129</v>
      </c>
      <c r="E63" s="3" t="s">
        <v>68</v>
      </c>
      <c r="F63" s="63">
        <f>18281.64</f>
        <v>18281.64</v>
      </c>
      <c r="G63" s="63"/>
      <c r="H63" s="63">
        <f t="shared" si="38"/>
        <v>54844.92</v>
      </c>
      <c r="I63" s="63">
        <f t="shared" si="39"/>
        <v>1371.1229999999998</v>
      </c>
      <c r="J63" s="63"/>
      <c r="K63" s="63">
        <f>F63*50%</f>
        <v>9140.82</v>
      </c>
      <c r="L63" s="63">
        <f t="shared" si="40"/>
        <v>63985.74</v>
      </c>
      <c r="M63" s="63">
        <f>F63*100%</f>
        <v>18281.64</v>
      </c>
      <c r="N63" s="63">
        <f t="shared" si="41"/>
        <v>150000</v>
      </c>
      <c r="O63" s="63">
        <f>F63*10%</f>
        <v>1828.164</v>
      </c>
      <c r="P63" s="63">
        <v>10000</v>
      </c>
      <c r="Q63" s="63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3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00000000000001" customHeight="1" x14ac:dyDescent="0.3">
      <c r="A64" s="3">
        <v>4</v>
      </c>
      <c r="B64" s="169" t="s">
        <v>133</v>
      </c>
      <c r="C64" s="170"/>
      <c r="D64" s="33" t="s">
        <v>112</v>
      </c>
      <c r="E64" s="67" t="s">
        <v>80</v>
      </c>
      <c r="F64" s="63">
        <f>23891.12</f>
        <v>23891.119999999999</v>
      </c>
      <c r="G64" s="63"/>
      <c r="H64" s="63">
        <f t="shared" si="38"/>
        <v>71673.36</v>
      </c>
      <c r="I64" s="63">
        <f t="shared" si="39"/>
        <v>1791.8339999999998</v>
      </c>
      <c r="J64" s="36">
        <v>0</v>
      </c>
      <c r="K64" s="63">
        <f>F64*50%</f>
        <v>11945.56</v>
      </c>
      <c r="L64" s="36">
        <f t="shared" si="40"/>
        <v>83618.92</v>
      </c>
      <c r="M64" s="63">
        <f>F64*100%</f>
        <v>23891.119999999999</v>
      </c>
      <c r="N64" s="63">
        <f t="shared" si="41"/>
        <v>150000</v>
      </c>
      <c r="O64" s="63">
        <f>F64*10%</f>
        <v>2389.1120000000001</v>
      </c>
      <c r="P64" s="63">
        <v>15000</v>
      </c>
      <c r="Q64" s="63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3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00000000000001" customHeight="1" x14ac:dyDescent="0.6">
      <c r="A65" s="3"/>
      <c r="B65" s="188" t="s">
        <v>32</v>
      </c>
      <c r="C65" s="189"/>
      <c r="D65" s="30">
        <v>4</v>
      </c>
      <c r="E65" s="30"/>
      <c r="F65" s="103">
        <f>SUM(F61:F64)</f>
        <v>156175.97999999998</v>
      </c>
      <c r="G65" s="103"/>
      <c r="H65" s="103">
        <f t="shared" ref="H65:W65" si="42">SUM(H61:H64)</f>
        <v>468527.94</v>
      </c>
      <c r="I65" s="103">
        <f t="shared" si="42"/>
        <v>11713.198499999999</v>
      </c>
      <c r="J65" s="103">
        <f t="shared" si="42"/>
        <v>120366.57</v>
      </c>
      <c r="K65" s="103">
        <f t="shared" si="42"/>
        <v>78087.989999999991</v>
      </c>
      <c r="L65" s="103">
        <f t="shared" si="42"/>
        <v>546615.93000000005</v>
      </c>
      <c r="M65" s="103">
        <f t="shared" si="42"/>
        <v>156175.97999999998</v>
      </c>
      <c r="N65" s="106">
        <f>SUM(N61:N64)</f>
        <v>600000</v>
      </c>
      <c r="O65" s="103">
        <f t="shared" si="42"/>
        <v>15617.598000000002</v>
      </c>
      <c r="P65" s="103">
        <f t="shared" si="42"/>
        <v>65000</v>
      </c>
      <c r="Q65" s="103">
        <f t="shared" si="42"/>
        <v>0</v>
      </c>
      <c r="R65" s="103">
        <f t="shared" si="42"/>
        <v>2218281.1864999998</v>
      </c>
      <c r="S65" s="103">
        <f t="shared" si="42"/>
        <v>240000</v>
      </c>
      <c r="T65" s="103">
        <f t="shared" si="42"/>
        <v>633315.1</v>
      </c>
      <c r="U65" s="103">
        <f t="shared" si="42"/>
        <v>1159.76325</v>
      </c>
      <c r="V65" s="103">
        <f t="shared" si="42"/>
        <v>79404.229999999981</v>
      </c>
      <c r="W65" s="103">
        <f t="shared" si="42"/>
        <v>953879.09325000003</v>
      </c>
      <c r="X65" s="103">
        <v>1157310.1030000001</v>
      </c>
      <c r="Y65" s="103">
        <f>SUM(Y61:Y64)</f>
        <v>2500000</v>
      </c>
    </row>
    <row r="66" spans="1:25" ht="20.100000000000001" customHeight="1" x14ac:dyDescent="0.3">
      <c r="A66" s="3"/>
      <c r="B66" s="190"/>
      <c r="C66" s="191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4"/>
      <c r="S66" s="64"/>
      <c r="T66" s="64"/>
      <c r="U66" s="64"/>
      <c r="V66" s="39"/>
      <c r="W66" s="36"/>
      <c r="X66" s="36"/>
      <c r="Y66" s="36"/>
    </row>
    <row r="67" spans="1:25" ht="20.100000000000001" customHeight="1" x14ac:dyDescent="0.3">
      <c r="A67" s="3"/>
      <c r="B67" s="192" t="s">
        <v>134</v>
      </c>
      <c r="C67" s="193"/>
      <c r="D67" s="72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4"/>
      <c r="S67" s="64"/>
      <c r="T67" s="64"/>
      <c r="U67" s="64"/>
      <c r="V67" s="39"/>
      <c r="W67" s="36"/>
      <c r="X67" s="36"/>
      <c r="Y67" s="36"/>
    </row>
    <row r="68" spans="1:25" ht="20.100000000000001" customHeight="1" x14ac:dyDescent="0.3">
      <c r="A68" s="3">
        <v>1</v>
      </c>
      <c r="B68" s="169" t="s">
        <v>39</v>
      </c>
      <c r="C68" s="170"/>
      <c r="D68" s="62" t="s">
        <v>270</v>
      </c>
      <c r="E68" s="67" t="s">
        <v>41</v>
      </c>
      <c r="F68" s="63">
        <v>81740.02</v>
      </c>
      <c r="G68" s="63"/>
      <c r="H68" s="63">
        <f>F68*300%</f>
        <v>245220.06</v>
      </c>
      <c r="I68" s="63">
        <f>F68*7.5%</f>
        <v>6130.5015000000003</v>
      </c>
      <c r="J68" s="63">
        <v>80244.38</v>
      </c>
      <c r="K68" s="63">
        <f>F68*50%</f>
        <v>40870.01</v>
      </c>
      <c r="L68" s="63">
        <f>F68*350%</f>
        <v>286090.07</v>
      </c>
      <c r="M68" s="63">
        <f t="shared" ref="M68:M76" si="43">F68*100%</f>
        <v>81740.02</v>
      </c>
      <c r="N68" s="63">
        <f t="shared" ref="N68:N76" si="44">150000</f>
        <v>150000</v>
      </c>
      <c r="O68" s="63">
        <f t="shared" ref="O68:O76" si="45">F68*10%</f>
        <v>8174.0020000000004</v>
      </c>
      <c r="P68" s="63">
        <v>20000</v>
      </c>
      <c r="Q68" s="63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3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00000000000001" customHeight="1" x14ac:dyDescent="0.3">
      <c r="A69" s="3">
        <v>2</v>
      </c>
      <c r="B69" s="169" t="s">
        <v>135</v>
      </c>
      <c r="C69" s="170"/>
      <c r="D69" s="33" t="s">
        <v>271</v>
      </c>
      <c r="E69" s="3" t="s">
        <v>44</v>
      </c>
      <c r="F69" s="63">
        <f>33507.5</f>
        <v>33507.5</v>
      </c>
      <c r="G69" s="63"/>
      <c r="H69" s="63">
        <f t="shared" ref="H69:H76" si="47">F69*300%</f>
        <v>100522.5</v>
      </c>
      <c r="I69" s="63">
        <f t="shared" ref="I69:I76" si="48">F69*7.5%</f>
        <v>2513.0625</v>
      </c>
      <c r="J69" s="63">
        <v>40122.19</v>
      </c>
      <c r="K69" s="63">
        <f t="shared" ref="K69:K76" si="49">F69*50%</f>
        <v>16753.75</v>
      </c>
      <c r="L69" s="63">
        <f t="shared" ref="L69:L76" si="50">F69*350%</f>
        <v>117276.25</v>
      </c>
      <c r="M69" s="63">
        <f t="shared" si="43"/>
        <v>33507.5</v>
      </c>
      <c r="N69" s="63">
        <f t="shared" si="44"/>
        <v>150000</v>
      </c>
      <c r="O69" s="63">
        <f t="shared" si="45"/>
        <v>3350.75</v>
      </c>
      <c r="P69" s="63">
        <v>20000</v>
      </c>
      <c r="Q69" s="63"/>
      <c r="R69" s="36">
        <f t="shared" si="46"/>
        <v>517553.5025</v>
      </c>
      <c r="S69" s="36"/>
      <c r="T69" s="36"/>
      <c r="U69" s="36"/>
      <c r="V69" s="63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00000000000001" customHeight="1" x14ac:dyDescent="0.3">
      <c r="A70" s="3">
        <v>3</v>
      </c>
      <c r="B70" s="169" t="s">
        <v>137</v>
      </c>
      <c r="C70" s="170"/>
      <c r="D70" s="33" t="s">
        <v>99</v>
      </c>
      <c r="E70" s="3" t="s">
        <v>138</v>
      </c>
      <c r="F70" s="63">
        <f>32263.2</f>
        <v>32263.200000000001</v>
      </c>
      <c r="G70" s="63"/>
      <c r="H70" s="63">
        <f t="shared" si="47"/>
        <v>96789.6</v>
      </c>
      <c r="I70" s="63">
        <f t="shared" si="48"/>
        <v>2419.7399999999998</v>
      </c>
      <c r="J70" s="63">
        <f>40122.19</f>
        <v>40122.19</v>
      </c>
      <c r="K70" s="63">
        <f t="shared" si="49"/>
        <v>16131.6</v>
      </c>
      <c r="L70" s="63">
        <f t="shared" si="50"/>
        <v>112921.2</v>
      </c>
      <c r="M70" s="63">
        <f t="shared" si="43"/>
        <v>32263.200000000001</v>
      </c>
      <c r="N70" s="63">
        <f t="shared" si="44"/>
        <v>150000</v>
      </c>
      <c r="O70" s="63">
        <f t="shared" si="45"/>
        <v>3226.32</v>
      </c>
      <c r="P70" s="63">
        <v>20000</v>
      </c>
      <c r="Q70" s="63"/>
      <c r="R70" s="36">
        <f t="shared" si="46"/>
        <v>506137.05000000005</v>
      </c>
      <c r="S70" s="36"/>
      <c r="T70" s="36"/>
      <c r="U70" s="36"/>
      <c r="V70" s="63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00000000000001" customHeight="1" x14ac:dyDescent="0.3">
      <c r="A71" s="3">
        <v>4</v>
      </c>
      <c r="B71" s="169" t="s">
        <v>140</v>
      </c>
      <c r="C71" s="170"/>
      <c r="D71" s="33" t="s">
        <v>101</v>
      </c>
      <c r="E71" s="3" t="s">
        <v>143</v>
      </c>
      <c r="F71" s="63">
        <f>27611.23</f>
        <v>27611.23</v>
      </c>
      <c r="G71" s="63"/>
      <c r="H71" s="63">
        <f t="shared" si="47"/>
        <v>82833.69</v>
      </c>
      <c r="I71" s="63">
        <f t="shared" si="48"/>
        <v>2070.8422499999997</v>
      </c>
      <c r="J71" s="63">
        <v>0</v>
      </c>
      <c r="K71" s="63">
        <f t="shared" si="49"/>
        <v>13805.615</v>
      </c>
      <c r="L71" s="63">
        <f t="shared" si="50"/>
        <v>96639.304999999993</v>
      </c>
      <c r="M71" s="63">
        <f t="shared" si="43"/>
        <v>27611.23</v>
      </c>
      <c r="N71" s="63">
        <f t="shared" si="44"/>
        <v>150000</v>
      </c>
      <c r="O71" s="63">
        <f t="shared" si="45"/>
        <v>2761.123</v>
      </c>
      <c r="P71" s="63">
        <v>15000</v>
      </c>
      <c r="Q71" s="63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00000000000001" customHeight="1" x14ac:dyDescent="0.3">
      <c r="A72" s="3">
        <v>5</v>
      </c>
      <c r="B72" s="173" t="s">
        <v>144</v>
      </c>
      <c r="C72" s="174"/>
      <c r="D72" s="33" t="s">
        <v>101</v>
      </c>
      <c r="E72" s="3" t="s">
        <v>143</v>
      </c>
      <c r="F72" s="26">
        <f>27611.23</f>
        <v>27611.23</v>
      </c>
      <c r="G72" s="63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63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00000000000001" customHeight="1" x14ac:dyDescent="0.3">
      <c r="A73" s="3">
        <v>6</v>
      </c>
      <c r="B73" s="173" t="s">
        <v>123</v>
      </c>
      <c r="C73" s="174"/>
      <c r="D73" s="20" t="s">
        <v>124</v>
      </c>
      <c r="E73" s="29" t="s">
        <v>125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63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00000000000001" customHeight="1" x14ac:dyDescent="0.3">
      <c r="A74" s="3">
        <v>7</v>
      </c>
      <c r="B74" s="173" t="s">
        <v>121</v>
      </c>
      <c r="C74" s="174"/>
      <c r="D74" s="20" t="s">
        <v>112</v>
      </c>
      <c r="E74" s="29" t="s">
        <v>57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63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00000000000001" customHeight="1" x14ac:dyDescent="0.3">
      <c r="A75" s="3">
        <v>8</v>
      </c>
      <c r="B75" s="173" t="s">
        <v>145</v>
      </c>
      <c r="C75" s="174"/>
      <c r="D75" s="33" t="s">
        <v>101</v>
      </c>
      <c r="E75" s="3" t="s">
        <v>143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63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" customHeight="1" x14ac:dyDescent="0.3">
      <c r="A76" s="3">
        <v>9</v>
      </c>
      <c r="B76" s="178" t="s">
        <v>146</v>
      </c>
      <c r="C76" s="178"/>
      <c r="D76" s="33" t="s">
        <v>112</v>
      </c>
      <c r="E76" s="67" t="s">
        <v>80</v>
      </c>
      <c r="F76" s="63">
        <f>23891.12</f>
        <v>23891.119999999999</v>
      </c>
      <c r="G76" s="63"/>
      <c r="H76" s="63">
        <f t="shared" si="47"/>
        <v>71673.36</v>
      </c>
      <c r="I76" s="63">
        <f t="shared" si="48"/>
        <v>1791.8339999999998</v>
      </c>
      <c r="J76" s="63">
        <v>0</v>
      </c>
      <c r="K76" s="63">
        <f t="shared" si="49"/>
        <v>11945.56</v>
      </c>
      <c r="L76" s="36">
        <f t="shared" si="50"/>
        <v>83618.92</v>
      </c>
      <c r="M76" s="63">
        <f t="shared" si="43"/>
        <v>23891.119999999999</v>
      </c>
      <c r="N76" s="63">
        <f t="shared" si="44"/>
        <v>150000</v>
      </c>
      <c r="O76" s="63">
        <f t="shared" si="45"/>
        <v>2389.1120000000001</v>
      </c>
      <c r="P76" s="63">
        <v>15000</v>
      </c>
      <c r="Q76" s="63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63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00000000000001" customHeight="1" x14ac:dyDescent="0.6">
      <c r="A77" s="33"/>
      <c r="B77" s="179" t="s">
        <v>32</v>
      </c>
      <c r="C77" s="179"/>
      <c r="D77" s="7">
        <v>9</v>
      </c>
      <c r="E77" s="7"/>
      <c r="F77" s="106">
        <f>SUM(F68:F76)</f>
        <v>299533.60000000003</v>
      </c>
      <c r="G77" s="106"/>
      <c r="H77" s="106">
        <f t="shared" ref="H77:Q77" si="52">SUM(H68:H76)</f>
        <v>898600.79999999993</v>
      </c>
      <c r="I77" s="106">
        <f t="shared" si="52"/>
        <v>22465.02</v>
      </c>
      <c r="J77" s="106">
        <f t="shared" si="52"/>
        <v>160488.76</v>
      </c>
      <c r="K77" s="106">
        <f t="shared" si="52"/>
        <v>149766.80000000002</v>
      </c>
      <c r="L77" s="106">
        <f t="shared" si="52"/>
        <v>1048367.6</v>
      </c>
      <c r="M77" s="106">
        <f t="shared" si="52"/>
        <v>299533.60000000003</v>
      </c>
      <c r="N77" s="106">
        <f>SUM(N68:N76)</f>
        <v>1350000</v>
      </c>
      <c r="O77" s="106">
        <f t="shared" si="52"/>
        <v>29953.360000000001</v>
      </c>
      <c r="P77" s="106">
        <f t="shared" si="52"/>
        <v>145000</v>
      </c>
      <c r="Q77" s="106">
        <f t="shared" si="52"/>
        <v>0</v>
      </c>
      <c r="R77" s="106">
        <f>SUM(R68:R76)</f>
        <v>4403709.54</v>
      </c>
      <c r="S77" s="106">
        <f>SUM(S68:S76)</f>
        <v>415000</v>
      </c>
      <c r="T77" s="106">
        <f>SUM(T68:T76)</f>
        <v>324827.21000000002</v>
      </c>
      <c r="U77" s="106">
        <f>SUM(U68:U76)</f>
        <v>2662.0320000000002</v>
      </c>
      <c r="V77" s="106">
        <f>SUM(V68:V76)</f>
        <v>125791.59999999996</v>
      </c>
      <c r="W77" s="106">
        <f>SUM(S77:V77)</f>
        <v>868280.84199999995</v>
      </c>
      <c r="X77" s="106">
        <v>3242401.5714999996</v>
      </c>
      <c r="Y77" s="106">
        <f>SUM(Y68:Y76)</f>
        <v>5200000</v>
      </c>
    </row>
    <row r="78" spans="1:25" ht="20.100000000000001" customHeight="1" x14ac:dyDescent="0.3">
      <c r="A78" s="33"/>
      <c r="B78" s="101"/>
      <c r="C78" s="101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00000000000001" customHeight="1" x14ac:dyDescent="0.3">
      <c r="A79" s="33"/>
      <c r="B79" s="179" t="s">
        <v>147</v>
      </c>
      <c r="C79" s="179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00000000000001" customHeight="1" x14ac:dyDescent="0.3">
      <c r="A80" s="33">
        <v>1</v>
      </c>
      <c r="B80" s="169" t="s">
        <v>148</v>
      </c>
      <c r="C80" s="170"/>
      <c r="D80" s="33" t="s">
        <v>149</v>
      </c>
      <c r="E80" s="3" t="s">
        <v>54</v>
      </c>
      <c r="F80" s="63">
        <f>39662.25</f>
        <v>39662.25</v>
      </c>
      <c r="G80" s="63"/>
      <c r="H80" s="63">
        <f>F80*300%</f>
        <v>118986.75</v>
      </c>
      <c r="I80" s="63">
        <f>F80*7.5%</f>
        <v>2974.6687499999998</v>
      </c>
      <c r="J80" s="63">
        <v>40122.19</v>
      </c>
      <c r="K80" s="63">
        <f>F80*50%</f>
        <v>19831.125</v>
      </c>
      <c r="L80" s="63">
        <f>F80*350%</f>
        <v>138817.875</v>
      </c>
      <c r="M80" s="63">
        <f>F80*100%</f>
        <v>39662.25</v>
      </c>
      <c r="N80" s="63">
        <v>150000</v>
      </c>
      <c r="O80" s="63">
        <f>F80*10%</f>
        <v>3966.2250000000004</v>
      </c>
      <c r="P80" s="63">
        <v>20000</v>
      </c>
      <c r="Q80" s="63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3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00000000000001" customHeight="1" x14ac:dyDescent="0.3">
      <c r="A81" s="33">
        <v>2</v>
      </c>
      <c r="B81" s="173" t="s">
        <v>150</v>
      </c>
      <c r="C81" s="174"/>
      <c r="D81" s="20" t="s">
        <v>151</v>
      </c>
      <c r="E81" s="29" t="s">
        <v>272</v>
      </c>
      <c r="F81" s="26">
        <f>27611.23</f>
        <v>27611.23</v>
      </c>
      <c r="G81" s="63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00000000000001" customHeight="1" x14ac:dyDescent="0.3">
      <c r="A82" s="33">
        <v>3</v>
      </c>
      <c r="B82" s="169" t="s">
        <v>152</v>
      </c>
      <c r="C82" s="170"/>
      <c r="D82" s="33" t="s">
        <v>273</v>
      </c>
      <c r="E82" s="67" t="s">
        <v>68</v>
      </c>
      <c r="F82" s="26">
        <f>18281.64</f>
        <v>18281.64</v>
      </c>
      <c r="G82" s="63"/>
      <c r="H82" s="63">
        <f>F82*300%</f>
        <v>54844.92</v>
      </c>
      <c r="I82" s="63">
        <f>F82*7.5%</f>
        <v>1371.1229999999998</v>
      </c>
      <c r="J82" s="63"/>
      <c r="K82" s="63">
        <f>F82*50%</f>
        <v>9140.82</v>
      </c>
      <c r="L82" s="36">
        <f>F82*350%</f>
        <v>63985.74</v>
      </c>
      <c r="M82" s="26">
        <f>F82*100%</f>
        <v>18281.64</v>
      </c>
      <c r="N82" s="63">
        <f t="shared" ref="N82" si="53">100000</f>
        <v>100000</v>
      </c>
      <c r="O82" s="63">
        <f>F82*10%</f>
        <v>1828.164</v>
      </c>
      <c r="P82" s="63">
        <v>10000</v>
      </c>
      <c r="Q82" s="63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3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00000000000001" customHeight="1" x14ac:dyDescent="0.3">
      <c r="A83" s="33">
        <v>4</v>
      </c>
      <c r="B83" s="84" t="s">
        <v>154</v>
      </c>
      <c r="C83" s="85"/>
      <c r="D83" s="33"/>
      <c r="E83" s="67" t="s">
        <v>85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00000000000001" customHeight="1" x14ac:dyDescent="0.6">
      <c r="A84" s="33"/>
      <c r="B84" s="179" t="s">
        <v>32</v>
      </c>
      <c r="C84" s="179"/>
      <c r="D84" s="7">
        <v>4</v>
      </c>
      <c r="E84" s="102"/>
      <c r="F84" s="103">
        <f t="shared" ref="F84:Q84" si="55">SUM(F80:F83)</f>
        <v>103339.12</v>
      </c>
      <c r="G84" s="103">
        <f t="shared" si="55"/>
        <v>0</v>
      </c>
      <c r="H84" s="103">
        <f t="shared" si="55"/>
        <v>310017.36</v>
      </c>
      <c r="I84" s="103">
        <f t="shared" si="55"/>
        <v>7750.4339999999993</v>
      </c>
      <c r="J84" s="103">
        <f t="shared" si="55"/>
        <v>40122.19</v>
      </c>
      <c r="K84" s="103">
        <f t="shared" si="55"/>
        <v>51669.56</v>
      </c>
      <c r="L84" s="103">
        <f t="shared" si="55"/>
        <v>361686.92</v>
      </c>
      <c r="M84" s="103">
        <f t="shared" si="55"/>
        <v>103339.12</v>
      </c>
      <c r="N84" s="103">
        <f t="shared" si="55"/>
        <v>450000</v>
      </c>
      <c r="O84" s="103">
        <f t="shared" si="55"/>
        <v>10333.912</v>
      </c>
      <c r="P84" s="103">
        <f t="shared" si="55"/>
        <v>55000</v>
      </c>
      <c r="Q84" s="103">
        <f t="shared" si="55"/>
        <v>150000</v>
      </c>
      <c r="R84" s="103">
        <f>SUM(R80:R83)</f>
        <v>1643258.6159999999</v>
      </c>
      <c r="S84" s="103">
        <f>SUM(S80:S83)</f>
        <v>35000</v>
      </c>
      <c r="T84" s="103">
        <f>SUM(T80:T83)</f>
        <v>0</v>
      </c>
      <c r="U84" s="103">
        <f>SUM(U80:U83)</f>
        <v>1282.2874999999999</v>
      </c>
      <c r="V84" s="103">
        <f>SUM(V80:V83)</f>
        <v>29997.11</v>
      </c>
      <c r="W84" s="103">
        <f>SUM(S84:V84)</f>
        <v>66279.397499999992</v>
      </c>
      <c r="X84" s="103">
        <v>1485045.44325</v>
      </c>
      <c r="Y84" s="103">
        <f>SUM(Y80:Y83)</f>
        <v>1800000</v>
      </c>
    </row>
    <row r="85" spans="1:25" ht="20.100000000000001" customHeight="1" x14ac:dyDescent="0.3">
      <c r="A85" s="33"/>
      <c r="B85" s="101"/>
      <c r="C85" s="101"/>
      <c r="D85" s="7"/>
      <c r="E85" s="102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 x14ac:dyDescent="0.3">
      <c r="A86" s="33"/>
      <c r="B86" s="179" t="s">
        <v>155</v>
      </c>
      <c r="C86" s="179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 x14ac:dyDescent="0.3">
      <c r="A87" s="33">
        <v>1</v>
      </c>
      <c r="B87" s="169" t="s">
        <v>156</v>
      </c>
      <c r="C87" s="170"/>
      <c r="D87" s="62" t="s">
        <v>157</v>
      </c>
      <c r="E87" s="67" t="s">
        <v>89</v>
      </c>
      <c r="F87" s="63">
        <f>79039.64</f>
        <v>79039.64</v>
      </c>
      <c r="G87" s="63"/>
      <c r="H87" s="63">
        <f>F87*300%</f>
        <v>237118.91999999998</v>
      </c>
      <c r="I87" s="63">
        <f>F87*7.5%</f>
        <v>5927.973</v>
      </c>
      <c r="J87" s="63">
        <v>80244.38</v>
      </c>
      <c r="K87" s="63">
        <f>F87*50%</f>
        <v>39519.82</v>
      </c>
      <c r="L87" s="63">
        <f>F87*350%</f>
        <v>276638.74</v>
      </c>
      <c r="M87" s="63">
        <f>F87*100%</f>
        <v>79039.64</v>
      </c>
      <c r="N87" s="63">
        <v>150000</v>
      </c>
      <c r="O87" s="63">
        <f>F87*10%</f>
        <v>7903.9639999999999</v>
      </c>
      <c r="P87" s="63">
        <v>20000</v>
      </c>
      <c r="Q87" s="63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3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00000000000001" customHeight="1" x14ac:dyDescent="0.3">
      <c r="A88" s="33">
        <v>2</v>
      </c>
      <c r="B88" s="180" t="s">
        <v>158</v>
      </c>
      <c r="C88" s="181"/>
      <c r="D88" s="33" t="s">
        <v>159</v>
      </c>
      <c r="E88" s="3" t="s">
        <v>44</v>
      </c>
      <c r="F88" s="63">
        <f>33507.5</f>
        <v>33507.5</v>
      </c>
      <c r="G88" s="63"/>
      <c r="H88" s="63">
        <f>F88*300%</f>
        <v>100522.5</v>
      </c>
      <c r="I88" s="63">
        <f>F88*7.5%</f>
        <v>2513.0625</v>
      </c>
      <c r="J88" s="63">
        <v>40122.19</v>
      </c>
      <c r="K88" s="63">
        <f>F88*50%</f>
        <v>16753.75</v>
      </c>
      <c r="L88" s="63">
        <f>F88*350%</f>
        <v>117276.25</v>
      </c>
      <c r="M88" s="63">
        <f>F88*100%</f>
        <v>33507.5</v>
      </c>
      <c r="N88" s="63">
        <v>150000</v>
      </c>
      <c r="O88" s="63">
        <f>F88*10%</f>
        <v>3350.75</v>
      </c>
      <c r="P88" s="63">
        <v>20000</v>
      </c>
      <c r="Q88" s="63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3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00000000000001" customHeight="1" x14ac:dyDescent="0.3">
      <c r="A89" s="33">
        <v>3</v>
      </c>
      <c r="B89" s="169" t="s">
        <v>160</v>
      </c>
      <c r="C89" s="170"/>
      <c r="D89" s="33" t="s">
        <v>274</v>
      </c>
      <c r="E89" s="3" t="s">
        <v>62</v>
      </c>
      <c r="F89" s="63">
        <f>26339.3</f>
        <v>26339.3</v>
      </c>
      <c r="G89" s="63"/>
      <c r="H89" s="63">
        <f>F89*300%</f>
        <v>79017.899999999994</v>
      </c>
      <c r="I89" s="63">
        <f>F89*7.5%</f>
        <v>1975.4474999999998</v>
      </c>
      <c r="J89" s="63">
        <v>0</v>
      </c>
      <c r="K89" s="63">
        <f>F89*50%</f>
        <v>13169.65</v>
      </c>
      <c r="L89" s="63">
        <f>F89*350%</f>
        <v>92187.55</v>
      </c>
      <c r="M89" s="63">
        <f>F89*100%</f>
        <v>26339.3</v>
      </c>
      <c r="N89" s="63">
        <v>150000</v>
      </c>
      <c r="O89" s="63">
        <f>F89*10%</f>
        <v>2633.9300000000003</v>
      </c>
      <c r="P89" s="63">
        <v>15000</v>
      </c>
      <c r="Q89" s="63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00000000000001" customHeight="1" x14ac:dyDescent="0.3">
      <c r="A90" s="33">
        <v>4</v>
      </c>
      <c r="B90" s="173" t="s">
        <v>162</v>
      </c>
      <c r="C90" s="174"/>
      <c r="D90" s="20" t="s">
        <v>275</v>
      </c>
      <c r="E90" s="29" t="s">
        <v>110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3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00000000000001" customHeight="1" x14ac:dyDescent="0.6">
      <c r="A91" s="33"/>
      <c r="B91" s="179" t="s">
        <v>32</v>
      </c>
      <c r="C91" s="179"/>
      <c r="D91" s="3">
        <v>4</v>
      </c>
      <c r="E91" s="33"/>
      <c r="F91" s="104">
        <f>SUM(F87:F90)</f>
        <v>163627.70000000001</v>
      </c>
      <c r="G91" s="105"/>
      <c r="H91" s="104">
        <f t="shared" ref="H91:Q91" si="56">SUM(H87:H90)</f>
        <v>490883.1</v>
      </c>
      <c r="I91" s="104">
        <f t="shared" si="56"/>
        <v>12272.077499999999</v>
      </c>
      <c r="J91" s="104">
        <f t="shared" si="56"/>
        <v>120366.57</v>
      </c>
      <c r="K91" s="104">
        <f t="shared" si="56"/>
        <v>81813.850000000006</v>
      </c>
      <c r="L91" s="104">
        <f t="shared" si="56"/>
        <v>572696.94999999995</v>
      </c>
      <c r="M91" s="104">
        <f t="shared" si="56"/>
        <v>163627.70000000001</v>
      </c>
      <c r="N91" s="104">
        <f t="shared" si="56"/>
        <v>600000</v>
      </c>
      <c r="O91" s="104">
        <f t="shared" si="56"/>
        <v>16362.77</v>
      </c>
      <c r="P91" s="104">
        <f t="shared" si="56"/>
        <v>70000</v>
      </c>
      <c r="Q91" s="104">
        <f t="shared" si="56"/>
        <v>0</v>
      </c>
      <c r="R91" s="104">
        <f>SUM(R87:R90)</f>
        <v>2291650.7174999998</v>
      </c>
      <c r="S91" s="104">
        <f>SUM(S87:S90)</f>
        <v>220000</v>
      </c>
      <c r="T91" s="104">
        <f>SUM(T87:T90)</f>
        <v>174333.33000000002</v>
      </c>
      <c r="U91" s="104">
        <f>SUM(U87:U90)</f>
        <v>1475.7737500000001</v>
      </c>
      <c r="V91" s="104">
        <f>SUM(V87:V90)</f>
        <v>83744.479999999981</v>
      </c>
      <c r="W91" s="104">
        <f>SUM(S91:V91)</f>
        <v>479553.58374999999</v>
      </c>
      <c r="X91" s="104">
        <v>1742740.03</v>
      </c>
      <c r="Y91" s="104">
        <f>SUM(Y87:Y90)</f>
        <v>2700000</v>
      </c>
    </row>
    <row r="92" spans="1:25" ht="20.100000000000001" customHeight="1" x14ac:dyDescent="0.3">
      <c r="A92" s="33"/>
      <c r="B92" s="101"/>
      <c r="C92" s="101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00000000000001" customHeight="1" x14ac:dyDescent="0.3">
      <c r="A93" s="33"/>
      <c r="B93" s="179" t="s">
        <v>163</v>
      </c>
      <c r="C93" s="179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4"/>
      <c r="S93" s="64"/>
      <c r="T93" s="64"/>
      <c r="U93" s="64"/>
      <c r="V93" s="39"/>
      <c r="W93" s="36"/>
      <c r="X93" s="36"/>
      <c r="Y93" s="36"/>
    </row>
    <row r="94" spans="1:25" ht="20.100000000000001" customHeight="1" x14ac:dyDescent="0.3">
      <c r="A94" s="33">
        <v>1</v>
      </c>
      <c r="B94" s="178" t="s">
        <v>164</v>
      </c>
      <c r="C94" s="178"/>
      <c r="D94" s="62" t="s">
        <v>165</v>
      </c>
      <c r="E94" s="67" t="s">
        <v>41</v>
      </c>
      <c r="F94" s="63">
        <f>81740.02</f>
        <v>81740.02</v>
      </c>
      <c r="G94" s="63"/>
      <c r="H94" s="63">
        <f t="shared" ref="H94:H104" si="57">F94*300%</f>
        <v>245220.06</v>
      </c>
      <c r="I94" s="63">
        <f t="shared" ref="I94:I104" si="58">F94*7.5%</f>
        <v>6130.5015000000003</v>
      </c>
      <c r="J94" s="63">
        <f>80244.38</f>
        <v>80244.38</v>
      </c>
      <c r="K94" s="63">
        <f t="shared" ref="K94:K104" si="59">F94*50%</f>
        <v>40870.01</v>
      </c>
      <c r="L94" s="63">
        <f t="shared" ref="L94:L104" si="60">F94*350%</f>
        <v>286090.07</v>
      </c>
      <c r="M94" s="63">
        <f t="shared" ref="M94:M103" si="61">F94*100%</f>
        <v>81740.02</v>
      </c>
      <c r="N94" s="63">
        <f>100000</f>
        <v>100000</v>
      </c>
      <c r="O94" s="63">
        <f t="shared" ref="O94:O103" si="62">F94*10%</f>
        <v>8174.0020000000004</v>
      </c>
      <c r="P94" s="63">
        <v>20000</v>
      </c>
      <c r="Q94" s="63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3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00000000000001" customHeight="1" x14ac:dyDescent="0.3">
      <c r="A95" s="33">
        <v>2</v>
      </c>
      <c r="B95" s="178" t="s">
        <v>166</v>
      </c>
      <c r="C95" s="178"/>
      <c r="D95" s="62" t="s">
        <v>167</v>
      </c>
      <c r="E95" s="67" t="s">
        <v>51</v>
      </c>
      <c r="F95" s="63">
        <f>42653.17</f>
        <v>42653.17</v>
      </c>
      <c r="G95" s="63"/>
      <c r="H95" s="63">
        <f t="shared" si="57"/>
        <v>127959.51</v>
      </c>
      <c r="I95" s="63">
        <f t="shared" si="58"/>
        <v>3198.9877499999998</v>
      </c>
      <c r="J95" s="63">
        <v>40122.19</v>
      </c>
      <c r="K95" s="63">
        <f t="shared" si="59"/>
        <v>21326.584999999999</v>
      </c>
      <c r="L95" s="63">
        <f t="shared" si="60"/>
        <v>149286.095</v>
      </c>
      <c r="M95" s="63">
        <f t="shared" si="61"/>
        <v>42653.17</v>
      </c>
      <c r="N95" s="63">
        <f t="shared" ref="N95:N103" si="65">100000</f>
        <v>100000</v>
      </c>
      <c r="O95" s="63">
        <f t="shared" si="62"/>
        <v>4265.317</v>
      </c>
      <c r="P95" s="63">
        <v>20000</v>
      </c>
      <c r="Q95" s="63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63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00000000000001" customHeight="1" x14ac:dyDescent="0.3">
      <c r="A96" s="33">
        <v>3</v>
      </c>
      <c r="B96" s="178" t="s">
        <v>168</v>
      </c>
      <c r="C96" s="178"/>
      <c r="D96" s="62" t="s">
        <v>169</v>
      </c>
      <c r="E96" s="67" t="s">
        <v>44</v>
      </c>
      <c r="F96" s="26">
        <f>33507.5</f>
        <v>33507.5</v>
      </c>
      <c r="G96" s="63"/>
      <c r="H96" s="63">
        <f t="shared" si="57"/>
        <v>100522.5</v>
      </c>
      <c r="I96" s="63">
        <f t="shared" si="58"/>
        <v>2513.0625</v>
      </c>
      <c r="J96" s="63">
        <v>40122.19</v>
      </c>
      <c r="K96" s="63">
        <f t="shared" si="59"/>
        <v>16753.75</v>
      </c>
      <c r="L96" s="36">
        <f t="shared" si="60"/>
        <v>117276.25</v>
      </c>
      <c r="M96" s="63">
        <f t="shared" si="61"/>
        <v>33507.5</v>
      </c>
      <c r="N96" s="63">
        <f t="shared" si="65"/>
        <v>100000</v>
      </c>
      <c r="O96" s="63">
        <f t="shared" si="62"/>
        <v>3350.75</v>
      </c>
      <c r="P96" s="63">
        <v>20000</v>
      </c>
      <c r="Q96" s="63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3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00000000000001" customHeight="1" x14ac:dyDescent="0.3">
      <c r="A97" s="33">
        <v>4</v>
      </c>
      <c r="B97" s="178" t="s">
        <v>170</v>
      </c>
      <c r="C97" s="178"/>
      <c r="D97" s="62" t="s">
        <v>171</v>
      </c>
      <c r="E97" s="67" t="s">
        <v>138</v>
      </c>
      <c r="F97" s="63">
        <f>32263.2</f>
        <v>32263.200000000001</v>
      </c>
      <c r="G97" s="63"/>
      <c r="H97" s="63">
        <f t="shared" si="57"/>
        <v>96789.6</v>
      </c>
      <c r="I97" s="63">
        <f t="shared" si="58"/>
        <v>2419.7399999999998</v>
      </c>
      <c r="J97" s="63">
        <f>40122.19</f>
        <v>40122.19</v>
      </c>
      <c r="K97" s="63">
        <f t="shared" si="59"/>
        <v>16131.6</v>
      </c>
      <c r="L97" s="36">
        <f t="shared" si="60"/>
        <v>112921.2</v>
      </c>
      <c r="M97" s="63">
        <f t="shared" si="61"/>
        <v>32263.200000000001</v>
      </c>
      <c r="N97" s="63">
        <f t="shared" si="65"/>
        <v>100000</v>
      </c>
      <c r="O97" s="63">
        <f t="shared" si="62"/>
        <v>3226.32</v>
      </c>
      <c r="P97" s="63">
        <v>20000</v>
      </c>
      <c r="Q97" s="63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3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00000000000001" customHeight="1" x14ac:dyDescent="0.3">
      <c r="A98" s="33">
        <v>5</v>
      </c>
      <c r="B98" s="194" t="s">
        <v>172</v>
      </c>
      <c r="C98" s="194"/>
      <c r="D98" s="33" t="s">
        <v>173</v>
      </c>
      <c r="E98" s="67" t="s">
        <v>138</v>
      </c>
      <c r="F98" s="63">
        <f>32263.2</f>
        <v>32263.200000000001</v>
      </c>
      <c r="G98" s="63"/>
      <c r="H98" s="63">
        <f t="shared" si="57"/>
        <v>96789.6</v>
      </c>
      <c r="I98" s="63">
        <f t="shared" si="58"/>
        <v>2419.7399999999998</v>
      </c>
      <c r="J98" s="63">
        <f>40122.19</f>
        <v>40122.19</v>
      </c>
      <c r="K98" s="63">
        <f t="shared" si="59"/>
        <v>16131.6</v>
      </c>
      <c r="L98" s="36">
        <f t="shared" si="60"/>
        <v>112921.2</v>
      </c>
      <c r="M98" s="63">
        <f t="shared" si="61"/>
        <v>32263.200000000001</v>
      </c>
      <c r="N98" s="63">
        <f t="shared" si="65"/>
        <v>100000</v>
      </c>
      <c r="O98" s="63">
        <f t="shared" si="62"/>
        <v>3226.32</v>
      </c>
      <c r="P98" s="63">
        <v>20000</v>
      </c>
      <c r="Q98" s="63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00000000000001" customHeight="1" x14ac:dyDescent="0.3">
      <c r="A99" s="33">
        <v>6</v>
      </c>
      <c r="B99" s="195" t="s">
        <v>174</v>
      </c>
      <c r="C99" s="195"/>
      <c r="D99" s="62" t="s">
        <v>175</v>
      </c>
      <c r="E99" s="67" t="s">
        <v>110</v>
      </c>
      <c r="F99" s="63">
        <f>24741.26</f>
        <v>24741.26</v>
      </c>
      <c r="G99" s="63">
        <v>0</v>
      </c>
      <c r="H99" s="63">
        <f t="shared" si="57"/>
        <v>74223.78</v>
      </c>
      <c r="I99" s="63">
        <f t="shared" si="58"/>
        <v>1855.5944999999997</v>
      </c>
      <c r="J99" s="63">
        <v>0</v>
      </c>
      <c r="K99" s="63">
        <f t="shared" si="59"/>
        <v>12370.63</v>
      </c>
      <c r="L99" s="36">
        <f t="shared" si="60"/>
        <v>86594.409999999989</v>
      </c>
      <c r="M99" s="63">
        <f t="shared" si="61"/>
        <v>24741.26</v>
      </c>
      <c r="N99" s="63">
        <f t="shared" si="65"/>
        <v>100000</v>
      </c>
      <c r="O99" s="63">
        <f t="shared" si="62"/>
        <v>2474.1260000000002</v>
      </c>
      <c r="P99" s="63">
        <v>15000</v>
      </c>
      <c r="Q99" s="63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63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00000000000001" customHeight="1" x14ac:dyDescent="0.3">
      <c r="A100" s="33">
        <v>7</v>
      </c>
      <c r="B100" s="178" t="s">
        <v>176</v>
      </c>
      <c r="C100" s="178"/>
      <c r="D100" s="62" t="s">
        <v>177</v>
      </c>
      <c r="E100" s="67" t="s">
        <v>80</v>
      </c>
      <c r="F100" s="63">
        <f>23891.12</f>
        <v>23891.119999999999</v>
      </c>
      <c r="G100" s="63"/>
      <c r="H100" s="63">
        <f t="shared" si="57"/>
        <v>71673.36</v>
      </c>
      <c r="I100" s="63">
        <f t="shared" si="58"/>
        <v>1791.8339999999998</v>
      </c>
      <c r="J100" s="63"/>
      <c r="K100" s="63">
        <f t="shared" si="59"/>
        <v>11945.56</v>
      </c>
      <c r="L100" s="36">
        <f t="shared" si="60"/>
        <v>83618.92</v>
      </c>
      <c r="M100" s="63">
        <f t="shared" si="61"/>
        <v>23891.119999999999</v>
      </c>
      <c r="N100" s="63">
        <f t="shared" si="65"/>
        <v>100000</v>
      </c>
      <c r="O100" s="63">
        <f t="shared" si="62"/>
        <v>2389.1120000000001</v>
      </c>
      <c r="P100" s="63">
        <v>15000</v>
      </c>
      <c r="Q100" s="63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3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00000000000001" customHeight="1" x14ac:dyDescent="0.3">
      <c r="A101" s="33">
        <v>8</v>
      </c>
      <c r="B101" s="178" t="s">
        <v>178</v>
      </c>
      <c r="C101" s="178"/>
      <c r="D101" s="62" t="s">
        <v>177</v>
      </c>
      <c r="E101" s="67" t="s">
        <v>80</v>
      </c>
      <c r="F101" s="63">
        <f>23891.12</f>
        <v>23891.119999999999</v>
      </c>
      <c r="G101" s="63"/>
      <c r="H101" s="63">
        <f t="shared" si="57"/>
        <v>71673.36</v>
      </c>
      <c r="I101" s="63">
        <f t="shared" si="58"/>
        <v>1791.8339999999998</v>
      </c>
      <c r="J101" s="63"/>
      <c r="K101" s="63">
        <f t="shared" si="59"/>
        <v>11945.56</v>
      </c>
      <c r="L101" s="36">
        <f t="shared" si="60"/>
        <v>83618.92</v>
      </c>
      <c r="M101" s="63">
        <f t="shared" si="61"/>
        <v>23891.119999999999</v>
      </c>
      <c r="N101" s="63">
        <f t="shared" si="65"/>
        <v>100000</v>
      </c>
      <c r="O101" s="63">
        <f t="shared" si="62"/>
        <v>2389.1120000000001</v>
      </c>
      <c r="P101" s="63">
        <v>15000</v>
      </c>
      <c r="Q101" s="63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3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00000000000001" customHeight="1" x14ac:dyDescent="0.3">
      <c r="A102" s="33">
        <v>9</v>
      </c>
      <c r="B102" s="178" t="s">
        <v>201</v>
      </c>
      <c r="C102" s="178"/>
      <c r="D102" s="33" t="s">
        <v>200</v>
      </c>
      <c r="E102" s="67" t="s">
        <v>57</v>
      </c>
      <c r="F102" s="63">
        <f>25523.45</f>
        <v>25523.45</v>
      </c>
      <c r="G102" s="63"/>
      <c r="H102" s="63">
        <f t="shared" si="57"/>
        <v>76570.350000000006</v>
      </c>
      <c r="I102" s="63">
        <f t="shared" si="58"/>
        <v>1914.25875</v>
      </c>
      <c r="J102" s="63">
        <v>0</v>
      </c>
      <c r="K102" s="63">
        <f t="shared" si="59"/>
        <v>12761.725</v>
      </c>
      <c r="L102" s="36">
        <f t="shared" si="60"/>
        <v>89332.074999999997</v>
      </c>
      <c r="M102" s="63">
        <f t="shared" si="61"/>
        <v>25523.45</v>
      </c>
      <c r="N102" s="63">
        <f t="shared" si="65"/>
        <v>100000</v>
      </c>
      <c r="O102" s="63">
        <f t="shared" si="62"/>
        <v>2552.3450000000003</v>
      </c>
      <c r="P102" s="63">
        <v>15000</v>
      </c>
      <c r="Q102" s="63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63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00000000000001" customHeight="1" x14ac:dyDescent="0.3">
      <c r="A103" s="33">
        <v>10</v>
      </c>
      <c r="B103" s="169" t="s">
        <v>179</v>
      </c>
      <c r="C103" s="170"/>
      <c r="D103" s="62" t="s">
        <v>180</v>
      </c>
      <c r="E103" s="67" t="s">
        <v>181</v>
      </c>
      <c r="F103" s="68">
        <f>13112.16</f>
        <v>13112.16</v>
      </c>
      <c r="G103" s="63"/>
      <c r="H103" s="63">
        <f t="shared" si="57"/>
        <v>39336.479999999996</v>
      </c>
      <c r="I103" s="63">
        <f t="shared" si="58"/>
        <v>983.41199999999992</v>
      </c>
      <c r="J103" s="63"/>
      <c r="K103" s="63">
        <f t="shared" si="59"/>
        <v>6556.08</v>
      </c>
      <c r="L103" s="36">
        <f t="shared" si="60"/>
        <v>45892.56</v>
      </c>
      <c r="M103" s="63">
        <f t="shared" si="61"/>
        <v>13112.16</v>
      </c>
      <c r="N103" s="63">
        <f t="shared" si="65"/>
        <v>100000</v>
      </c>
      <c r="O103" s="63">
        <f t="shared" si="62"/>
        <v>1311.2160000000001</v>
      </c>
      <c r="P103" s="63">
        <v>10000</v>
      </c>
      <c r="Q103" s="63"/>
      <c r="R103" s="36">
        <f t="shared" si="63"/>
        <v>230304.068</v>
      </c>
      <c r="S103" s="36">
        <f>10000</f>
        <v>10000</v>
      </c>
      <c r="T103" s="36"/>
      <c r="U103" s="36"/>
      <c r="V103" s="63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00000000000001" customHeight="1" x14ac:dyDescent="0.3">
      <c r="A104" s="33">
        <v>11</v>
      </c>
      <c r="B104" s="84" t="s">
        <v>182</v>
      </c>
      <c r="C104" s="85"/>
      <c r="D104" s="62" t="s">
        <v>180</v>
      </c>
      <c r="E104" s="67" t="s">
        <v>183</v>
      </c>
      <c r="F104" s="68">
        <f>12732</f>
        <v>12732</v>
      </c>
      <c r="G104" s="63">
        <f>0</f>
        <v>0</v>
      </c>
      <c r="H104" s="63">
        <f t="shared" si="57"/>
        <v>38196</v>
      </c>
      <c r="I104" s="63">
        <f t="shared" si="58"/>
        <v>954.9</v>
      </c>
      <c r="J104" s="63"/>
      <c r="K104" s="63">
        <f t="shared" si="59"/>
        <v>6366</v>
      </c>
      <c r="L104" s="36">
        <f t="shared" si="60"/>
        <v>44562</v>
      </c>
      <c r="M104" s="63">
        <f>F104*100%</f>
        <v>12732</v>
      </c>
      <c r="N104" s="43">
        <f>100000</f>
        <v>100000</v>
      </c>
      <c r="O104" s="63">
        <f>F104*10%</f>
        <v>1273.2</v>
      </c>
      <c r="P104" s="63">
        <v>10000</v>
      </c>
      <c r="R104" s="63">
        <f t="shared" si="63"/>
        <v>226816.1</v>
      </c>
      <c r="S104" s="36">
        <f>20000</f>
        <v>20000</v>
      </c>
      <c r="T104" s="36"/>
      <c r="U104" s="36"/>
      <c r="V104" s="63">
        <f>(1484.37)</f>
        <v>1484.37</v>
      </c>
      <c r="W104" s="110">
        <f>S104+T104+U104+V104</f>
        <v>21484.37</v>
      </c>
      <c r="X104" s="36">
        <v>201844.6795</v>
      </c>
      <c r="Y104" s="36">
        <f>300000</f>
        <v>300000</v>
      </c>
    </row>
    <row r="105" spans="1:25" ht="20.100000000000001" customHeight="1" x14ac:dyDescent="0.6">
      <c r="A105" s="33"/>
      <c r="B105" s="179" t="s">
        <v>32</v>
      </c>
      <c r="C105" s="179"/>
      <c r="D105" s="102" t="s">
        <v>276</v>
      </c>
      <c r="E105" s="67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64">
        <f t="shared" si="66"/>
        <v>1212113.7000000002</v>
      </c>
      <c r="M105" s="39">
        <f t="shared" si="66"/>
        <v>346318.2</v>
      </c>
      <c r="N105" s="106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64">
        <f t="shared" ref="R105:W105" si="67">SUM(R94:R104)</f>
        <v>5028202.6249999991</v>
      </c>
      <c r="S105" s="64">
        <f t="shared" si="67"/>
        <v>833000</v>
      </c>
      <c r="T105" s="64">
        <f t="shared" si="67"/>
        <v>853333.33999999985</v>
      </c>
      <c r="U105" s="64">
        <f t="shared" si="67"/>
        <v>4997.7085000000006</v>
      </c>
      <c r="V105" s="39">
        <f t="shared" si="67"/>
        <v>154847.49000000002</v>
      </c>
      <c r="W105" s="64">
        <f t="shared" si="67"/>
        <v>1846178.5385000003</v>
      </c>
      <c r="X105" s="64">
        <v>2901795.9227500004</v>
      </c>
      <c r="Y105" s="64">
        <f>SUM(Y94:Y104)</f>
        <v>6400000</v>
      </c>
    </row>
    <row r="106" spans="1:25" ht="20.100000000000001" customHeight="1" x14ac:dyDescent="0.3">
      <c r="A106" s="33"/>
      <c r="B106" s="101"/>
      <c r="C106" s="101"/>
      <c r="D106" s="102"/>
      <c r="E106" s="67"/>
      <c r="F106" s="39"/>
      <c r="G106" s="39"/>
      <c r="H106" s="39"/>
      <c r="I106" s="39"/>
      <c r="J106" s="39"/>
      <c r="K106" s="39"/>
      <c r="L106" s="64"/>
      <c r="M106" s="39"/>
      <c r="N106" s="39"/>
      <c r="O106" s="39"/>
      <c r="P106" s="39"/>
      <c r="Q106" s="39"/>
      <c r="R106" s="64"/>
      <c r="S106" s="64"/>
      <c r="T106" s="64"/>
      <c r="U106" s="64"/>
      <c r="V106" s="39"/>
      <c r="W106" s="64"/>
      <c r="X106" s="64"/>
      <c r="Y106" s="64"/>
    </row>
    <row r="107" spans="1:25" ht="20.100000000000001" customHeight="1" x14ac:dyDescent="0.3">
      <c r="A107" s="33"/>
      <c r="B107" s="179" t="s">
        <v>185</v>
      </c>
      <c r="C107" s="179"/>
      <c r="D107" s="62"/>
      <c r="E107" s="67"/>
      <c r="F107" s="63"/>
      <c r="G107" s="63"/>
      <c r="H107" s="63"/>
      <c r="I107" s="63"/>
      <c r="J107" s="63"/>
      <c r="K107" s="63"/>
      <c r="L107" s="36"/>
      <c r="M107" s="63"/>
      <c r="N107" s="63"/>
      <c r="O107" s="63"/>
      <c r="P107" s="63"/>
      <c r="Q107" s="63"/>
      <c r="R107" s="36"/>
      <c r="S107" s="36"/>
      <c r="T107" s="36"/>
      <c r="U107" s="36"/>
      <c r="V107" s="63"/>
      <c r="W107" s="36"/>
      <c r="X107" s="36"/>
      <c r="Y107" s="36"/>
    </row>
    <row r="108" spans="1:25" ht="20.100000000000001" customHeight="1" x14ac:dyDescent="0.3">
      <c r="A108" s="33">
        <v>1</v>
      </c>
      <c r="B108" s="178" t="s">
        <v>186</v>
      </c>
      <c r="C108" s="178"/>
      <c r="D108" s="62" t="s">
        <v>187</v>
      </c>
      <c r="E108" s="67" t="s">
        <v>41</v>
      </c>
      <c r="F108" s="63">
        <v>81740.02</v>
      </c>
      <c r="G108" s="63">
        <v>0</v>
      </c>
      <c r="H108" s="63">
        <f>F108*300%</f>
        <v>245220.06</v>
      </c>
      <c r="I108" s="63">
        <f>F108*7.5%</f>
        <v>6130.5015000000003</v>
      </c>
      <c r="J108" s="63">
        <v>80244.38</v>
      </c>
      <c r="K108" s="63">
        <f>F108*50%</f>
        <v>40870.01</v>
      </c>
      <c r="L108" s="63">
        <f>F108*350%</f>
        <v>286090.07</v>
      </c>
      <c r="M108" s="63">
        <f>F108*100%</f>
        <v>81740.02</v>
      </c>
      <c r="N108" s="63">
        <f>100000</f>
        <v>100000</v>
      </c>
      <c r="O108" s="63">
        <f>F108*10%</f>
        <v>8174.0020000000004</v>
      </c>
      <c r="P108" s="63">
        <v>20000</v>
      </c>
      <c r="Q108" s="63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3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00000000000001" customHeight="1" x14ac:dyDescent="0.3">
      <c r="A109" s="33">
        <v>2</v>
      </c>
      <c r="B109" s="178" t="s">
        <v>188</v>
      </c>
      <c r="C109" s="178"/>
      <c r="D109" s="62" t="s">
        <v>189</v>
      </c>
      <c r="E109" s="67" t="s">
        <v>41</v>
      </c>
      <c r="F109" s="63">
        <f>81740.02</f>
        <v>81740.02</v>
      </c>
      <c r="G109" s="63"/>
      <c r="H109" s="63">
        <f>F109*300%</f>
        <v>245220.06</v>
      </c>
      <c r="I109" s="63">
        <f>F109*7.5%</f>
        <v>6130.5015000000003</v>
      </c>
      <c r="J109" s="63">
        <f>80244.38</f>
        <v>80244.38</v>
      </c>
      <c r="K109" s="63">
        <f>F109*50%</f>
        <v>40870.01</v>
      </c>
      <c r="L109" s="63">
        <f>F109*350%</f>
        <v>286090.07</v>
      </c>
      <c r="M109" s="63">
        <f>F109*100%</f>
        <v>81740.02</v>
      </c>
      <c r="N109" s="63">
        <f t="shared" ref="N109:N129" si="68">100000</f>
        <v>100000</v>
      </c>
      <c r="O109" s="63">
        <f>F109*10%</f>
        <v>8174.0020000000004</v>
      </c>
      <c r="P109" s="63">
        <v>20000</v>
      </c>
      <c r="Q109" s="63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3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00000000000001" customHeight="1" x14ac:dyDescent="0.3">
      <c r="A110" s="33">
        <v>3</v>
      </c>
      <c r="B110" s="195" t="s">
        <v>190</v>
      </c>
      <c r="C110" s="195"/>
      <c r="D110" s="62" t="s">
        <v>191</v>
      </c>
      <c r="E110" s="67" t="s">
        <v>51</v>
      </c>
      <c r="F110" s="63">
        <f>42653.17</f>
        <v>42653.17</v>
      </c>
      <c r="G110" s="63"/>
      <c r="H110" s="63">
        <f t="shared" ref="H110:H157" si="70">F110*300%</f>
        <v>127959.51</v>
      </c>
      <c r="I110" s="63">
        <f t="shared" ref="I110:I157" si="71">F110*7.5%</f>
        <v>3198.9877499999998</v>
      </c>
      <c r="J110" s="63">
        <v>40122.19</v>
      </c>
      <c r="K110" s="63">
        <f t="shared" ref="K110:K157" si="72">F110*50%</f>
        <v>21326.584999999999</v>
      </c>
      <c r="L110" s="63">
        <f t="shared" ref="L110:L157" si="73">F110*350%</f>
        <v>149286.095</v>
      </c>
      <c r="M110" s="63">
        <f t="shared" ref="M110:M129" si="74">F110*100%</f>
        <v>42653.17</v>
      </c>
      <c r="N110" s="63">
        <f t="shared" si="68"/>
        <v>100000</v>
      </c>
      <c r="O110" s="63">
        <f t="shared" ref="O110:O129" si="75">F110*10%</f>
        <v>4265.317</v>
      </c>
      <c r="P110" s="63">
        <v>20000</v>
      </c>
      <c r="Q110" s="63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3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00000000000001" customHeight="1" x14ac:dyDescent="0.3">
      <c r="A111" s="33">
        <v>4</v>
      </c>
      <c r="B111" s="182" t="s">
        <v>192</v>
      </c>
      <c r="C111" s="183"/>
      <c r="D111" s="20" t="s">
        <v>193</v>
      </c>
      <c r="E111" s="25" t="s">
        <v>44</v>
      </c>
      <c r="F111" s="63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63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00000000000001" customHeight="1" x14ac:dyDescent="0.3">
      <c r="A112" s="33">
        <v>5</v>
      </c>
      <c r="B112" s="171" t="s">
        <v>194</v>
      </c>
      <c r="C112" s="172"/>
      <c r="D112" s="33" t="s">
        <v>195</v>
      </c>
      <c r="E112" s="67" t="s">
        <v>57</v>
      </c>
      <c r="F112" s="63">
        <f>25523.45</f>
        <v>25523.45</v>
      </c>
      <c r="G112" s="63"/>
      <c r="H112" s="63">
        <f t="shared" si="70"/>
        <v>76570.350000000006</v>
      </c>
      <c r="I112" s="63">
        <f t="shared" si="71"/>
        <v>1914.25875</v>
      </c>
      <c r="J112" s="63"/>
      <c r="K112" s="63">
        <f t="shared" si="72"/>
        <v>12761.725</v>
      </c>
      <c r="L112" s="36">
        <f t="shared" si="73"/>
        <v>89332.074999999997</v>
      </c>
      <c r="M112" s="63">
        <f t="shared" si="74"/>
        <v>25523.45</v>
      </c>
      <c r="N112" s="63">
        <f t="shared" si="68"/>
        <v>100000</v>
      </c>
      <c r="O112" s="63">
        <f t="shared" si="75"/>
        <v>2552.3450000000003</v>
      </c>
      <c r="P112" s="63">
        <v>15000</v>
      </c>
      <c r="Q112" s="63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00000000000001" customHeight="1" x14ac:dyDescent="0.3">
      <c r="A113" s="33">
        <v>6</v>
      </c>
      <c r="B113" s="169" t="s">
        <v>196</v>
      </c>
      <c r="C113" s="170"/>
      <c r="D113" s="62" t="s">
        <v>127</v>
      </c>
      <c r="E113" s="67" t="s">
        <v>71</v>
      </c>
      <c r="F113" s="63">
        <f>19276.95</f>
        <v>19276.95</v>
      </c>
      <c r="G113" s="63"/>
      <c r="H113" s="63">
        <f t="shared" si="70"/>
        <v>57830.850000000006</v>
      </c>
      <c r="I113" s="63">
        <f t="shared" si="71"/>
        <v>1445.77125</v>
      </c>
      <c r="J113" s="63">
        <v>0</v>
      </c>
      <c r="K113" s="63">
        <f t="shared" si="72"/>
        <v>9638.4750000000004</v>
      </c>
      <c r="L113" s="36">
        <f t="shared" si="73"/>
        <v>67469.324999999997</v>
      </c>
      <c r="M113" s="63">
        <f t="shared" si="74"/>
        <v>19276.95</v>
      </c>
      <c r="N113" s="63">
        <f t="shared" si="68"/>
        <v>100000</v>
      </c>
      <c r="O113" s="63">
        <f t="shared" si="75"/>
        <v>1927.6950000000002</v>
      </c>
      <c r="P113" s="63">
        <v>10000</v>
      </c>
      <c r="Q113" s="63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3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00000000000001" customHeight="1" x14ac:dyDescent="0.3">
      <c r="A114" s="33">
        <v>7</v>
      </c>
      <c r="B114" s="178" t="s">
        <v>197</v>
      </c>
      <c r="C114" s="178"/>
      <c r="D114" s="62" t="s">
        <v>198</v>
      </c>
      <c r="E114" s="67" t="s">
        <v>57</v>
      </c>
      <c r="F114" s="63">
        <f>25523.45</f>
        <v>25523.45</v>
      </c>
      <c r="G114" s="63"/>
      <c r="H114" s="63">
        <f t="shared" si="70"/>
        <v>76570.350000000006</v>
      </c>
      <c r="I114" s="63">
        <f t="shared" si="71"/>
        <v>1914.25875</v>
      </c>
      <c r="J114" s="63">
        <v>0</v>
      </c>
      <c r="K114" s="63">
        <f t="shared" si="72"/>
        <v>12761.725</v>
      </c>
      <c r="L114" s="36">
        <f t="shared" si="73"/>
        <v>89332.074999999997</v>
      </c>
      <c r="M114" s="63">
        <f t="shared" si="74"/>
        <v>25523.45</v>
      </c>
      <c r="N114" s="63">
        <f t="shared" si="68"/>
        <v>100000</v>
      </c>
      <c r="O114" s="63">
        <f t="shared" si="75"/>
        <v>2552.3450000000003</v>
      </c>
      <c r="P114" s="63">
        <v>15000</v>
      </c>
      <c r="Q114" s="63"/>
      <c r="R114" s="36">
        <f t="shared" si="76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3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00000000000001" customHeight="1" x14ac:dyDescent="0.3">
      <c r="A115" s="33">
        <v>8</v>
      </c>
      <c r="B115" s="178" t="s">
        <v>199</v>
      </c>
      <c r="C115" s="178"/>
      <c r="D115" s="33" t="s">
        <v>200</v>
      </c>
      <c r="E115" s="67" t="s">
        <v>57</v>
      </c>
      <c r="F115" s="63">
        <f>25523.45</f>
        <v>25523.45</v>
      </c>
      <c r="G115" s="63"/>
      <c r="H115" s="63">
        <f t="shared" si="70"/>
        <v>76570.350000000006</v>
      </c>
      <c r="I115" s="63">
        <f t="shared" si="71"/>
        <v>1914.25875</v>
      </c>
      <c r="J115" s="63">
        <v>0</v>
      </c>
      <c r="K115" s="63">
        <f t="shared" si="72"/>
        <v>12761.725</v>
      </c>
      <c r="L115" s="36">
        <f t="shared" si="73"/>
        <v>89332.074999999997</v>
      </c>
      <c r="M115" s="63">
        <f t="shared" si="74"/>
        <v>25523.45</v>
      </c>
      <c r="N115" s="63">
        <f t="shared" si="68"/>
        <v>100000</v>
      </c>
      <c r="O115" s="63">
        <f t="shared" si="75"/>
        <v>2552.3450000000003</v>
      </c>
      <c r="P115" s="63">
        <v>15000</v>
      </c>
      <c r="Q115" s="63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3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00000000000001" customHeight="1" x14ac:dyDescent="0.3">
      <c r="A116" s="33">
        <v>9</v>
      </c>
      <c r="B116" s="178" t="s">
        <v>202</v>
      </c>
      <c r="C116" s="178"/>
      <c r="D116" s="33" t="s">
        <v>200</v>
      </c>
      <c r="E116" s="67" t="s">
        <v>80</v>
      </c>
      <c r="F116" s="63">
        <f>23891.12</f>
        <v>23891.119999999999</v>
      </c>
      <c r="G116" s="63"/>
      <c r="H116" s="63">
        <f t="shared" si="70"/>
        <v>71673.36</v>
      </c>
      <c r="I116" s="63">
        <f t="shared" si="71"/>
        <v>1791.8339999999998</v>
      </c>
      <c r="J116" s="36">
        <v>0</v>
      </c>
      <c r="K116" s="63">
        <f t="shared" si="72"/>
        <v>11945.56</v>
      </c>
      <c r="L116" s="36">
        <f t="shared" si="73"/>
        <v>83618.92</v>
      </c>
      <c r="M116" s="63">
        <f t="shared" si="74"/>
        <v>23891.119999999999</v>
      </c>
      <c r="N116" s="63">
        <f t="shared" si="68"/>
        <v>100000</v>
      </c>
      <c r="O116" s="63">
        <f t="shared" si="75"/>
        <v>2389.1120000000001</v>
      </c>
      <c r="P116" s="63">
        <v>15000</v>
      </c>
      <c r="Q116" s="63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63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00000000000001" customHeight="1" x14ac:dyDescent="0.3">
      <c r="A117" s="33">
        <v>10</v>
      </c>
      <c r="B117" s="178" t="s">
        <v>203</v>
      </c>
      <c r="C117" s="178"/>
      <c r="D117" s="33" t="s">
        <v>127</v>
      </c>
      <c r="E117" s="67" t="s">
        <v>92</v>
      </c>
      <c r="F117" s="36">
        <f>18779.3</f>
        <v>18779.3</v>
      </c>
      <c r="G117" s="63"/>
      <c r="H117" s="63">
        <f>F117*300%</f>
        <v>56337.899999999994</v>
      </c>
      <c r="I117" s="63">
        <f>F117*7.5%</f>
        <v>1408.4475</v>
      </c>
      <c r="J117" s="63">
        <v>0</v>
      </c>
      <c r="K117" s="63">
        <f>F117*50%</f>
        <v>9389.65</v>
      </c>
      <c r="L117" s="36">
        <f>F117*350%</f>
        <v>65727.55</v>
      </c>
      <c r="M117" s="26">
        <f t="shared" si="74"/>
        <v>18779.3</v>
      </c>
      <c r="N117" s="63">
        <f t="shared" si="68"/>
        <v>100000</v>
      </c>
      <c r="O117" s="63">
        <f t="shared" si="75"/>
        <v>1877.93</v>
      </c>
      <c r="P117" s="63">
        <v>10000</v>
      </c>
      <c r="Q117" s="63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63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00000000000001" customHeight="1" x14ac:dyDescent="0.3">
      <c r="A118" s="33">
        <v>11</v>
      </c>
      <c r="B118" s="169" t="s">
        <v>204</v>
      </c>
      <c r="C118" s="170"/>
      <c r="D118" s="33" t="s">
        <v>205</v>
      </c>
      <c r="E118" s="67" t="s">
        <v>68</v>
      </c>
      <c r="F118" s="26">
        <f>18281.64</f>
        <v>18281.64</v>
      </c>
      <c r="G118" s="63"/>
      <c r="H118" s="63">
        <f>F118*300%</f>
        <v>54844.92</v>
      </c>
      <c r="I118" s="63">
        <f>F118*7.5%</f>
        <v>1371.1229999999998</v>
      </c>
      <c r="J118" s="63"/>
      <c r="K118" s="63">
        <f>F118*50%</f>
        <v>9140.82</v>
      </c>
      <c r="L118" s="36">
        <f>F118*350%</f>
        <v>63985.74</v>
      </c>
      <c r="M118" s="26">
        <f t="shared" si="74"/>
        <v>18281.64</v>
      </c>
      <c r="N118" s="63">
        <f t="shared" si="68"/>
        <v>100000</v>
      </c>
      <c r="O118" s="63">
        <f t="shared" si="75"/>
        <v>1828.164</v>
      </c>
      <c r="P118" s="63">
        <v>10000</v>
      </c>
      <c r="Q118" s="63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63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00000000000001" customHeight="1" x14ac:dyDescent="0.3">
      <c r="A119" s="33">
        <v>12</v>
      </c>
      <c r="B119" s="169" t="s">
        <v>206</v>
      </c>
      <c r="C119" s="170"/>
      <c r="D119" s="62" t="s">
        <v>207</v>
      </c>
      <c r="E119" s="67" t="s">
        <v>85</v>
      </c>
      <c r="F119" s="68">
        <f>17784</f>
        <v>17784</v>
      </c>
      <c r="G119" s="63"/>
      <c r="H119" s="63">
        <f t="shared" si="70"/>
        <v>53352</v>
      </c>
      <c r="I119" s="63">
        <f t="shared" si="71"/>
        <v>1333.8</v>
      </c>
      <c r="J119" s="63"/>
      <c r="K119" s="63">
        <f t="shared" si="72"/>
        <v>8892</v>
      </c>
      <c r="L119" s="36">
        <f t="shared" si="73"/>
        <v>62244</v>
      </c>
      <c r="M119" s="63">
        <f t="shared" si="74"/>
        <v>17784</v>
      </c>
      <c r="N119" s="63">
        <f t="shared" si="68"/>
        <v>100000</v>
      </c>
      <c r="O119" s="63">
        <f t="shared" si="75"/>
        <v>1778.4</v>
      </c>
      <c r="P119" s="63">
        <v>10000</v>
      </c>
      <c r="Q119" s="63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3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00000000000001" customHeight="1" x14ac:dyDescent="0.3">
      <c r="A120" s="33">
        <v>13</v>
      </c>
      <c r="B120" s="169" t="s">
        <v>208</v>
      </c>
      <c r="C120" s="170"/>
      <c r="D120" s="62" t="s">
        <v>209</v>
      </c>
      <c r="E120" s="67" t="s">
        <v>210</v>
      </c>
      <c r="F120" s="68">
        <f>13492.21</f>
        <v>13492.21</v>
      </c>
      <c r="G120" s="63"/>
      <c r="H120" s="63">
        <f t="shared" si="70"/>
        <v>40476.629999999997</v>
      </c>
      <c r="I120" s="63">
        <f t="shared" si="71"/>
        <v>1011.9157499999999</v>
      </c>
      <c r="J120" s="63"/>
      <c r="K120" s="63">
        <f t="shared" si="72"/>
        <v>6746.1049999999996</v>
      </c>
      <c r="L120" s="36">
        <f t="shared" si="73"/>
        <v>47222.735000000001</v>
      </c>
      <c r="M120" s="63">
        <f t="shared" si="74"/>
        <v>13492.21</v>
      </c>
      <c r="N120" s="63">
        <f t="shared" si="68"/>
        <v>100000</v>
      </c>
      <c r="O120" s="63">
        <f t="shared" si="75"/>
        <v>1349.221</v>
      </c>
      <c r="P120" s="63">
        <v>10000</v>
      </c>
      <c r="Q120" s="63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63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00000000000001" customHeight="1" x14ac:dyDescent="0.3">
      <c r="A121" s="33">
        <v>14</v>
      </c>
      <c r="B121" s="169" t="s">
        <v>211</v>
      </c>
      <c r="C121" s="170"/>
      <c r="D121" s="62" t="s">
        <v>209</v>
      </c>
      <c r="E121" s="67" t="s">
        <v>210</v>
      </c>
      <c r="F121" s="68">
        <f>13492.21</f>
        <v>13492.21</v>
      </c>
      <c r="G121" s="63"/>
      <c r="H121" s="63">
        <f t="shared" si="70"/>
        <v>40476.629999999997</v>
      </c>
      <c r="I121" s="63">
        <f t="shared" si="71"/>
        <v>1011.9157499999999</v>
      </c>
      <c r="J121" s="63"/>
      <c r="K121" s="63">
        <f t="shared" si="72"/>
        <v>6746.1049999999996</v>
      </c>
      <c r="L121" s="36">
        <f t="shared" si="73"/>
        <v>47222.735000000001</v>
      </c>
      <c r="M121" s="63">
        <f t="shared" si="74"/>
        <v>13492.21</v>
      </c>
      <c r="N121" s="63">
        <f t="shared" si="68"/>
        <v>100000</v>
      </c>
      <c r="O121" s="63">
        <f t="shared" si="75"/>
        <v>1349.221</v>
      </c>
      <c r="P121" s="63">
        <v>10000</v>
      </c>
      <c r="Q121" s="63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3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00000000000001" customHeight="1" x14ac:dyDescent="0.3">
      <c r="A122" s="33">
        <v>15</v>
      </c>
      <c r="B122" s="169" t="s">
        <v>212</v>
      </c>
      <c r="C122" s="170"/>
      <c r="D122" s="62" t="s">
        <v>209</v>
      </c>
      <c r="E122" s="67" t="s">
        <v>210</v>
      </c>
      <c r="F122" s="68">
        <f>13492.21</f>
        <v>13492.21</v>
      </c>
      <c r="G122" s="63"/>
      <c r="H122" s="63">
        <f t="shared" si="70"/>
        <v>40476.629999999997</v>
      </c>
      <c r="I122" s="63">
        <f t="shared" si="71"/>
        <v>1011.9157499999999</v>
      </c>
      <c r="J122" s="63"/>
      <c r="K122" s="63">
        <f t="shared" si="72"/>
        <v>6746.1049999999996</v>
      </c>
      <c r="L122" s="36">
        <f t="shared" si="73"/>
        <v>47222.735000000001</v>
      </c>
      <c r="M122" s="63">
        <f t="shared" si="74"/>
        <v>13492.21</v>
      </c>
      <c r="N122" s="63">
        <f t="shared" si="68"/>
        <v>100000</v>
      </c>
      <c r="O122" s="63">
        <f t="shared" si="75"/>
        <v>1349.221</v>
      </c>
      <c r="P122" s="63">
        <v>10000</v>
      </c>
      <c r="Q122" s="63"/>
      <c r="R122" s="36">
        <f t="shared" si="76"/>
        <v>233791.02674999999</v>
      </c>
      <c r="S122" s="36"/>
      <c r="T122" s="36"/>
      <c r="U122" s="36"/>
      <c r="V122" s="63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00000000000001" customHeight="1" x14ac:dyDescent="0.3">
      <c r="A123" s="33">
        <v>16</v>
      </c>
      <c r="B123" s="169" t="s">
        <v>213</v>
      </c>
      <c r="C123" s="170"/>
      <c r="D123" s="62" t="s">
        <v>209</v>
      </c>
      <c r="E123" s="67" t="s">
        <v>181</v>
      </c>
      <c r="F123" s="68">
        <f>13112.16</f>
        <v>13112.16</v>
      </c>
      <c r="G123" s="63"/>
      <c r="H123" s="63">
        <f t="shared" si="70"/>
        <v>39336.479999999996</v>
      </c>
      <c r="I123" s="63">
        <f t="shared" si="71"/>
        <v>983.41199999999992</v>
      </c>
      <c r="J123" s="63"/>
      <c r="K123" s="63">
        <f t="shared" si="72"/>
        <v>6556.08</v>
      </c>
      <c r="L123" s="36">
        <f t="shared" si="73"/>
        <v>45892.56</v>
      </c>
      <c r="M123" s="63">
        <f t="shared" si="74"/>
        <v>13112.16</v>
      </c>
      <c r="N123" s="63">
        <f t="shared" si="68"/>
        <v>100000</v>
      </c>
      <c r="O123" s="63">
        <f t="shared" si="75"/>
        <v>1311.2160000000001</v>
      </c>
      <c r="P123" s="63">
        <v>10000</v>
      </c>
      <c r="Q123" s="63"/>
      <c r="R123" s="36">
        <f t="shared" si="76"/>
        <v>230304.068</v>
      </c>
      <c r="S123" s="36"/>
      <c r="T123" s="36"/>
      <c r="U123" s="36"/>
      <c r="V123" s="63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00000000000001" customHeight="1" x14ac:dyDescent="0.3">
      <c r="A124" s="33">
        <v>17</v>
      </c>
      <c r="B124" s="169" t="s">
        <v>214</v>
      </c>
      <c r="C124" s="170"/>
      <c r="D124" s="62" t="s">
        <v>215</v>
      </c>
      <c r="E124" s="67" t="s">
        <v>181</v>
      </c>
      <c r="F124" s="68">
        <f>13112.16</f>
        <v>13112.16</v>
      </c>
      <c r="G124" s="63"/>
      <c r="H124" s="63">
        <f t="shared" si="70"/>
        <v>39336.479999999996</v>
      </c>
      <c r="I124" s="63">
        <f t="shared" si="71"/>
        <v>983.41199999999992</v>
      </c>
      <c r="J124" s="63"/>
      <c r="K124" s="63">
        <f t="shared" si="72"/>
        <v>6556.08</v>
      </c>
      <c r="L124" s="36">
        <f t="shared" si="73"/>
        <v>45892.56</v>
      </c>
      <c r="M124" s="63">
        <f t="shared" si="74"/>
        <v>13112.16</v>
      </c>
      <c r="N124" s="63">
        <f t="shared" si="68"/>
        <v>100000</v>
      </c>
      <c r="O124" s="63">
        <f t="shared" si="75"/>
        <v>1311.2160000000001</v>
      </c>
      <c r="P124" s="63">
        <v>10000</v>
      </c>
      <c r="Q124" s="63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63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00000000000001" customHeight="1" x14ac:dyDescent="0.3">
      <c r="A125" s="33">
        <v>18</v>
      </c>
      <c r="B125" s="169" t="s">
        <v>216</v>
      </c>
      <c r="C125" s="170"/>
      <c r="D125" s="62" t="s">
        <v>217</v>
      </c>
      <c r="E125" s="67" t="s">
        <v>181</v>
      </c>
      <c r="F125" s="68">
        <f>13112.16</f>
        <v>13112.16</v>
      </c>
      <c r="G125" s="63"/>
      <c r="H125" s="63">
        <f t="shared" si="70"/>
        <v>39336.479999999996</v>
      </c>
      <c r="I125" s="63">
        <f t="shared" si="71"/>
        <v>983.41199999999992</v>
      </c>
      <c r="J125" s="63"/>
      <c r="K125" s="63">
        <f t="shared" si="72"/>
        <v>6556.08</v>
      </c>
      <c r="L125" s="36">
        <f t="shared" si="73"/>
        <v>45892.56</v>
      </c>
      <c r="M125" s="63">
        <f t="shared" si="74"/>
        <v>13112.16</v>
      </c>
      <c r="N125" s="63">
        <f t="shared" si="68"/>
        <v>100000</v>
      </c>
      <c r="O125" s="63">
        <f t="shared" si="75"/>
        <v>1311.2160000000001</v>
      </c>
      <c r="P125" s="63">
        <v>10000</v>
      </c>
      <c r="Q125" s="63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63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00000000000001" customHeight="1" x14ac:dyDescent="0.3">
      <c r="A126" s="33">
        <v>19</v>
      </c>
      <c r="B126" s="169" t="s">
        <v>218</v>
      </c>
      <c r="C126" s="170"/>
      <c r="D126" s="62" t="s">
        <v>217</v>
      </c>
      <c r="E126" s="67" t="s">
        <v>181</v>
      </c>
      <c r="F126" s="68">
        <f>13112.16</f>
        <v>13112.16</v>
      </c>
      <c r="G126" s="63"/>
      <c r="H126" s="63">
        <f t="shared" si="70"/>
        <v>39336.479999999996</v>
      </c>
      <c r="I126" s="63">
        <f t="shared" si="71"/>
        <v>983.41199999999992</v>
      </c>
      <c r="J126" s="63"/>
      <c r="K126" s="63">
        <f t="shared" si="72"/>
        <v>6556.08</v>
      </c>
      <c r="L126" s="36">
        <f t="shared" si="73"/>
        <v>45892.56</v>
      </c>
      <c r="M126" s="63">
        <f t="shared" si="74"/>
        <v>13112.16</v>
      </c>
      <c r="N126" s="63">
        <f t="shared" si="68"/>
        <v>100000</v>
      </c>
      <c r="O126" s="63">
        <f t="shared" si="75"/>
        <v>1311.2160000000001</v>
      </c>
      <c r="P126" s="63">
        <v>10000</v>
      </c>
      <c r="Q126" s="63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63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00000000000001" customHeight="1" x14ac:dyDescent="0.3">
      <c r="A127" s="33">
        <v>20</v>
      </c>
      <c r="B127" s="169" t="s">
        <v>219</v>
      </c>
      <c r="C127" s="170"/>
      <c r="D127" s="62" t="s">
        <v>209</v>
      </c>
      <c r="E127" s="67" t="s">
        <v>181</v>
      </c>
      <c r="F127" s="68">
        <f>13112.16</f>
        <v>13112.16</v>
      </c>
      <c r="G127" s="63"/>
      <c r="H127" s="63">
        <f t="shared" si="70"/>
        <v>39336.479999999996</v>
      </c>
      <c r="I127" s="63">
        <f t="shared" si="71"/>
        <v>983.41199999999992</v>
      </c>
      <c r="J127" s="63"/>
      <c r="K127" s="63">
        <f t="shared" si="72"/>
        <v>6556.08</v>
      </c>
      <c r="L127" s="36">
        <f t="shared" si="73"/>
        <v>45892.56</v>
      </c>
      <c r="M127" s="63">
        <f t="shared" si="74"/>
        <v>13112.16</v>
      </c>
      <c r="N127" s="63">
        <f t="shared" si="68"/>
        <v>100000</v>
      </c>
      <c r="O127" s="63">
        <f t="shared" si="75"/>
        <v>1311.2160000000001</v>
      </c>
      <c r="P127" s="63">
        <v>10000</v>
      </c>
      <c r="Q127" s="63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63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00000000000001" customHeight="1" x14ac:dyDescent="0.3">
      <c r="A128" s="33">
        <v>21</v>
      </c>
      <c r="B128" s="169" t="s">
        <v>220</v>
      </c>
      <c r="C128" s="170"/>
      <c r="D128" s="62" t="s">
        <v>221</v>
      </c>
      <c r="E128" s="67" t="s">
        <v>71</v>
      </c>
      <c r="F128" s="63">
        <f>19276.95</f>
        <v>19276.95</v>
      </c>
      <c r="G128" s="63"/>
      <c r="H128" s="63">
        <f t="shared" si="70"/>
        <v>57830.850000000006</v>
      </c>
      <c r="I128" s="63">
        <f t="shared" si="71"/>
        <v>1445.77125</v>
      </c>
      <c r="J128" s="36"/>
      <c r="K128" s="63">
        <f t="shared" si="72"/>
        <v>9638.4750000000004</v>
      </c>
      <c r="L128" s="36">
        <f t="shared" si="73"/>
        <v>67469.324999999997</v>
      </c>
      <c r="M128" s="63">
        <f t="shared" si="74"/>
        <v>19276.95</v>
      </c>
      <c r="N128" s="63">
        <f t="shared" si="68"/>
        <v>100000</v>
      </c>
      <c r="O128" s="63">
        <f t="shared" si="75"/>
        <v>1927.6950000000002</v>
      </c>
      <c r="P128" s="63">
        <v>10000</v>
      </c>
      <c r="Q128" s="63"/>
      <c r="R128" s="36">
        <f t="shared" si="76"/>
        <v>286866.01625000004</v>
      </c>
      <c r="S128" s="36">
        <f>20000</f>
        <v>20000</v>
      </c>
      <c r="T128" s="36"/>
      <c r="U128" s="36"/>
      <c r="V128" s="63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00000000000001" customHeight="1" x14ac:dyDescent="0.3">
      <c r="A129" s="33">
        <v>22</v>
      </c>
      <c r="B129" s="169" t="s">
        <v>222</v>
      </c>
      <c r="C129" s="170"/>
      <c r="D129" s="62" t="s">
        <v>209</v>
      </c>
      <c r="E129" s="67" t="s">
        <v>68</v>
      </c>
      <c r="F129" s="26">
        <f>18281.64</f>
        <v>18281.64</v>
      </c>
      <c r="G129" s="63"/>
      <c r="H129" s="63">
        <f t="shared" si="70"/>
        <v>54844.92</v>
      </c>
      <c r="I129" s="63">
        <f t="shared" si="71"/>
        <v>1371.1229999999998</v>
      </c>
      <c r="J129" s="36"/>
      <c r="K129" s="63">
        <f t="shared" si="72"/>
        <v>9140.82</v>
      </c>
      <c r="L129" s="36">
        <f t="shared" si="73"/>
        <v>63985.74</v>
      </c>
      <c r="M129" s="63">
        <f t="shared" si="74"/>
        <v>18281.64</v>
      </c>
      <c r="N129" s="63">
        <f t="shared" si="68"/>
        <v>100000</v>
      </c>
      <c r="O129" s="63">
        <f t="shared" si="75"/>
        <v>1828.164</v>
      </c>
      <c r="P129" s="63">
        <v>10000</v>
      </c>
      <c r="Q129" s="63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3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00000000000001" customHeight="1" x14ac:dyDescent="0.3">
      <c r="A130" s="33">
        <v>23</v>
      </c>
      <c r="B130" s="84" t="s">
        <v>223</v>
      </c>
      <c r="C130" s="85"/>
      <c r="D130" s="62" t="s">
        <v>224</v>
      </c>
      <c r="E130" s="67" t="s">
        <v>183</v>
      </c>
      <c r="F130" s="68">
        <f>17784</f>
        <v>17784</v>
      </c>
      <c r="G130" s="63">
        <f>0</f>
        <v>0</v>
      </c>
      <c r="H130" s="63">
        <f t="shared" si="70"/>
        <v>53352</v>
      </c>
      <c r="I130" s="63">
        <f t="shared" si="71"/>
        <v>1333.8</v>
      </c>
      <c r="J130" s="63"/>
      <c r="K130" s="63">
        <f t="shared" si="72"/>
        <v>8892</v>
      </c>
      <c r="L130" s="36">
        <f t="shared" si="73"/>
        <v>62244</v>
      </c>
      <c r="M130" s="63">
        <f>F130*100%</f>
        <v>17784</v>
      </c>
      <c r="N130" s="43">
        <f>100000</f>
        <v>100000</v>
      </c>
      <c r="O130" s="63">
        <f>F130*10%</f>
        <v>1778.4</v>
      </c>
      <c r="P130" s="63">
        <v>10000</v>
      </c>
      <c r="R130" s="63">
        <f t="shared" si="76"/>
        <v>273168.2</v>
      </c>
      <c r="S130" s="36">
        <f>30000</f>
        <v>30000</v>
      </c>
      <c r="T130" s="36"/>
      <c r="U130" s="36"/>
      <c r="V130" s="63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00000000000001" customHeight="1" x14ac:dyDescent="0.3">
      <c r="A131" s="33">
        <v>24</v>
      </c>
      <c r="B131" s="178" t="s">
        <v>225</v>
      </c>
      <c r="C131" s="178"/>
      <c r="D131" s="62" t="s">
        <v>226</v>
      </c>
      <c r="E131" s="114" t="s">
        <v>277</v>
      </c>
      <c r="F131" s="115">
        <f>5769.6</f>
        <v>5769.6</v>
      </c>
      <c r="G131" s="33"/>
      <c r="H131" s="63">
        <f t="shared" si="70"/>
        <v>17308.800000000003</v>
      </c>
      <c r="I131" s="63">
        <f t="shared" si="71"/>
        <v>432.72</v>
      </c>
      <c r="J131" s="68">
        <v>0</v>
      </c>
      <c r="K131" s="63">
        <f t="shared" si="72"/>
        <v>2884.8</v>
      </c>
      <c r="L131" s="36">
        <f t="shared" si="73"/>
        <v>20193.600000000002</v>
      </c>
      <c r="M131" s="63">
        <f t="shared" ref="M131:M140" si="78">F131*100%</f>
        <v>5769.6</v>
      </c>
      <c r="N131" s="36">
        <f>25000+4000</f>
        <v>29000</v>
      </c>
      <c r="O131" s="63">
        <f t="shared" ref="O131:O157" si="79">F131*10%</f>
        <v>576.96</v>
      </c>
      <c r="P131" s="68">
        <v>5000</v>
      </c>
      <c r="Q131" s="63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00000000000001" customHeight="1" x14ac:dyDescent="0.3">
      <c r="A132" s="33">
        <v>25</v>
      </c>
      <c r="B132" s="178" t="s">
        <v>228</v>
      </c>
      <c r="C132" s="178"/>
      <c r="D132" s="62" t="s">
        <v>226</v>
      </c>
      <c r="E132" s="114" t="s">
        <v>277</v>
      </c>
      <c r="F132" s="115">
        <f t="shared" ref="F132:F137" si="82">5769.6</f>
        <v>5769.6</v>
      </c>
      <c r="G132" s="33"/>
      <c r="H132" s="63">
        <f t="shared" si="70"/>
        <v>17308.800000000003</v>
      </c>
      <c r="I132" s="63">
        <f t="shared" si="71"/>
        <v>432.72</v>
      </c>
      <c r="J132" s="68">
        <v>0</v>
      </c>
      <c r="K132" s="63">
        <f t="shared" si="72"/>
        <v>2884.8</v>
      </c>
      <c r="L132" s="36">
        <f t="shared" si="73"/>
        <v>20193.600000000002</v>
      </c>
      <c r="M132" s="63">
        <f t="shared" si="78"/>
        <v>5769.6</v>
      </c>
      <c r="N132" s="36">
        <f>25000+7000</f>
        <v>32000</v>
      </c>
      <c r="O132" s="63">
        <f t="shared" si="79"/>
        <v>576.96</v>
      </c>
      <c r="P132" s="68">
        <v>5000</v>
      </c>
      <c r="Q132" s="63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00000000000001" customHeight="1" x14ac:dyDescent="0.3">
      <c r="A133" s="33">
        <v>26</v>
      </c>
      <c r="B133" s="178" t="s">
        <v>229</v>
      </c>
      <c r="C133" s="178"/>
      <c r="D133" s="62" t="s">
        <v>226</v>
      </c>
      <c r="E133" s="114" t="s">
        <v>277</v>
      </c>
      <c r="F133" s="115">
        <f t="shared" si="82"/>
        <v>5769.6</v>
      </c>
      <c r="G133" s="33"/>
      <c r="H133" s="63">
        <f t="shared" si="70"/>
        <v>17308.800000000003</v>
      </c>
      <c r="I133" s="63">
        <f t="shared" si="71"/>
        <v>432.72</v>
      </c>
      <c r="J133" s="63">
        <v>0</v>
      </c>
      <c r="K133" s="63">
        <f t="shared" si="72"/>
        <v>2884.8</v>
      </c>
      <c r="L133" s="36">
        <f t="shared" si="73"/>
        <v>20193.600000000002</v>
      </c>
      <c r="M133" s="63">
        <f t="shared" si="78"/>
        <v>5769.6</v>
      </c>
      <c r="N133" s="36">
        <f>25000+4000</f>
        <v>29000</v>
      </c>
      <c r="O133" s="63">
        <f t="shared" si="79"/>
        <v>576.96</v>
      </c>
      <c r="P133" s="63">
        <v>5000</v>
      </c>
      <c r="Q133" s="63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00000000000001" customHeight="1" x14ac:dyDescent="0.3">
      <c r="A134" s="33">
        <v>27</v>
      </c>
      <c r="B134" s="178" t="s">
        <v>230</v>
      </c>
      <c r="C134" s="178"/>
      <c r="D134" s="62" t="s">
        <v>226</v>
      </c>
      <c r="E134" s="114" t="s">
        <v>277</v>
      </c>
      <c r="F134" s="115">
        <f t="shared" si="82"/>
        <v>5769.6</v>
      </c>
      <c r="G134" s="33"/>
      <c r="H134" s="63">
        <f t="shared" si="70"/>
        <v>17308.800000000003</v>
      </c>
      <c r="I134" s="63">
        <f t="shared" si="71"/>
        <v>432.72</v>
      </c>
      <c r="J134" s="63">
        <v>0</v>
      </c>
      <c r="K134" s="63">
        <f t="shared" si="72"/>
        <v>2884.8</v>
      </c>
      <c r="L134" s="36">
        <f t="shared" si="73"/>
        <v>20193.600000000002</v>
      </c>
      <c r="M134" s="63">
        <f t="shared" si="78"/>
        <v>5769.6</v>
      </c>
      <c r="N134" s="36">
        <f>25000+4000</f>
        <v>29000</v>
      </c>
      <c r="O134" s="63">
        <f t="shared" si="79"/>
        <v>576.96</v>
      </c>
      <c r="P134" s="63">
        <v>5000</v>
      </c>
      <c r="Q134" s="63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00000000000001" customHeight="1" x14ac:dyDescent="0.3">
      <c r="A135" s="33">
        <v>28</v>
      </c>
      <c r="B135" s="178" t="s">
        <v>231</v>
      </c>
      <c r="C135" s="178"/>
      <c r="D135" s="62" t="s">
        <v>226</v>
      </c>
      <c r="E135" s="114" t="s">
        <v>277</v>
      </c>
      <c r="F135" s="115">
        <f t="shared" si="82"/>
        <v>5769.6</v>
      </c>
      <c r="G135" s="33"/>
      <c r="H135" s="63">
        <f t="shared" si="70"/>
        <v>17308.800000000003</v>
      </c>
      <c r="I135" s="63">
        <f t="shared" si="71"/>
        <v>432.72</v>
      </c>
      <c r="J135" s="63">
        <v>0</v>
      </c>
      <c r="K135" s="63">
        <f t="shared" si="72"/>
        <v>2884.8</v>
      </c>
      <c r="L135" s="36">
        <f t="shared" si="73"/>
        <v>20193.600000000002</v>
      </c>
      <c r="M135" s="63">
        <f t="shared" si="78"/>
        <v>5769.6</v>
      </c>
      <c r="N135" s="36">
        <f>25000+4000</f>
        <v>29000</v>
      </c>
      <c r="O135" s="63">
        <f t="shared" si="79"/>
        <v>576.96</v>
      </c>
      <c r="P135" s="63">
        <v>5000</v>
      </c>
      <c r="Q135" s="63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00000000000001" customHeight="1" x14ac:dyDescent="0.3">
      <c r="A136" s="33">
        <v>29</v>
      </c>
      <c r="B136" s="178" t="s">
        <v>232</v>
      </c>
      <c r="C136" s="178"/>
      <c r="D136" s="62" t="s">
        <v>226</v>
      </c>
      <c r="E136" s="114" t="s">
        <v>277</v>
      </c>
      <c r="F136" s="115">
        <f t="shared" si="82"/>
        <v>5769.6</v>
      </c>
      <c r="G136" s="27">
        <f>0</f>
        <v>0</v>
      </c>
      <c r="H136" s="63">
        <f t="shared" si="70"/>
        <v>17308.800000000003</v>
      </c>
      <c r="I136" s="63">
        <f t="shared" si="71"/>
        <v>432.72</v>
      </c>
      <c r="J136" s="63">
        <v>0</v>
      </c>
      <c r="K136" s="63">
        <f t="shared" si="72"/>
        <v>2884.8</v>
      </c>
      <c r="L136" s="36">
        <f t="shared" si="73"/>
        <v>20193.600000000002</v>
      </c>
      <c r="M136" s="63">
        <f t="shared" si="78"/>
        <v>5769.6</v>
      </c>
      <c r="N136" s="36">
        <f>25000+3000</f>
        <v>28000</v>
      </c>
      <c r="O136" s="63">
        <f t="shared" si="79"/>
        <v>576.96</v>
      </c>
      <c r="P136" s="63">
        <v>5000</v>
      </c>
      <c r="Q136" s="63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00000000000001" customHeight="1" x14ac:dyDescent="0.3">
      <c r="A137" s="33">
        <v>30</v>
      </c>
      <c r="B137" s="178" t="s">
        <v>233</v>
      </c>
      <c r="C137" s="178"/>
      <c r="D137" s="62" t="s">
        <v>226</v>
      </c>
      <c r="E137" s="114" t="s">
        <v>277</v>
      </c>
      <c r="F137" s="115">
        <f t="shared" si="82"/>
        <v>5769.6</v>
      </c>
      <c r="G137" s="33"/>
      <c r="H137" s="63">
        <f t="shared" si="70"/>
        <v>17308.800000000003</v>
      </c>
      <c r="I137" s="63">
        <f t="shared" si="71"/>
        <v>432.72</v>
      </c>
      <c r="J137" s="63">
        <v>0</v>
      </c>
      <c r="K137" s="63">
        <f t="shared" si="72"/>
        <v>2884.8</v>
      </c>
      <c r="L137" s="36">
        <f t="shared" si="73"/>
        <v>20193.600000000002</v>
      </c>
      <c r="M137" s="63">
        <f t="shared" si="78"/>
        <v>5769.6</v>
      </c>
      <c r="N137" s="36">
        <f>25000+7000</f>
        <v>32000</v>
      </c>
      <c r="O137" s="63">
        <f t="shared" si="79"/>
        <v>576.96</v>
      </c>
      <c r="P137" s="63">
        <v>5000</v>
      </c>
      <c r="Q137" s="63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00000000000001" customHeight="1" x14ac:dyDescent="0.3">
      <c r="A138" s="33">
        <v>31</v>
      </c>
      <c r="B138" s="178" t="s">
        <v>234</v>
      </c>
      <c r="C138" s="178"/>
      <c r="D138" s="62" t="s">
        <v>235</v>
      </c>
      <c r="E138" s="67" t="s">
        <v>236</v>
      </c>
      <c r="F138" s="63">
        <f t="shared" ref="F138:F144" si="83">5598.92</f>
        <v>5598.92</v>
      </c>
      <c r="G138" s="33"/>
      <c r="H138" s="63">
        <f t="shared" si="70"/>
        <v>16796.760000000002</v>
      </c>
      <c r="I138" s="63">
        <f t="shared" si="71"/>
        <v>419.91899999999998</v>
      </c>
      <c r="J138" s="63">
        <v>0</v>
      </c>
      <c r="K138" s="63">
        <f t="shared" si="72"/>
        <v>2799.46</v>
      </c>
      <c r="L138" s="36">
        <f t="shared" si="73"/>
        <v>19596.22</v>
      </c>
      <c r="M138" s="63">
        <f t="shared" si="78"/>
        <v>5598.92</v>
      </c>
      <c r="N138" s="36">
        <f t="shared" ref="N138:N156" si="84">25000+7000</f>
        <v>32000</v>
      </c>
      <c r="O138" s="63">
        <f t="shared" si="79"/>
        <v>559.89200000000005</v>
      </c>
      <c r="P138" s="63">
        <v>5000</v>
      </c>
      <c r="Q138" s="63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00000000000001" customHeight="1" x14ac:dyDescent="0.3">
      <c r="A139" s="33">
        <v>32</v>
      </c>
      <c r="B139" s="178" t="s">
        <v>237</v>
      </c>
      <c r="C139" s="178"/>
      <c r="D139" s="62" t="s">
        <v>235</v>
      </c>
      <c r="E139" s="67" t="s">
        <v>236</v>
      </c>
      <c r="F139" s="63">
        <f t="shared" si="83"/>
        <v>5598.92</v>
      </c>
      <c r="G139" s="33"/>
      <c r="H139" s="63">
        <f t="shared" si="70"/>
        <v>16796.760000000002</v>
      </c>
      <c r="I139" s="63">
        <f t="shared" si="71"/>
        <v>419.91899999999998</v>
      </c>
      <c r="J139" s="63">
        <v>0</v>
      </c>
      <c r="K139" s="63">
        <f t="shared" si="72"/>
        <v>2799.46</v>
      </c>
      <c r="L139" s="36">
        <f t="shared" si="73"/>
        <v>19596.22</v>
      </c>
      <c r="M139" s="63">
        <f t="shared" si="78"/>
        <v>5598.92</v>
      </c>
      <c r="N139" s="36">
        <f>25000+4000</f>
        <v>29000</v>
      </c>
      <c r="O139" s="63">
        <f t="shared" si="79"/>
        <v>559.89200000000005</v>
      </c>
      <c r="P139" s="63">
        <v>5000</v>
      </c>
      <c r="Q139" s="63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00000000000001" customHeight="1" x14ac:dyDescent="0.3">
      <c r="A140" s="33">
        <v>33</v>
      </c>
      <c r="B140" s="178" t="s">
        <v>238</v>
      </c>
      <c r="C140" s="178"/>
      <c r="D140" s="62" t="s">
        <v>235</v>
      </c>
      <c r="E140" s="67" t="s">
        <v>236</v>
      </c>
      <c r="F140" s="63">
        <f t="shared" si="83"/>
        <v>5598.92</v>
      </c>
      <c r="G140" s="33"/>
      <c r="H140" s="63">
        <f t="shared" si="70"/>
        <v>16796.760000000002</v>
      </c>
      <c r="I140" s="63">
        <f t="shared" si="71"/>
        <v>419.91899999999998</v>
      </c>
      <c r="J140" s="63">
        <v>0</v>
      </c>
      <c r="K140" s="63">
        <f t="shared" si="72"/>
        <v>2799.46</v>
      </c>
      <c r="L140" s="36">
        <f t="shared" si="73"/>
        <v>19596.22</v>
      </c>
      <c r="M140" s="63">
        <f t="shared" si="78"/>
        <v>5598.92</v>
      </c>
      <c r="N140" s="36">
        <f>25000+4000</f>
        <v>29000</v>
      </c>
      <c r="O140" s="63">
        <f t="shared" si="79"/>
        <v>559.89200000000005</v>
      </c>
      <c r="P140" s="63">
        <v>5000</v>
      </c>
      <c r="Q140" s="63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00000000000001" customHeight="1" x14ac:dyDescent="0.3">
      <c r="A141" s="33">
        <v>34</v>
      </c>
      <c r="B141" s="33" t="s">
        <v>239</v>
      </c>
      <c r="C141" s="33"/>
      <c r="D141" s="62" t="s">
        <v>235</v>
      </c>
      <c r="E141" s="67" t="s">
        <v>236</v>
      </c>
      <c r="F141" s="63">
        <f t="shared" si="83"/>
        <v>5598.92</v>
      </c>
      <c r="G141" s="33"/>
      <c r="H141" s="63">
        <f t="shared" si="70"/>
        <v>16796.760000000002</v>
      </c>
      <c r="I141" s="63">
        <f t="shared" si="71"/>
        <v>419.91899999999998</v>
      </c>
      <c r="J141" s="63">
        <v>0</v>
      </c>
      <c r="K141" s="63">
        <f t="shared" si="72"/>
        <v>2799.46</v>
      </c>
      <c r="L141" s="36">
        <f t="shared" si="73"/>
        <v>19596.22</v>
      </c>
      <c r="M141" s="63">
        <f>F140*100%</f>
        <v>5598.92</v>
      </c>
      <c r="N141" s="36">
        <f t="shared" si="84"/>
        <v>32000</v>
      </c>
      <c r="O141" s="63">
        <f t="shared" si="79"/>
        <v>559.89200000000005</v>
      </c>
      <c r="P141" s="63">
        <v>5000</v>
      </c>
      <c r="Q141" s="63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00000000000001" customHeight="1" x14ac:dyDescent="0.3">
      <c r="A142" s="33">
        <v>35</v>
      </c>
      <c r="B142" s="169" t="s">
        <v>240</v>
      </c>
      <c r="C142" s="170"/>
      <c r="D142" s="62" t="s">
        <v>235</v>
      </c>
      <c r="E142" s="67" t="s">
        <v>236</v>
      </c>
      <c r="F142" s="63">
        <f t="shared" si="83"/>
        <v>5598.92</v>
      </c>
      <c r="G142" s="33"/>
      <c r="H142" s="63">
        <f t="shared" si="70"/>
        <v>16796.760000000002</v>
      </c>
      <c r="I142" s="63">
        <f t="shared" si="71"/>
        <v>419.91899999999998</v>
      </c>
      <c r="J142" s="63"/>
      <c r="K142" s="63">
        <f t="shared" si="72"/>
        <v>2799.46</v>
      </c>
      <c r="L142" s="36">
        <f t="shared" si="73"/>
        <v>19596.22</v>
      </c>
      <c r="M142" s="63">
        <f t="shared" ref="M142:M157" si="86">F142*100%</f>
        <v>5598.92</v>
      </c>
      <c r="N142" s="36">
        <f>25000+4000</f>
        <v>29000</v>
      </c>
      <c r="O142" s="63">
        <f t="shared" si="79"/>
        <v>559.89200000000005</v>
      </c>
      <c r="P142" s="63">
        <v>5000</v>
      </c>
      <c r="Q142" s="63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00000000000001" customHeight="1" x14ac:dyDescent="0.3">
      <c r="A143" s="33">
        <v>36</v>
      </c>
      <c r="B143" s="62" t="s">
        <v>241</v>
      </c>
      <c r="C143" s="33"/>
      <c r="D143" s="62" t="s">
        <v>235</v>
      </c>
      <c r="E143" s="67" t="s">
        <v>236</v>
      </c>
      <c r="F143" s="63">
        <f t="shared" si="83"/>
        <v>5598.92</v>
      </c>
      <c r="G143" s="33"/>
      <c r="H143" s="63">
        <f t="shared" si="70"/>
        <v>16796.760000000002</v>
      </c>
      <c r="I143" s="63">
        <f t="shared" si="71"/>
        <v>419.91899999999998</v>
      </c>
      <c r="J143" s="63"/>
      <c r="K143" s="63">
        <f t="shared" si="72"/>
        <v>2799.46</v>
      </c>
      <c r="L143" s="36">
        <f t="shared" si="73"/>
        <v>19596.22</v>
      </c>
      <c r="M143" s="63">
        <f t="shared" si="86"/>
        <v>5598.92</v>
      </c>
      <c r="N143" s="36">
        <f>25000+4000</f>
        <v>29000</v>
      </c>
      <c r="O143" s="63">
        <f t="shared" si="79"/>
        <v>559.89200000000005</v>
      </c>
      <c r="P143" s="63">
        <v>5000</v>
      </c>
      <c r="Q143" s="63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00000000000001" customHeight="1" x14ac:dyDescent="0.3">
      <c r="A144" s="33">
        <v>37</v>
      </c>
      <c r="B144" s="62" t="s">
        <v>242</v>
      </c>
      <c r="C144" s="33"/>
      <c r="D144" s="62" t="s">
        <v>235</v>
      </c>
      <c r="E144" s="67" t="s">
        <v>236</v>
      </c>
      <c r="F144" s="63">
        <f t="shared" si="83"/>
        <v>5598.92</v>
      </c>
      <c r="G144" s="33"/>
      <c r="H144" s="63">
        <f t="shared" si="70"/>
        <v>16796.760000000002</v>
      </c>
      <c r="I144" s="63">
        <f t="shared" si="71"/>
        <v>419.91899999999998</v>
      </c>
      <c r="J144" s="63"/>
      <c r="K144" s="63">
        <f t="shared" si="72"/>
        <v>2799.46</v>
      </c>
      <c r="L144" s="36">
        <f t="shared" si="73"/>
        <v>19596.22</v>
      </c>
      <c r="M144" s="63">
        <f t="shared" si="86"/>
        <v>5598.92</v>
      </c>
      <c r="N144" s="36">
        <f t="shared" si="84"/>
        <v>32000</v>
      </c>
      <c r="O144" s="63">
        <f t="shared" si="79"/>
        <v>559.89200000000005</v>
      </c>
      <c r="P144" s="63">
        <v>5000</v>
      </c>
      <c r="Q144" s="63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00000000000001" customHeight="1" x14ac:dyDescent="0.3">
      <c r="A145" s="33">
        <v>38</v>
      </c>
      <c r="B145" s="169" t="s">
        <v>243</v>
      </c>
      <c r="C145" s="170"/>
      <c r="D145" s="62" t="s">
        <v>235</v>
      </c>
      <c r="E145" s="67" t="s">
        <v>244</v>
      </c>
      <c r="F145" s="63">
        <f>5086.76</f>
        <v>5086.76</v>
      </c>
      <c r="G145" s="33"/>
      <c r="H145" s="63">
        <f t="shared" si="70"/>
        <v>15260.28</v>
      </c>
      <c r="I145" s="63">
        <f t="shared" si="71"/>
        <v>381.50700000000001</v>
      </c>
      <c r="J145" s="63"/>
      <c r="K145" s="63">
        <f t="shared" si="72"/>
        <v>2543.38</v>
      </c>
      <c r="L145" s="36">
        <f t="shared" si="73"/>
        <v>17803.66</v>
      </c>
      <c r="M145" s="63">
        <f t="shared" si="86"/>
        <v>5086.76</v>
      </c>
      <c r="N145" s="36">
        <f t="shared" si="84"/>
        <v>32000</v>
      </c>
      <c r="O145" s="63">
        <f t="shared" si="79"/>
        <v>508.67600000000004</v>
      </c>
      <c r="P145" s="63">
        <v>5000</v>
      </c>
      <c r="Q145" s="63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00000000000001" customHeight="1" x14ac:dyDescent="0.3">
      <c r="A146" s="33">
        <v>39</v>
      </c>
      <c r="B146" s="169" t="s">
        <v>245</v>
      </c>
      <c r="C146" s="170"/>
      <c r="D146" s="62" t="s">
        <v>235</v>
      </c>
      <c r="E146" s="67" t="s">
        <v>244</v>
      </c>
      <c r="F146" s="63">
        <f>5086.76</f>
        <v>5086.76</v>
      </c>
      <c r="G146" s="33"/>
      <c r="H146" s="63">
        <f t="shared" si="70"/>
        <v>15260.28</v>
      </c>
      <c r="I146" s="63">
        <f t="shared" si="71"/>
        <v>381.50700000000001</v>
      </c>
      <c r="J146" s="63"/>
      <c r="K146" s="63">
        <f t="shared" si="72"/>
        <v>2543.38</v>
      </c>
      <c r="L146" s="36">
        <f t="shared" si="73"/>
        <v>17803.66</v>
      </c>
      <c r="M146" s="63">
        <f t="shared" si="86"/>
        <v>5086.76</v>
      </c>
      <c r="N146" s="36">
        <f t="shared" si="84"/>
        <v>32000</v>
      </c>
      <c r="O146" s="63">
        <f t="shared" si="79"/>
        <v>508.67600000000004</v>
      </c>
      <c r="P146" s="63">
        <v>5000</v>
      </c>
      <c r="Q146" s="63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00000000000001" customHeight="1" x14ac:dyDescent="0.3">
      <c r="A147" s="33">
        <v>40</v>
      </c>
      <c r="B147" s="62" t="s">
        <v>246</v>
      </c>
      <c r="C147" s="33"/>
      <c r="D147" s="62" t="s">
        <v>235</v>
      </c>
      <c r="E147" s="67" t="s">
        <v>247</v>
      </c>
      <c r="F147" s="63">
        <f>5257.44</f>
        <v>5257.44</v>
      </c>
      <c r="G147" s="33"/>
      <c r="H147" s="63">
        <f t="shared" si="70"/>
        <v>15772.32</v>
      </c>
      <c r="I147" s="63">
        <f t="shared" si="71"/>
        <v>394.30799999999994</v>
      </c>
      <c r="J147" s="63"/>
      <c r="K147" s="63">
        <f t="shared" si="72"/>
        <v>2628.72</v>
      </c>
      <c r="L147" s="36">
        <f t="shared" si="73"/>
        <v>18401.039999999997</v>
      </c>
      <c r="M147" s="63">
        <f t="shared" si="86"/>
        <v>5257.44</v>
      </c>
      <c r="N147" s="36">
        <f t="shared" si="84"/>
        <v>32000</v>
      </c>
      <c r="O147" s="63">
        <f t="shared" si="79"/>
        <v>525.74400000000003</v>
      </c>
      <c r="P147" s="63">
        <v>5000</v>
      </c>
      <c r="Q147" s="63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00000000000001" customHeight="1" x14ac:dyDescent="0.3">
      <c r="A148" s="33">
        <v>41</v>
      </c>
      <c r="B148" s="169" t="s">
        <v>248</v>
      </c>
      <c r="C148" s="170"/>
      <c r="D148" s="62" t="s">
        <v>235</v>
      </c>
      <c r="E148" s="67" t="s">
        <v>249</v>
      </c>
      <c r="F148" s="63">
        <f>4915.97</f>
        <v>4915.97</v>
      </c>
      <c r="G148" s="33"/>
      <c r="H148" s="63">
        <f t="shared" si="70"/>
        <v>14747.91</v>
      </c>
      <c r="I148" s="63">
        <f t="shared" si="71"/>
        <v>368.69774999999998</v>
      </c>
      <c r="J148" s="63"/>
      <c r="K148" s="63">
        <f t="shared" si="72"/>
        <v>2457.9850000000001</v>
      </c>
      <c r="L148" s="36">
        <f t="shared" si="73"/>
        <v>17205.895</v>
      </c>
      <c r="M148" s="63">
        <f t="shared" si="86"/>
        <v>4915.97</v>
      </c>
      <c r="N148" s="36">
        <f t="shared" si="84"/>
        <v>32000</v>
      </c>
      <c r="O148" s="63">
        <f t="shared" si="79"/>
        <v>491.59700000000004</v>
      </c>
      <c r="P148" s="63">
        <v>5000</v>
      </c>
      <c r="Q148" s="63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00000000000001" customHeight="1" x14ac:dyDescent="0.3">
      <c r="A149" s="33">
        <v>42</v>
      </c>
      <c r="B149" s="169" t="s">
        <v>250</v>
      </c>
      <c r="C149" s="170"/>
      <c r="D149" s="62" t="s">
        <v>251</v>
      </c>
      <c r="E149" s="67" t="s">
        <v>252</v>
      </c>
      <c r="F149" s="63">
        <f t="shared" ref="F149:F154" si="87">4836.3</f>
        <v>4836.3</v>
      </c>
      <c r="G149" s="33"/>
      <c r="H149" s="63">
        <f t="shared" si="70"/>
        <v>14508.900000000001</v>
      </c>
      <c r="I149" s="63">
        <f t="shared" si="71"/>
        <v>362.72250000000003</v>
      </c>
      <c r="J149" s="63"/>
      <c r="K149" s="63">
        <f t="shared" si="72"/>
        <v>2418.15</v>
      </c>
      <c r="L149" s="36">
        <f t="shared" si="73"/>
        <v>16927.05</v>
      </c>
      <c r="M149" s="63">
        <f t="shared" si="86"/>
        <v>4836.3</v>
      </c>
      <c r="N149" s="36">
        <f>25000+4000</f>
        <v>29000</v>
      </c>
      <c r="O149" s="63">
        <f t="shared" si="79"/>
        <v>483.63000000000005</v>
      </c>
      <c r="P149" s="63">
        <v>5000</v>
      </c>
      <c r="Q149" s="63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00000000000001" customHeight="1" x14ac:dyDescent="0.3">
      <c r="A150" s="33">
        <v>43</v>
      </c>
      <c r="B150" s="169" t="s">
        <v>253</v>
      </c>
      <c r="C150" s="170"/>
      <c r="D150" s="62" t="s">
        <v>251</v>
      </c>
      <c r="E150" s="67" t="s">
        <v>252</v>
      </c>
      <c r="F150" s="63">
        <f t="shared" si="87"/>
        <v>4836.3</v>
      </c>
      <c r="G150" s="33"/>
      <c r="H150" s="63">
        <f t="shared" si="70"/>
        <v>14508.900000000001</v>
      </c>
      <c r="I150" s="63">
        <f t="shared" si="71"/>
        <v>362.72250000000003</v>
      </c>
      <c r="J150" s="63"/>
      <c r="K150" s="63">
        <f t="shared" si="72"/>
        <v>2418.15</v>
      </c>
      <c r="L150" s="36">
        <f t="shared" si="73"/>
        <v>16927.05</v>
      </c>
      <c r="M150" s="63">
        <f t="shared" si="86"/>
        <v>4836.3</v>
      </c>
      <c r="N150" s="36">
        <f>25000+4000</f>
        <v>29000</v>
      </c>
      <c r="O150" s="63">
        <f t="shared" si="79"/>
        <v>483.63000000000005</v>
      </c>
      <c r="P150" s="63">
        <v>5000</v>
      </c>
      <c r="Q150" s="63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00000000000001" customHeight="1" x14ac:dyDescent="0.3">
      <c r="A151" s="33">
        <v>44</v>
      </c>
      <c r="B151" s="169" t="s">
        <v>254</v>
      </c>
      <c r="C151" s="170"/>
      <c r="D151" s="62" t="s">
        <v>251</v>
      </c>
      <c r="E151" s="67" t="s">
        <v>252</v>
      </c>
      <c r="F151" s="63">
        <f t="shared" si="87"/>
        <v>4836.3</v>
      </c>
      <c r="G151" s="27">
        <f>0</f>
        <v>0</v>
      </c>
      <c r="H151" s="63">
        <f t="shared" si="70"/>
        <v>14508.900000000001</v>
      </c>
      <c r="I151" s="63">
        <f t="shared" si="71"/>
        <v>362.72250000000003</v>
      </c>
      <c r="J151" s="63"/>
      <c r="K151" s="63">
        <f t="shared" si="72"/>
        <v>2418.15</v>
      </c>
      <c r="L151" s="36">
        <f t="shared" si="73"/>
        <v>16927.05</v>
      </c>
      <c r="M151" s="63">
        <f t="shared" si="86"/>
        <v>4836.3</v>
      </c>
      <c r="N151" s="36">
        <f t="shared" si="84"/>
        <v>32000</v>
      </c>
      <c r="O151" s="63">
        <f t="shared" si="79"/>
        <v>483.63000000000005</v>
      </c>
      <c r="P151" s="63">
        <v>5000</v>
      </c>
      <c r="Q151" s="63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00000000000001" customHeight="1" x14ac:dyDescent="0.3">
      <c r="A152" s="33">
        <v>45</v>
      </c>
      <c r="B152" s="169" t="s">
        <v>255</v>
      </c>
      <c r="C152" s="170"/>
      <c r="D152" s="62" t="s">
        <v>251</v>
      </c>
      <c r="E152" s="67" t="s">
        <v>252</v>
      </c>
      <c r="F152" s="63">
        <f t="shared" si="87"/>
        <v>4836.3</v>
      </c>
      <c r="G152" s="33"/>
      <c r="H152" s="63">
        <f t="shared" si="70"/>
        <v>14508.900000000001</v>
      </c>
      <c r="I152" s="63">
        <f t="shared" si="71"/>
        <v>362.72250000000003</v>
      </c>
      <c r="J152" s="63"/>
      <c r="K152" s="63">
        <f t="shared" si="72"/>
        <v>2418.15</v>
      </c>
      <c r="L152" s="36">
        <f t="shared" si="73"/>
        <v>16927.05</v>
      </c>
      <c r="M152" s="63">
        <f t="shared" si="86"/>
        <v>4836.3</v>
      </c>
      <c r="N152" s="36">
        <f t="shared" si="84"/>
        <v>32000</v>
      </c>
      <c r="O152" s="63">
        <f t="shared" si="79"/>
        <v>483.63000000000005</v>
      </c>
      <c r="P152" s="63">
        <v>5000</v>
      </c>
      <c r="Q152" s="63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00000000000001" customHeight="1" x14ac:dyDescent="0.3">
      <c r="A153" s="33">
        <v>46</v>
      </c>
      <c r="B153" s="169" t="s">
        <v>256</v>
      </c>
      <c r="C153" s="170"/>
      <c r="D153" s="62" t="s">
        <v>251</v>
      </c>
      <c r="E153" s="67" t="s">
        <v>252</v>
      </c>
      <c r="F153" s="63">
        <f t="shared" si="87"/>
        <v>4836.3</v>
      </c>
      <c r="G153" s="33"/>
      <c r="H153" s="63">
        <f t="shared" si="70"/>
        <v>14508.900000000001</v>
      </c>
      <c r="I153" s="63">
        <f t="shared" si="71"/>
        <v>362.72250000000003</v>
      </c>
      <c r="J153" s="63"/>
      <c r="K153" s="63">
        <f t="shared" si="72"/>
        <v>2418.15</v>
      </c>
      <c r="L153" s="36">
        <f t="shared" si="73"/>
        <v>16927.05</v>
      </c>
      <c r="M153" s="63">
        <f t="shared" si="86"/>
        <v>4836.3</v>
      </c>
      <c r="N153" s="36">
        <f t="shared" si="84"/>
        <v>32000</v>
      </c>
      <c r="O153" s="63">
        <f t="shared" si="79"/>
        <v>483.63000000000005</v>
      </c>
      <c r="P153" s="63">
        <v>5000</v>
      </c>
      <c r="Q153" s="63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00000000000001" customHeight="1" x14ac:dyDescent="0.3">
      <c r="A154" s="33">
        <v>47</v>
      </c>
      <c r="B154" s="169" t="s">
        <v>257</v>
      </c>
      <c r="C154" s="170"/>
      <c r="D154" s="62" t="s">
        <v>251</v>
      </c>
      <c r="E154" s="67" t="s">
        <v>252</v>
      </c>
      <c r="F154" s="63">
        <f t="shared" si="87"/>
        <v>4836.3</v>
      </c>
      <c r="G154" s="33"/>
      <c r="H154" s="63">
        <f t="shared" si="70"/>
        <v>14508.900000000001</v>
      </c>
      <c r="I154" s="63">
        <f t="shared" si="71"/>
        <v>362.72250000000003</v>
      </c>
      <c r="J154" s="63"/>
      <c r="K154" s="63">
        <f t="shared" si="72"/>
        <v>2418.15</v>
      </c>
      <c r="L154" s="36">
        <f t="shared" si="73"/>
        <v>16927.05</v>
      </c>
      <c r="M154" s="63">
        <f t="shared" si="86"/>
        <v>4836.3</v>
      </c>
      <c r="N154" s="36">
        <f t="shared" si="84"/>
        <v>32000</v>
      </c>
      <c r="O154" s="63">
        <f t="shared" si="79"/>
        <v>483.63000000000005</v>
      </c>
      <c r="P154" s="63">
        <v>5000</v>
      </c>
      <c r="Q154" s="63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00000000000001" customHeight="1" x14ac:dyDescent="0.3">
      <c r="A155" s="33">
        <v>48</v>
      </c>
      <c r="B155" s="178" t="s">
        <v>258</v>
      </c>
      <c r="C155" s="178"/>
      <c r="D155" s="62" t="s">
        <v>251</v>
      </c>
      <c r="E155" s="67" t="s">
        <v>259</v>
      </c>
      <c r="F155" s="63">
        <f>4395.43</f>
        <v>4395.43</v>
      </c>
      <c r="G155" s="33"/>
      <c r="H155" s="63">
        <f t="shared" si="70"/>
        <v>13186.29</v>
      </c>
      <c r="I155" s="63">
        <f t="shared" si="71"/>
        <v>329.65725000000003</v>
      </c>
      <c r="J155" s="63"/>
      <c r="K155" s="63">
        <f t="shared" si="72"/>
        <v>2197.7150000000001</v>
      </c>
      <c r="L155" s="36">
        <f t="shared" si="73"/>
        <v>15384.005000000001</v>
      </c>
      <c r="M155" s="63">
        <f t="shared" si="86"/>
        <v>4395.43</v>
      </c>
      <c r="N155" s="36">
        <f t="shared" si="84"/>
        <v>32000</v>
      </c>
      <c r="O155" s="63">
        <f t="shared" si="79"/>
        <v>439.54300000000006</v>
      </c>
      <c r="P155" s="63">
        <v>5000</v>
      </c>
      <c r="Q155" s="63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00000000000001" customHeight="1" x14ac:dyDescent="0.3">
      <c r="A156" s="33">
        <v>49</v>
      </c>
      <c r="B156" s="178" t="s">
        <v>260</v>
      </c>
      <c r="C156" s="178"/>
      <c r="D156" s="62" t="s">
        <v>251</v>
      </c>
      <c r="E156" s="67" t="s">
        <v>259</v>
      </c>
      <c r="F156" s="63">
        <f>4395.43</f>
        <v>4395.43</v>
      </c>
      <c r="G156" s="33"/>
      <c r="H156" s="63">
        <f t="shared" si="70"/>
        <v>13186.29</v>
      </c>
      <c r="I156" s="63">
        <f t="shared" si="71"/>
        <v>329.65725000000003</v>
      </c>
      <c r="J156" s="63"/>
      <c r="K156" s="63">
        <f t="shared" si="72"/>
        <v>2197.7150000000001</v>
      </c>
      <c r="L156" s="36">
        <f t="shared" si="73"/>
        <v>15384.005000000001</v>
      </c>
      <c r="M156" s="63">
        <f t="shared" si="86"/>
        <v>4395.43</v>
      </c>
      <c r="N156" s="36">
        <f t="shared" si="84"/>
        <v>32000</v>
      </c>
      <c r="O156" s="63">
        <f t="shared" si="79"/>
        <v>439.54300000000006</v>
      </c>
      <c r="P156" s="63">
        <v>5000</v>
      </c>
      <c r="Q156" s="63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00000000000001" customHeight="1" x14ac:dyDescent="0.3">
      <c r="A157" s="33">
        <v>50</v>
      </c>
      <c r="B157" s="62" t="s">
        <v>261</v>
      </c>
      <c r="C157" s="62"/>
      <c r="D157" s="62" t="s">
        <v>251</v>
      </c>
      <c r="E157" s="67" t="s">
        <v>259</v>
      </c>
      <c r="F157" s="63">
        <f>4395.43</f>
        <v>4395.43</v>
      </c>
      <c r="G157" s="27">
        <f>0</f>
        <v>0</v>
      </c>
      <c r="H157" s="63">
        <f t="shared" si="70"/>
        <v>13186.29</v>
      </c>
      <c r="I157" s="63">
        <f t="shared" si="71"/>
        <v>329.65725000000003</v>
      </c>
      <c r="J157" s="63"/>
      <c r="K157" s="63">
        <f t="shared" si="72"/>
        <v>2197.7150000000001</v>
      </c>
      <c r="L157" s="36">
        <f t="shared" si="73"/>
        <v>15384.005000000001</v>
      </c>
      <c r="M157" s="63">
        <f t="shared" si="86"/>
        <v>4395.43</v>
      </c>
      <c r="N157" s="36">
        <f>25000+4000</f>
        <v>29000</v>
      </c>
      <c r="O157" s="63">
        <f t="shared" si="79"/>
        <v>439.54300000000006</v>
      </c>
      <c r="P157" s="63">
        <v>5000</v>
      </c>
      <c r="Q157" s="63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00000000000001" customHeight="1" x14ac:dyDescent="0.3">
      <c r="A158" s="33"/>
      <c r="B158" s="49" t="s">
        <v>32</v>
      </c>
      <c r="C158" s="33"/>
      <c r="D158" s="50" t="s">
        <v>278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00000000000001" customHeight="1" x14ac:dyDescent="0.3">
      <c r="A159" s="33"/>
      <c r="B159" s="201" t="s">
        <v>263</v>
      </c>
      <c r="C159" s="201"/>
      <c r="D159" s="40"/>
      <c r="E159" s="41"/>
      <c r="F159" s="42">
        <f t="shared" ref="F159:W159" si="90">F28+F33+F47+F51+F58+F65+F77+F84+F91+F105+F158</f>
        <v>3083378.7100000004</v>
      </c>
      <c r="G159" s="42">
        <f t="shared" si="90"/>
        <v>0</v>
      </c>
      <c r="H159" s="42">
        <f t="shared" si="90"/>
        <v>9089647.379999999</v>
      </c>
      <c r="I159" s="42">
        <f t="shared" si="90"/>
        <v>267363.37699999998</v>
      </c>
      <c r="J159" s="42">
        <f t="shared" si="90"/>
        <v>1645009.79</v>
      </c>
      <c r="K159" s="42">
        <f t="shared" si="90"/>
        <v>1533664.9200000002</v>
      </c>
      <c r="L159" s="42">
        <f t="shared" si="90"/>
        <v>10230114.860000001</v>
      </c>
      <c r="M159" s="42">
        <f t="shared" si="90"/>
        <v>3043256.5300000003</v>
      </c>
      <c r="N159" s="42">
        <f t="shared" si="90"/>
        <v>11927000</v>
      </c>
      <c r="O159" s="42">
        <f t="shared" si="90"/>
        <v>308337.87600000005</v>
      </c>
      <c r="P159" s="42">
        <f t="shared" si="90"/>
        <v>1525000</v>
      </c>
      <c r="Q159" s="42">
        <f t="shared" si="90"/>
        <v>1055235</v>
      </c>
      <c r="R159" s="42">
        <f t="shared" si="90"/>
        <v>43425708.365500003</v>
      </c>
      <c r="S159" s="42">
        <f t="shared" si="90"/>
        <v>3851500</v>
      </c>
      <c r="T159" s="42">
        <f t="shared" si="90"/>
        <v>5889607.169999999</v>
      </c>
      <c r="U159" s="42">
        <f t="shared" si="90"/>
        <v>26538.076000000001</v>
      </c>
      <c r="V159" s="42">
        <f t="shared" si="90"/>
        <v>1278598.0200000003</v>
      </c>
      <c r="W159" s="42">
        <f t="shared" si="90"/>
        <v>13161076.420500001</v>
      </c>
      <c r="X159" s="42">
        <v>30608812.215500005</v>
      </c>
      <c r="Y159" s="42">
        <f>Y28+Y33+Y47+Y51+Y58+Y65+Y77+Y84+Y91+Y105+Y158</f>
        <v>49800000</v>
      </c>
    </row>
    <row r="160" spans="1:25" ht="20.100000000000001" customHeight="1" x14ac:dyDescent="0.3">
      <c r="A160" s="33"/>
      <c r="B160" s="196"/>
      <c r="C160" s="196"/>
      <c r="D160" s="47"/>
      <c r="E160" s="73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</row>
    <row r="161" spans="1:25" ht="20.100000000000001" customHeight="1" x14ac:dyDescent="0.3">
      <c r="A161" s="33"/>
      <c r="B161" s="196"/>
      <c r="C161" s="196"/>
      <c r="D161" s="168" t="s">
        <v>264</v>
      </c>
      <c r="E161" s="168"/>
      <c r="F161" s="168"/>
      <c r="G161" s="168"/>
      <c r="H161" s="168"/>
      <c r="I161" s="168"/>
      <c r="J161" s="168"/>
      <c r="K161" s="167" t="s">
        <v>265</v>
      </c>
      <c r="L161" s="167"/>
      <c r="M161" s="167"/>
      <c r="N161" s="41"/>
      <c r="O161" s="167" t="s">
        <v>266</v>
      </c>
      <c r="P161" s="167"/>
      <c r="Q161" s="167"/>
      <c r="R161" s="167"/>
      <c r="S161" s="41"/>
      <c r="T161" s="41"/>
      <c r="U161" s="41"/>
      <c r="V161" s="74"/>
      <c r="W161" s="74"/>
      <c r="X161" s="74"/>
      <c r="Y161" s="74"/>
    </row>
    <row r="162" spans="1:25" ht="20.100000000000001" customHeight="1" x14ac:dyDescent="0.3">
      <c r="A162" s="3"/>
      <c r="B162" s="196"/>
      <c r="C162" s="196"/>
      <c r="D162" s="168"/>
      <c r="E162" s="168"/>
      <c r="F162" s="168"/>
      <c r="G162" s="168"/>
      <c r="H162" s="168"/>
      <c r="I162" s="168"/>
      <c r="J162" s="168"/>
      <c r="K162" s="167"/>
      <c r="L162" s="167"/>
      <c r="M162" s="167"/>
      <c r="N162" s="41"/>
      <c r="O162" s="167"/>
      <c r="P162" s="167"/>
      <c r="Q162" s="167"/>
      <c r="R162" s="167"/>
      <c r="S162" s="41"/>
      <c r="T162" s="41"/>
      <c r="U162" s="41"/>
      <c r="V162" s="74"/>
      <c r="W162" s="74"/>
      <c r="X162" s="74"/>
      <c r="Y162" s="74"/>
    </row>
    <row r="163" spans="1:25" ht="20.100000000000001" customHeight="1" x14ac:dyDescent="0.3">
      <c r="A163" s="33"/>
    </row>
    <row r="164" spans="1:25" ht="20.100000000000001" customHeight="1" x14ac:dyDescent="0.3">
      <c r="A164" s="33"/>
      <c r="Y164" s="34"/>
    </row>
    <row r="165" spans="1:25" ht="20.100000000000001" customHeight="1" x14ac:dyDescent="0.3">
      <c r="A165" s="33"/>
    </row>
    <row r="166" spans="1:25" ht="20.100000000000001" customHeight="1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 x14ac:dyDescent="0.3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V164"/>
  <sheetViews>
    <sheetView workbookViewId="0">
      <selection activeCell="T26" sqref="T26"/>
    </sheetView>
  </sheetViews>
  <sheetFormatPr defaultRowHeight="12.75" x14ac:dyDescent="0.2"/>
  <cols>
    <col min="1" max="1" width="8.7109375" customWidth="1"/>
    <col min="3" max="3" width="32.42578125" customWidth="1"/>
    <col min="4" max="4" width="11.5703125" hidden="1" customWidth="1"/>
    <col min="5" max="18" width="0" hidden="1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 x14ac:dyDescent="0.3">
      <c r="A2" s="1"/>
      <c r="B2" s="166" t="s">
        <v>307</v>
      </c>
      <c r="C2" s="166"/>
      <c r="D2" s="166"/>
      <c r="E2" s="166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spans="1:22" ht="18.75" x14ac:dyDescent="0.3">
      <c r="A3" s="1"/>
      <c r="B3" s="1"/>
      <c r="C3" s="1"/>
      <c r="D3" s="1"/>
      <c r="E3" s="1"/>
      <c r="F3" s="56" t="e">
        <f>'[1]FEB 08'!E7/'[1]FEB 08'!M7</f>
        <v>#REF!</v>
      </c>
      <c r="G3" s="56"/>
      <c r="H3" s="56"/>
      <c r="I3" s="56" t="e">
        <f>'[1]FEB 08'!F7/'[1]FEB 08'!Q7</f>
        <v>#REF!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</row>
    <row r="4" spans="1:22" ht="18.75" x14ac:dyDescent="0.3">
      <c r="A4" s="1"/>
      <c r="B4" s="166" t="s">
        <v>2</v>
      </c>
      <c r="C4" s="166"/>
      <c r="D4" s="57"/>
      <c r="E4" s="57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spans="1:22" ht="67.5" customHeight="1" x14ac:dyDescent="0.3">
      <c r="A5" s="33"/>
      <c r="B5" s="176"/>
      <c r="C5" s="176"/>
      <c r="D5" s="59" t="s">
        <v>5</v>
      </c>
      <c r="E5" s="59" t="s">
        <v>16</v>
      </c>
      <c r="F5" s="2" t="s">
        <v>17</v>
      </c>
      <c r="G5" s="60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60" t="s">
        <v>308</v>
      </c>
      <c r="O5" s="2" t="s">
        <v>26</v>
      </c>
      <c r="P5" s="2" t="s">
        <v>26</v>
      </c>
      <c r="Q5" s="2" t="s">
        <v>27</v>
      </c>
      <c r="R5" s="2"/>
      <c r="S5" s="60" t="s">
        <v>309</v>
      </c>
      <c r="T5" s="60" t="s">
        <v>310</v>
      </c>
      <c r="U5" s="60" t="s">
        <v>311</v>
      </c>
      <c r="V5" s="60" t="s">
        <v>312</v>
      </c>
    </row>
    <row r="6" spans="1:22" ht="18.75" x14ac:dyDescent="0.3">
      <c r="A6" s="21" t="s">
        <v>33</v>
      </c>
      <c r="B6" s="177" t="s">
        <v>34</v>
      </c>
      <c r="C6" s="177"/>
      <c r="D6" s="49"/>
      <c r="E6" s="49"/>
      <c r="F6" s="61" t="s">
        <v>35</v>
      </c>
      <c r="G6" s="7"/>
      <c r="H6" s="61"/>
      <c r="I6" s="61" t="s">
        <v>35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 spans="1:22" ht="18.75" x14ac:dyDescent="0.3">
      <c r="A7" s="3">
        <v>1</v>
      </c>
      <c r="B7" s="169" t="s">
        <v>36</v>
      </c>
      <c r="C7" s="170"/>
      <c r="D7" s="62" t="s">
        <v>37</v>
      </c>
      <c r="E7" s="62" t="s">
        <v>38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.75" x14ac:dyDescent="0.3">
      <c r="A8" s="3">
        <v>2</v>
      </c>
      <c r="B8" s="107" t="s">
        <v>313</v>
      </c>
      <c r="C8" s="108"/>
      <c r="D8" s="62" t="s">
        <v>314</v>
      </c>
      <c r="E8" s="38" t="s">
        <v>315</v>
      </c>
      <c r="F8" s="63">
        <f>41157.69</f>
        <v>41157.69</v>
      </c>
      <c r="G8" s="63"/>
      <c r="H8" s="63">
        <f>F8*300%</f>
        <v>123473.07</v>
      </c>
      <c r="I8" s="63">
        <f>F8*7.5%</f>
        <v>3086.8267500000002</v>
      </c>
      <c r="J8" s="63">
        <v>40122.19</v>
      </c>
      <c r="K8" s="63">
        <f t="shared" ref="K8:K16" si="1">F8*50%</f>
        <v>20578.845000000001</v>
      </c>
      <c r="L8" s="63">
        <f>F8*350%</f>
        <v>144051.91500000001</v>
      </c>
      <c r="M8" s="63">
        <f t="shared" ref="M8:M23" si="2">F8*100%</f>
        <v>41157.69</v>
      </c>
      <c r="N8" s="63">
        <f>0</f>
        <v>0</v>
      </c>
      <c r="O8" s="63">
        <f t="shared" ref="O8:O23" si="3">F8*10%</f>
        <v>4115.7690000000002</v>
      </c>
      <c r="P8" s="63">
        <v>20000</v>
      </c>
      <c r="Q8" s="63">
        <v>0</v>
      </c>
      <c r="R8" s="36">
        <f t="shared" ref="R8:R26" si="4">N8+Q8</f>
        <v>0</v>
      </c>
      <c r="S8" s="63">
        <f>0</f>
        <v>0</v>
      </c>
      <c r="T8" s="63"/>
      <c r="U8" s="63">
        <f>0</f>
        <v>0</v>
      </c>
      <c r="V8" s="36">
        <f t="shared" si="0"/>
        <v>0</v>
      </c>
    </row>
    <row r="9" spans="1:22" ht="18.75" x14ac:dyDescent="0.3">
      <c r="A9" s="3">
        <v>3</v>
      </c>
      <c r="B9" s="171" t="s">
        <v>42</v>
      </c>
      <c r="C9" s="172"/>
      <c r="D9" s="33" t="s">
        <v>43</v>
      </c>
      <c r="E9" s="38" t="s">
        <v>44</v>
      </c>
      <c r="F9" s="63">
        <v>33507.5</v>
      </c>
      <c r="G9" s="63"/>
      <c r="H9" s="63">
        <f t="shared" ref="H9:H23" si="5">F9*300%</f>
        <v>100522.5</v>
      </c>
      <c r="I9" s="63">
        <f t="shared" ref="I9:I23" si="6">F9*7.5%</f>
        <v>2513.0625</v>
      </c>
      <c r="J9" s="63">
        <v>40122.19</v>
      </c>
      <c r="K9" s="63">
        <f t="shared" si="1"/>
        <v>16753.75</v>
      </c>
      <c r="L9" s="63">
        <f t="shared" ref="L9:L23" si="7">F9*350%</f>
        <v>117276.25</v>
      </c>
      <c r="M9" s="63">
        <f t="shared" si="2"/>
        <v>33507.5</v>
      </c>
      <c r="N9" s="43">
        <f>100000</f>
        <v>100000</v>
      </c>
      <c r="O9" s="63">
        <f t="shared" si="3"/>
        <v>3350.75</v>
      </c>
      <c r="P9" s="63">
        <v>20000</v>
      </c>
      <c r="Q9" s="63">
        <v>0</v>
      </c>
      <c r="R9" s="36">
        <f t="shared" si="4"/>
        <v>100000</v>
      </c>
      <c r="S9" s="63">
        <f>100000</f>
        <v>100000</v>
      </c>
      <c r="T9" s="63"/>
      <c r="U9" s="63">
        <f>0</f>
        <v>0</v>
      </c>
      <c r="V9" s="36">
        <f t="shared" si="0"/>
        <v>0</v>
      </c>
    </row>
    <row r="10" spans="1:22" ht="18.75" x14ac:dyDescent="0.3">
      <c r="A10" s="3">
        <v>4</v>
      </c>
      <c r="B10" s="173" t="s">
        <v>45</v>
      </c>
      <c r="C10" s="174"/>
      <c r="D10" s="48" t="s">
        <v>46</v>
      </c>
      <c r="E10" s="29" t="s">
        <v>44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.75" x14ac:dyDescent="0.3">
      <c r="A11" s="3">
        <v>5</v>
      </c>
      <c r="B11" s="171" t="s">
        <v>47</v>
      </c>
      <c r="C11" s="172"/>
      <c r="D11" s="33" t="s">
        <v>48</v>
      </c>
      <c r="E11" s="3" t="s">
        <v>44</v>
      </c>
      <c r="F11" s="36">
        <f>33507.5</f>
        <v>33507.5</v>
      </c>
      <c r="G11" s="63"/>
      <c r="H11" s="63">
        <f t="shared" si="5"/>
        <v>100522.5</v>
      </c>
      <c r="I11" s="63">
        <f t="shared" si="6"/>
        <v>2513.0625</v>
      </c>
      <c r="J11" s="63">
        <v>40122.19</v>
      </c>
      <c r="K11" s="63">
        <f t="shared" si="1"/>
        <v>16753.75</v>
      </c>
      <c r="L11" s="63">
        <f t="shared" si="7"/>
        <v>117276.25</v>
      </c>
      <c r="M11" s="63">
        <f t="shared" si="2"/>
        <v>33507.5</v>
      </c>
      <c r="N11" s="63">
        <f>0</f>
        <v>0</v>
      </c>
      <c r="O11" s="63">
        <f t="shared" si="3"/>
        <v>3350.75</v>
      </c>
      <c r="P11" s="63">
        <v>20000</v>
      </c>
      <c r="Q11" s="64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.75" x14ac:dyDescent="0.3">
      <c r="A12" s="3">
        <v>6</v>
      </c>
      <c r="B12" s="171" t="s">
        <v>49</v>
      </c>
      <c r="C12" s="172"/>
      <c r="D12" s="44" t="s">
        <v>50</v>
      </c>
      <c r="E12" s="81" t="s">
        <v>284</v>
      </c>
      <c r="F12" s="66">
        <f>41157.69</f>
        <v>41157.69</v>
      </c>
      <c r="G12" s="65"/>
      <c r="H12" s="63">
        <f t="shared" si="5"/>
        <v>123473.07</v>
      </c>
      <c r="I12" s="63">
        <f t="shared" si="6"/>
        <v>3086.8267500000002</v>
      </c>
      <c r="J12" s="63">
        <v>40122.19</v>
      </c>
      <c r="K12" s="63">
        <f t="shared" si="1"/>
        <v>20578.845000000001</v>
      </c>
      <c r="L12" s="63">
        <f t="shared" si="7"/>
        <v>144051.91500000001</v>
      </c>
      <c r="M12" s="63">
        <f t="shared" si="2"/>
        <v>41157.69</v>
      </c>
      <c r="N12" s="63">
        <v>0</v>
      </c>
      <c r="O12" s="63">
        <f t="shared" si="3"/>
        <v>4115.7690000000002</v>
      </c>
      <c r="P12" s="63">
        <v>20000</v>
      </c>
      <c r="Q12" s="82"/>
      <c r="R12" s="36">
        <f t="shared" si="4"/>
        <v>0</v>
      </c>
      <c r="S12" s="63">
        <f>100000</f>
        <v>100000</v>
      </c>
      <c r="T12" s="63"/>
      <c r="U12" s="63">
        <f>S12</f>
        <v>100000</v>
      </c>
      <c r="V12" s="36">
        <f t="shared" si="0"/>
        <v>100000</v>
      </c>
    </row>
    <row r="13" spans="1:22" ht="18.75" x14ac:dyDescent="0.3">
      <c r="A13" s="3">
        <v>7</v>
      </c>
      <c r="B13" s="171" t="s">
        <v>52</v>
      </c>
      <c r="C13" s="172"/>
      <c r="D13" s="44" t="s">
        <v>53</v>
      </c>
      <c r="E13" s="81" t="s">
        <v>138</v>
      </c>
      <c r="F13" s="66">
        <f>32263.2</f>
        <v>32263.200000000001</v>
      </c>
      <c r="G13" s="65"/>
      <c r="H13" s="63">
        <f t="shared" si="5"/>
        <v>96789.6</v>
      </c>
      <c r="I13" s="63">
        <f t="shared" si="6"/>
        <v>2419.7399999999998</v>
      </c>
      <c r="J13" s="63">
        <v>40122.19</v>
      </c>
      <c r="K13" s="63">
        <f t="shared" si="1"/>
        <v>16131.6</v>
      </c>
      <c r="L13" s="63">
        <f t="shared" si="7"/>
        <v>112921.2</v>
      </c>
      <c r="M13" s="63">
        <f t="shared" si="2"/>
        <v>32263.200000000001</v>
      </c>
      <c r="N13" s="80">
        <v>100000</v>
      </c>
      <c r="O13" s="63">
        <f t="shared" si="3"/>
        <v>3226.32</v>
      </c>
      <c r="P13" s="63">
        <v>20000</v>
      </c>
      <c r="Q13" s="82"/>
      <c r="R13" s="36">
        <f t="shared" si="4"/>
        <v>100000</v>
      </c>
      <c r="S13" s="66">
        <f>150000</f>
        <v>150000</v>
      </c>
      <c r="T13" s="66">
        <f>S13-N13</f>
        <v>50000</v>
      </c>
      <c r="U13" s="66">
        <f>0</f>
        <v>0</v>
      </c>
      <c r="V13" s="36">
        <f t="shared" si="0"/>
        <v>50000</v>
      </c>
    </row>
    <row r="14" spans="1:22" ht="18.75" x14ac:dyDescent="0.3">
      <c r="A14" s="3">
        <v>8</v>
      </c>
      <c r="B14" s="171" t="s">
        <v>55</v>
      </c>
      <c r="C14" s="172"/>
      <c r="D14" s="44" t="s">
        <v>56</v>
      </c>
      <c r="E14" s="45" t="s">
        <v>110</v>
      </c>
      <c r="F14" s="65">
        <f>24741.26</f>
        <v>24741.26</v>
      </c>
      <c r="G14" s="65"/>
      <c r="H14" s="65">
        <f t="shared" si="5"/>
        <v>74223.78</v>
      </c>
      <c r="I14" s="65">
        <f t="shared" si="6"/>
        <v>1855.5944999999997</v>
      </c>
      <c r="J14" s="65"/>
      <c r="K14" s="65">
        <f t="shared" si="1"/>
        <v>12370.63</v>
      </c>
      <c r="L14" s="65">
        <f t="shared" si="7"/>
        <v>86594.409999999989</v>
      </c>
      <c r="M14" s="65">
        <f t="shared" si="2"/>
        <v>24741.26</v>
      </c>
      <c r="N14" s="43">
        <f>0</f>
        <v>0</v>
      </c>
      <c r="O14" s="65">
        <f t="shared" si="3"/>
        <v>2474.1260000000002</v>
      </c>
      <c r="P14" s="65">
        <v>15000</v>
      </c>
      <c r="Q14" s="65">
        <f>100000</f>
        <v>100000</v>
      </c>
      <c r="R14" s="36">
        <f t="shared" si="4"/>
        <v>100000</v>
      </c>
      <c r="S14" s="65">
        <f>100000</f>
        <v>100000</v>
      </c>
      <c r="T14" s="65"/>
      <c r="U14" s="65">
        <f>S14</f>
        <v>100000</v>
      </c>
      <c r="V14" s="36">
        <f t="shared" si="0"/>
        <v>100000</v>
      </c>
    </row>
    <row r="15" spans="1:22" ht="18.75" x14ac:dyDescent="0.3">
      <c r="A15" s="3">
        <v>9</v>
      </c>
      <c r="B15" s="171" t="s">
        <v>58</v>
      </c>
      <c r="C15" s="172"/>
      <c r="D15" s="44" t="s">
        <v>59</v>
      </c>
      <c r="E15" s="45" t="s">
        <v>110</v>
      </c>
      <c r="F15" s="65">
        <f>24741.26</f>
        <v>24741.26</v>
      </c>
      <c r="G15" s="65"/>
      <c r="H15" s="65">
        <f t="shared" si="5"/>
        <v>74223.78</v>
      </c>
      <c r="I15" s="65">
        <f t="shared" si="6"/>
        <v>1855.5944999999997</v>
      </c>
      <c r="J15" s="65"/>
      <c r="K15" s="65">
        <f t="shared" si="1"/>
        <v>12370.63</v>
      </c>
      <c r="L15" s="65">
        <f t="shared" si="7"/>
        <v>86594.409999999989</v>
      </c>
      <c r="M15" s="65">
        <f t="shared" si="2"/>
        <v>24741.26</v>
      </c>
      <c r="N15" s="63">
        <f>0</f>
        <v>0</v>
      </c>
      <c r="O15" s="65">
        <f t="shared" si="3"/>
        <v>2474.1260000000002</v>
      </c>
      <c r="P15" s="65">
        <v>15000</v>
      </c>
      <c r="Q15" s="65">
        <v>50000</v>
      </c>
      <c r="R15" s="36">
        <f t="shared" si="4"/>
        <v>50000</v>
      </c>
      <c r="S15" s="65">
        <f>100000</f>
        <v>100000</v>
      </c>
      <c r="T15" s="65"/>
      <c r="U15" s="65">
        <f>S15</f>
        <v>100000</v>
      </c>
      <c r="V15" s="36">
        <f t="shared" si="0"/>
        <v>100000</v>
      </c>
    </row>
    <row r="16" spans="1:22" ht="18.75" x14ac:dyDescent="0.3">
      <c r="A16" s="3">
        <v>10</v>
      </c>
      <c r="B16" s="171" t="s">
        <v>60</v>
      </c>
      <c r="C16" s="172"/>
      <c r="D16" s="33" t="s">
        <v>61</v>
      </c>
      <c r="E16" s="3" t="s">
        <v>62</v>
      </c>
      <c r="F16" s="63">
        <v>26339.3</v>
      </c>
      <c r="G16" s="63"/>
      <c r="H16" s="63">
        <f t="shared" si="5"/>
        <v>79017.899999999994</v>
      </c>
      <c r="I16" s="63">
        <f t="shared" si="6"/>
        <v>1975.4474999999998</v>
      </c>
      <c r="J16" s="63"/>
      <c r="K16" s="63">
        <f t="shared" si="1"/>
        <v>13169.65</v>
      </c>
      <c r="L16" s="36">
        <f t="shared" si="7"/>
        <v>92187.55</v>
      </c>
      <c r="M16" s="63">
        <f t="shared" si="2"/>
        <v>26339.3</v>
      </c>
      <c r="N16" s="63">
        <v>100000</v>
      </c>
      <c r="O16" s="63">
        <f t="shared" si="3"/>
        <v>2633.9300000000003</v>
      </c>
      <c r="P16" s="63">
        <v>15000</v>
      </c>
      <c r="Q16" s="63">
        <v>0</v>
      </c>
      <c r="R16" s="36">
        <f t="shared" si="4"/>
        <v>100000</v>
      </c>
      <c r="S16" s="65">
        <f t="shared" ref="S16:S25" si="8">100000</f>
        <v>100000</v>
      </c>
      <c r="T16" s="65"/>
      <c r="U16" s="65">
        <f>0</f>
        <v>0</v>
      </c>
      <c r="V16" s="36">
        <f t="shared" si="0"/>
        <v>0</v>
      </c>
    </row>
    <row r="17" spans="1:22" ht="18.75" x14ac:dyDescent="0.3">
      <c r="A17" s="3">
        <v>11</v>
      </c>
      <c r="B17" s="169" t="s">
        <v>65</v>
      </c>
      <c r="C17" s="170"/>
      <c r="D17" s="62" t="s">
        <v>61</v>
      </c>
      <c r="E17" s="67" t="s">
        <v>62</v>
      </c>
      <c r="F17" s="63">
        <f>26339.3</f>
        <v>26339.3</v>
      </c>
      <c r="G17" s="63">
        <v>0</v>
      </c>
      <c r="H17" s="63">
        <f t="shared" si="5"/>
        <v>79017.899999999994</v>
      </c>
      <c r="I17" s="63">
        <f t="shared" si="6"/>
        <v>1975.4474999999998</v>
      </c>
      <c r="J17" s="36">
        <v>0</v>
      </c>
      <c r="K17" s="63">
        <f>F17*50%</f>
        <v>13169.65</v>
      </c>
      <c r="L17" s="36">
        <f t="shared" si="7"/>
        <v>92187.55</v>
      </c>
      <c r="M17" s="63">
        <f t="shared" si="2"/>
        <v>26339.3</v>
      </c>
      <c r="N17" s="63">
        <v>100000</v>
      </c>
      <c r="O17" s="63">
        <f t="shared" si="3"/>
        <v>2633.9300000000003</v>
      </c>
      <c r="P17" s="63">
        <v>15000</v>
      </c>
      <c r="Q17" s="63">
        <f>0</f>
        <v>0</v>
      </c>
      <c r="R17" s="36">
        <f t="shared" si="4"/>
        <v>100000</v>
      </c>
      <c r="S17" s="65">
        <f t="shared" si="8"/>
        <v>100000</v>
      </c>
      <c r="T17" s="65"/>
      <c r="U17" s="65">
        <f>0</f>
        <v>0</v>
      </c>
      <c r="V17" s="36">
        <f t="shared" si="0"/>
        <v>0</v>
      </c>
    </row>
    <row r="18" spans="1:22" ht="18.75" x14ac:dyDescent="0.3">
      <c r="A18" s="3">
        <v>12</v>
      </c>
      <c r="B18" s="169" t="s">
        <v>66</v>
      </c>
      <c r="C18" s="170"/>
      <c r="D18" s="62" t="s">
        <v>67</v>
      </c>
      <c r="E18" s="67" t="s">
        <v>85</v>
      </c>
      <c r="F18" s="63">
        <f>17784</f>
        <v>17784</v>
      </c>
      <c r="G18" s="63"/>
      <c r="H18" s="63">
        <f t="shared" si="5"/>
        <v>53352</v>
      </c>
      <c r="I18" s="63">
        <f t="shared" si="6"/>
        <v>1333.8</v>
      </c>
      <c r="J18" s="36"/>
      <c r="K18" s="63">
        <f>F18*50%</f>
        <v>8892</v>
      </c>
      <c r="L18" s="36">
        <f t="shared" si="7"/>
        <v>62244</v>
      </c>
      <c r="M18" s="63">
        <f t="shared" si="2"/>
        <v>17784</v>
      </c>
      <c r="N18" s="63">
        <f>0</f>
        <v>0</v>
      </c>
      <c r="O18" s="63">
        <f t="shared" si="3"/>
        <v>1778.4</v>
      </c>
      <c r="P18" s="63">
        <v>10000</v>
      </c>
      <c r="Q18" s="63"/>
      <c r="R18" s="36">
        <f t="shared" si="4"/>
        <v>0</v>
      </c>
      <c r="S18" s="65">
        <f t="shared" si="8"/>
        <v>100000</v>
      </c>
      <c r="T18" s="65"/>
      <c r="U18" s="65">
        <f>S18</f>
        <v>100000</v>
      </c>
      <c r="V18" s="36">
        <f t="shared" si="0"/>
        <v>100000</v>
      </c>
    </row>
    <row r="19" spans="1:22" ht="18.75" x14ac:dyDescent="0.3">
      <c r="A19" s="3">
        <v>13</v>
      </c>
      <c r="B19" s="169" t="s">
        <v>69</v>
      </c>
      <c r="C19" s="170"/>
      <c r="D19" s="62" t="s">
        <v>70</v>
      </c>
      <c r="E19" s="67" t="s">
        <v>92</v>
      </c>
      <c r="F19" s="63">
        <f>18779.3</f>
        <v>18779.3</v>
      </c>
      <c r="G19" s="63"/>
      <c r="H19" s="63">
        <f t="shared" si="5"/>
        <v>56337.899999999994</v>
      </c>
      <c r="I19" s="63">
        <f t="shared" si="6"/>
        <v>1408.4475</v>
      </c>
      <c r="J19" s="36"/>
      <c r="K19" s="63">
        <f>F19*50%</f>
        <v>9389.65</v>
      </c>
      <c r="L19" s="36">
        <f t="shared" si="7"/>
        <v>65727.55</v>
      </c>
      <c r="M19" s="63">
        <f t="shared" si="2"/>
        <v>18779.3</v>
      </c>
      <c r="N19" s="63">
        <v>100000</v>
      </c>
      <c r="O19" s="63">
        <f t="shared" si="3"/>
        <v>1877.93</v>
      </c>
      <c r="P19" s="63">
        <v>10000</v>
      </c>
      <c r="Q19" s="63"/>
      <c r="R19" s="36">
        <f t="shared" si="4"/>
        <v>100000</v>
      </c>
      <c r="S19" s="65">
        <f t="shared" si="8"/>
        <v>100000</v>
      </c>
      <c r="T19" s="65"/>
      <c r="U19" s="65">
        <f>0</f>
        <v>0</v>
      </c>
      <c r="V19" s="36">
        <f t="shared" si="0"/>
        <v>0</v>
      </c>
    </row>
    <row r="20" spans="1:22" ht="18.75" x14ac:dyDescent="0.3">
      <c r="A20" s="3">
        <v>14</v>
      </c>
      <c r="B20" s="84" t="s">
        <v>72</v>
      </c>
      <c r="C20" s="85"/>
      <c r="D20" s="62" t="s">
        <v>70</v>
      </c>
      <c r="E20" s="67" t="s">
        <v>183</v>
      </c>
      <c r="F20" s="68">
        <f>12732</f>
        <v>12732</v>
      </c>
      <c r="G20" s="63"/>
      <c r="H20" s="63">
        <f t="shared" si="5"/>
        <v>38196</v>
      </c>
      <c r="I20" s="63">
        <f t="shared" si="6"/>
        <v>954.9</v>
      </c>
      <c r="J20" s="63"/>
      <c r="K20" s="63">
        <f t="shared" ref="K20:K23" si="9">F20*50%</f>
        <v>6366</v>
      </c>
      <c r="L20" s="36">
        <f t="shared" si="7"/>
        <v>44562</v>
      </c>
      <c r="M20" s="63">
        <f t="shared" si="2"/>
        <v>12732</v>
      </c>
      <c r="N20" s="63">
        <f>100000</f>
        <v>100000</v>
      </c>
      <c r="O20" s="63">
        <f t="shared" si="3"/>
        <v>1273.2</v>
      </c>
      <c r="P20" s="63">
        <v>10000</v>
      </c>
      <c r="Q20" s="63"/>
      <c r="R20" s="36">
        <f t="shared" si="4"/>
        <v>100000</v>
      </c>
      <c r="S20" s="65">
        <f t="shared" si="8"/>
        <v>100000</v>
      </c>
      <c r="T20" s="65"/>
      <c r="U20" s="65">
        <f>0</f>
        <v>0</v>
      </c>
      <c r="V20" s="36">
        <f t="shared" si="0"/>
        <v>0</v>
      </c>
    </row>
    <row r="21" spans="1:22" ht="18.75" x14ac:dyDescent="0.3">
      <c r="A21" s="3">
        <v>15</v>
      </c>
      <c r="B21" s="84" t="s">
        <v>74</v>
      </c>
      <c r="C21" s="85"/>
      <c r="D21" s="62"/>
      <c r="E21" s="67" t="s">
        <v>76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63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65">
        <f t="shared" si="8"/>
        <v>100000</v>
      </c>
      <c r="T21" s="65"/>
      <c r="U21" s="65">
        <f>S21</f>
        <v>100000</v>
      </c>
      <c r="V21" s="36">
        <f t="shared" si="0"/>
        <v>100000</v>
      </c>
    </row>
    <row r="22" spans="1:22" ht="18.75" x14ac:dyDescent="0.3">
      <c r="A22" s="3">
        <v>16</v>
      </c>
      <c r="B22" s="84" t="s">
        <v>316</v>
      </c>
      <c r="C22" s="85"/>
      <c r="D22" s="62"/>
      <c r="E22" s="67" t="s">
        <v>317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65">
        <f>0</f>
        <v>0</v>
      </c>
      <c r="T22" s="65"/>
      <c r="U22" s="65">
        <f>S22</f>
        <v>0</v>
      </c>
      <c r="V22" s="36">
        <f t="shared" si="0"/>
        <v>0</v>
      </c>
    </row>
    <row r="23" spans="1:22" ht="18.75" x14ac:dyDescent="0.3">
      <c r="A23" s="3">
        <v>17</v>
      </c>
      <c r="B23" s="84" t="s">
        <v>77</v>
      </c>
      <c r="C23" s="85"/>
      <c r="D23" s="62"/>
      <c r="E23" s="67" t="s">
        <v>76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63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65">
        <f t="shared" si="8"/>
        <v>100000</v>
      </c>
      <c r="T23" s="65"/>
      <c r="U23" s="65">
        <f>S23</f>
        <v>100000</v>
      </c>
      <c r="V23" s="36">
        <f t="shared" si="0"/>
        <v>100000</v>
      </c>
    </row>
    <row r="24" spans="1:22" ht="18.75" x14ac:dyDescent="0.3">
      <c r="A24" s="3">
        <v>18</v>
      </c>
      <c r="B24" s="178" t="s">
        <v>78</v>
      </c>
      <c r="C24" s="178"/>
      <c r="D24" s="33" t="s">
        <v>82</v>
      </c>
      <c r="E24" s="67" t="s">
        <v>285</v>
      </c>
      <c r="F24" s="63">
        <f>19774.62</f>
        <v>19774.62</v>
      </c>
      <c r="G24" s="63"/>
      <c r="H24" s="63">
        <f>F24*300%</f>
        <v>59323.86</v>
      </c>
      <c r="I24" s="63">
        <f>F24*7.5%</f>
        <v>1483.0964999999999</v>
      </c>
      <c r="J24" s="63">
        <v>0</v>
      </c>
      <c r="K24" s="63">
        <f>F24*50%</f>
        <v>9887.31</v>
      </c>
      <c r="L24" s="36">
        <f>F24*350%</f>
        <v>69211.17</v>
      </c>
      <c r="M24" s="63">
        <f>F24*100%</f>
        <v>19774.62</v>
      </c>
      <c r="N24" s="63">
        <v>100000</v>
      </c>
      <c r="O24" s="63">
        <f>F24*10%</f>
        <v>1977.462</v>
      </c>
      <c r="P24" s="63">
        <v>10000</v>
      </c>
      <c r="Q24" s="63">
        <v>0</v>
      </c>
      <c r="R24" s="36">
        <f t="shared" si="4"/>
        <v>100000</v>
      </c>
      <c r="S24" s="65">
        <f t="shared" si="8"/>
        <v>100000</v>
      </c>
      <c r="T24" s="65"/>
      <c r="U24" s="65">
        <f>0</f>
        <v>0</v>
      </c>
      <c r="V24" s="36">
        <f t="shared" si="0"/>
        <v>0</v>
      </c>
    </row>
    <row r="25" spans="1:22" ht="18.75" x14ac:dyDescent="0.3">
      <c r="A25" s="3">
        <v>19</v>
      </c>
      <c r="B25" s="169" t="s">
        <v>81</v>
      </c>
      <c r="C25" s="170"/>
      <c r="D25" s="33" t="s">
        <v>82</v>
      </c>
      <c r="E25" s="67" t="s">
        <v>85</v>
      </c>
      <c r="F25" s="63">
        <f>17784</f>
        <v>17784</v>
      </c>
      <c r="G25" s="63"/>
      <c r="H25" s="63">
        <f>F25*300%</f>
        <v>53352</v>
      </c>
      <c r="I25" s="63">
        <f>F25*7.5%</f>
        <v>1333.8</v>
      </c>
      <c r="J25" s="63"/>
      <c r="K25" s="63">
        <f>F25*50%</f>
        <v>8892</v>
      </c>
      <c r="L25" s="36">
        <f>F25*350%</f>
        <v>62244</v>
      </c>
      <c r="M25" s="63">
        <f>F25*100%</f>
        <v>17784</v>
      </c>
      <c r="N25" s="63">
        <v>100000</v>
      </c>
      <c r="O25" s="63">
        <f>F25*10%</f>
        <v>1778.4</v>
      </c>
      <c r="P25" s="63">
        <v>10000</v>
      </c>
      <c r="Q25" s="63"/>
      <c r="R25" s="36">
        <f t="shared" si="4"/>
        <v>100000</v>
      </c>
      <c r="S25" s="65">
        <f t="shared" si="8"/>
        <v>100000</v>
      </c>
      <c r="T25" s="65"/>
      <c r="U25" s="65">
        <f>0</f>
        <v>0</v>
      </c>
      <c r="V25" s="36">
        <f t="shared" si="0"/>
        <v>0</v>
      </c>
    </row>
    <row r="26" spans="1:22" ht="23.25" x14ac:dyDescent="0.6">
      <c r="A26" s="3"/>
      <c r="B26" s="179" t="s">
        <v>32</v>
      </c>
      <c r="C26" s="179"/>
      <c r="D26" s="33"/>
      <c r="E26" s="67"/>
      <c r="F26" s="69">
        <f t="shared" ref="F26:Q26" si="10">SUM(F7:F25)</f>
        <v>612383.73999999987</v>
      </c>
      <c r="G26" s="69">
        <f t="shared" si="10"/>
        <v>0</v>
      </c>
      <c r="H26" s="69">
        <f t="shared" si="10"/>
        <v>1676662.47</v>
      </c>
      <c r="I26" s="69">
        <f t="shared" si="10"/>
        <v>82038.754249999984</v>
      </c>
      <c r="J26" s="69">
        <f t="shared" si="10"/>
        <v>361099.71</v>
      </c>
      <c r="K26" s="69">
        <f t="shared" si="10"/>
        <v>298167.435</v>
      </c>
      <c r="L26" s="69">
        <f t="shared" si="10"/>
        <v>1581632.4650000003</v>
      </c>
      <c r="M26" s="69">
        <f t="shared" si="10"/>
        <v>572261.55999999994</v>
      </c>
      <c r="N26" s="69">
        <f t="shared" si="10"/>
        <v>1000000</v>
      </c>
      <c r="O26" s="69">
        <f t="shared" si="10"/>
        <v>61238.379000000015</v>
      </c>
      <c r="P26" s="69">
        <f t="shared" si="10"/>
        <v>290000</v>
      </c>
      <c r="Q26" s="69">
        <f t="shared" si="10"/>
        <v>275235</v>
      </c>
      <c r="R26" s="109">
        <f t="shared" si="4"/>
        <v>1275235</v>
      </c>
      <c r="S26" s="69">
        <f>SUM(S6:S25)</f>
        <v>1850000</v>
      </c>
      <c r="T26" s="69">
        <f>SUM(T7:T25)</f>
        <v>150000</v>
      </c>
      <c r="U26" s="69">
        <f>SUM(U7:U25)</f>
        <v>700000</v>
      </c>
      <c r="V26" s="109">
        <f t="shared" si="0"/>
        <v>850000</v>
      </c>
    </row>
    <row r="27" spans="1:22" ht="18.75" x14ac:dyDescent="0.3">
      <c r="A27" s="3"/>
      <c r="B27" s="101"/>
      <c r="C27" s="101"/>
      <c r="D27" s="33"/>
      <c r="E27" s="67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36">
        <f t="shared" si="0"/>
        <v>0</v>
      </c>
    </row>
    <row r="28" spans="1:22" ht="18.75" x14ac:dyDescent="0.3">
      <c r="A28" s="3"/>
      <c r="B28" s="179" t="s">
        <v>86</v>
      </c>
      <c r="C28" s="179"/>
      <c r="D28" s="33"/>
      <c r="E28" s="67"/>
      <c r="F28" s="63"/>
      <c r="G28" s="63"/>
      <c r="H28" s="63"/>
      <c r="I28" s="63"/>
      <c r="J28" s="63"/>
      <c r="K28" s="63"/>
      <c r="L28" s="36"/>
      <c r="M28" s="63"/>
      <c r="N28" s="63"/>
      <c r="O28" s="63"/>
      <c r="P28" s="63"/>
      <c r="Q28" s="63"/>
      <c r="R28" s="63"/>
      <c r="S28" s="63"/>
      <c r="T28" s="63"/>
      <c r="U28" s="63"/>
      <c r="V28" s="36">
        <f t="shared" si="0"/>
        <v>0</v>
      </c>
    </row>
    <row r="29" spans="1:22" ht="18.75" x14ac:dyDescent="0.3">
      <c r="A29" s="3">
        <v>1</v>
      </c>
      <c r="B29" s="180" t="s">
        <v>87</v>
      </c>
      <c r="C29" s="181"/>
      <c r="D29" s="62" t="s">
        <v>88</v>
      </c>
      <c r="E29" s="67" t="s">
        <v>287</v>
      </c>
      <c r="F29" s="63">
        <f>76339.3</f>
        <v>76339.3</v>
      </c>
      <c r="G29" s="63"/>
      <c r="H29" s="63">
        <f t="shared" ref="H29" si="11">F29*300%</f>
        <v>229017.90000000002</v>
      </c>
      <c r="I29" s="63">
        <f t="shared" ref="I29" si="12">F29*7.5%</f>
        <v>5725.4475000000002</v>
      </c>
      <c r="J29" s="63">
        <f>80244.38</f>
        <v>80244.38</v>
      </c>
      <c r="K29" s="63">
        <f t="shared" ref="K29" si="13">F29*50%</f>
        <v>38169.65</v>
      </c>
      <c r="L29" s="63">
        <f t="shared" ref="L29" si="14">F29*350%</f>
        <v>267187.55</v>
      </c>
      <c r="M29" s="63">
        <f t="shared" ref="M29" si="15">F29*100%</f>
        <v>76339.3</v>
      </c>
      <c r="N29" s="63">
        <f>0</f>
        <v>0</v>
      </c>
      <c r="O29" s="63">
        <f t="shared" ref="O29" si="16">F29*10%</f>
        <v>7633.93</v>
      </c>
      <c r="P29" s="63">
        <v>20000</v>
      </c>
      <c r="Q29" s="63">
        <v>0</v>
      </c>
      <c r="R29" s="63">
        <f>N29+Q29</f>
        <v>0</v>
      </c>
      <c r="S29" s="65">
        <f t="shared" ref="S29:S30" si="17">100000</f>
        <v>100000</v>
      </c>
      <c r="T29" s="65">
        <f>0</f>
        <v>0</v>
      </c>
      <c r="U29" s="65">
        <f>S29</f>
        <v>100000</v>
      </c>
      <c r="V29" s="36">
        <f t="shared" si="0"/>
        <v>100000</v>
      </c>
    </row>
    <row r="30" spans="1:22" ht="18.75" x14ac:dyDescent="0.3">
      <c r="A30" s="3">
        <v>2</v>
      </c>
      <c r="B30" s="180" t="s">
        <v>90</v>
      </c>
      <c r="C30" s="181"/>
      <c r="D30" s="62" t="s">
        <v>91</v>
      </c>
      <c r="E30" s="67" t="s">
        <v>92</v>
      </c>
      <c r="F30" s="63">
        <f>18779.3</f>
        <v>18779.3</v>
      </c>
      <c r="G30" s="63"/>
      <c r="H30" s="63">
        <f>F30*300%</f>
        <v>56337.899999999994</v>
      </c>
      <c r="I30" s="63">
        <f>F30*7.5%</f>
        <v>1408.4475</v>
      </c>
      <c r="J30" s="63">
        <v>0</v>
      </c>
      <c r="K30" s="63">
        <f>F30*50%</f>
        <v>9389.65</v>
      </c>
      <c r="L30" s="36">
        <f>F30*350%</f>
        <v>65727.55</v>
      </c>
      <c r="M30" s="63">
        <f>F30*100%</f>
        <v>18779.3</v>
      </c>
      <c r="N30" s="63">
        <f>0</f>
        <v>0</v>
      </c>
      <c r="O30" s="63">
        <f>F30*10%</f>
        <v>1877.93</v>
      </c>
      <c r="P30" s="63">
        <v>10000</v>
      </c>
      <c r="Q30" s="63">
        <v>0</v>
      </c>
      <c r="R30" s="63">
        <f t="shared" ref="R30:R93" si="18">N30+Q30</f>
        <v>0</v>
      </c>
      <c r="S30" s="65">
        <f t="shared" si="17"/>
        <v>100000</v>
      </c>
      <c r="T30" s="65">
        <f>0</f>
        <v>0</v>
      </c>
      <c r="U30" s="65">
        <f>S30</f>
        <v>100000</v>
      </c>
      <c r="V30" s="36">
        <f t="shared" si="0"/>
        <v>100000</v>
      </c>
    </row>
    <row r="31" spans="1:22" ht="23.25" x14ac:dyDescent="0.6">
      <c r="A31" s="3"/>
      <c r="B31" s="33"/>
      <c r="C31" s="21" t="s">
        <v>32</v>
      </c>
      <c r="D31" s="7">
        <v>2</v>
      </c>
      <c r="E31" s="3"/>
      <c r="F31" s="69">
        <f>SUM(F29:F30)</f>
        <v>95118.6</v>
      </c>
      <c r="G31" s="69">
        <f t="shared" ref="G31:Q31" si="19">SUM(G29:G30)</f>
        <v>0</v>
      </c>
      <c r="H31" s="69">
        <f t="shared" si="19"/>
        <v>285355.80000000005</v>
      </c>
      <c r="I31" s="69">
        <f t="shared" si="19"/>
        <v>7133.8950000000004</v>
      </c>
      <c r="J31" s="69">
        <f t="shared" si="19"/>
        <v>80244.38</v>
      </c>
      <c r="K31" s="69">
        <f t="shared" si="19"/>
        <v>47559.3</v>
      </c>
      <c r="L31" s="69">
        <f t="shared" si="19"/>
        <v>332915.09999999998</v>
      </c>
      <c r="M31" s="69">
        <f t="shared" si="19"/>
        <v>95118.6</v>
      </c>
      <c r="N31" s="69">
        <f t="shared" si="19"/>
        <v>0</v>
      </c>
      <c r="O31" s="69">
        <f t="shared" si="19"/>
        <v>9511.86</v>
      </c>
      <c r="P31" s="69">
        <f t="shared" si="19"/>
        <v>30000</v>
      </c>
      <c r="Q31" s="69">
        <f t="shared" si="19"/>
        <v>0</v>
      </c>
      <c r="R31" s="39">
        <f t="shared" si="18"/>
        <v>0</v>
      </c>
      <c r="S31" s="69">
        <f>SUM(S29:S30)</f>
        <v>200000</v>
      </c>
      <c r="T31" s="69">
        <f>SUM(T29:T30)</f>
        <v>0</v>
      </c>
      <c r="U31" s="69">
        <f>SUM(U29:U30)</f>
        <v>200000</v>
      </c>
      <c r="V31" s="109">
        <f t="shared" si="0"/>
        <v>200000</v>
      </c>
    </row>
    <row r="32" spans="1:22" ht="18.75" x14ac:dyDescent="0.3">
      <c r="A32" s="3"/>
      <c r="B32" s="184"/>
      <c r="C32" s="185"/>
      <c r="D32" s="33"/>
      <c r="E32" s="3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3">
        <f t="shared" si="18"/>
        <v>0</v>
      </c>
      <c r="S32" s="69"/>
      <c r="T32" s="69"/>
      <c r="U32" s="69"/>
      <c r="V32" s="36">
        <f t="shared" si="0"/>
        <v>0</v>
      </c>
    </row>
    <row r="33" spans="1:22" ht="18.75" x14ac:dyDescent="0.3">
      <c r="A33" s="3"/>
      <c r="B33" s="186" t="s">
        <v>93</v>
      </c>
      <c r="C33" s="187"/>
      <c r="D33" s="51"/>
      <c r="E33" s="2"/>
      <c r="F33" s="69"/>
      <c r="G33" s="69"/>
      <c r="H33" s="69"/>
      <c r="I33" s="36"/>
      <c r="J33" s="36"/>
      <c r="K33" s="36"/>
      <c r="L33" s="36"/>
      <c r="M33" s="36"/>
      <c r="N33" s="36"/>
      <c r="O33" s="36"/>
      <c r="P33" s="36"/>
      <c r="Q33" s="36"/>
      <c r="R33" s="63">
        <f t="shared" si="18"/>
        <v>0</v>
      </c>
      <c r="S33" s="36"/>
      <c r="T33" s="36"/>
      <c r="U33" s="36"/>
      <c r="V33" s="36">
        <f t="shared" si="0"/>
        <v>0</v>
      </c>
    </row>
    <row r="34" spans="1:22" ht="18.75" x14ac:dyDescent="0.3">
      <c r="A34" s="3">
        <v>1</v>
      </c>
      <c r="B34" s="169" t="s">
        <v>94</v>
      </c>
      <c r="C34" s="170"/>
      <c r="D34" s="33" t="s">
        <v>95</v>
      </c>
      <c r="E34" s="3" t="s">
        <v>89</v>
      </c>
      <c r="F34" s="63">
        <f>79039.64</f>
        <v>79039.64</v>
      </c>
      <c r="G34" s="63"/>
      <c r="H34" s="63">
        <f>F34*300%</f>
        <v>237118.91999999998</v>
      </c>
      <c r="I34" s="63">
        <f>F34*7.5%</f>
        <v>5927.973</v>
      </c>
      <c r="J34" s="63">
        <v>80244.38</v>
      </c>
      <c r="K34" s="63">
        <f>F34*50%</f>
        <v>39519.82</v>
      </c>
      <c r="L34" s="63">
        <f>F34*350%</f>
        <v>276638.74</v>
      </c>
      <c r="M34" s="63">
        <f t="shared" ref="M34:M44" si="20">F34*100%</f>
        <v>79039.64</v>
      </c>
      <c r="N34" s="63">
        <v>100000</v>
      </c>
      <c r="O34" s="63">
        <f t="shared" ref="O34:O44" si="21">F34*10%</f>
        <v>7903.9639999999999</v>
      </c>
      <c r="P34" s="63">
        <v>20000</v>
      </c>
      <c r="Q34" s="63"/>
      <c r="R34" s="63">
        <f t="shared" si="18"/>
        <v>100000</v>
      </c>
      <c r="S34" s="63">
        <f>150000</f>
        <v>150000</v>
      </c>
      <c r="T34" s="63">
        <f>S34-N34</f>
        <v>50000</v>
      </c>
      <c r="U34" s="63">
        <f>0</f>
        <v>0</v>
      </c>
      <c r="V34" s="36">
        <f t="shared" si="0"/>
        <v>50000</v>
      </c>
    </row>
    <row r="35" spans="1:22" ht="18.75" x14ac:dyDescent="0.3">
      <c r="A35" s="3">
        <v>2</v>
      </c>
      <c r="B35" s="169" t="s">
        <v>96</v>
      </c>
      <c r="C35" s="170"/>
      <c r="D35" s="33" t="s">
        <v>97</v>
      </c>
      <c r="E35" s="3" t="s">
        <v>44</v>
      </c>
      <c r="F35" s="63">
        <f>33507.5</f>
        <v>33507.5</v>
      </c>
      <c r="G35" s="63"/>
      <c r="H35" s="63">
        <f>F35*300%</f>
        <v>100522.5</v>
      </c>
      <c r="I35" s="63">
        <f>F35*7.5%</f>
        <v>2513.0625</v>
      </c>
      <c r="J35" s="63">
        <v>40122.19</v>
      </c>
      <c r="K35" s="63">
        <f>F35*50%</f>
        <v>16753.75</v>
      </c>
      <c r="L35" s="63">
        <f>F35*350%</f>
        <v>117276.25</v>
      </c>
      <c r="M35" s="63">
        <f>F35*100%</f>
        <v>33507.5</v>
      </c>
      <c r="N35" s="63">
        <v>100000</v>
      </c>
      <c r="O35" s="63">
        <f>F35*10%</f>
        <v>3350.75</v>
      </c>
      <c r="P35" s="63">
        <v>20000</v>
      </c>
      <c r="Q35" s="63">
        <v>0</v>
      </c>
      <c r="R35" s="63">
        <f t="shared" si="18"/>
        <v>100000</v>
      </c>
      <c r="S35" s="63">
        <f t="shared" ref="S35:S44" si="22">150000</f>
        <v>150000</v>
      </c>
      <c r="T35" s="63">
        <f t="shared" ref="T35:T45" si="23">S35-N35</f>
        <v>50000</v>
      </c>
      <c r="U35" s="63">
        <f>0</f>
        <v>0</v>
      </c>
      <c r="V35" s="36">
        <f t="shared" si="0"/>
        <v>50000</v>
      </c>
    </row>
    <row r="36" spans="1:22" ht="18.75" x14ac:dyDescent="0.3">
      <c r="A36" s="3">
        <v>3</v>
      </c>
      <c r="B36" s="169" t="s">
        <v>98</v>
      </c>
      <c r="C36" s="170"/>
      <c r="D36" s="33" t="s">
        <v>99</v>
      </c>
      <c r="E36" s="3" t="s">
        <v>138</v>
      </c>
      <c r="F36" s="63">
        <f>32263.2</f>
        <v>32263.200000000001</v>
      </c>
      <c r="G36" s="63"/>
      <c r="H36" s="63">
        <f>F36*300%</f>
        <v>96789.6</v>
      </c>
      <c r="I36" s="63">
        <f>F36*7.5%</f>
        <v>2419.7399999999998</v>
      </c>
      <c r="J36" s="63">
        <v>40122.19</v>
      </c>
      <c r="K36" s="63">
        <f>F36*50%</f>
        <v>16131.6</v>
      </c>
      <c r="L36" s="63">
        <f>F36*350%</f>
        <v>112921.2</v>
      </c>
      <c r="M36" s="63">
        <f>F36*100%</f>
        <v>32263.200000000001</v>
      </c>
      <c r="N36" s="63">
        <v>100000</v>
      </c>
      <c r="O36" s="63">
        <f>F36*10%</f>
        <v>3226.32</v>
      </c>
      <c r="P36" s="63">
        <v>20000</v>
      </c>
      <c r="Q36" s="63"/>
      <c r="R36" s="63">
        <f t="shared" si="18"/>
        <v>100000</v>
      </c>
      <c r="S36" s="63">
        <f t="shared" si="22"/>
        <v>150000</v>
      </c>
      <c r="T36" s="63">
        <f t="shared" si="23"/>
        <v>50000</v>
      </c>
      <c r="U36" s="63">
        <f>0</f>
        <v>0</v>
      </c>
      <c r="V36" s="36">
        <f t="shared" si="0"/>
        <v>50000</v>
      </c>
    </row>
    <row r="37" spans="1:22" ht="18.75" x14ac:dyDescent="0.3">
      <c r="A37" s="3">
        <v>4</v>
      </c>
      <c r="B37" s="169" t="s">
        <v>100</v>
      </c>
      <c r="C37" s="170"/>
      <c r="D37" s="33" t="s">
        <v>101</v>
      </c>
      <c r="E37" s="3" t="s">
        <v>102</v>
      </c>
      <c r="F37" s="63">
        <v>28489.81</v>
      </c>
      <c r="G37" s="63"/>
      <c r="H37" s="63">
        <f>F37*300%</f>
        <v>85469.430000000008</v>
      </c>
      <c r="I37" s="63">
        <f>F37*7.5%</f>
        <v>2136.7357499999998</v>
      </c>
      <c r="J37" s="63"/>
      <c r="K37" s="63">
        <f>F37*50%</f>
        <v>14244.905000000001</v>
      </c>
      <c r="L37" s="63">
        <f>F37*350%</f>
        <v>99714.335000000006</v>
      </c>
      <c r="M37" s="63">
        <f>F37*100%</f>
        <v>28489.81</v>
      </c>
      <c r="N37" s="63">
        <v>100000</v>
      </c>
      <c r="O37" s="63">
        <f>F37*10%</f>
        <v>2848.9810000000002</v>
      </c>
      <c r="P37" s="63">
        <v>20000</v>
      </c>
      <c r="Q37" s="63"/>
      <c r="R37" s="63">
        <f t="shared" si="18"/>
        <v>100000</v>
      </c>
      <c r="S37" s="63">
        <f t="shared" si="22"/>
        <v>150000</v>
      </c>
      <c r="T37" s="63">
        <f t="shared" si="23"/>
        <v>50000</v>
      </c>
      <c r="U37" s="63">
        <f>0</f>
        <v>0</v>
      </c>
      <c r="V37" s="36">
        <f t="shared" si="0"/>
        <v>50000</v>
      </c>
    </row>
    <row r="38" spans="1:22" ht="18.75" x14ac:dyDescent="0.3">
      <c r="A38" s="3">
        <v>5</v>
      </c>
      <c r="B38" s="169" t="s">
        <v>103</v>
      </c>
      <c r="C38" s="170"/>
      <c r="D38" s="33" t="s">
        <v>101</v>
      </c>
      <c r="E38" s="3" t="s">
        <v>288</v>
      </c>
      <c r="F38" s="63">
        <f>27611.23</f>
        <v>27611.23</v>
      </c>
      <c r="G38" s="63"/>
      <c r="H38" s="63">
        <f t="shared" ref="H38:H44" si="24">F38*300%</f>
        <v>82833.69</v>
      </c>
      <c r="I38" s="63">
        <f t="shared" ref="I38:I44" si="25">F38*7.5%</f>
        <v>2070.8422499999997</v>
      </c>
      <c r="J38" s="63">
        <v>0</v>
      </c>
      <c r="K38" s="63">
        <f t="shared" ref="K38:K44" si="26">F38*50%</f>
        <v>13805.615</v>
      </c>
      <c r="L38" s="63">
        <f t="shared" ref="L38:L44" si="27">F38*350%</f>
        <v>96639.304999999993</v>
      </c>
      <c r="M38" s="63">
        <f t="shared" si="20"/>
        <v>27611.23</v>
      </c>
      <c r="N38" s="63">
        <v>100000</v>
      </c>
      <c r="O38" s="63">
        <f t="shared" si="21"/>
        <v>2761.123</v>
      </c>
      <c r="P38" s="63">
        <v>20000</v>
      </c>
      <c r="Q38" s="63">
        <v>0</v>
      </c>
      <c r="R38" s="63">
        <f t="shared" si="18"/>
        <v>100000</v>
      </c>
      <c r="S38" s="63">
        <f t="shared" si="22"/>
        <v>150000</v>
      </c>
      <c r="T38" s="63">
        <f t="shared" si="23"/>
        <v>50000</v>
      </c>
      <c r="U38" s="63">
        <f>0</f>
        <v>0</v>
      </c>
      <c r="V38" s="36">
        <f t="shared" si="0"/>
        <v>50000</v>
      </c>
    </row>
    <row r="39" spans="1:22" ht="18.75" x14ac:dyDescent="0.3">
      <c r="A39" s="3">
        <v>6</v>
      </c>
      <c r="B39" s="169" t="s">
        <v>104</v>
      </c>
      <c r="C39" s="170"/>
      <c r="D39" s="33" t="s">
        <v>112</v>
      </c>
      <c r="E39" s="3" t="s">
        <v>110</v>
      </c>
      <c r="F39" s="63">
        <f>24741.26</f>
        <v>24741.26</v>
      </c>
      <c r="G39" s="63"/>
      <c r="H39" s="63">
        <f t="shared" si="24"/>
        <v>74223.78</v>
      </c>
      <c r="I39" s="63">
        <f t="shared" si="25"/>
        <v>1855.5944999999997</v>
      </c>
      <c r="J39" s="63"/>
      <c r="K39" s="63">
        <f t="shared" si="26"/>
        <v>12370.63</v>
      </c>
      <c r="L39" s="63">
        <f t="shared" si="27"/>
        <v>86594.409999999989</v>
      </c>
      <c r="M39" s="63">
        <f t="shared" si="20"/>
        <v>24741.26</v>
      </c>
      <c r="N39" s="63">
        <v>100000</v>
      </c>
      <c r="O39" s="63">
        <f t="shared" si="21"/>
        <v>2474.1260000000002</v>
      </c>
      <c r="P39" s="63">
        <v>15000</v>
      </c>
      <c r="Q39" s="63"/>
      <c r="R39" s="63">
        <f t="shared" si="18"/>
        <v>100000</v>
      </c>
      <c r="S39" s="63">
        <f t="shared" si="22"/>
        <v>150000</v>
      </c>
      <c r="T39" s="63">
        <f t="shared" si="23"/>
        <v>50000</v>
      </c>
      <c r="U39" s="63">
        <f>0</f>
        <v>0</v>
      </c>
      <c r="V39" s="36">
        <f t="shared" si="0"/>
        <v>50000</v>
      </c>
    </row>
    <row r="40" spans="1:22" ht="18.75" x14ac:dyDescent="0.3">
      <c r="A40" s="3">
        <v>7</v>
      </c>
      <c r="B40" s="182" t="s">
        <v>106</v>
      </c>
      <c r="C40" s="183"/>
      <c r="D40" s="20" t="s">
        <v>107</v>
      </c>
      <c r="E40" s="25" t="s">
        <v>62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76">
        <v>100000</v>
      </c>
      <c r="O40" s="26">
        <f>F40*10%</f>
        <v>2633.9300000000003</v>
      </c>
      <c r="P40" s="26">
        <v>15000</v>
      </c>
      <c r="Q40" s="26"/>
      <c r="R40" s="63">
        <f t="shared" si="18"/>
        <v>100000</v>
      </c>
      <c r="S40" s="63">
        <f t="shared" si="22"/>
        <v>150000</v>
      </c>
      <c r="T40" s="63">
        <f t="shared" si="23"/>
        <v>50000</v>
      </c>
      <c r="U40" s="63">
        <f>0</f>
        <v>0</v>
      </c>
      <c r="V40" s="36">
        <f t="shared" si="0"/>
        <v>50000</v>
      </c>
    </row>
    <row r="41" spans="1:22" ht="18.75" x14ac:dyDescent="0.3">
      <c r="A41" s="3">
        <v>8</v>
      </c>
      <c r="B41" s="169" t="s">
        <v>108</v>
      </c>
      <c r="C41" s="170"/>
      <c r="D41" s="33" t="s">
        <v>109</v>
      </c>
      <c r="E41" s="3" t="s">
        <v>80</v>
      </c>
      <c r="F41" s="63">
        <v>23891.119999999999</v>
      </c>
      <c r="G41" s="63"/>
      <c r="H41" s="63">
        <f t="shared" si="24"/>
        <v>71673.36</v>
      </c>
      <c r="I41" s="63">
        <f t="shared" si="25"/>
        <v>1791.8339999999998</v>
      </c>
      <c r="J41" s="63">
        <v>0</v>
      </c>
      <c r="K41" s="63">
        <f t="shared" si="26"/>
        <v>11945.56</v>
      </c>
      <c r="L41" s="63">
        <f t="shared" si="27"/>
        <v>83618.92</v>
      </c>
      <c r="M41" s="63">
        <f t="shared" si="20"/>
        <v>23891.119999999999</v>
      </c>
      <c r="N41" s="63">
        <v>100000</v>
      </c>
      <c r="O41" s="63">
        <f t="shared" si="21"/>
        <v>2389.1120000000001</v>
      </c>
      <c r="P41" s="63">
        <v>15000</v>
      </c>
      <c r="Q41" s="63">
        <v>0</v>
      </c>
      <c r="R41" s="63">
        <f t="shared" si="18"/>
        <v>100000</v>
      </c>
      <c r="S41" s="63">
        <f t="shared" si="22"/>
        <v>150000</v>
      </c>
      <c r="T41" s="63">
        <f t="shared" si="23"/>
        <v>50000</v>
      </c>
      <c r="U41" s="63">
        <f>0</f>
        <v>0</v>
      </c>
      <c r="V41" s="36">
        <f t="shared" si="0"/>
        <v>50000</v>
      </c>
    </row>
    <row r="42" spans="1:22" ht="18.75" x14ac:dyDescent="0.3">
      <c r="A42" s="3">
        <v>9</v>
      </c>
      <c r="B42" s="169" t="s">
        <v>111</v>
      </c>
      <c r="C42" s="170"/>
      <c r="D42" s="33" t="s">
        <v>112</v>
      </c>
      <c r="E42" s="3" t="s">
        <v>110</v>
      </c>
      <c r="F42" s="63">
        <f>24741.26</f>
        <v>24741.26</v>
      </c>
      <c r="G42" s="63"/>
      <c r="H42" s="63">
        <f t="shared" si="24"/>
        <v>74223.78</v>
      </c>
      <c r="I42" s="63">
        <f t="shared" si="25"/>
        <v>1855.5944999999997</v>
      </c>
      <c r="J42" s="63">
        <v>0</v>
      </c>
      <c r="K42" s="63">
        <f t="shared" si="26"/>
        <v>12370.63</v>
      </c>
      <c r="L42" s="63">
        <f t="shared" si="27"/>
        <v>86594.409999999989</v>
      </c>
      <c r="M42" s="63">
        <f t="shared" si="20"/>
        <v>24741.26</v>
      </c>
      <c r="N42" s="63">
        <v>100000</v>
      </c>
      <c r="O42" s="63">
        <f t="shared" si="21"/>
        <v>2474.1260000000002</v>
      </c>
      <c r="P42" s="63">
        <v>15000</v>
      </c>
      <c r="Q42" s="63">
        <v>0</v>
      </c>
      <c r="R42" s="63">
        <f t="shared" si="18"/>
        <v>100000</v>
      </c>
      <c r="S42" s="63">
        <f t="shared" si="22"/>
        <v>150000</v>
      </c>
      <c r="T42" s="63">
        <f t="shared" si="23"/>
        <v>50000</v>
      </c>
      <c r="U42" s="63">
        <f>0</f>
        <v>0</v>
      </c>
      <c r="V42" s="36">
        <f t="shared" si="0"/>
        <v>50000</v>
      </c>
    </row>
    <row r="43" spans="1:22" ht="18.75" x14ac:dyDescent="0.3">
      <c r="A43" s="3">
        <v>10</v>
      </c>
      <c r="B43" s="169" t="s">
        <v>269</v>
      </c>
      <c r="C43" s="170"/>
      <c r="D43" s="33" t="s">
        <v>112</v>
      </c>
      <c r="E43" s="3" t="s">
        <v>110</v>
      </c>
      <c r="F43" s="63">
        <f>24741.26</f>
        <v>24741.26</v>
      </c>
      <c r="G43" s="63"/>
      <c r="H43" s="63">
        <f t="shared" si="24"/>
        <v>74223.78</v>
      </c>
      <c r="I43" s="63">
        <f t="shared" si="25"/>
        <v>1855.5944999999997</v>
      </c>
      <c r="J43" s="63">
        <f>J17</f>
        <v>0</v>
      </c>
      <c r="K43" s="63">
        <f t="shared" si="26"/>
        <v>12370.63</v>
      </c>
      <c r="L43" s="63">
        <f t="shared" si="27"/>
        <v>86594.409999999989</v>
      </c>
      <c r="M43" s="63">
        <f t="shared" si="20"/>
        <v>24741.26</v>
      </c>
      <c r="N43" s="63">
        <v>100000</v>
      </c>
      <c r="O43" s="63">
        <f t="shared" si="21"/>
        <v>2474.1260000000002</v>
      </c>
      <c r="P43" s="63">
        <v>15000</v>
      </c>
      <c r="Q43" s="63">
        <v>0</v>
      </c>
      <c r="R43" s="63">
        <f t="shared" si="18"/>
        <v>100000</v>
      </c>
      <c r="S43" s="63">
        <f t="shared" si="22"/>
        <v>150000</v>
      </c>
      <c r="T43" s="63">
        <f t="shared" si="23"/>
        <v>50000</v>
      </c>
      <c r="U43" s="63">
        <f>0</f>
        <v>0</v>
      </c>
      <c r="V43" s="36">
        <f t="shared" si="0"/>
        <v>50000</v>
      </c>
    </row>
    <row r="44" spans="1:22" ht="18.75" x14ac:dyDescent="0.3">
      <c r="A44" s="3">
        <v>11</v>
      </c>
      <c r="B44" s="173" t="s">
        <v>114</v>
      </c>
      <c r="C44" s="174"/>
      <c r="D44" s="20" t="s">
        <v>124</v>
      </c>
      <c r="E44" s="29" t="s">
        <v>68</v>
      </c>
      <c r="F44" s="26">
        <f>18281.64</f>
        <v>18281.64</v>
      </c>
      <c r="G44" s="63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63">
        <f t="shared" si="18"/>
        <v>100000</v>
      </c>
      <c r="S44" s="63">
        <f t="shared" si="22"/>
        <v>150000</v>
      </c>
      <c r="T44" s="63">
        <f t="shared" si="23"/>
        <v>50000</v>
      </c>
      <c r="U44" s="63">
        <f>0</f>
        <v>0</v>
      </c>
      <c r="V44" s="36">
        <f t="shared" si="0"/>
        <v>50000</v>
      </c>
    </row>
    <row r="45" spans="1:22" ht="23.25" x14ac:dyDescent="0.6">
      <c r="A45" s="3"/>
      <c r="B45" s="188" t="s">
        <v>32</v>
      </c>
      <c r="C45" s="189"/>
      <c r="D45" s="30">
        <v>11</v>
      </c>
      <c r="E45" s="30"/>
      <c r="F45" s="103">
        <f>SUM(F34:F44)</f>
        <v>343647.22000000003</v>
      </c>
      <c r="G45" s="103"/>
      <c r="H45" s="103">
        <f t="shared" ref="H45:Q45" si="28">SUM(H34:H44)</f>
        <v>1030941.6600000001</v>
      </c>
      <c r="I45" s="103">
        <f t="shared" si="28"/>
        <v>25773.541499999996</v>
      </c>
      <c r="J45" s="103">
        <f t="shared" si="28"/>
        <v>160488.76</v>
      </c>
      <c r="K45" s="103">
        <f t="shared" si="28"/>
        <v>171823.61000000002</v>
      </c>
      <c r="L45" s="103">
        <f t="shared" si="28"/>
        <v>1202765.27</v>
      </c>
      <c r="M45" s="103">
        <f t="shared" si="28"/>
        <v>343647.22000000003</v>
      </c>
      <c r="N45" s="103">
        <f t="shared" si="28"/>
        <v>1100000</v>
      </c>
      <c r="O45" s="103">
        <f t="shared" si="28"/>
        <v>34364.722000000002</v>
      </c>
      <c r="P45" s="103">
        <f t="shared" si="28"/>
        <v>185000</v>
      </c>
      <c r="Q45" s="103">
        <f t="shared" si="28"/>
        <v>0</v>
      </c>
      <c r="R45" s="39">
        <f t="shared" si="18"/>
        <v>1100000</v>
      </c>
      <c r="S45" s="103">
        <f>SUM(S34:S44)</f>
        <v>1650000</v>
      </c>
      <c r="T45" s="106">
        <f t="shared" si="23"/>
        <v>550000</v>
      </c>
      <c r="U45" s="103">
        <f>SUM(U34:U44)</f>
        <v>0</v>
      </c>
      <c r="V45" s="109">
        <f t="shared" si="0"/>
        <v>550000</v>
      </c>
    </row>
    <row r="46" spans="1:22" ht="18.75" x14ac:dyDescent="0.3">
      <c r="A46" s="3"/>
      <c r="B46" s="83"/>
      <c r="C46" s="83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3">
        <f t="shared" si="18"/>
        <v>0</v>
      </c>
      <c r="S46" s="31"/>
      <c r="T46" s="31"/>
      <c r="U46" s="31"/>
      <c r="V46" s="36">
        <f t="shared" si="0"/>
        <v>0</v>
      </c>
    </row>
    <row r="47" spans="1:22" ht="18.75" x14ac:dyDescent="0.3">
      <c r="A47" s="3"/>
      <c r="B47" s="188" t="s">
        <v>115</v>
      </c>
      <c r="C47" s="189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63">
        <f t="shared" si="18"/>
        <v>0</v>
      </c>
      <c r="S47" s="31"/>
      <c r="T47" s="31"/>
      <c r="U47" s="31"/>
      <c r="V47" s="36">
        <f t="shared" si="0"/>
        <v>0</v>
      </c>
    </row>
    <row r="48" spans="1:22" ht="18.75" x14ac:dyDescent="0.3">
      <c r="A48" s="3">
        <v>1</v>
      </c>
      <c r="B48" s="169" t="s">
        <v>116</v>
      </c>
      <c r="C48" s="170"/>
      <c r="D48" s="62" t="s">
        <v>117</v>
      </c>
      <c r="E48" s="67" t="s">
        <v>41</v>
      </c>
      <c r="F48" s="63">
        <f>81740.02</f>
        <v>81740.02</v>
      </c>
      <c r="G48" s="63"/>
      <c r="H48" s="63">
        <f>F48*300%</f>
        <v>245220.06</v>
      </c>
      <c r="I48" s="63">
        <f>F48*7.5%</f>
        <v>6130.5015000000003</v>
      </c>
      <c r="J48" s="63">
        <v>80244.38</v>
      </c>
      <c r="K48" s="63">
        <f>F48*50%</f>
        <v>40870.01</v>
      </c>
      <c r="L48" s="63">
        <f>F48*350%</f>
        <v>286090.07</v>
      </c>
      <c r="M48" s="63">
        <f>F48*100%</f>
        <v>81740.02</v>
      </c>
      <c r="N48" s="63">
        <v>100000</v>
      </c>
      <c r="O48" s="63">
        <f>F48*10%</f>
        <v>8174.0020000000004</v>
      </c>
      <c r="P48" s="63">
        <v>20000</v>
      </c>
      <c r="Q48" s="63">
        <v>0</v>
      </c>
      <c r="R48" s="63">
        <f t="shared" si="18"/>
        <v>100000</v>
      </c>
      <c r="S48" s="63">
        <f>150000</f>
        <v>150000</v>
      </c>
      <c r="T48" s="63">
        <f>S48-N48</f>
        <v>50000</v>
      </c>
      <c r="U48" s="63"/>
      <c r="V48" s="36">
        <f t="shared" si="0"/>
        <v>50000</v>
      </c>
    </row>
    <row r="49" spans="1:22" ht="18.75" x14ac:dyDescent="0.3">
      <c r="A49" s="3">
        <v>2</v>
      </c>
      <c r="B49" s="84" t="s">
        <v>318</v>
      </c>
      <c r="C49" s="85"/>
      <c r="D49" s="62" t="s">
        <v>319</v>
      </c>
      <c r="E49" s="81" t="s">
        <v>317</v>
      </c>
      <c r="F49" s="26">
        <f>23074.99</f>
        <v>23074.99</v>
      </c>
      <c r="G49" s="63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63">
        <f>0</f>
        <v>0</v>
      </c>
      <c r="O49" s="26">
        <f t="shared" ref="O49" si="34">F49*10%</f>
        <v>2307.4990000000003</v>
      </c>
      <c r="P49" s="26">
        <v>15000</v>
      </c>
      <c r="Q49" s="26"/>
      <c r="R49" s="63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3.25" x14ac:dyDescent="0.6">
      <c r="A50" s="3"/>
      <c r="B50" s="188" t="s">
        <v>32</v>
      </c>
      <c r="C50" s="189"/>
      <c r="D50" s="30">
        <v>2</v>
      </c>
      <c r="E50" s="30"/>
      <c r="F50" s="103">
        <f>SUM(F48:F49)</f>
        <v>104815.01000000001</v>
      </c>
      <c r="G50" s="103">
        <f t="shared" ref="G50" si="35">SUM(G48:G48)</f>
        <v>0</v>
      </c>
      <c r="H50" s="103">
        <f t="shared" ref="H50:P50" si="36">SUM(H48:H49)</f>
        <v>314445.03000000003</v>
      </c>
      <c r="I50" s="103">
        <f t="shared" si="36"/>
        <v>7861.1257500000002</v>
      </c>
      <c r="J50" s="103">
        <f t="shared" si="36"/>
        <v>80244.38</v>
      </c>
      <c r="K50" s="103">
        <f t="shared" si="36"/>
        <v>52407.505000000005</v>
      </c>
      <c r="L50" s="103">
        <f t="shared" si="36"/>
        <v>366852.53500000003</v>
      </c>
      <c r="M50" s="103">
        <f t="shared" si="36"/>
        <v>104815.01000000001</v>
      </c>
      <c r="N50" s="103">
        <f t="shared" si="36"/>
        <v>100000</v>
      </c>
      <c r="O50" s="103">
        <f t="shared" si="36"/>
        <v>10481.501</v>
      </c>
      <c r="P50" s="103">
        <f t="shared" si="36"/>
        <v>35000</v>
      </c>
      <c r="Q50" s="103">
        <f t="shared" ref="Q50" si="37">SUM(Q48:Q48)</f>
        <v>0</v>
      </c>
      <c r="R50" s="39">
        <f t="shared" si="18"/>
        <v>100000</v>
      </c>
      <c r="S50" s="103">
        <f>SUM(S48:S49)</f>
        <v>250000</v>
      </c>
      <c r="T50" s="103">
        <f>SUM(T48:T49)</f>
        <v>50000</v>
      </c>
      <c r="U50" s="103">
        <f>SUM(U48:U49)</f>
        <v>100000</v>
      </c>
      <c r="V50" s="109">
        <f t="shared" si="0"/>
        <v>150000</v>
      </c>
    </row>
    <row r="51" spans="1:22" ht="18.75" x14ac:dyDescent="0.3">
      <c r="A51" s="3"/>
      <c r="B51" s="188"/>
      <c r="C51" s="189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3">
        <f t="shared" si="18"/>
        <v>0</v>
      </c>
      <c r="S51" s="31"/>
      <c r="T51" s="31"/>
      <c r="U51" s="31"/>
      <c r="V51" s="36">
        <f t="shared" si="0"/>
        <v>0</v>
      </c>
    </row>
    <row r="52" spans="1:22" ht="18.75" x14ac:dyDescent="0.3">
      <c r="A52" s="3"/>
      <c r="B52" s="188" t="s">
        <v>118</v>
      </c>
      <c r="C52" s="189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3">
        <f t="shared" si="18"/>
        <v>0</v>
      </c>
      <c r="S52" s="31"/>
      <c r="T52" s="31"/>
      <c r="U52" s="31"/>
      <c r="V52" s="36">
        <f t="shared" si="0"/>
        <v>0</v>
      </c>
    </row>
    <row r="53" spans="1:22" ht="18.75" x14ac:dyDescent="0.3">
      <c r="A53" s="3">
        <v>1</v>
      </c>
      <c r="B53" s="173" t="s">
        <v>119</v>
      </c>
      <c r="C53" s="174"/>
      <c r="D53" s="48" t="s">
        <v>120</v>
      </c>
      <c r="E53" s="29" t="s">
        <v>287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63">
        <f t="shared" si="18"/>
        <v>100000</v>
      </c>
      <c r="S53" s="63">
        <f t="shared" ref="S53:S57" si="38">150000</f>
        <v>150000</v>
      </c>
      <c r="T53" s="110">
        <f>S53-N53</f>
        <v>50000</v>
      </c>
      <c r="U53" s="63">
        <f>0</f>
        <v>0</v>
      </c>
      <c r="V53" s="36">
        <f t="shared" si="0"/>
        <v>50000</v>
      </c>
    </row>
    <row r="54" spans="1:22" ht="18.75" x14ac:dyDescent="0.3">
      <c r="A54" s="3">
        <v>2</v>
      </c>
      <c r="B54" s="173" t="s">
        <v>320</v>
      </c>
      <c r="C54" s="174"/>
      <c r="D54" s="20" t="s">
        <v>101</v>
      </c>
      <c r="E54" s="29" t="s">
        <v>143</v>
      </c>
      <c r="F54" s="26">
        <f>27611.23</f>
        <v>27611.23</v>
      </c>
      <c r="G54" s="63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63">
        <f t="shared" si="18"/>
        <v>100000</v>
      </c>
      <c r="S54" s="63">
        <f t="shared" si="38"/>
        <v>150000</v>
      </c>
      <c r="T54" s="110">
        <f>0</f>
        <v>0</v>
      </c>
      <c r="U54" s="63">
        <f>0</f>
        <v>0</v>
      </c>
      <c r="V54" s="36">
        <f>0</f>
        <v>0</v>
      </c>
    </row>
    <row r="55" spans="1:22" ht="18.75" x14ac:dyDescent="0.3">
      <c r="A55" s="3">
        <v>3</v>
      </c>
      <c r="B55" s="171" t="s">
        <v>141</v>
      </c>
      <c r="C55" s="172"/>
      <c r="D55" s="33" t="s">
        <v>109</v>
      </c>
      <c r="E55" s="3" t="s">
        <v>57</v>
      </c>
      <c r="F55" s="63">
        <f>25523.45</f>
        <v>25523.45</v>
      </c>
      <c r="G55" s="63"/>
      <c r="H55" s="63">
        <f>F55*300%</f>
        <v>76570.350000000006</v>
      </c>
      <c r="I55" s="63">
        <f>F55*7.5%</f>
        <v>1914.25875</v>
      </c>
      <c r="J55" s="63"/>
      <c r="K55" s="63">
        <f>F55*50%</f>
        <v>12761.725</v>
      </c>
      <c r="L55" s="36">
        <f>F55*350%</f>
        <v>89332.074999999997</v>
      </c>
      <c r="M55" s="63">
        <f>F55*100%</f>
        <v>25523.45</v>
      </c>
      <c r="N55" s="63">
        <v>100000</v>
      </c>
      <c r="O55" s="63">
        <f>F55*10%</f>
        <v>2552.3450000000003</v>
      </c>
      <c r="P55" s="63">
        <v>15000</v>
      </c>
      <c r="Q55" s="63">
        <v>0</v>
      </c>
      <c r="R55" s="63">
        <f t="shared" si="18"/>
        <v>100000</v>
      </c>
      <c r="S55" s="63">
        <f t="shared" si="38"/>
        <v>150000</v>
      </c>
      <c r="T55" s="110">
        <f t="shared" ref="T55:T58" si="39">S55-N55</f>
        <v>50000</v>
      </c>
      <c r="U55" s="63">
        <f>0</f>
        <v>0</v>
      </c>
      <c r="V55" s="36">
        <f t="shared" si="0"/>
        <v>50000</v>
      </c>
    </row>
    <row r="56" spans="1:22" ht="18.75" x14ac:dyDescent="0.3">
      <c r="A56" s="3">
        <v>4</v>
      </c>
      <c r="B56" s="173" t="s">
        <v>122</v>
      </c>
      <c r="C56" s="174"/>
      <c r="D56" s="48" t="s">
        <v>124</v>
      </c>
      <c r="E56" s="29" t="s">
        <v>68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63">
        <f t="shared" si="18"/>
        <v>100000</v>
      </c>
      <c r="S56" s="63">
        <f t="shared" si="38"/>
        <v>150000</v>
      </c>
      <c r="T56" s="110">
        <f t="shared" si="39"/>
        <v>50000</v>
      </c>
      <c r="U56" s="63">
        <f>0</f>
        <v>0</v>
      </c>
      <c r="V56" s="36">
        <f t="shared" si="0"/>
        <v>50000</v>
      </c>
    </row>
    <row r="57" spans="1:22" ht="18.75" x14ac:dyDescent="0.3">
      <c r="A57" s="3">
        <v>5</v>
      </c>
      <c r="B57" s="178" t="s">
        <v>126</v>
      </c>
      <c r="C57" s="178"/>
      <c r="D57" s="62" t="s">
        <v>127</v>
      </c>
      <c r="E57" s="67" t="s">
        <v>92</v>
      </c>
      <c r="F57" s="63">
        <f>18779.3</f>
        <v>18779.3</v>
      </c>
      <c r="G57" s="63"/>
      <c r="H57" s="63">
        <f>F57*300%</f>
        <v>56337.899999999994</v>
      </c>
      <c r="I57" s="63">
        <f>F57*7.5%</f>
        <v>1408.4475</v>
      </c>
      <c r="J57" s="63">
        <v>0</v>
      </c>
      <c r="K57" s="63">
        <f>F57*50%</f>
        <v>9389.65</v>
      </c>
      <c r="L57" s="36">
        <f>F57*350%</f>
        <v>65727.55</v>
      </c>
      <c r="M57" s="63">
        <f>F57*100%</f>
        <v>18779.3</v>
      </c>
      <c r="N57" s="63">
        <f>100000</f>
        <v>100000</v>
      </c>
      <c r="O57" s="63">
        <f>F57*10%</f>
        <v>1877.93</v>
      </c>
      <c r="P57" s="63">
        <v>10000</v>
      </c>
      <c r="Q57" s="63">
        <v>0</v>
      </c>
      <c r="R57" s="63">
        <f t="shared" si="18"/>
        <v>100000</v>
      </c>
      <c r="S57" s="63">
        <f t="shared" si="38"/>
        <v>150000</v>
      </c>
      <c r="T57" s="110">
        <f t="shared" si="39"/>
        <v>50000</v>
      </c>
      <c r="U57" s="63">
        <f>0</f>
        <v>0</v>
      </c>
      <c r="V57" s="36">
        <f t="shared" si="0"/>
        <v>50000</v>
      </c>
    </row>
    <row r="58" spans="1:22" ht="23.25" x14ac:dyDescent="0.6">
      <c r="A58" s="3"/>
      <c r="B58" s="188" t="s">
        <v>32</v>
      </c>
      <c r="C58" s="189"/>
      <c r="D58" s="30">
        <v>5</v>
      </c>
      <c r="E58" s="30"/>
      <c r="F58" s="103">
        <f t="shared" ref="F58:Q58" si="40">SUM(F53:F57)</f>
        <v>166534.91999999998</v>
      </c>
      <c r="G58" s="103">
        <f t="shared" si="40"/>
        <v>0</v>
      </c>
      <c r="H58" s="103">
        <f t="shared" si="40"/>
        <v>499604.76</v>
      </c>
      <c r="I58" s="103">
        <f t="shared" si="40"/>
        <v>12490.119000000001</v>
      </c>
      <c r="J58" s="103">
        <f t="shared" si="40"/>
        <v>80244.38</v>
      </c>
      <c r="K58" s="103">
        <f t="shared" si="40"/>
        <v>83267.459999999992</v>
      </c>
      <c r="L58" s="103">
        <f t="shared" si="40"/>
        <v>582872.22</v>
      </c>
      <c r="M58" s="103">
        <f t="shared" si="40"/>
        <v>166534.91999999998</v>
      </c>
      <c r="N58" s="103">
        <f t="shared" si="40"/>
        <v>500000</v>
      </c>
      <c r="O58" s="103">
        <f t="shared" si="40"/>
        <v>16653.492000000002</v>
      </c>
      <c r="P58" s="103">
        <f t="shared" si="40"/>
        <v>75000</v>
      </c>
      <c r="Q58" s="103">
        <f t="shared" si="40"/>
        <v>0</v>
      </c>
      <c r="R58" s="39">
        <f t="shared" si="18"/>
        <v>500000</v>
      </c>
      <c r="S58" s="103">
        <f>SUM(S53:S57)</f>
        <v>750000</v>
      </c>
      <c r="T58" s="111">
        <f t="shared" si="39"/>
        <v>250000</v>
      </c>
      <c r="U58" s="103">
        <f>SUM(U53:U57)</f>
        <v>0</v>
      </c>
      <c r="V58" s="109">
        <f>SUM(V53:V57)</f>
        <v>200000</v>
      </c>
    </row>
    <row r="59" spans="1:22" ht="18.75" x14ac:dyDescent="0.3">
      <c r="A59" s="3"/>
      <c r="B59" s="70"/>
      <c r="C59" s="71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3">
        <f t="shared" si="18"/>
        <v>0</v>
      </c>
      <c r="S59" s="31"/>
      <c r="T59" s="31"/>
      <c r="U59" s="31"/>
      <c r="V59" s="36">
        <f t="shared" si="0"/>
        <v>0</v>
      </c>
    </row>
    <row r="60" spans="1:22" ht="18.75" x14ac:dyDescent="0.3">
      <c r="A60" s="3"/>
      <c r="B60" s="188" t="s">
        <v>130</v>
      </c>
      <c r="C60" s="189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63">
        <f t="shared" si="18"/>
        <v>0</v>
      </c>
      <c r="S60" s="31"/>
      <c r="T60" s="31"/>
      <c r="U60" s="31"/>
      <c r="V60" s="36">
        <f t="shared" si="0"/>
        <v>0</v>
      </c>
    </row>
    <row r="61" spans="1:22" ht="18.75" x14ac:dyDescent="0.3">
      <c r="A61" s="3">
        <v>1</v>
      </c>
      <c r="B61" s="169" t="s">
        <v>131</v>
      </c>
      <c r="C61" s="170"/>
      <c r="D61" s="33" t="s">
        <v>132</v>
      </c>
      <c r="E61" s="3" t="s">
        <v>41</v>
      </c>
      <c r="F61" s="63">
        <f>81740.02</f>
        <v>81740.02</v>
      </c>
      <c r="G61" s="63"/>
      <c r="H61" s="63">
        <f t="shared" ref="H61:H64" si="41">F61*300%</f>
        <v>245220.06</v>
      </c>
      <c r="I61" s="63">
        <f t="shared" ref="I61:I64" si="42">F61*7.5%</f>
        <v>6130.5015000000003</v>
      </c>
      <c r="J61" s="63">
        <v>80244.38</v>
      </c>
      <c r="K61" s="63">
        <f>F61*50%</f>
        <v>40870.01</v>
      </c>
      <c r="L61" s="63">
        <f t="shared" ref="L61:L64" si="43">F61*350%</f>
        <v>286090.07</v>
      </c>
      <c r="M61" s="63">
        <f>F61*100%</f>
        <v>81740.02</v>
      </c>
      <c r="N61" s="63">
        <v>100000</v>
      </c>
      <c r="O61" s="63">
        <f>F61*10%</f>
        <v>8174.0020000000004</v>
      </c>
      <c r="P61" s="63">
        <v>20000</v>
      </c>
      <c r="Q61" s="63">
        <v>0</v>
      </c>
      <c r="R61" s="63">
        <f t="shared" si="18"/>
        <v>100000</v>
      </c>
      <c r="S61" s="63">
        <f t="shared" ref="S61:S64" si="44">150000</f>
        <v>150000</v>
      </c>
      <c r="T61" s="63">
        <f>S61-N61</f>
        <v>50000</v>
      </c>
      <c r="U61" s="63">
        <f>0</f>
        <v>0</v>
      </c>
      <c r="V61" s="36">
        <f t="shared" si="0"/>
        <v>50000</v>
      </c>
    </row>
    <row r="62" spans="1:22" ht="18.75" x14ac:dyDescent="0.3">
      <c r="A62" s="3">
        <v>2</v>
      </c>
      <c r="B62" s="169" t="s">
        <v>139</v>
      </c>
      <c r="C62" s="170"/>
      <c r="D62" s="33" t="s">
        <v>101</v>
      </c>
      <c r="E62" s="3" t="s">
        <v>143</v>
      </c>
      <c r="F62" s="63">
        <f>27611.23</f>
        <v>27611.23</v>
      </c>
      <c r="G62" s="63"/>
      <c r="H62" s="63">
        <f t="shared" si="41"/>
        <v>82833.69</v>
      </c>
      <c r="I62" s="63">
        <f t="shared" si="42"/>
        <v>2070.8422499999997</v>
      </c>
      <c r="J62" s="63"/>
      <c r="K62" s="63">
        <f>F62*50%</f>
        <v>13805.615</v>
      </c>
      <c r="L62" s="63">
        <f t="shared" si="43"/>
        <v>96639.304999999993</v>
      </c>
      <c r="M62" s="63">
        <f>F62*100%</f>
        <v>27611.23</v>
      </c>
      <c r="N62" s="63">
        <v>100000</v>
      </c>
      <c r="O62" s="63">
        <f>F62*10%</f>
        <v>2761.123</v>
      </c>
      <c r="P62" s="63">
        <v>20000</v>
      </c>
      <c r="Q62" s="63"/>
      <c r="R62" s="63">
        <f t="shared" si="18"/>
        <v>100000</v>
      </c>
      <c r="S62" s="63">
        <f t="shared" si="44"/>
        <v>150000</v>
      </c>
      <c r="T62" s="63">
        <f t="shared" ref="T62:T65" si="45">S62-N62</f>
        <v>50000</v>
      </c>
      <c r="U62" s="63">
        <f>0</f>
        <v>0</v>
      </c>
      <c r="V62" s="36">
        <f t="shared" si="0"/>
        <v>50000</v>
      </c>
    </row>
    <row r="63" spans="1:22" ht="18.75" x14ac:dyDescent="0.3">
      <c r="A63" s="3">
        <v>3</v>
      </c>
      <c r="B63" s="169" t="s">
        <v>128</v>
      </c>
      <c r="C63" s="170"/>
      <c r="D63" s="33" t="s">
        <v>129</v>
      </c>
      <c r="E63" s="3" t="s">
        <v>85</v>
      </c>
      <c r="F63" s="63">
        <f>17784</f>
        <v>17784</v>
      </c>
      <c r="G63" s="63"/>
      <c r="H63" s="63">
        <f t="shared" si="41"/>
        <v>53352</v>
      </c>
      <c r="I63" s="63">
        <f t="shared" si="42"/>
        <v>1333.8</v>
      </c>
      <c r="J63" s="63"/>
      <c r="K63" s="63">
        <f>F63*50%</f>
        <v>8892</v>
      </c>
      <c r="L63" s="63">
        <f t="shared" si="43"/>
        <v>62244</v>
      </c>
      <c r="M63" s="63">
        <f>F63*100%</f>
        <v>17784</v>
      </c>
      <c r="N63" s="63">
        <v>100000</v>
      </c>
      <c r="O63" s="63">
        <f>F63*10%</f>
        <v>1778.4</v>
      </c>
      <c r="P63" s="63">
        <v>10000</v>
      </c>
      <c r="Q63" s="63"/>
      <c r="R63" s="63">
        <f t="shared" si="18"/>
        <v>100000</v>
      </c>
      <c r="S63" s="63">
        <f t="shared" si="44"/>
        <v>150000</v>
      </c>
      <c r="T63" s="63">
        <f t="shared" si="45"/>
        <v>50000</v>
      </c>
      <c r="U63" s="63">
        <f>0</f>
        <v>0</v>
      </c>
      <c r="V63" s="36">
        <f t="shared" si="0"/>
        <v>50000</v>
      </c>
    </row>
    <row r="64" spans="1:22" ht="18.75" x14ac:dyDescent="0.3">
      <c r="A64" s="3">
        <v>4</v>
      </c>
      <c r="B64" s="169" t="s">
        <v>133</v>
      </c>
      <c r="C64" s="170"/>
      <c r="D64" s="62" t="s">
        <v>129</v>
      </c>
      <c r="E64" s="67" t="s">
        <v>92</v>
      </c>
      <c r="F64" s="63">
        <f>18779.3</f>
        <v>18779.3</v>
      </c>
      <c r="G64" s="63"/>
      <c r="H64" s="63">
        <f t="shared" si="41"/>
        <v>56337.899999999994</v>
      </c>
      <c r="I64" s="63">
        <f t="shared" si="42"/>
        <v>1408.4475</v>
      </c>
      <c r="J64" s="36">
        <v>0</v>
      </c>
      <c r="K64" s="63">
        <f>F64*50%</f>
        <v>9389.65</v>
      </c>
      <c r="L64" s="36">
        <f t="shared" si="43"/>
        <v>65727.55</v>
      </c>
      <c r="M64" s="63">
        <f>F64*100%</f>
        <v>18779.3</v>
      </c>
      <c r="N64" s="63">
        <f>100000</f>
        <v>100000</v>
      </c>
      <c r="O64" s="63">
        <f>F64*10%</f>
        <v>1877.93</v>
      </c>
      <c r="P64" s="63">
        <v>10000</v>
      </c>
      <c r="Q64" s="63">
        <v>0</v>
      </c>
      <c r="R64" s="63">
        <f t="shared" si="18"/>
        <v>100000</v>
      </c>
      <c r="S64" s="63">
        <f t="shared" si="44"/>
        <v>150000</v>
      </c>
      <c r="T64" s="63">
        <f t="shared" si="45"/>
        <v>50000</v>
      </c>
      <c r="U64" s="63">
        <f>0</f>
        <v>0</v>
      </c>
      <c r="V64" s="36">
        <f t="shared" si="0"/>
        <v>50000</v>
      </c>
    </row>
    <row r="65" spans="1:22" ht="23.25" x14ac:dyDescent="0.6">
      <c r="A65" s="3"/>
      <c r="B65" s="188" t="s">
        <v>32</v>
      </c>
      <c r="C65" s="189"/>
      <c r="D65" s="30">
        <v>4</v>
      </c>
      <c r="E65" s="30"/>
      <c r="F65" s="103">
        <f>SUM(F61:F64)</f>
        <v>145914.54999999999</v>
      </c>
      <c r="G65" s="103"/>
      <c r="H65" s="103">
        <f t="shared" ref="H65:Q65" si="46">SUM(H61:H64)</f>
        <v>437743.65</v>
      </c>
      <c r="I65" s="103">
        <f t="shared" si="46"/>
        <v>10943.591249999999</v>
      </c>
      <c r="J65" s="103">
        <f t="shared" si="46"/>
        <v>80244.38</v>
      </c>
      <c r="K65" s="103">
        <f t="shared" si="46"/>
        <v>72957.274999999994</v>
      </c>
      <c r="L65" s="103">
        <f t="shared" si="46"/>
        <v>510700.92499999999</v>
      </c>
      <c r="M65" s="103">
        <f t="shared" si="46"/>
        <v>145914.54999999999</v>
      </c>
      <c r="N65" s="103">
        <f t="shared" si="46"/>
        <v>400000</v>
      </c>
      <c r="O65" s="103">
        <f t="shared" si="46"/>
        <v>14591.455</v>
      </c>
      <c r="P65" s="103">
        <f t="shared" si="46"/>
        <v>60000</v>
      </c>
      <c r="Q65" s="103">
        <f t="shared" si="46"/>
        <v>0</v>
      </c>
      <c r="R65" s="39">
        <f t="shared" si="18"/>
        <v>400000</v>
      </c>
      <c r="S65" s="106">
        <f>SUM(S61:S64)</f>
        <v>600000</v>
      </c>
      <c r="T65" s="106">
        <f t="shared" si="45"/>
        <v>200000</v>
      </c>
      <c r="U65" s="106">
        <f>SUM(U61:U64)</f>
        <v>0</v>
      </c>
      <c r="V65" s="109">
        <f t="shared" si="0"/>
        <v>200000</v>
      </c>
    </row>
    <row r="66" spans="1:22" ht="18.75" x14ac:dyDescent="0.3">
      <c r="A66" s="3"/>
      <c r="B66" s="190"/>
      <c r="C66" s="191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>
        <f t="shared" si="18"/>
        <v>0</v>
      </c>
      <c r="S66" s="39"/>
      <c r="T66" s="39"/>
      <c r="U66" s="39"/>
      <c r="V66" s="36">
        <f t="shared" si="0"/>
        <v>0</v>
      </c>
    </row>
    <row r="67" spans="1:22" ht="18.75" x14ac:dyDescent="0.3">
      <c r="A67" s="3"/>
      <c r="B67" s="192" t="s">
        <v>134</v>
      </c>
      <c r="C67" s="193"/>
      <c r="D67" s="72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>
        <f t="shared" si="18"/>
        <v>0</v>
      </c>
      <c r="S67" s="39"/>
      <c r="T67" s="39"/>
      <c r="U67" s="39"/>
      <c r="V67" s="36">
        <f t="shared" si="0"/>
        <v>0</v>
      </c>
    </row>
    <row r="68" spans="1:22" ht="18.75" x14ac:dyDescent="0.3">
      <c r="A68" s="3">
        <v>1</v>
      </c>
      <c r="B68" s="169" t="s">
        <v>39</v>
      </c>
      <c r="C68" s="170"/>
      <c r="D68" s="62" t="s">
        <v>270</v>
      </c>
      <c r="E68" s="67" t="s">
        <v>41</v>
      </c>
      <c r="F68" s="63">
        <v>81740.02</v>
      </c>
      <c r="G68" s="63"/>
      <c r="H68" s="63">
        <f>F68*300%</f>
        <v>245220.06</v>
      </c>
      <c r="I68" s="63">
        <f>F68*7.5%</f>
        <v>6130.5015000000003</v>
      </c>
      <c r="J68" s="63">
        <v>80244.38</v>
      </c>
      <c r="K68" s="63">
        <f>F68*50%</f>
        <v>40870.01</v>
      </c>
      <c r="L68" s="63">
        <f>F68*350%</f>
        <v>286090.07</v>
      </c>
      <c r="M68" s="63">
        <f t="shared" ref="M68:M76" si="47">F68*100%</f>
        <v>81740.02</v>
      </c>
      <c r="N68" s="63">
        <v>100000</v>
      </c>
      <c r="O68" s="63">
        <f t="shared" ref="O68:O76" si="48">F68*10%</f>
        <v>8174.0020000000004</v>
      </c>
      <c r="P68" s="63">
        <v>20000</v>
      </c>
      <c r="Q68" s="63">
        <v>0</v>
      </c>
      <c r="R68" s="63">
        <f t="shared" si="18"/>
        <v>100000</v>
      </c>
      <c r="S68" s="63">
        <f t="shared" ref="S68:S76" si="49">150000</f>
        <v>150000</v>
      </c>
      <c r="T68" s="63">
        <f>S68-N68</f>
        <v>50000</v>
      </c>
      <c r="U68" s="63">
        <f>0</f>
        <v>0</v>
      </c>
      <c r="V68" s="36">
        <f t="shared" si="0"/>
        <v>50000</v>
      </c>
    </row>
    <row r="69" spans="1:22" ht="18.75" x14ac:dyDescent="0.3">
      <c r="A69" s="3">
        <v>2</v>
      </c>
      <c r="B69" s="169" t="s">
        <v>135</v>
      </c>
      <c r="C69" s="170"/>
      <c r="D69" s="33" t="s">
        <v>271</v>
      </c>
      <c r="E69" s="3" t="s">
        <v>44</v>
      </c>
      <c r="F69" s="63">
        <f>33507.5</f>
        <v>33507.5</v>
      </c>
      <c r="G69" s="63"/>
      <c r="H69" s="63">
        <f t="shared" ref="H69:H76" si="50">F69*300%</f>
        <v>100522.5</v>
      </c>
      <c r="I69" s="63">
        <f t="shared" ref="I69:I76" si="51">F69*7.5%</f>
        <v>2513.0625</v>
      </c>
      <c r="J69" s="63">
        <v>40122.19</v>
      </c>
      <c r="K69" s="63">
        <f t="shared" ref="K69:K76" si="52">F69*50%</f>
        <v>16753.75</v>
      </c>
      <c r="L69" s="63">
        <f t="shared" ref="L69:L76" si="53">F69*350%</f>
        <v>117276.25</v>
      </c>
      <c r="M69" s="63">
        <f t="shared" si="47"/>
        <v>33507.5</v>
      </c>
      <c r="N69" s="63">
        <v>100000</v>
      </c>
      <c r="O69" s="63">
        <f t="shared" si="48"/>
        <v>3350.75</v>
      </c>
      <c r="P69" s="63">
        <v>20000</v>
      </c>
      <c r="Q69" s="63"/>
      <c r="R69" s="63">
        <f t="shared" si="18"/>
        <v>100000</v>
      </c>
      <c r="S69" s="63">
        <f t="shared" si="49"/>
        <v>150000</v>
      </c>
      <c r="T69" s="63">
        <f t="shared" ref="T69:T77" si="54">S69-N69</f>
        <v>50000</v>
      </c>
      <c r="U69" s="63">
        <f>0</f>
        <v>0</v>
      </c>
      <c r="V69" s="36">
        <f t="shared" si="0"/>
        <v>50000</v>
      </c>
    </row>
    <row r="70" spans="1:22" ht="18.75" x14ac:dyDescent="0.3">
      <c r="A70" s="3">
        <v>3</v>
      </c>
      <c r="B70" s="169" t="s">
        <v>137</v>
      </c>
      <c r="C70" s="170"/>
      <c r="D70" s="33" t="s">
        <v>101</v>
      </c>
      <c r="E70" s="3" t="s">
        <v>102</v>
      </c>
      <c r="F70" s="63">
        <v>28489.81</v>
      </c>
      <c r="G70" s="63"/>
      <c r="H70" s="63">
        <f t="shared" si="50"/>
        <v>85469.430000000008</v>
      </c>
      <c r="I70" s="63">
        <f t="shared" si="51"/>
        <v>2136.7357499999998</v>
      </c>
      <c r="J70" s="63"/>
      <c r="K70" s="63">
        <f t="shared" si="52"/>
        <v>14244.905000000001</v>
      </c>
      <c r="L70" s="63">
        <f t="shared" si="53"/>
        <v>99714.335000000006</v>
      </c>
      <c r="M70" s="63">
        <f t="shared" si="47"/>
        <v>28489.81</v>
      </c>
      <c r="N70" s="63">
        <v>100000</v>
      </c>
      <c r="O70" s="63">
        <f t="shared" si="48"/>
        <v>2848.9810000000002</v>
      </c>
      <c r="P70" s="63">
        <v>20000</v>
      </c>
      <c r="Q70" s="63"/>
      <c r="R70" s="63">
        <f t="shared" si="18"/>
        <v>100000</v>
      </c>
      <c r="S70" s="63">
        <f t="shared" si="49"/>
        <v>150000</v>
      </c>
      <c r="T70" s="63">
        <f t="shared" si="54"/>
        <v>50000</v>
      </c>
      <c r="U70" s="63">
        <f>0</f>
        <v>0</v>
      </c>
      <c r="V70" s="36">
        <f t="shared" si="0"/>
        <v>50000</v>
      </c>
    </row>
    <row r="71" spans="1:22" ht="18.75" x14ac:dyDescent="0.3">
      <c r="A71" s="3">
        <v>4</v>
      </c>
      <c r="B71" s="169" t="s">
        <v>140</v>
      </c>
      <c r="C71" s="170"/>
      <c r="D71" s="33" t="s">
        <v>112</v>
      </c>
      <c r="E71" s="3" t="s">
        <v>57</v>
      </c>
      <c r="F71" s="63">
        <f>25523.45</f>
        <v>25523.45</v>
      </c>
      <c r="G71" s="63"/>
      <c r="H71" s="63">
        <f t="shared" si="50"/>
        <v>76570.350000000006</v>
      </c>
      <c r="I71" s="63">
        <f t="shared" si="51"/>
        <v>1914.25875</v>
      </c>
      <c r="J71" s="63">
        <v>0</v>
      </c>
      <c r="K71" s="63">
        <f t="shared" si="52"/>
        <v>12761.725</v>
      </c>
      <c r="L71" s="63">
        <f t="shared" si="53"/>
        <v>89332.074999999997</v>
      </c>
      <c r="M71" s="63">
        <f t="shared" si="47"/>
        <v>25523.45</v>
      </c>
      <c r="N71" s="63">
        <v>100000</v>
      </c>
      <c r="O71" s="63">
        <f t="shared" si="48"/>
        <v>2552.3450000000003</v>
      </c>
      <c r="P71" s="63">
        <v>15000</v>
      </c>
      <c r="Q71" s="63">
        <v>0</v>
      </c>
      <c r="R71" s="63">
        <f t="shared" si="18"/>
        <v>100000</v>
      </c>
      <c r="S71" s="63">
        <f t="shared" si="49"/>
        <v>150000</v>
      </c>
      <c r="T71" s="63">
        <f t="shared" si="54"/>
        <v>50000</v>
      </c>
      <c r="U71" s="63">
        <f>0</f>
        <v>0</v>
      </c>
      <c r="V71" s="36">
        <f t="shared" ref="V71:V134" si="55">S71-N71</f>
        <v>50000</v>
      </c>
    </row>
    <row r="72" spans="1:22" ht="18.75" x14ac:dyDescent="0.3">
      <c r="A72" s="3">
        <v>5</v>
      </c>
      <c r="B72" s="173" t="s">
        <v>144</v>
      </c>
      <c r="C72" s="174"/>
      <c r="D72" s="20" t="s">
        <v>112</v>
      </c>
      <c r="E72" s="29" t="s">
        <v>110</v>
      </c>
      <c r="F72" s="26">
        <f>24741.26</f>
        <v>24741.26</v>
      </c>
      <c r="G72" s="63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63">
        <f t="shared" si="18"/>
        <v>100000</v>
      </c>
      <c r="S72" s="63">
        <f t="shared" si="49"/>
        <v>150000</v>
      </c>
      <c r="T72" s="63">
        <f t="shared" si="54"/>
        <v>50000</v>
      </c>
      <c r="U72" s="63">
        <f>0</f>
        <v>0</v>
      </c>
      <c r="V72" s="36">
        <f t="shared" si="55"/>
        <v>50000</v>
      </c>
    </row>
    <row r="73" spans="1:22" ht="18.75" x14ac:dyDescent="0.3">
      <c r="A73" s="3">
        <v>6</v>
      </c>
      <c r="B73" s="173" t="s">
        <v>123</v>
      </c>
      <c r="C73" s="174"/>
      <c r="D73" s="20" t="s">
        <v>124</v>
      </c>
      <c r="E73" s="29" t="s">
        <v>285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63">
        <f t="shared" si="18"/>
        <v>100000</v>
      </c>
      <c r="S73" s="63">
        <f t="shared" si="49"/>
        <v>150000</v>
      </c>
      <c r="T73" s="63">
        <f t="shared" si="54"/>
        <v>50000</v>
      </c>
      <c r="U73" s="63">
        <f>0</f>
        <v>0</v>
      </c>
      <c r="V73" s="36">
        <f t="shared" si="55"/>
        <v>50000</v>
      </c>
    </row>
    <row r="74" spans="1:22" ht="18.75" x14ac:dyDescent="0.3">
      <c r="A74" s="3">
        <v>7</v>
      </c>
      <c r="B74" s="173" t="s">
        <v>121</v>
      </c>
      <c r="C74" s="174"/>
      <c r="D74" s="20" t="s">
        <v>112</v>
      </c>
      <c r="E74" s="29" t="s">
        <v>110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63">
        <f t="shared" si="18"/>
        <v>100000</v>
      </c>
      <c r="S74" s="63">
        <f t="shared" si="49"/>
        <v>150000</v>
      </c>
      <c r="T74" s="63">
        <f t="shared" si="54"/>
        <v>50000</v>
      </c>
      <c r="U74" s="63">
        <f>0</f>
        <v>0</v>
      </c>
      <c r="V74" s="36">
        <f t="shared" si="55"/>
        <v>50000</v>
      </c>
    </row>
    <row r="75" spans="1:22" ht="18.75" x14ac:dyDescent="0.3">
      <c r="A75" s="3">
        <v>8</v>
      </c>
      <c r="B75" s="173" t="s">
        <v>145</v>
      </c>
      <c r="C75" s="174"/>
      <c r="D75" s="20" t="s">
        <v>289</v>
      </c>
      <c r="E75" s="29" t="s">
        <v>110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63">
        <f t="shared" si="18"/>
        <v>100000</v>
      </c>
      <c r="S75" s="63">
        <f t="shared" si="49"/>
        <v>150000</v>
      </c>
      <c r="T75" s="63">
        <f t="shared" si="54"/>
        <v>50000</v>
      </c>
      <c r="U75" s="63">
        <f>0</f>
        <v>0</v>
      </c>
      <c r="V75" s="36">
        <f t="shared" si="55"/>
        <v>50000</v>
      </c>
    </row>
    <row r="76" spans="1:22" ht="18.75" x14ac:dyDescent="0.3">
      <c r="A76" s="3">
        <v>9</v>
      </c>
      <c r="B76" s="178" t="s">
        <v>146</v>
      </c>
      <c r="C76" s="178"/>
      <c r="D76" s="33" t="s">
        <v>124</v>
      </c>
      <c r="E76" s="67" t="s">
        <v>68</v>
      </c>
      <c r="F76" s="63">
        <f>18281.64</f>
        <v>18281.64</v>
      </c>
      <c r="G76" s="63"/>
      <c r="H76" s="63">
        <f t="shared" si="50"/>
        <v>54844.92</v>
      </c>
      <c r="I76" s="63">
        <f t="shared" si="51"/>
        <v>1371.1229999999998</v>
      </c>
      <c r="J76" s="63">
        <v>0</v>
      </c>
      <c r="K76" s="63">
        <f t="shared" si="52"/>
        <v>9140.82</v>
      </c>
      <c r="L76" s="36">
        <f t="shared" si="53"/>
        <v>63985.74</v>
      </c>
      <c r="M76" s="63">
        <f t="shared" si="47"/>
        <v>18281.64</v>
      </c>
      <c r="N76" s="63">
        <v>100000</v>
      </c>
      <c r="O76" s="63">
        <f t="shared" si="48"/>
        <v>1828.164</v>
      </c>
      <c r="P76" s="63">
        <v>10000</v>
      </c>
      <c r="Q76" s="63">
        <v>0</v>
      </c>
      <c r="R76" s="63">
        <f t="shared" si="18"/>
        <v>100000</v>
      </c>
      <c r="S76" s="63">
        <f t="shared" si="49"/>
        <v>150000</v>
      </c>
      <c r="T76" s="63">
        <f t="shared" si="54"/>
        <v>50000</v>
      </c>
      <c r="U76" s="63">
        <f>0</f>
        <v>0</v>
      </c>
      <c r="V76" s="36">
        <f t="shared" si="55"/>
        <v>50000</v>
      </c>
    </row>
    <row r="77" spans="1:22" ht="23.25" x14ac:dyDescent="0.6">
      <c r="A77" s="33"/>
      <c r="B77" s="179" t="s">
        <v>32</v>
      </c>
      <c r="C77" s="179"/>
      <c r="D77" s="7">
        <v>9</v>
      </c>
      <c r="E77" s="7"/>
      <c r="F77" s="106">
        <f>SUM(F68:F76)</f>
        <v>281540.82000000007</v>
      </c>
      <c r="G77" s="106"/>
      <c r="H77" s="106">
        <f t="shared" ref="H77:Q77" si="56">SUM(H68:H76)</f>
        <v>844622.46000000008</v>
      </c>
      <c r="I77" s="106">
        <f t="shared" si="56"/>
        <v>21115.561499999996</v>
      </c>
      <c r="J77" s="106">
        <f t="shared" si="56"/>
        <v>120366.57</v>
      </c>
      <c r="K77" s="106">
        <f t="shared" si="56"/>
        <v>140770.41000000003</v>
      </c>
      <c r="L77" s="106">
        <f t="shared" si="56"/>
        <v>985392.87000000011</v>
      </c>
      <c r="M77" s="106">
        <f t="shared" si="56"/>
        <v>281540.82000000007</v>
      </c>
      <c r="N77" s="106">
        <f t="shared" si="56"/>
        <v>900000</v>
      </c>
      <c r="O77" s="106">
        <f t="shared" si="56"/>
        <v>28154.082000000002</v>
      </c>
      <c r="P77" s="106">
        <f t="shared" si="56"/>
        <v>140000</v>
      </c>
      <c r="Q77" s="106">
        <f t="shared" si="56"/>
        <v>0</v>
      </c>
      <c r="R77" s="39">
        <f t="shared" si="18"/>
        <v>900000</v>
      </c>
      <c r="S77" s="106">
        <f>SUM(S68:S76)</f>
        <v>1350000</v>
      </c>
      <c r="T77" s="106">
        <f t="shared" si="54"/>
        <v>450000</v>
      </c>
      <c r="U77" s="106">
        <f>SUM(U68:U76)</f>
        <v>0</v>
      </c>
      <c r="V77" s="109">
        <f t="shared" si="55"/>
        <v>450000</v>
      </c>
    </row>
    <row r="78" spans="1:22" ht="18.75" x14ac:dyDescent="0.3">
      <c r="A78" s="33"/>
      <c r="B78" s="101"/>
      <c r="C78" s="101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63">
        <f t="shared" si="18"/>
        <v>0</v>
      </c>
      <c r="S78" s="39"/>
      <c r="T78" s="39"/>
      <c r="U78" s="39"/>
      <c r="V78" s="36">
        <f t="shared" si="55"/>
        <v>0</v>
      </c>
    </row>
    <row r="79" spans="1:22" ht="18.75" x14ac:dyDescent="0.3">
      <c r="A79" s="33"/>
      <c r="B79" s="179" t="s">
        <v>147</v>
      </c>
      <c r="C79" s="179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63">
        <f t="shared" si="18"/>
        <v>0</v>
      </c>
      <c r="S79" s="39"/>
      <c r="T79" s="39"/>
      <c r="U79" s="39"/>
      <c r="V79" s="36">
        <f t="shared" si="55"/>
        <v>0</v>
      </c>
    </row>
    <row r="80" spans="1:22" ht="18.75" x14ac:dyDescent="0.3">
      <c r="A80" s="33">
        <v>1</v>
      </c>
      <c r="B80" s="169" t="s">
        <v>321</v>
      </c>
      <c r="C80" s="170"/>
      <c r="D80" s="33" t="s">
        <v>322</v>
      </c>
      <c r="E80" s="3" t="s">
        <v>54</v>
      </c>
      <c r="F80" s="63">
        <f>39662.25</f>
        <v>39662.25</v>
      </c>
      <c r="G80" s="63">
        <v>0</v>
      </c>
      <c r="H80" s="63">
        <f t="shared" ref="H80" si="57">F80*300%</f>
        <v>118986.75</v>
      </c>
      <c r="I80" s="63">
        <f t="shared" ref="I80" si="58">F80*7.5%</f>
        <v>2974.6687499999998</v>
      </c>
      <c r="J80" s="63">
        <v>40122.19</v>
      </c>
      <c r="K80" s="63">
        <f t="shared" ref="K80" si="59">F80*50%</f>
        <v>19831.125</v>
      </c>
      <c r="L80" s="63">
        <f t="shared" ref="L80" si="60">F80*350%</f>
        <v>138817.875</v>
      </c>
      <c r="M80" s="63">
        <f t="shared" ref="M80" si="61">F80*100%</f>
        <v>39662.25</v>
      </c>
      <c r="N80" s="63">
        <v>100000</v>
      </c>
      <c r="O80" s="63">
        <f t="shared" ref="O80" si="62">F80*10%</f>
        <v>3966.2250000000004</v>
      </c>
      <c r="P80" s="63">
        <v>20000</v>
      </c>
      <c r="Q80" s="63">
        <v>0</v>
      </c>
      <c r="R80" s="63">
        <f t="shared" si="18"/>
        <v>100000</v>
      </c>
      <c r="S80" s="63">
        <v>100000</v>
      </c>
      <c r="T80" s="63"/>
      <c r="U80" s="63">
        <f>0</f>
        <v>0</v>
      </c>
      <c r="V80" s="36">
        <f t="shared" si="55"/>
        <v>0</v>
      </c>
    </row>
    <row r="81" spans="1:22" ht="18.75" x14ac:dyDescent="0.3">
      <c r="A81" s="33">
        <v>2</v>
      </c>
      <c r="B81" s="169" t="s">
        <v>148</v>
      </c>
      <c r="C81" s="170"/>
      <c r="D81" s="33" t="s">
        <v>290</v>
      </c>
      <c r="E81" s="3" t="s">
        <v>44</v>
      </c>
      <c r="F81" s="63">
        <f>33507.5</f>
        <v>33507.5</v>
      </c>
      <c r="G81" s="63"/>
      <c r="H81" s="63">
        <f>F81*300%</f>
        <v>100522.5</v>
      </c>
      <c r="I81" s="63">
        <f>F81*7.5%</f>
        <v>2513.0625</v>
      </c>
      <c r="J81" s="63">
        <v>40122.19</v>
      </c>
      <c r="K81" s="63">
        <f>F81*50%</f>
        <v>16753.75</v>
      </c>
      <c r="L81" s="63">
        <f>F81*350%</f>
        <v>117276.25</v>
      </c>
      <c r="M81" s="63">
        <f>F81*100%</f>
        <v>33507.5</v>
      </c>
      <c r="N81" s="63">
        <v>100000</v>
      </c>
      <c r="O81" s="63">
        <f>F81*10%</f>
        <v>3350.75</v>
      </c>
      <c r="P81" s="63">
        <v>20000</v>
      </c>
      <c r="Q81" s="63">
        <v>150000</v>
      </c>
      <c r="R81" s="63">
        <f t="shared" si="18"/>
        <v>250000</v>
      </c>
      <c r="S81" s="63">
        <v>150000</v>
      </c>
      <c r="T81" s="63">
        <f>S81-N81</f>
        <v>50000</v>
      </c>
      <c r="U81" s="63">
        <f>0</f>
        <v>0</v>
      </c>
      <c r="V81" s="36">
        <f t="shared" si="55"/>
        <v>50000</v>
      </c>
    </row>
    <row r="82" spans="1:22" ht="18.75" x14ac:dyDescent="0.3">
      <c r="A82" s="33">
        <v>3</v>
      </c>
      <c r="B82" s="173" t="s">
        <v>150</v>
      </c>
      <c r="C82" s="174"/>
      <c r="D82" s="20" t="s">
        <v>151</v>
      </c>
      <c r="E82" s="29" t="s">
        <v>110</v>
      </c>
      <c r="F82" s="26">
        <f>24741.26</f>
        <v>24741.26</v>
      </c>
      <c r="G82" s="63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63">
        <f t="shared" si="18"/>
        <v>100000</v>
      </c>
      <c r="S82" s="26">
        <v>100000</v>
      </c>
      <c r="T82" s="26"/>
      <c r="U82" s="63">
        <f>0</f>
        <v>0</v>
      </c>
      <c r="V82" s="36">
        <f t="shared" si="55"/>
        <v>0</v>
      </c>
    </row>
    <row r="83" spans="1:22" ht="18.75" x14ac:dyDescent="0.3">
      <c r="A83" s="33">
        <v>4</v>
      </c>
      <c r="B83" s="171" t="s">
        <v>63</v>
      </c>
      <c r="C83" s="172"/>
      <c r="D83" s="33" t="s">
        <v>64</v>
      </c>
      <c r="E83" s="3" t="s">
        <v>110</v>
      </c>
      <c r="F83" s="26">
        <f>24741.26</f>
        <v>24741.26</v>
      </c>
      <c r="G83" s="63"/>
      <c r="H83" s="63">
        <f>F83*300%</f>
        <v>74223.78</v>
      </c>
      <c r="I83" s="63">
        <f>F83*7.5%</f>
        <v>1855.5944999999997</v>
      </c>
      <c r="J83" s="63"/>
      <c r="K83" s="63">
        <f>F83*50%</f>
        <v>12370.63</v>
      </c>
      <c r="L83" s="36">
        <f>F83*350%</f>
        <v>86594.409999999989</v>
      </c>
      <c r="M83" s="63">
        <f>F83*100%</f>
        <v>24741.26</v>
      </c>
      <c r="N83" s="26">
        <v>100000</v>
      </c>
      <c r="O83" s="63">
        <f>F83*10%</f>
        <v>2474.1260000000002</v>
      </c>
      <c r="P83" s="63">
        <v>15000</v>
      </c>
      <c r="Q83" s="63">
        <v>50000</v>
      </c>
      <c r="R83" s="63">
        <f t="shared" si="18"/>
        <v>150000</v>
      </c>
      <c r="S83" s="26">
        <v>150000</v>
      </c>
      <c r="T83" s="26">
        <f>S83-N83</f>
        <v>50000</v>
      </c>
      <c r="U83" s="63">
        <f>0</f>
        <v>0</v>
      </c>
      <c r="V83" s="36">
        <f t="shared" si="55"/>
        <v>50000</v>
      </c>
    </row>
    <row r="84" spans="1:22" ht="18.75" x14ac:dyDescent="0.3">
      <c r="A84" s="33">
        <v>5</v>
      </c>
      <c r="B84" s="169" t="s">
        <v>152</v>
      </c>
      <c r="C84" s="170"/>
      <c r="D84" s="33" t="s">
        <v>273</v>
      </c>
      <c r="E84" s="67" t="s">
        <v>85</v>
      </c>
      <c r="F84" s="26">
        <f>17784</f>
        <v>17784</v>
      </c>
      <c r="G84" s="63"/>
      <c r="H84" s="63">
        <f>F84*300%</f>
        <v>53352</v>
      </c>
      <c r="I84" s="63">
        <f>F84*7.5%</f>
        <v>1333.8</v>
      </c>
      <c r="J84" s="63"/>
      <c r="K84" s="63">
        <f>F84*50%</f>
        <v>8892</v>
      </c>
      <c r="L84" s="36">
        <f>F84*350%</f>
        <v>62244</v>
      </c>
      <c r="M84" s="26">
        <f>F84*100%</f>
        <v>17784</v>
      </c>
      <c r="N84" s="63">
        <f t="shared" ref="N84:N115" si="63">100000</f>
        <v>100000</v>
      </c>
      <c r="O84" s="63">
        <f>F84*10%</f>
        <v>1778.4</v>
      </c>
      <c r="P84" s="63">
        <v>10000</v>
      </c>
      <c r="Q84" s="63"/>
      <c r="R84" s="63">
        <f t="shared" si="18"/>
        <v>100000</v>
      </c>
      <c r="S84" s="63">
        <f t="shared" ref="S84" si="64">100000</f>
        <v>100000</v>
      </c>
      <c r="T84" s="63"/>
      <c r="U84" s="63">
        <f>0</f>
        <v>0</v>
      </c>
      <c r="V84" s="36">
        <f t="shared" si="55"/>
        <v>0</v>
      </c>
    </row>
    <row r="85" spans="1:22" ht="18.75" x14ac:dyDescent="0.3">
      <c r="A85" s="33">
        <v>6</v>
      </c>
      <c r="B85" s="84" t="s">
        <v>323</v>
      </c>
      <c r="C85" s="85"/>
      <c r="D85" s="33"/>
      <c r="E85" s="67" t="s">
        <v>286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63">
        <f t="shared" si="18"/>
        <v>100000</v>
      </c>
      <c r="S85" s="26">
        <v>100000</v>
      </c>
      <c r="T85" s="26"/>
      <c r="U85" s="63">
        <f>0</f>
        <v>0</v>
      </c>
      <c r="V85" s="36">
        <f t="shared" si="55"/>
        <v>0</v>
      </c>
    </row>
    <row r="86" spans="1:22" ht="23.25" x14ac:dyDescent="0.6">
      <c r="A86" s="33"/>
      <c r="B86" s="179" t="s">
        <v>32</v>
      </c>
      <c r="C86" s="179"/>
      <c r="D86" s="7">
        <v>6</v>
      </c>
      <c r="E86" s="102"/>
      <c r="F86" s="103">
        <f t="shared" ref="F86:Q86" si="65">SUM(F80:F85)</f>
        <v>157722.59999999998</v>
      </c>
      <c r="G86" s="103">
        <f t="shared" si="65"/>
        <v>0</v>
      </c>
      <c r="H86" s="103">
        <f t="shared" si="65"/>
        <v>473167.80000000005</v>
      </c>
      <c r="I86" s="103">
        <f t="shared" si="65"/>
        <v>11829.194999999998</v>
      </c>
      <c r="J86" s="103">
        <f t="shared" si="65"/>
        <v>80244.38</v>
      </c>
      <c r="K86" s="103">
        <f t="shared" si="65"/>
        <v>78861.299999999988</v>
      </c>
      <c r="L86" s="103">
        <f t="shared" si="65"/>
        <v>552029.1</v>
      </c>
      <c r="M86" s="103">
        <f t="shared" si="65"/>
        <v>157722.59999999998</v>
      </c>
      <c r="N86" s="103">
        <f t="shared" si="65"/>
        <v>600000</v>
      </c>
      <c r="O86" s="103">
        <f t="shared" si="65"/>
        <v>15772.26</v>
      </c>
      <c r="P86" s="103">
        <f t="shared" si="65"/>
        <v>90000</v>
      </c>
      <c r="Q86" s="103">
        <f t="shared" si="65"/>
        <v>200000</v>
      </c>
      <c r="R86" s="39">
        <f t="shared" si="18"/>
        <v>800000</v>
      </c>
      <c r="S86" s="103">
        <f t="shared" ref="S86" si="66">SUM(S80:S85)</f>
        <v>700000</v>
      </c>
      <c r="T86" s="103">
        <f>SUM(T80:T85)</f>
        <v>100000</v>
      </c>
      <c r="U86" s="103">
        <f>SUM(U80:U85)</f>
        <v>0</v>
      </c>
      <c r="V86" s="109">
        <f t="shared" si="55"/>
        <v>100000</v>
      </c>
    </row>
    <row r="87" spans="1:22" ht="18.75" x14ac:dyDescent="0.3">
      <c r="A87" s="33"/>
      <c r="B87" s="101"/>
      <c r="C87" s="101"/>
      <c r="D87" s="7"/>
      <c r="E87" s="102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63">
        <f t="shared" si="18"/>
        <v>0</v>
      </c>
      <c r="S87" s="31"/>
      <c r="T87" s="31"/>
      <c r="U87" s="31"/>
      <c r="V87" s="36">
        <f t="shared" si="55"/>
        <v>0</v>
      </c>
    </row>
    <row r="88" spans="1:22" ht="18.75" x14ac:dyDescent="0.3">
      <c r="A88" s="33"/>
      <c r="B88" s="179" t="s">
        <v>155</v>
      </c>
      <c r="C88" s="179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63">
        <f t="shared" si="18"/>
        <v>0</v>
      </c>
      <c r="S88" s="33"/>
      <c r="T88" s="33"/>
      <c r="U88" s="33"/>
      <c r="V88" s="36">
        <f t="shared" si="55"/>
        <v>0</v>
      </c>
    </row>
    <row r="89" spans="1:22" ht="18.75" x14ac:dyDescent="0.3">
      <c r="A89" s="1">
        <v>1</v>
      </c>
      <c r="B89" s="169" t="s">
        <v>156</v>
      </c>
      <c r="C89" s="170"/>
      <c r="D89" s="62" t="s">
        <v>157</v>
      </c>
      <c r="E89" s="67" t="s">
        <v>287</v>
      </c>
      <c r="F89" s="63">
        <f>76339.3</f>
        <v>76339.3</v>
      </c>
      <c r="G89" s="63"/>
      <c r="H89" s="63">
        <f>F89*300%</f>
        <v>229017.90000000002</v>
      </c>
      <c r="I89" s="63">
        <f>F89*7.5%</f>
        <v>5725.4475000000002</v>
      </c>
      <c r="J89" s="63">
        <v>80244.38</v>
      </c>
      <c r="K89" s="63">
        <f>F89*50%</f>
        <v>38169.65</v>
      </c>
      <c r="L89" s="63">
        <f>F89*350%</f>
        <v>267187.55</v>
      </c>
      <c r="M89" s="63">
        <f>F89*100%</f>
        <v>76339.3</v>
      </c>
      <c r="N89" s="63">
        <v>100000</v>
      </c>
      <c r="O89" s="63">
        <f>F89*10%</f>
        <v>7633.93</v>
      </c>
      <c r="P89" s="63">
        <v>20000</v>
      </c>
      <c r="Q89" s="63">
        <v>0</v>
      </c>
      <c r="R89" s="63">
        <f t="shared" si="18"/>
        <v>100000</v>
      </c>
      <c r="S89" s="63">
        <v>150000</v>
      </c>
      <c r="T89" s="63">
        <f>S89-N89</f>
        <v>50000</v>
      </c>
      <c r="U89" s="63">
        <f>0</f>
        <v>0</v>
      </c>
      <c r="V89" s="36">
        <f t="shared" si="55"/>
        <v>50000</v>
      </c>
    </row>
    <row r="90" spans="1:22" ht="18.75" x14ac:dyDescent="0.3">
      <c r="A90" s="1">
        <v>2</v>
      </c>
      <c r="B90" s="180" t="s">
        <v>158</v>
      </c>
      <c r="C90" s="181"/>
      <c r="D90" s="33" t="s">
        <v>159</v>
      </c>
      <c r="E90" s="3" t="s">
        <v>44</v>
      </c>
      <c r="F90" s="63">
        <f>33507.5</f>
        <v>33507.5</v>
      </c>
      <c r="G90" s="63"/>
      <c r="H90" s="63">
        <f>F90*300%</f>
        <v>100522.5</v>
      </c>
      <c r="I90" s="63">
        <f>F90*7.5%</f>
        <v>2513.0625</v>
      </c>
      <c r="J90" s="63">
        <v>40122.19</v>
      </c>
      <c r="K90" s="63">
        <f>F90*50%</f>
        <v>16753.75</v>
      </c>
      <c r="L90" s="63">
        <f>F90*350%</f>
        <v>117276.25</v>
      </c>
      <c r="M90" s="63">
        <f>F90*100%</f>
        <v>33507.5</v>
      </c>
      <c r="N90" s="63">
        <v>100000</v>
      </c>
      <c r="O90" s="63">
        <f>F90*10%</f>
        <v>3350.75</v>
      </c>
      <c r="P90" s="63">
        <v>20000</v>
      </c>
      <c r="Q90" s="63">
        <v>0</v>
      </c>
      <c r="R90" s="63">
        <f t="shared" si="18"/>
        <v>100000</v>
      </c>
      <c r="S90" s="63">
        <v>150000</v>
      </c>
      <c r="T90" s="63">
        <f t="shared" ref="T90:T93" si="67">S90-N90</f>
        <v>50000</v>
      </c>
      <c r="U90" s="63">
        <f>0</f>
        <v>0</v>
      </c>
      <c r="V90" s="36">
        <f t="shared" si="55"/>
        <v>50000</v>
      </c>
    </row>
    <row r="91" spans="1:22" ht="18.75" x14ac:dyDescent="0.3">
      <c r="A91" s="1">
        <v>3</v>
      </c>
      <c r="B91" s="169" t="s">
        <v>160</v>
      </c>
      <c r="C91" s="170"/>
      <c r="D91" s="33" t="s">
        <v>274</v>
      </c>
      <c r="E91" s="3" t="s">
        <v>57</v>
      </c>
      <c r="F91" s="63">
        <f>25523.45</f>
        <v>25523.45</v>
      </c>
      <c r="G91" s="63"/>
      <c r="H91" s="63">
        <f>F91*300%</f>
        <v>76570.350000000006</v>
      </c>
      <c r="I91" s="63">
        <f>F91*7.5%</f>
        <v>1914.25875</v>
      </c>
      <c r="J91" s="63">
        <v>0</v>
      </c>
      <c r="K91" s="63">
        <f>F91*50%</f>
        <v>12761.725</v>
      </c>
      <c r="L91" s="63">
        <f>F91*350%</f>
        <v>89332.074999999997</v>
      </c>
      <c r="M91" s="63">
        <f>F91*100%</f>
        <v>25523.45</v>
      </c>
      <c r="N91" s="63">
        <v>100000</v>
      </c>
      <c r="O91" s="63">
        <f>F91*10%</f>
        <v>2552.3450000000003</v>
      </c>
      <c r="P91" s="63">
        <v>15000</v>
      </c>
      <c r="Q91" s="63">
        <v>0</v>
      </c>
      <c r="R91" s="63">
        <f t="shared" si="18"/>
        <v>100000</v>
      </c>
      <c r="S91" s="63">
        <v>150000</v>
      </c>
      <c r="T91" s="63">
        <f t="shared" si="67"/>
        <v>50000</v>
      </c>
      <c r="U91" s="63">
        <f>0</f>
        <v>0</v>
      </c>
      <c r="V91" s="36">
        <f t="shared" si="55"/>
        <v>50000</v>
      </c>
    </row>
    <row r="92" spans="1:22" ht="18.75" x14ac:dyDescent="0.3">
      <c r="A92" s="1">
        <v>4</v>
      </c>
      <c r="B92" s="173" t="s">
        <v>162</v>
      </c>
      <c r="C92" s="174"/>
      <c r="D92" s="20" t="s">
        <v>275</v>
      </c>
      <c r="E92" s="29" t="s">
        <v>291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63">
        <f t="shared" si="18"/>
        <v>100000</v>
      </c>
      <c r="S92" s="63">
        <v>150000</v>
      </c>
      <c r="T92" s="63">
        <f t="shared" si="67"/>
        <v>50000</v>
      </c>
      <c r="U92" s="63">
        <f>0</f>
        <v>0</v>
      </c>
      <c r="V92" s="36">
        <f t="shared" si="55"/>
        <v>50000</v>
      </c>
    </row>
    <row r="93" spans="1:22" ht="23.25" x14ac:dyDescent="0.6">
      <c r="A93" s="1"/>
      <c r="B93" s="179" t="s">
        <v>32</v>
      </c>
      <c r="C93" s="179"/>
      <c r="D93" s="3">
        <v>4</v>
      </c>
      <c r="E93" s="33"/>
      <c r="F93" s="104">
        <f>SUM(F89:F92)</f>
        <v>156140.25</v>
      </c>
      <c r="G93" s="105"/>
      <c r="H93" s="104">
        <f t="shared" ref="H93:Q93" si="68">SUM(H89:H92)</f>
        <v>468420.75</v>
      </c>
      <c r="I93" s="104">
        <f t="shared" si="68"/>
        <v>11710.518749999999</v>
      </c>
      <c r="J93" s="104">
        <f t="shared" si="68"/>
        <v>120366.57</v>
      </c>
      <c r="K93" s="104">
        <f t="shared" si="68"/>
        <v>78070.125</v>
      </c>
      <c r="L93" s="104">
        <f t="shared" si="68"/>
        <v>546490.875</v>
      </c>
      <c r="M93" s="104">
        <f t="shared" si="68"/>
        <v>156140.25</v>
      </c>
      <c r="N93" s="104">
        <f t="shared" si="68"/>
        <v>400000</v>
      </c>
      <c r="O93" s="104">
        <f t="shared" si="68"/>
        <v>15614.025000000001</v>
      </c>
      <c r="P93" s="104">
        <f t="shared" si="68"/>
        <v>65000</v>
      </c>
      <c r="Q93" s="104">
        <f t="shared" si="68"/>
        <v>0</v>
      </c>
      <c r="R93" s="39">
        <f t="shared" si="18"/>
        <v>400000</v>
      </c>
      <c r="S93" s="104">
        <f t="shared" ref="S93" si="69">SUM(S89:S92)</f>
        <v>600000</v>
      </c>
      <c r="T93" s="39">
        <f t="shared" si="67"/>
        <v>200000</v>
      </c>
      <c r="U93" s="104">
        <f>SUM(U89:U92)</f>
        <v>0</v>
      </c>
      <c r="V93" s="109">
        <f t="shared" si="55"/>
        <v>200000</v>
      </c>
    </row>
    <row r="94" spans="1:22" ht="18.75" x14ac:dyDescent="0.3">
      <c r="A94" s="1"/>
      <c r="B94" s="101"/>
      <c r="C94" s="101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3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.75" x14ac:dyDescent="0.3">
      <c r="A95" s="1"/>
      <c r="B95" s="179" t="s">
        <v>163</v>
      </c>
      <c r="C95" s="179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63">
        <f t="shared" si="70"/>
        <v>0</v>
      </c>
      <c r="S95" s="39"/>
      <c r="T95" s="39"/>
      <c r="U95" s="39"/>
      <c r="V95" s="36">
        <f t="shared" si="55"/>
        <v>0</v>
      </c>
    </row>
    <row r="96" spans="1:22" ht="18.75" x14ac:dyDescent="0.3">
      <c r="A96" s="1">
        <v>1</v>
      </c>
      <c r="B96" s="178" t="s">
        <v>164</v>
      </c>
      <c r="C96" s="178"/>
      <c r="D96" s="62" t="s">
        <v>165</v>
      </c>
      <c r="E96" s="67" t="s">
        <v>89</v>
      </c>
      <c r="F96" s="63">
        <f>79039.64</f>
        <v>79039.64</v>
      </c>
      <c r="G96" s="63"/>
      <c r="H96" s="63">
        <f t="shared" ref="H96:H105" si="71">F96*300%</f>
        <v>237118.91999999998</v>
      </c>
      <c r="I96" s="63">
        <f t="shared" ref="I96:I105" si="72">F96*7.5%</f>
        <v>5927.973</v>
      </c>
      <c r="J96" s="63">
        <f>80244.38</f>
        <v>80244.38</v>
      </c>
      <c r="K96" s="63">
        <f t="shared" ref="K96:K105" si="73">F96*50%</f>
        <v>39519.82</v>
      </c>
      <c r="L96" s="63">
        <f t="shared" ref="L96:L105" si="74">F96*350%</f>
        <v>276638.74</v>
      </c>
      <c r="M96" s="63">
        <f t="shared" ref="M96:M105" si="75">F96*100%</f>
        <v>79039.64</v>
      </c>
      <c r="N96" s="63">
        <f>0</f>
        <v>0</v>
      </c>
      <c r="O96" s="63">
        <f t="shared" ref="O96:O105" si="76">F96*10%</f>
        <v>7903.9639999999999</v>
      </c>
      <c r="P96" s="63">
        <v>20000</v>
      </c>
      <c r="Q96" s="63">
        <v>100000</v>
      </c>
      <c r="R96" s="63">
        <f t="shared" si="70"/>
        <v>100000</v>
      </c>
      <c r="S96" s="63">
        <f>100000</f>
        <v>100000</v>
      </c>
      <c r="T96" s="63">
        <f>0</f>
        <v>0</v>
      </c>
      <c r="U96" s="36">
        <v>100000</v>
      </c>
      <c r="V96" s="36">
        <f t="shared" si="55"/>
        <v>100000</v>
      </c>
    </row>
    <row r="97" spans="1:22" ht="18.75" x14ac:dyDescent="0.3">
      <c r="A97" s="1">
        <v>2</v>
      </c>
      <c r="B97" s="178" t="s">
        <v>166</v>
      </c>
      <c r="C97" s="178"/>
      <c r="D97" s="62" t="s">
        <v>167</v>
      </c>
      <c r="E97" s="67" t="s">
        <v>284</v>
      </c>
      <c r="F97" s="63">
        <f>41157.69</f>
        <v>41157.69</v>
      </c>
      <c r="G97" s="63"/>
      <c r="H97" s="63">
        <f t="shared" si="71"/>
        <v>123473.07</v>
      </c>
      <c r="I97" s="63">
        <f t="shared" si="72"/>
        <v>3086.8267500000002</v>
      </c>
      <c r="J97" s="63">
        <v>40122.19</v>
      </c>
      <c r="K97" s="63">
        <f t="shared" si="73"/>
        <v>20578.845000000001</v>
      </c>
      <c r="L97" s="63">
        <f t="shared" si="74"/>
        <v>144051.91500000001</v>
      </c>
      <c r="M97" s="63">
        <f t="shared" si="75"/>
        <v>41157.69</v>
      </c>
      <c r="N97" s="63">
        <v>0</v>
      </c>
      <c r="O97" s="63">
        <f t="shared" si="76"/>
        <v>4115.7690000000002</v>
      </c>
      <c r="P97" s="63">
        <v>20000</v>
      </c>
      <c r="Q97" s="63">
        <f>50000</f>
        <v>50000</v>
      </c>
      <c r="R97" s="63">
        <f t="shared" si="70"/>
        <v>50000</v>
      </c>
      <c r="S97" s="63">
        <f t="shared" ref="S97:S105" si="77">100000</f>
        <v>100000</v>
      </c>
      <c r="T97" s="63">
        <f>0</f>
        <v>0</v>
      </c>
      <c r="U97" s="36">
        <v>100000</v>
      </c>
      <c r="V97" s="36">
        <f t="shared" si="55"/>
        <v>100000</v>
      </c>
    </row>
    <row r="98" spans="1:22" ht="18.75" x14ac:dyDescent="0.3">
      <c r="A98" s="1">
        <v>3</v>
      </c>
      <c r="B98" s="178" t="s">
        <v>168</v>
      </c>
      <c r="C98" s="178"/>
      <c r="D98" s="62" t="s">
        <v>169</v>
      </c>
      <c r="E98" s="67" t="s">
        <v>138</v>
      </c>
      <c r="F98" s="26">
        <v>32263.200000000001</v>
      </c>
      <c r="G98" s="63"/>
      <c r="H98" s="63">
        <f t="shared" si="71"/>
        <v>96789.6</v>
      </c>
      <c r="I98" s="63">
        <f t="shared" si="72"/>
        <v>2419.7399999999998</v>
      </c>
      <c r="J98" s="63">
        <v>40122.19</v>
      </c>
      <c r="K98" s="63">
        <f t="shared" si="73"/>
        <v>16131.6</v>
      </c>
      <c r="L98" s="36">
        <f t="shared" si="74"/>
        <v>112921.2</v>
      </c>
      <c r="M98" s="63">
        <f t="shared" si="75"/>
        <v>32263.200000000001</v>
      </c>
      <c r="N98" s="63">
        <v>0</v>
      </c>
      <c r="O98" s="63">
        <f t="shared" si="76"/>
        <v>3226.32</v>
      </c>
      <c r="P98" s="63">
        <v>20000</v>
      </c>
      <c r="Q98" s="63">
        <v>0</v>
      </c>
      <c r="R98" s="63">
        <f t="shared" si="70"/>
        <v>0</v>
      </c>
      <c r="S98" s="63">
        <f t="shared" si="77"/>
        <v>100000</v>
      </c>
      <c r="T98" s="63">
        <f>0</f>
        <v>0</v>
      </c>
      <c r="U98" s="36">
        <v>100000</v>
      </c>
      <c r="V98" s="36">
        <f t="shared" si="55"/>
        <v>100000</v>
      </c>
    </row>
    <row r="99" spans="1:22" ht="18.75" x14ac:dyDescent="0.3">
      <c r="A99" s="1">
        <v>4</v>
      </c>
      <c r="B99" s="178" t="s">
        <v>170</v>
      </c>
      <c r="C99" s="178"/>
      <c r="D99" s="62" t="s">
        <v>292</v>
      </c>
      <c r="E99" s="67" t="s">
        <v>57</v>
      </c>
      <c r="F99" s="63">
        <f t="shared" ref="F99:F100" si="78">25523.45</f>
        <v>25523.45</v>
      </c>
      <c r="G99" s="63"/>
      <c r="H99" s="63">
        <f t="shared" si="71"/>
        <v>76570.350000000006</v>
      </c>
      <c r="I99" s="63">
        <f t="shared" si="72"/>
        <v>1914.25875</v>
      </c>
      <c r="J99" s="63">
        <v>0</v>
      </c>
      <c r="K99" s="63">
        <f t="shared" si="73"/>
        <v>12761.725</v>
      </c>
      <c r="L99" s="36">
        <f t="shared" si="74"/>
        <v>89332.074999999997</v>
      </c>
      <c r="M99" s="63">
        <f t="shared" si="75"/>
        <v>25523.45</v>
      </c>
      <c r="N99" s="63">
        <v>0</v>
      </c>
      <c r="O99" s="63">
        <f t="shared" si="76"/>
        <v>2552.3450000000003</v>
      </c>
      <c r="P99" s="63">
        <v>15000</v>
      </c>
      <c r="Q99" s="63">
        <v>0</v>
      </c>
      <c r="R99" s="63">
        <f t="shared" si="70"/>
        <v>0</v>
      </c>
      <c r="S99" s="63">
        <f t="shared" si="77"/>
        <v>100000</v>
      </c>
      <c r="T99" s="63">
        <f>0</f>
        <v>0</v>
      </c>
      <c r="U99" s="36">
        <v>100000</v>
      </c>
      <c r="V99" s="36">
        <f t="shared" si="55"/>
        <v>100000</v>
      </c>
    </row>
    <row r="100" spans="1:22" ht="18.75" x14ac:dyDescent="0.3">
      <c r="A100" s="1">
        <v>5</v>
      </c>
      <c r="B100" s="194" t="s">
        <v>172</v>
      </c>
      <c r="C100" s="194"/>
      <c r="D100" s="33" t="s">
        <v>293</v>
      </c>
      <c r="E100" s="67" t="s">
        <v>57</v>
      </c>
      <c r="F100" s="63">
        <f t="shared" si="78"/>
        <v>25523.45</v>
      </c>
      <c r="G100" s="63"/>
      <c r="H100" s="63">
        <f t="shared" si="71"/>
        <v>76570.350000000006</v>
      </c>
      <c r="I100" s="63">
        <f t="shared" si="72"/>
        <v>1914.25875</v>
      </c>
      <c r="J100" s="63">
        <v>0</v>
      </c>
      <c r="K100" s="63">
        <f t="shared" si="73"/>
        <v>12761.725</v>
      </c>
      <c r="L100" s="36">
        <f t="shared" si="74"/>
        <v>89332.074999999997</v>
      </c>
      <c r="M100" s="63">
        <f t="shared" si="75"/>
        <v>25523.45</v>
      </c>
      <c r="N100" s="63">
        <f>50000</f>
        <v>50000</v>
      </c>
      <c r="O100" s="63">
        <f t="shared" si="76"/>
        <v>2552.3450000000003</v>
      </c>
      <c r="P100" s="63">
        <v>15000</v>
      </c>
      <c r="Q100" s="63">
        <f>100000</f>
        <v>100000</v>
      </c>
      <c r="R100" s="63">
        <f t="shared" si="70"/>
        <v>150000</v>
      </c>
      <c r="S100" s="63">
        <f t="shared" si="77"/>
        <v>100000</v>
      </c>
      <c r="T100" s="63">
        <f>0</f>
        <v>0</v>
      </c>
      <c r="U100" s="36">
        <v>50000</v>
      </c>
      <c r="V100" s="36">
        <f>U100</f>
        <v>50000</v>
      </c>
    </row>
    <row r="101" spans="1:22" ht="18.75" x14ac:dyDescent="0.3">
      <c r="A101" s="1">
        <v>6</v>
      </c>
      <c r="B101" s="195" t="s">
        <v>174</v>
      </c>
      <c r="C101" s="195"/>
      <c r="D101" s="62" t="s">
        <v>175</v>
      </c>
      <c r="E101" s="67" t="s">
        <v>80</v>
      </c>
      <c r="F101" s="63">
        <v>23891.119999999999</v>
      </c>
      <c r="G101" s="63">
        <v>0</v>
      </c>
      <c r="H101" s="63">
        <f t="shared" si="71"/>
        <v>71673.36</v>
      </c>
      <c r="I101" s="63">
        <f t="shared" si="72"/>
        <v>1791.8339999999998</v>
      </c>
      <c r="J101" s="63">
        <v>0</v>
      </c>
      <c r="K101" s="63">
        <f t="shared" si="73"/>
        <v>11945.56</v>
      </c>
      <c r="L101" s="36">
        <f t="shared" si="74"/>
        <v>83618.92</v>
      </c>
      <c r="M101" s="63">
        <f t="shared" si="75"/>
        <v>23891.119999999999</v>
      </c>
      <c r="N101" s="63">
        <v>0</v>
      </c>
      <c r="O101" s="63">
        <f t="shared" si="76"/>
        <v>2389.1120000000001</v>
      </c>
      <c r="P101" s="63">
        <v>15000</v>
      </c>
      <c r="Q101" s="63">
        <v>0</v>
      </c>
      <c r="R101" s="63">
        <f t="shared" si="70"/>
        <v>0</v>
      </c>
      <c r="S101" s="63">
        <f t="shared" si="77"/>
        <v>100000</v>
      </c>
      <c r="T101" s="63">
        <f>0</f>
        <v>0</v>
      </c>
      <c r="U101" s="36">
        <v>100000</v>
      </c>
      <c r="V101" s="36">
        <f t="shared" si="55"/>
        <v>100000</v>
      </c>
    </row>
    <row r="102" spans="1:22" ht="18.75" x14ac:dyDescent="0.3">
      <c r="A102" s="1">
        <v>7</v>
      </c>
      <c r="B102" s="178" t="s">
        <v>176</v>
      </c>
      <c r="C102" s="178"/>
      <c r="D102" s="62" t="s">
        <v>294</v>
      </c>
      <c r="E102" s="67" t="s">
        <v>92</v>
      </c>
      <c r="F102" s="63">
        <f>18779.3</f>
        <v>18779.3</v>
      </c>
      <c r="G102" s="63"/>
      <c r="H102" s="63">
        <f t="shared" si="71"/>
        <v>56337.899999999994</v>
      </c>
      <c r="I102" s="63">
        <f t="shared" si="72"/>
        <v>1408.4475</v>
      </c>
      <c r="J102" s="63"/>
      <c r="K102" s="63">
        <f t="shared" si="73"/>
        <v>9389.65</v>
      </c>
      <c r="L102" s="36">
        <f t="shared" si="74"/>
        <v>65727.55</v>
      </c>
      <c r="M102" s="63">
        <f t="shared" si="75"/>
        <v>18779.3</v>
      </c>
      <c r="N102" s="63">
        <v>0</v>
      </c>
      <c r="O102" s="63">
        <f t="shared" si="76"/>
        <v>1877.93</v>
      </c>
      <c r="P102" s="63">
        <v>10000</v>
      </c>
      <c r="Q102" s="63">
        <f>30000</f>
        <v>30000</v>
      </c>
      <c r="R102" s="63">
        <f t="shared" si="70"/>
        <v>30000</v>
      </c>
      <c r="S102" s="63">
        <f t="shared" si="77"/>
        <v>100000</v>
      </c>
      <c r="T102" s="63">
        <f>0</f>
        <v>0</v>
      </c>
      <c r="U102" s="36">
        <v>100000</v>
      </c>
      <c r="V102" s="36">
        <f t="shared" si="55"/>
        <v>100000</v>
      </c>
    </row>
    <row r="103" spans="1:22" ht="18.75" x14ac:dyDescent="0.3">
      <c r="A103" s="1">
        <v>8</v>
      </c>
      <c r="B103" s="178" t="s">
        <v>178</v>
      </c>
      <c r="C103" s="178"/>
      <c r="D103" s="62" t="s">
        <v>294</v>
      </c>
      <c r="E103" s="67" t="s">
        <v>92</v>
      </c>
      <c r="F103" s="63">
        <f>18779.3</f>
        <v>18779.3</v>
      </c>
      <c r="G103" s="63"/>
      <c r="H103" s="63">
        <f t="shared" si="71"/>
        <v>56337.899999999994</v>
      </c>
      <c r="I103" s="63">
        <f t="shared" si="72"/>
        <v>1408.4475</v>
      </c>
      <c r="J103" s="63"/>
      <c r="K103" s="63">
        <f t="shared" si="73"/>
        <v>9389.65</v>
      </c>
      <c r="L103" s="36">
        <f t="shared" si="74"/>
        <v>65727.55</v>
      </c>
      <c r="M103" s="63">
        <f t="shared" si="75"/>
        <v>18779.3</v>
      </c>
      <c r="N103" s="63">
        <v>0</v>
      </c>
      <c r="O103" s="63">
        <f t="shared" si="76"/>
        <v>1877.93</v>
      </c>
      <c r="P103" s="63">
        <v>10000</v>
      </c>
      <c r="Q103" s="63"/>
      <c r="R103" s="63">
        <f t="shared" si="70"/>
        <v>0</v>
      </c>
      <c r="S103" s="63">
        <f t="shared" si="77"/>
        <v>100000</v>
      </c>
      <c r="T103" s="63">
        <f>0</f>
        <v>0</v>
      </c>
      <c r="U103" s="36">
        <v>100000</v>
      </c>
      <c r="V103" s="36">
        <f t="shared" si="55"/>
        <v>100000</v>
      </c>
    </row>
    <row r="104" spans="1:22" ht="18.75" x14ac:dyDescent="0.3">
      <c r="A104" s="1">
        <v>9</v>
      </c>
      <c r="B104" s="178" t="s">
        <v>201</v>
      </c>
      <c r="C104" s="178"/>
      <c r="D104" s="33" t="s">
        <v>200</v>
      </c>
      <c r="E104" s="67" t="s">
        <v>110</v>
      </c>
      <c r="F104" s="63">
        <v>24741.26</v>
      </c>
      <c r="G104" s="63"/>
      <c r="H104" s="63">
        <f t="shared" si="71"/>
        <v>74223.78</v>
      </c>
      <c r="I104" s="63">
        <f t="shared" si="72"/>
        <v>1855.5944999999997</v>
      </c>
      <c r="J104" s="63">
        <v>0</v>
      </c>
      <c r="K104" s="63">
        <f t="shared" si="73"/>
        <v>12370.63</v>
      </c>
      <c r="L104" s="36">
        <f t="shared" si="74"/>
        <v>86594.409999999989</v>
      </c>
      <c r="M104" s="63">
        <f t="shared" si="75"/>
        <v>24741.26</v>
      </c>
      <c r="N104" s="63">
        <v>0</v>
      </c>
      <c r="O104" s="63">
        <f t="shared" si="76"/>
        <v>2474.1260000000002</v>
      </c>
      <c r="P104" s="63">
        <v>15000</v>
      </c>
      <c r="Q104" s="63">
        <v>0</v>
      </c>
      <c r="R104" s="63">
        <f t="shared" si="70"/>
        <v>0</v>
      </c>
      <c r="S104" s="63">
        <f t="shared" si="77"/>
        <v>100000</v>
      </c>
      <c r="T104" s="63">
        <f>0</f>
        <v>0</v>
      </c>
      <c r="U104" s="36">
        <v>100000</v>
      </c>
      <c r="V104" s="36">
        <f t="shared" si="55"/>
        <v>100000</v>
      </c>
    </row>
    <row r="105" spans="1:22" ht="18.75" x14ac:dyDescent="0.3">
      <c r="A105" s="1">
        <v>10</v>
      </c>
      <c r="B105" s="169" t="s">
        <v>179</v>
      </c>
      <c r="C105" s="170"/>
      <c r="D105" s="62" t="s">
        <v>180</v>
      </c>
      <c r="E105" s="67" t="s">
        <v>295</v>
      </c>
      <c r="F105" s="68">
        <v>12732</v>
      </c>
      <c r="G105" s="63"/>
      <c r="H105" s="63">
        <f t="shared" si="71"/>
        <v>38196</v>
      </c>
      <c r="I105" s="63">
        <f t="shared" si="72"/>
        <v>954.9</v>
      </c>
      <c r="J105" s="63"/>
      <c r="K105" s="63">
        <f t="shared" si="73"/>
        <v>6366</v>
      </c>
      <c r="L105" s="36">
        <f t="shared" si="74"/>
        <v>44562</v>
      </c>
      <c r="M105" s="63">
        <f t="shared" si="75"/>
        <v>12732</v>
      </c>
      <c r="N105" s="63">
        <v>0</v>
      </c>
      <c r="O105" s="63">
        <f t="shared" si="76"/>
        <v>1273.2</v>
      </c>
      <c r="P105" s="63">
        <v>10000</v>
      </c>
      <c r="Q105" s="63"/>
      <c r="R105" s="63">
        <f t="shared" si="70"/>
        <v>0</v>
      </c>
      <c r="S105" s="63">
        <f t="shared" si="77"/>
        <v>100000</v>
      </c>
      <c r="T105" s="63">
        <f>0</f>
        <v>0</v>
      </c>
      <c r="U105" s="36">
        <v>100000</v>
      </c>
      <c r="V105" s="36">
        <f t="shared" si="55"/>
        <v>100000</v>
      </c>
    </row>
    <row r="106" spans="1:22" ht="23.25" x14ac:dyDescent="0.6">
      <c r="A106" s="1"/>
      <c r="B106" s="179" t="s">
        <v>32</v>
      </c>
      <c r="C106" s="179"/>
      <c r="D106" s="102" t="s">
        <v>184</v>
      </c>
      <c r="E106" s="67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64">
        <f t="shared" si="79"/>
        <v>1058506.4350000001</v>
      </c>
      <c r="M106" s="39">
        <f t="shared" si="79"/>
        <v>302430.41000000003</v>
      </c>
      <c r="N106" s="106">
        <f t="shared" si="79"/>
        <v>50000</v>
      </c>
      <c r="O106" s="106">
        <f t="shared" si="79"/>
        <v>30243.041000000005</v>
      </c>
      <c r="P106" s="106">
        <f t="shared" si="79"/>
        <v>150000</v>
      </c>
      <c r="Q106" s="106">
        <f t="shared" si="79"/>
        <v>280000</v>
      </c>
      <c r="R106" s="106">
        <f t="shared" si="70"/>
        <v>330000</v>
      </c>
      <c r="S106" s="106">
        <f>SUM(S96:S105)</f>
        <v>1000000</v>
      </c>
      <c r="T106" s="63">
        <f>0</f>
        <v>0</v>
      </c>
      <c r="U106" s="106">
        <f>SUM(U96:U105)</f>
        <v>950000</v>
      </c>
      <c r="V106" s="109">
        <f>SUM(V96:V105)</f>
        <v>950000</v>
      </c>
    </row>
    <row r="107" spans="1:22" ht="18.75" x14ac:dyDescent="0.3">
      <c r="A107" s="1"/>
      <c r="B107" s="101"/>
      <c r="C107" s="101"/>
      <c r="D107" s="102"/>
      <c r="E107" s="67"/>
      <c r="F107" s="39"/>
      <c r="G107" s="39"/>
      <c r="H107" s="39"/>
      <c r="I107" s="39"/>
      <c r="J107" s="39"/>
      <c r="K107" s="39"/>
      <c r="L107" s="64"/>
      <c r="M107" s="39"/>
      <c r="N107" s="39"/>
      <c r="O107" s="39"/>
      <c r="P107" s="39"/>
      <c r="Q107" s="39"/>
      <c r="R107" s="63">
        <f t="shared" si="70"/>
        <v>0</v>
      </c>
      <c r="S107" s="39"/>
      <c r="T107" s="63"/>
      <c r="U107" s="39"/>
      <c r="V107" s="36">
        <f t="shared" si="55"/>
        <v>0</v>
      </c>
    </row>
    <row r="108" spans="1:22" ht="18.75" x14ac:dyDescent="0.3">
      <c r="A108" s="1"/>
      <c r="B108" s="179" t="s">
        <v>185</v>
      </c>
      <c r="C108" s="179"/>
      <c r="D108" s="62"/>
      <c r="E108" s="67"/>
      <c r="F108" s="63"/>
      <c r="G108" s="63"/>
      <c r="H108" s="63"/>
      <c r="I108" s="63"/>
      <c r="J108" s="63"/>
      <c r="K108" s="63"/>
      <c r="L108" s="36"/>
      <c r="M108" s="63"/>
      <c r="N108" s="63"/>
      <c r="O108" s="63"/>
      <c r="P108" s="63"/>
      <c r="Q108" s="63"/>
      <c r="R108" s="63">
        <f t="shared" si="70"/>
        <v>0</v>
      </c>
      <c r="S108" s="63"/>
      <c r="T108" s="63"/>
      <c r="U108" s="63"/>
      <c r="V108" s="36">
        <f t="shared" si="55"/>
        <v>0</v>
      </c>
    </row>
    <row r="109" spans="1:22" ht="18.75" x14ac:dyDescent="0.3">
      <c r="A109" s="1">
        <v>1</v>
      </c>
      <c r="B109" s="178" t="s">
        <v>186</v>
      </c>
      <c r="C109" s="178"/>
      <c r="D109" s="62" t="s">
        <v>187</v>
      </c>
      <c r="E109" s="67" t="s">
        <v>41</v>
      </c>
      <c r="F109" s="63">
        <v>81740.02</v>
      </c>
      <c r="G109" s="63">
        <v>0</v>
      </c>
      <c r="H109" s="63">
        <f>F109*300%</f>
        <v>245220.06</v>
      </c>
      <c r="I109" s="63">
        <f>F109*7.5%</f>
        <v>6130.5015000000003</v>
      </c>
      <c r="J109" s="63">
        <v>80244.38</v>
      </c>
      <c r="K109" s="63">
        <f>F109*50%</f>
        <v>40870.01</v>
      </c>
      <c r="L109" s="63">
        <f>F109*350%</f>
        <v>286090.07</v>
      </c>
      <c r="M109" s="63">
        <f>F109*100%</f>
        <v>81740.02</v>
      </c>
      <c r="N109" s="63">
        <v>0</v>
      </c>
      <c r="O109" s="63">
        <f>F109*10%</f>
        <v>8174.0020000000004</v>
      </c>
      <c r="P109" s="63">
        <v>20000</v>
      </c>
      <c r="Q109" s="63">
        <v>0</v>
      </c>
      <c r="R109" s="63">
        <f t="shared" si="70"/>
        <v>0</v>
      </c>
      <c r="S109" s="63">
        <f>100000</f>
        <v>100000</v>
      </c>
      <c r="T109" s="63">
        <f>0</f>
        <v>0</v>
      </c>
      <c r="U109" s="63">
        <v>100000</v>
      </c>
      <c r="V109" s="36">
        <f t="shared" si="55"/>
        <v>100000</v>
      </c>
    </row>
    <row r="110" spans="1:22" ht="18.75" x14ac:dyDescent="0.3">
      <c r="A110" s="1">
        <v>2</v>
      </c>
      <c r="B110" s="178" t="s">
        <v>188</v>
      </c>
      <c r="C110" s="178"/>
      <c r="D110" s="62" t="s">
        <v>189</v>
      </c>
      <c r="E110" s="67" t="s">
        <v>89</v>
      </c>
      <c r="F110" s="63">
        <f>79039.64</f>
        <v>79039.64</v>
      </c>
      <c r="G110" s="63"/>
      <c r="H110" s="63">
        <f>F110*300%</f>
        <v>237118.91999999998</v>
      </c>
      <c r="I110" s="63">
        <f>F110*7.5%</f>
        <v>5927.973</v>
      </c>
      <c r="J110" s="63">
        <f>80244.38</f>
        <v>80244.38</v>
      </c>
      <c r="K110" s="63">
        <f>F110*50%</f>
        <v>39519.82</v>
      </c>
      <c r="L110" s="63">
        <f>F110*350%</f>
        <v>276638.74</v>
      </c>
      <c r="M110" s="63">
        <f>F110*100%</f>
        <v>79039.64</v>
      </c>
      <c r="N110" s="63">
        <v>0</v>
      </c>
      <c r="O110" s="63">
        <f>F110*10%</f>
        <v>7903.9639999999999</v>
      </c>
      <c r="P110" s="63">
        <v>20000</v>
      </c>
      <c r="Q110" s="63">
        <v>0</v>
      </c>
      <c r="R110" s="63">
        <f t="shared" si="70"/>
        <v>0</v>
      </c>
      <c r="S110" s="63">
        <f t="shared" ref="S110:S130" si="80">100000</f>
        <v>100000</v>
      </c>
      <c r="T110" s="63">
        <f>0</f>
        <v>0</v>
      </c>
      <c r="U110" s="63">
        <v>100000</v>
      </c>
      <c r="V110" s="36">
        <f t="shared" si="55"/>
        <v>100000</v>
      </c>
    </row>
    <row r="111" spans="1:22" ht="18.75" x14ac:dyDescent="0.3">
      <c r="A111" s="1">
        <v>3</v>
      </c>
      <c r="B111" s="195" t="s">
        <v>190</v>
      </c>
      <c r="C111" s="195"/>
      <c r="D111" s="62" t="s">
        <v>191</v>
      </c>
      <c r="E111" s="67" t="s">
        <v>284</v>
      </c>
      <c r="F111" s="63">
        <f>41157.69</f>
        <v>41157.69</v>
      </c>
      <c r="G111" s="63"/>
      <c r="H111" s="63">
        <f t="shared" ref="H111:H157" si="81">F111*300%</f>
        <v>123473.07</v>
      </c>
      <c r="I111" s="63">
        <f t="shared" ref="I111:I157" si="82">F111*7.5%</f>
        <v>3086.8267500000002</v>
      </c>
      <c r="J111" s="63">
        <v>40122.19</v>
      </c>
      <c r="K111" s="63">
        <f t="shared" ref="K111:K157" si="83">F111*50%</f>
        <v>20578.845000000001</v>
      </c>
      <c r="L111" s="63">
        <f t="shared" ref="L111:L157" si="84">F111*350%</f>
        <v>144051.91500000001</v>
      </c>
      <c r="M111" s="63">
        <f t="shared" ref="M111:M140" si="85">F111*100%</f>
        <v>41157.69</v>
      </c>
      <c r="N111" s="63">
        <v>0</v>
      </c>
      <c r="O111" s="63">
        <f t="shared" ref="O111:O157" si="86">F111*10%</f>
        <v>4115.7690000000002</v>
      </c>
      <c r="P111" s="63">
        <v>20000</v>
      </c>
      <c r="Q111" s="63">
        <v>0</v>
      </c>
      <c r="R111" s="63">
        <f t="shared" si="70"/>
        <v>0</v>
      </c>
      <c r="S111" s="63">
        <f t="shared" si="80"/>
        <v>100000</v>
      </c>
      <c r="T111" s="63">
        <f>0</f>
        <v>0</v>
      </c>
      <c r="U111" s="63">
        <v>100000</v>
      </c>
      <c r="V111" s="36">
        <f t="shared" si="55"/>
        <v>100000</v>
      </c>
    </row>
    <row r="112" spans="1:22" ht="18.75" x14ac:dyDescent="0.3">
      <c r="A112" s="1">
        <v>4</v>
      </c>
      <c r="B112" s="182" t="s">
        <v>192</v>
      </c>
      <c r="C112" s="183"/>
      <c r="D112" s="20" t="s">
        <v>193</v>
      </c>
      <c r="E112" s="25" t="s">
        <v>44</v>
      </c>
      <c r="F112" s="63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76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63">
        <f t="shared" si="70"/>
        <v>150000</v>
      </c>
      <c r="S112" s="63">
        <f t="shared" si="80"/>
        <v>100000</v>
      </c>
      <c r="T112" s="63">
        <f>0</f>
        <v>0</v>
      </c>
      <c r="U112" s="63">
        <v>0</v>
      </c>
      <c r="V112" s="36">
        <f t="shared" si="55"/>
        <v>0</v>
      </c>
    </row>
    <row r="113" spans="1:22" ht="18.75" x14ac:dyDescent="0.3">
      <c r="A113" s="1">
        <v>5</v>
      </c>
      <c r="B113" s="171" t="s">
        <v>194</v>
      </c>
      <c r="C113" s="172"/>
      <c r="D113" s="33" t="s">
        <v>195</v>
      </c>
      <c r="E113" s="67" t="s">
        <v>110</v>
      </c>
      <c r="F113" s="63">
        <v>24741.26</v>
      </c>
      <c r="G113" s="63"/>
      <c r="H113" s="63">
        <f t="shared" si="81"/>
        <v>74223.78</v>
      </c>
      <c r="I113" s="63">
        <f t="shared" si="82"/>
        <v>1855.5944999999997</v>
      </c>
      <c r="J113" s="63"/>
      <c r="K113" s="63">
        <f t="shared" si="83"/>
        <v>12370.63</v>
      </c>
      <c r="L113" s="36">
        <f t="shared" si="84"/>
        <v>86594.409999999989</v>
      </c>
      <c r="M113" s="63">
        <f t="shared" si="85"/>
        <v>24741.26</v>
      </c>
      <c r="N113" s="63">
        <v>0</v>
      </c>
      <c r="O113" s="63">
        <f t="shared" si="86"/>
        <v>2474.1260000000002</v>
      </c>
      <c r="P113" s="63">
        <v>15000</v>
      </c>
      <c r="Q113" s="63"/>
      <c r="R113" s="63">
        <f t="shared" si="70"/>
        <v>0</v>
      </c>
      <c r="S113" s="63">
        <f t="shared" si="80"/>
        <v>100000</v>
      </c>
      <c r="T113" s="63">
        <f>0</f>
        <v>0</v>
      </c>
      <c r="U113" s="63">
        <v>100000</v>
      </c>
      <c r="V113" s="36">
        <f t="shared" si="55"/>
        <v>100000</v>
      </c>
    </row>
    <row r="114" spans="1:22" ht="18.75" x14ac:dyDescent="0.3">
      <c r="A114" s="1">
        <v>6</v>
      </c>
      <c r="B114" s="169" t="s">
        <v>196</v>
      </c>
      <c r="C114" s="170"/>
      <c r="D114" s="62" t="s">
        <v>127</v>
      </c>
      <c r="E114" s="67" t="s">
        <v>92</v>
      </c>
      <c r="F114" s="63">
        <f>18779.3</f>
        <v>18779.3</v>
      </c>
      <c r="G114" s="63"/>
      <c r="H114" s="63">
        <f t="shared" si="81"/>
        <v>56337.899999999994</v>
      </c>
      <c r="I114" s="63">
        <f t="shared" si="82"/>
        <v>1408.4475</v>
      </c>
      <c r="J114" s="63">
        <v>0</v>
      </c>
      <c r="K114" s="63">
        <f t="shared" si="83"/>
        <v>9389.65</v>
      </c>
      <c r="L114" s="36">
        <f t="shared" si="84"/>
        <v>65727.55</v>
      </c>
      <c r="M114" s="63">
        <f t="shared" si="85"/>
        <v>18779.3</v>
      </c>
      <c r="N114" s="63">
        <v>0</v>
      </c>
      <c r="O114" s="63">
        <f t="shared" si="86"/>
        <v>1877.93</v>
      </c>
      <c r="P114" s="63">
        <v>10000</v>
      </c>
      <c r="Q114" s="63">
        <v>0</v>
      </c>
      <c r="R114" s="63">
        <f t="shared" si="70"/>
        <v>0</v>
      </c>
      <c r="S114" s="63">
        <f t="shared" si="80"/>
        <v>100000</v>
      </c>
      <c r="T114" s="63">
        <f>0</f>
        <v>0</v>
      </c>
      <c r="U114" s="63">
        <v>100000</v>
      </c>
      <c r="V114" s="36">
        <f t="shared" si="55"/>
        <v>100000</v>
      </c>
    </row>
    <row r="115" spans="1:22" ht="18.75" x14ac:dyDescent="0.3">
      <c r="A115" s="1">
        <v>7</v>
      </c>
      <c r="B115" s="178" t="s">
        <v>197</v>
      </c>
      <c r="C115" s="178"/>
      <c r="D115" s="62" t="s">
        <v>198</v>
      </c>
      <c r="E115" s="67" t="s">
        <v>110</v>
      </c>
      <c r="F115" s="63">
        <v>24741.26</v>
      </c>
      <c r="G115" s="63"/>
      <c r="H115" s="63">
        <f t="shared" si="81"/>
        <v>74223.78</v>
      </c>
      <c r="I115" s="63">
        <f t="shared" si="82"/>
        <v>1855.5944999999997</v>
      </c>
      <c r="J115" s="63">
        <v>0</v>
      </c>
      <c r="K115" s="63">
        <f t="shared" si="83"/>
        <v>12370.63</v>
      </c>
      <c r="L115" s="36">
        <f t="shared" si="84"/>
        <v>86594.409999999989</v>
      </c>
      <c r="M115" s="63">
        <f t="shared" si="85"/>
        <v>24741.26</v>
      </c>
      <c r="N115" s="63">
        <f t="shared" si="63"/>
        <v>100000</v>
      </c>
      <c r="O115" s="63">
        <f t="shared" si="86"/>
        <v>2474.1260000000002</v>
      </c>
      <c r="P115" s="63">
        <v>15000</v>
      </c>
      <c r="Q115" s="63"/>
      <c r="R115" s="63">
        <f t="shared" si="70"/>
        <v>100000</v>
      </c>
      <c r="S115" s="63">
        <f t="shared" si="80"/>
        <v>100000</v>
      </c>
      <c r="T115" s="63">
        <f>0</f>
        <v>0</v>
      </c>
      <c r="U115" s="63">
        <v>0</v>
      </c>
      <c r="V115" s="36">
        <f t="shared" si="55"/>
        <v>0</v>
      </c>
    </row>
    <row r="116" spans="1:22" ht="18.75" x14ac:dyDescent="0.3">
      <c r="A116" s="1">
        <v>8</v>
      </c>
      <c r="B116" s="178" t="s">
        <v>199</v>
      </c>
      <c r="C116" s="178"/>
      <c r="D116" s="33" t="s">
        <v>200</v>
      </c>
      <c r="E116" s="67" t="s">
        <v>110</v>
      </c>
      <c r="F116" s="63">
        <v>24741.26</v>
      </c>
      <c r="G116" s="63"/>
      <c r="H116" s="63">
        <f t="shared" si="81"/>
        <v>74223.78</v>
      </c>
      <c r="I116" s="63">
        <f t="shared" si="82"/>
        <v>1855.5944999999997</v>
      </c>
      <c r="J116" s="63">
        <v>0</v>
      </c>
      <c r="K116" s="63">
        <f t="shared" si="83"/>
        <v>12370.63</v>
      </c>
      <c r="L116" s="36">
        <f t="shared" si="84"/>
        <v>86594.409999999989</v>
      </c>
      <c r="M116" s="63">
        <f t="shared" si="85"/>
        <v>24741.26</v>
      </c>
      <c r="N116" s="63">
        <v>0</v>
      </c>
      <c r="O116" s="63">
        <f t="shared" si="86"/>
        <v>2474.1260000000002</v>
      </c>
      <c r="P116" s="63">
        <v>15000</v>
      </c>
      <c r="Q116" s="63">
        <v>0</v>
      </c>
      <c r="R116" s="63">
        <f t="shared" si="70"/>
        <v>0</v>
      </c>
      <c r="S116" s="63">
        <f t="shared" si="80"/>
        <v>100000</v>
      </c>
      <c r="T116" s="63">
        <f>0</f>
        <v>0</v>
      </c>
      <c r="U116" s="63">
        <v>100000</v>
      </c>
      <c r="V116" s="36">
        <f t="shared" si="55"/>
        <v>100000</v>
      </c>
    </row>
    <row r="117" spans="1:22" ht="18.75" x14ac:dyDescent="0.3">
      <c r="A117" s="1">
        <v>9</v>
      </c>
      <c r="B117" s="178" t="s">
        <v>202</v>
      </c>
      <c r="C117" s="178"/>
      <c r="D117" s="33" t="s">
        <v>205</v>
      </c>
      <c r="E117" s="67" t="s">
        <v>92</v>
      </c>
      <c r="F117" s="63">
        <f>18779.3</f>
        <v>18779.3</v>
      </c>
      <c r="G117" s="63"/>
      <c r="H117" s="63">
        <f t="shared" si="81"/>
        <v>56337.899999999994</v>
      </c>
      <c r="I117" s="63">
        <f t="shared" si="82"/>
        <v>1408.4475</v>
      </c>
      <c r="J117" s="36">
        <v>0</v>
      </c>
      <c r="K117" s="63">
        <f t="shared" si="83"/>
        <v>9389.65</v>
      </c>
      <c r="L117" s="36">
        <f t="shared" si="84"/>
        <v>65727.55</v>
      </c>
      <c r="M117" s="63">
        <f t="shared" si="85"/>
        <v>18779.3</v>
      </c>
      <c r="N117" s="63">
        <v>0</v>
      </c>
      <c r="O117" s="63">
        <f t="shared" si="86"/>
        <v>1877.93</v>
      </c>
      <c r="P117" s="63">
        <v>10000</v>
      </c>
      <c r="Q117" s="63">
        <v>0</v>
      </c>
      <c r="R117" s="63">
        <f t="shared" si="70"/>
        <v>0</v>
      </c>
      <c r="S117" s="63">
        <f t="shared" si="80"/>
        <v>100000</v>
      </c>
      <c r="T117" s="63">
        <f>0</f>
        <v>0</v>
      </c>
      <c r="U117" s="63">
        <v>100000</v>
      </c>
      <c r="V117" s="36">
        <f t="shared" si="55"/>
        <v>100000</v>
      </c>
    </row>
    <row r="118" spans="1:22" ht="18.75" x14ac:dyDescent="0.3">
      <c r="A118" s="1">
        <v>10</v>
      </c>
      <c r="B118" s="178" t="s">
        <v>203</v>
      </c>
      <c r="C118" s="178"/>
      <c r="D118" s="33" t="s">
        <v>127</v>
      </c>
      <c r="E118" s="67" t="s">
        <v>68</v>
      </c>
      <c r="F118" s="36">
        <v>18281.64</v>
      </c>
      <c r="G118" s="63"/>
      <c r="H118" s="63">
        <f>F118*300%</f>
        <v>54844.92</v>
      </c>
      <c r="I118" s="63">
        <f>F118*7.5%</f>
        <v>1371.1229999999998</v>
      </c>
      <c r="J118" s="63">
        <v>0</v>
      </c>
      <c r="K118" s="63">
        <f>F118*50%</f>
        <v>9140.82</v>
      </c>
      <c r="L118" s="36">
        <f>F118*350%</f>
        <v>63985.74</v>
      </c>
      <c r="M118" s="26">
        <f t="shared" si="85"/>
        <v>18281.64</v>
      </c>
      <c r="N118" s="63">
        <v>0</v>
      </c>
      <c r="O118" s="63">
        <f t="shared" si="86"/>
        <v>1828.164</v>
      </c>
      <c r="P118" s="63">
        <v>10000</v>
      </c>
      <c r="Q118" s="63">
        <v>0</v>
      </c>
      <c r="R118" s="63">
        <f t="shared" si="70"/>
        <v>0</v>
      </c>
      <c r="S118" s="63">
        <f t="shared" si="80"/>
        <v>100000</v>
      </c>
      <c r="T118" s="63">
        <f>0</f>
        <v>0</v>
      </c>
      <c r="U118" s="63">
        <v>100000</v>
      </c>
      <c r="V118" s="36">
        <f t="shared" si="55"/>
        <v>100000</v>
      </c>
    </row>
    <row r="119" spans="1:22" ht="18.75" x14ac:dyDescent="0.3">
      <c r="A119" s="1">
        <v>11</v>
      </c>
      <c r="B119" s="169" t="s">
        <v>204</v>
      </c>
      <c r="C119" s="170"/>
      <c r="D119" s="33" t="s">
        <v>205</v>
      </c>
      <c r="E119" s="67" t="s">
        <v>85</v>
      </c>
      <c r="F119" s="26">
        <f>17784</f>
        <v>17784</v>
      </c>
      <c r="G119" s="63"/>
      <c r="H119" s="63">
        <f>F119*300%</f>
        <v>53352</v>
      </c>
      <c r="I119" s="63">
        <f>F119*7.5%</f>
        <v>1333.8</v>
      </c>
      <c r="J119" s="63"/>
      <c r="K119" s="63">
        <f>F119*50%</f>
        <v>8892</v>
      </c>
      <c r="L119" s="36">
        <f>F119*350%</f>
        <v>62244</v>
      </c>
      <c r="M119" s="26">
        <f t="shared" si="85"/>
        <v>17784</v>
      </c>
      <c r="N119" s="63">
        <v>0</v>
      </c>
      <c r="O119" s="63">
        <f t="shared" si="86"/>
        <v>1778.4</v>
      </c>
      <c r="P119" s="63">
        <v>10000</v>
      </c>
      <c r="Q119" s="63"/>
      <c r="R119" s="63">
        <f t="shared" si="70"/>
        <v>0</v>
      </c>
      <c r="S119" s="63">
        <f t="shared" si="80"/>
        <v>100000</v>
      </c>
      <c r="T119" s="63">
        <f>0</f>
        <v>0</v>
      </c>
      <c r="U119" s="63">
        <v>100000</v>
      </c>
      <c r="V119" s="36">
        <f t="shared" si="55"/>
        <v>100000</v>
      </c>
    </row>
    <row r="120" spans="1:22" ht="18.75" x14ac:dyDescent="0.3">
      <c r="A120" s="1">
        <v>12</v>
      </c>
      <c r="B120" s="169" t="s">
        <v>206</v>
      </c>
      <c r="C120" s="170"/>
      <c r="D120" s="62" t="s">
        <v>297</v>
      </c>
      <c r="E120" s="67" t="s">
        <v>210</v>
      </c>
      <c r="F120" s="68">
        <v>13492.21</v>
      </c>
      <c r="G120" s="63"/>
      <c r="H120" s="63">
        <f t="shared" si="81"/>
        <v>40476.629999999997</v>
      </c>
      <c r="I120" s="63">
        <f t="shared" si="82"/>
        <v>1011.9157499999999</v>
      </c>
      <c r="J120" s="63"/>
      <c r="K120" s="63">
        <f t="shared" si="83"/>
        <v>6746.1049999999996</v>
      </c>
      <c r="L120" s="36">
        <f t="shared" si="84"/>
        <v>47222.735000000001</v>
      </c>
      <c r="M120" s="63">
        <f t="shared" si="85"/>
        <v>13492.21</v>
      </c>
      <c r="N120" s="63">
        <v>0</v>
      </c>
      <c r="O120" s="63">
        <f t="shared" si="86"/>
        <v>1349.221</v>
      </c>
      <c r="P120" s="63">
        <v>10000</v>
      </c>
      <c r="Q120" s="63"/>
      <c r="R120" s="63">
        <f t="shared" si="70"/>
        <v>0</v>
      </c>
      <c r="S120" s="63">
        <f t="shared" si="80"/>
        <v>100000</v>
      </c>
      <c r="T120" s="63">
        <f>0</f>
        <v>0</v>
      </c>
      <c r="U120" s="63">
        <v>100000</v>
      </c>
      <c r="V120" s="36">
        <f t="shared" si="55"/>
        <v>100000</v>
      </c>
    </row>
    <row r="121" spans="1:22" ht="18.75" x14ac:dyDescent="0.3">
      <c r="A121" s="1">
        <v>13</v>
      </c>
      <c r="B121" s="169" t="s">
        <v>208</v>
      </c>
      <c r="C121" s="170"/>
      <c r="D121" s="62" t="s">
        <v>209</v>
      </c>
      <c r="E121" s="67" t="s">
        <v>181</v>
      </c>
      <c r="F121" s="68">
        <v>13112.16</v>
      </c>
      <c r="G121" s="63"/>
      <c r="H121" s="63">
        <f t="shared" si="81"/>
        <v>39336.479999999996</v>
      </c>
      <c r="I121" s="63">
        <f t="shared" si="82"/>
        <v>983.41199999999992</v>
      </c>
      <c r="J121" s="63"/>
      <c r="K121" s="63">
        <f t="shared" si="83"/>
        <v>6556.08</v>
      </c>
      <c r="L121" s="36">
        <f t="shared" si="84"/>
        <v>45892.56</v>
      </c>
      <c r="M121" s="63">
        <f t="shared" si="85"/>
        <v>13112.16</v>
      </c>
      <c r="N121" s="63">
        <v>0</v>
      </c>
      <c r="O121" s="63">
        <f t="shared" si="86"/>
        <v>1311.2160000000001</v>
      </c>
      <c r="P121" s="63">
        <v>10000</v>
      </c>
      <c r="Q121" s="63"/>
      <c r="R121" s="63">
        <f t="shared" si="70"/>
        <v>0</v>
      </c>
      <c r="S121" s="63">
        <f t="shared" si="80"/>
        <v>100000</v>
      </c>
      <c r="T121" s="63">
        <f>0</f>
        <v>0</v>
      </c>
      <c r="U121" s="63">
        <v>100000</v>
      </c>
      <c r="V121" s="36">
        <f t="shared" si="55"/>
        <v>100000</v>
      </c>
    </row>
    <row r="122" spans="1:22" ht="18.75" x14ac:dyDescent="0.3">
      <c r="A122" s="1">
        <v>14</v>
      </c>
      <c r="B122" s="169" t="s">
        <v>211</v>
      </c>
      <c r="C122" s="170"/>
      <c r="D122" s="62" t="s">
        <v>209</v>
      </c>
      <c r="E122" s="67" t="s">
        <v>181</v>
      </c>
      <c r="F122" s="68">
        <v>13112.16</v>
      </c>
      <c r="G122" s="63"/>
      <c r="H122" s="63">
        <f t="shared" si="81"/>
        <v>39336.479999999996</v>
      </c>
      <c r="I122" s="63">
        <f t="shared" si="82"/>
        <v>983.41199999999992</v>
      </c>
      <c r="J122" s="63"/>
      <c r="K122" s="63">
        <f t="shared" si="83"/>
        <v>6556.08</v>
      </c>
      <c r="L122" s="36">
        <f t="shared" si="84"/>
        <v>45892.56</v>
      </c>
      <c r="M122" s="63">
        <f t="shared" si="85"/>
        <v>13112.16</v>
      </c>
      <c r="N122" s="63">
        <v>0</v>
      </c>
      <c r="O122" s="63">
        <f t="shared" si="86"/>
        <v>1311.2160000000001</v>
      </c>
      <c r="P122" s="63">
        <v>10000</v>
      </c>
      <c r="Q122" s="63"/>
      <c r="R122" s="63">
        <f t="shared" si="70"/>
        <v>0</v>
      </c>
      <c r="S122" s="63">
        <f t="shared" si="80"/>
        <v>100000</v>
      </c>
      <c r="T122" s="63">
        <f>0</f>
        <v>0</v>
      </c>
      <c r="U122" s="63">
        <v>100000</v>
      </c>
      <c r="V122" s="36">
        <f t="shared" si="55"/>
        <v>100000</v>
      </c>
    </row>
    <row r="123" spans="1:22" ht="18.75" x14ac:dyDescent="0.3">
      <c r="A123" s="1">
        <v>15</v>
      </c>
      <c r="B123" s="169" t="s">
        <v>212</v>
      </c>
      <c r="C123" s="170"/>
      <c r="D123" s="62" t="s">
        <v>209</v>
      </c>
      <c r="E123" s="67" t="s">
        <v>181</v>
      </c>
      <c r="F123" s="68">
        <v>13112.16</v>
      </c>
      <c r="G123" s="63"/>
      <c r="H123" s="63">
        <f t="shared" si="81"/>
        <v>39336.479999999996</v>
      </c>
      <c r="I123" s="63">
        <f t="shared" si="82"/>
        <v>983.41199999999992</v>
      </c>
      <c r="J123" s="63"/>
      <c r="K123" s="63">
        <f t="shared" si="83"/>
        <v>6556.08</v>
      </c>
      <c r="L123" s="36">
        <f t="shared" si="84"/>
        <v>45892.56</v>
      </c>
      <c r="M123" s="63">
        <f t="shared" si="85"/>
        <v>13112.16</v>
      </c>
      <c r="N123" s="63">
        <v>0</v>
      </c>
      <c r="O123" s="63">
        <f t="shared" si="86"/>
        <v>1311.2160000000001</v>
      </c>
      <c r="P123" s="63">
        <v>10000</v>
      </c>
      <c r="Q123" s="63"/>
      <c r="R123" s="63">
        <f t="shared" si="70"/>
        <v>0</v>
      </c>
      <c r="S123" s="63">
        <f t="shared" si="80"/>
        <v>100000</v>
      </c>
      <c r="T123" s="63">
        <f>0</f>
        <v>0</v>
      </c>
      <c r="U123" s="63">
        <v>100000</v>
      </c>
      <c r="V123" s="36">
        <f t="shared" si="55"/>
        <v>100000</v>
      </c>
    </row>
    <row r="124" spans="1:22" ht="18.75" x14ac:dyDescent="0.3">
      <c r="A124" s="1">
        <v>16</v>
      </c>
      <c r="B124" s="169" t="s">
        <v>213</v>
      </c>
      <c r="C124" s="170"/>
      <c r="D124" s="62" t="s">
        <v>209</v>
      </c>
      <c r="E124" s="67" t="s">
        <v>295</v>
      </c>
      <c r="F124" s="68">
        <v>12732</v>
      </c>
      <c r="G124" s="63"/>
      <c r="H124" s="63">
        <f t="shared" si="81"/>
        <v>38196</v>
      </c>
      <c r="I124" s="63">
        <f t="shared" si="82"/>
        <v>954.9</v>
      </c>
      <c r="J124" s="63"/>
      <c r="K124" s="63">
        <f t="shared" si="83"/>
        <v>6366</v>
      </c>
      <c r="L124" s="36">
        <f t="shared" si="84"/>
        <v>44562</v>
      </c>
      <c r="M124" s="63">
        <f t="shared" si="85"/>
        <v>12732</v>
      </c>
      <c r="N124" s="63">
        <v>0</v>
      </c>
      <c r="O124" s="63">
        <f t="shared" si="86"/>
        <v>1273.2</v>
      </c>
      <c r="P124" s="63">
        <v>10000</v>
      </c>
      <c r="Q124" s="63"/>
      <c r="R124" s="63">
        <f t="shared" si="70"/>
        <v>0</v>
      </c>
      <c r="S124" s="63">
        <f t="shared" si="80"/>
        <v>100000</v>
      </c>
      <c r="T124" s="63">
        <f>0</f>
        <v>0</v>
      </c>
      <c r="U124" s="63">
        <v>100000</v>
      </c>
      <c r="V124" s="36">
        <f t="shared" si="55"/>
        <v>100000</v>
      </c>
    </row>
    <row r="125" spans="1:22" ht="18.75" x14ac:dyDescent="0.3">
      <c r="A125" s="1">
        <v>17</v>
      </c>
      <c r="B125" s="169" t="s">
        <v>214</v>
      </c>
      <c r="C125" s="170"/>
      <c r="D125" s="62" t="s">
        <v>215</v>
      </c>
      <c r="E125" s="67" t="s">
        <v>295</v>
      </c>
      <c r="F125" s="68">
        <v>12732</v>
      </c>
      <c r="G125" s="63"/>
      <c r="H125" s="63">
        <f t="shared" si="81"/>
        <v>38196</v>
      </c>
      <c r="I125" s="63">
        <f t="shared" si="82"/>
        <v>954.9</v>
      </c>
      <c r="J125" s="63"/>
      <c r="K125" s="63">
        <f t="shared" si="83"/>
        <v>6366</v>
      </c>
      <c r="L125" s="36">
        <f t="shared" si="84"/>
        <v>44562</v>
      </c>
      <c r="M125" s="63">
        <f t="shared" si="85"/>
        <v>12732</v>
      </c>
      <c r="N125" s="63">
        <v>0</v>
      </c>
      <c r="O125" s="63">
        <f t="shared" si="86"/>
        <v>1273.2</v>
      </c>
      <c r="P125" s="63">
        <v>10000</v>
      </c>
      <c r="Q125" s="63"/>
      <c r="R125" s="63">
        <f t="shared" si="70"/>
        <v>0</v>
      </c>
      <c r="S125" s="63">
        <f t="shared" si="80"/>
        <v>100000</v>
      </c>
      <c r="T125" s="63">
        <f>0</f>
        <v>0</v>
      </c>
      <c r="U125" s="63">
        <v>100000</v>
      </c>
      <c r="V125" s="36">
        <f t="shared" si="55"/>
        <v>100000</v>
      </c>
    </row>
    <row r="126" spans="1:22" ht="18.75" x14ac:dyDescent="0.3">
      <c r="A126" s="1">
        <v>18</v>
      </c>
      <c r="B126" s="169" t="s">
        <v>216</v>
      </c>
      <c r="C126" s="170"/>
      <c r="D126" s="62" t="s">
        <v>217</v>
      </c>
      <c r="E126" s="67" t="s">
        <v>295</v>
      </c>
      <c r="F126" s="68">
        <v>12732</v>
      </c>
      <c r="G126" s="63"/>
      <c r="H126" s="63">
        <f t="shared" si="81"/>
        <v>38196</v>
      </c>
      <c r="I126" s="63">
        <f t="shared" si="82"/>
        <v>954.9</v>
      </c>
      <c r="J126" s="63"/>
      <c r="K126" s="63">
        <f t="shared" si="83"/>
        <v>6366</v>
      </c>
      <c r="L126" s="36">
        <f t="shared" si="84"/>
        <v>44562</v>
      </c>
      <c r="M126" s="63">
        <f t="shared" si="85"/>
        <v>12732</v>
      </c>
      <c r="N126" s="63">
        <v>0</v>
      </c>
      <c r="O126" s="63">
        <f t="shared" si="86"/>
        <v>1273.2</v>
      </c>
      <c r="P126" s="63">
        <v>10000</v>
      </c>
      <c r="Q126" s="63"/>
      <c r="R126" s="63">
        <f t="shared" si="70"/>
        <v>0</v>
      </c>
      <c r="S126" s="63">
        <f t="shared" si="80"/>
        <v>100000</v>
      </c>
      <c r="T126" s="63">
        <f>0</f>
        <v>0</v>
      </c>
      <c r="U126" s="63">
        <v>100000</v>
      </c>
      <c r="V126" s="36">
        <f t="shared" si="55"/>
        <v>100000</v>
      </c>
    </row>
    <row r="127" spans="1:22" ht="18.75" x14ac:dyDescent="0.3">
      <c r="A127" s="1">
        <v>19</v>
      </c>
      <c r="B127" s="169" t="s">
        <v>218</v>
      </c>
      <c r="C127" s="170"/>
      <c r="D127" s="62" t="s">
        <v>217</v>
      </c>
      <c r="E127" s="67" t="s">
        <v>295</v>
      </c>
      <c r="F127" s="68">
        <v>12732</v>
      </c>
      <c r="G127" s="63"/>
      <c r="H127" s="63">
        <f t="shared" si="81"/>
        <v>38196</v>
      </c>
      <c r="I127" s="63">
        <f t="shared" si="82"/>
        <v>954.9</v>
      </c>
      <c r="J127" s="63"/>
      <c r="K127" s="63">
        <f t="shared" si="83"/>
        <v>6366</v>
      </c>
      <c r="L127" s="36">
        <f t="shared" si="84"/>
        <v>44562</v>
      </c>
      <c r="M127" s="63">
        <f t="shared" si="85"/>
        <v>12732</v>
      </c>
      <c r="N127" s="63">
        <v>0</v>
      </c>
      <c r="O127" s="63">
        <f t="shared" si="86"/>
        <v>1273.2</v>
      </c>
      <c r="P127" s="63">
        <v>10000</v>
      </c>
      <c r="Q127" s="63"/>
      <c r="R127" s="63">
        <f t="shared" si="70"/>
        <v>0</v>
      </c>
      <c r="S127" s="63">
        <f t="shared" si="80"/>
        <v>100000</v>
      </c>
      <c r="T127" s="63">
        <f>0</f>
        <v>0</v>
      </c>
      <c r="U127" s="63">
        <v>100000</v>
      </c>
      <c r="V127" s="36">
        <f t="shared" si="55"/>
        <v>100000</v>
      </c>
    </row>
    <row r="128" spans="1:22" ht="18.75" x14ac:dyDescent="0.3">
      <c r="A128" s="1">
        <v>20</v>
      </c>
      <c r="B128" s="169" t="s">
        <v>219</v>
      </c>
      <c r="C128" s="170"/>
      <c r="D128" s="62" t="s">
        <v>209</v>
      </c>
      <c r="E128" s="67" t="s">
        <v>295</v>
      </c>
      <c r="F128" s="68">
        <v>12732</v>
      </c>
      <c r="G128" s="63"/>
      <c r="H128" s="63">
        <f t="shared" si="81"/>
        <v>38196</v>
      </c>
      <c r="I128" s="63">
        <f t="shared" si="82"/>
        <v>954.9</v>
      </c>
      <c r="J128" s="63"/>
      <c r="K128" s="63">
        <f t="shared" si="83"/>
        <v>6366</v>
      </c>
      <c r="L128" s="36">
        <f t="shared" si="84"/>
        <v>44562</v>
      </c>
      <c r="M128" s="63">
        <f t="shared" si="85"/>
        <v>12732</v>
      </c>
      <c r="N128" s="63">
        <v>0</v>
      </c>
      <c r="O128" s="63">
        <f t="shared" si="86"/>
        <v>1273.2</v>
      </c>
      <c r="P128" s="63">
        <v>10000</v>
      </c>
      <c r="Q128" s="63"/>
      <c r="R128" s="63">
        <f t="shared" si="70"/>
        <v>0</v>
      </c>
      <c r="S128" s="63">
        <f t="shared" si="80"/>
        <v>100000</v>
      </c>
      <c r="T128" s="63">
        <f>0</f>
        <v>0</v>
      </c>
      <c r="U128" s="63">
        <v>100000</v>
      </c>
      <c r="V128" s="36">
        <f t="shared" si="55"/>
        <v>100000</v>
      </c>
    </row>
    <row r="129" spans="1:22" ht="18.75" x14ac:dyDescent="0.3">
      <c r="A129" s="1">
        <v>21</v>
      </c>
      <c r="B129" s="169" t="s">
        <v>220</v>
      </c>
      <c r="C129" s="170"/>
      <c r="D129" s="62" t="s">
        <v>221</v>
      </c>
      <c r="E129" s="67" t="s">
        <v>92</v>
      </c>
      <c r="F129" s="63">
        <f>18779.3</f>
        <v>18779.3</v>
      </c>
      <c r="G129" s="63"/>
      <c r="H129" s="63">
        <f t="shared" si="81"/>
        <v>56337.899999999994</v>
      </c>
      <c r="I129" s="63">
        <f t="shared" si="82"/>
        <v>1408.4475</v>
      </c>
      <c r="J129" s="36"/>
      <c r="K129" s="63">
        <f t="shared" si="83"/>
        <v>9389.65</v>
      </c>
      <c r="L129" s="36">
        <f t="shared" si="84"/>
        <v>65727.55</v>
      </c>
      <c r="M129" s="63">
        <f t="shared" si="85"/>
        <v>18779.3</v>
      </c>
      <c r="N129" s="63">
        <v>0</v>
      </c>
      <c r="O129" s="63">
        <f t="shared" si="86"/>
        <v>1877.93</v>
      </c>
      <c r="P129" s="63">
        <v>10000</v>
      </c>
      <c r="Q129" s="63"/>
      <c r="R129" s="63">
        <f t="shared" si="70"/>
        <v>0</v>
      </c>
      <c r="S129" s="63">
        <f t="shared" si="80"/>
        <v>100000</v>
      </c>
      <c r="T129" s="63">
        <f>0</f>
        <v>0</v>
      </c>
      <c r="U129" s="63">
        <v>100000</v>
      </c>
      <c r="V129" s="36">
        <f t="shared" si="55"/>
        <v>100000</v>
      </c>
    </row>
    <row r="130" spans="1:22" ht="18.75" x14ac:dyDescent="0.3">
      <c r="A130" s="1">
        <v>22</v>
      </c>
      <c r="B130" s="169" t="s">
        <v>222</v>
      </c>
      <c r="C130" s="170"/>
      <c r="D130" s="62" t="s">
        <v>209</v>
      </c>
      <c r="E130" s="67" t="s">
        <v>85</v>
      </c>
      <c r="F130" s="26">
        <f>17784</f>
        <v>17784</v>
      </c>
      <c r="G130" s="63"/>
      <c r="H130" s="63">
        <f t="shared" si="81"/>
        <v>53352</v>
      </c>
      <c r="I130" s="63">
        <f t="shared" si="82"/>
        <v>1333.8</v>
      </c>
      <c r="J130" s="36"/>
      <c r="K130" s="63">
        <f t="shared" si="83"/>
        <v>8892</v>
      </c>
      <c r="L130" s="36">
        <f t="shared" si="84"/>
        <v>62244</v>
      </c>
      <c r="M130" s="63">
        <f t="shared" si="85"/>
        <v>17784</v>
      </c>
      <c r="N130" s="63">
        <v>0</v>
      </c>
      <c r="O130" s="63">
        <f t="shared" si="86"/>
        <v>1778.4</v>
      </c>
      <c r="P130" s="63">
        <v>10000</v>
      </c>
      <c r="Q130" s="63"/>
      <c r="R130" s="63">
        <f t="shared" si="70"/>
        <v>0</v>
      </c>
      <c r="S130" s="63">
        <f t="shared" si="80"/>
        <v>100000</v>
      </c>
      <c r="T130" s="63">
        <f>0</f>
        <v>0</v>
      </c>
      <c r="U130" s="63">
        <v>100000</v>
      </c>
      <c r="V130" s="36">
        <f t="shared" si="55"/>
        <v>100000</v>
      </c>
    </row>
    <row r="131" spans="1:22" ht="18.75" x14ac:dyDescent="0.3">
      <c r="A131" s="1">
        <v>23</v>
      </c>
      <c r="B131" s="178" t="s">
        <v>225</v>
      </c>
      <c r="C131" s="178"/>
      <c r="D131" s="62" t="s">
        <v>235</v>
      </c>
      <c r="E131" s="67" t="s">
        <v>298</v>
      </c>
      <c r="F131" s="68">
        <f>5769.6</f>
        <v>5769.6</v>
      </c>
      <c r="G131" s="33"/>
      <c r="H131" s="63">
        <f t="shared" si="81"/>
        <v>17308.800000000003</v>
      </c>
      <c r="I131" s="63">
        <f t="shared" si="82"/>
        <v>432.72</v>
      </c>
      <c r="J131" s="68">
        <v>0</v>
      </c>
      <c r="K131" s="63">
        <f t="shared" si="83"/>
        <v>2884.8</v>
      </c>
      <c r="L131" s="36">
        <f t="shared" si="84"/>
        <v>20193.600000000002</v>
      </c>
      <c r="M131" s="63">
        <f t="shared" si="85"/>
        <v>5769.6</v>
      </c>
      <c r="N131" s="36">
        <v>4000</v>
      </c>
      <c r="O131" s="63">
        <f t="shared" si="86"/>
        <v>576.96</v>
      </c>
      <c r="P131" s="68">
        <v>5000</v>
      </c>
      <c r="Q131" s="63">
        <v>0</v>
      </c>
      <c r="R131" s="63">
        <f t="shared" si="70"/>
        <v>4000</v>
      </c>
      <c r="S131" s="36">
        <f>25000+4000</f>
        <v>29000</v>
      </c>
      <c r="T131" s="63">
        <f>0</f>
        <v>0</v>
      </c>
      <c r="U131" s="36">
        <v>25000</v>
      </c>
      <c r="V131" s="36">
        <f t="shared" si="55"/>
        <v>25000</v>
      </c>
    </row>
    <row r="132" spans="1:22" ht="18.75" x14ac:dyDescent="0.3">
      <c r="A132" s="1">
        <v>24</v>
      </c>
      <c r="B132" s="178" t="s">
        <v>228</v>
      </c>
      <c r="C132" s="178"/>
      <c r="D132" s="62" t="s">
        <v>235</v>
      </c>
      <c r="E132" s="67" t="s">
        <v>298</v>
      </c>
      <c r="F132" s="68">
        <f t="shared" ref="F132:F137" si="87">5769.6</f>
        <v>5769.6</v>
      </c>
      <c r="G132" s="33"/>
      <c r="H132" s="63">
        <f t="shared" si="81"/>
        <v>17308.800000000003</v>
      </c>
      <c r="I132" s="63">
        <f t="shared" si="82"/>
        <v>432.72</v>
      </c>
      <c r="J132" s="68">
        <v>0</v>
      </c>
      <c r="K132" s="63">
        <f t="shared" si="83"/>
        <v>2884.8</v>
      </c>
      <c r="L132" s="36">
        <f t="shared" si="84"/>
        <v>20193.600000000002</v>
      </c>
      <c r="M132" s="63">
        <f t="shared" si="85"/>
        <v>5769.6</v>
      </c>
      <c r="N132" s="36">
        <v>7000</v>
      </c>
      <c r="O132" s="63">
        <f t="shared" si="86"/>
        <v>576.96</v>
      </c>
      <c r="P132" s="68">
        <v>5000</v>
      </c>
      <c r="Q132" s="63">
        <v>0</v>
      </c>
      <c r="R132" s="63">
        <f t="shared" si="70"/>
        <v>7000</v>
      </c>
      <c r="S132" s="36">
        <f>25000+7000</f>
        <v>32000</v>
      </c>
      <c r="T132" s="63">
        <f>0</f>
        <v>0</v>
      </c>
      <c r="U132" s="36">
        <v>25000</v>
      </c>
      <c r="V132" s="36">
        <f t="shared" si="55"/>
        <v>25000</v>
      </c>
    </row>
    <row r="133" spans="1:22" ht="18.75" x14ac:dyDescent="0.3">
      <c r="A133" s="1">
        <v>25</v>
      </c>
      <c r="B133" s="178" t="s">
        <v>229</v>
      </c>
      <c r="C133" s="178"/>
      <c r="D133" s="62" t="s">
        <v>235</v>
      </c>
      <c r="E133" s="67" t="s">
        <v>298</v>
      </c>
      <c r="F133" s="68">
        <f t="shared" si="87"/>
        <v>5769.6</v>
      </c>
      <c r="G133" s="33"/>
      <c r="H133" s="63">
        <f t="shared" si="81"/>
        <v>17308.800000000003</v>
      </c>
      <c r="I133" s="63">
        <f t="shared" si="82"/>
        <v>432.72</v>
      </c>
      <c r="J133" s="63">
        <v>0</v>
      </c>
      <c r="K133" s="63">
        <f t="shared" si="83"/>
        <v>2884.8</v>
      </c>
      <c r="L133" s="36">
        <f t="shared" si="84"/>
        <v>20193.600000000002</v>
      </c>
      <c r="M133" s="63">
        <f t="shared" si="85"/>
        <v>5769.6</v>
      </c>
      <c r="N133" s="36">
        <v>4000</v>
      </c>
      <c r="O133" s="63">
        <f t="shared" si="86"/>
        <v>576.96</v>
      </c>
      <c r="P133" s="63">
        <v>5000</v>
      </c>
      <c r="Q133" s="63">
        <v>0</v>
      </c>
      <c r="R133" s="63">
        <f t="shared" si="70"/>
        <v>4000</v>
      </c>
      <c r="S133" s="36">
        <f>25000+4000</f>
        <v>29000</v>
      </c>
      <c r="T133" s="63">
        <f>0</f>
        <v>0</v>
      </c>
      <c r="U133" s="36">
        <v>25000</v>
      </c>
      <c r="V133" s="36">
        <f t="shared" si="55"/>
        <v>25000</v>
      </c>
    </row>
    <row r="134" spans="1:22" ht="18.75" x14ac:dyDescent="0.3">
      <c r="A134" s="1">
        <v>26</v>
      </c>
      <c r="B134" s="178" t="s">
        <v>230</v>
      </c>
      <c r="C134" s="178"/>
      <c r="D134" s="62" t="s">
        <v>235</v>
      </c>
      <c r="E134" s="67" t="s">
        <v>298</v>
      </c>
      <c r="F134" s="68">
        <f t="shared" si="87"/>
        <v>5769.6</v>
      </c>
      <c r="G134" s="33"/>
      <c r="H134" s="63">
        <f t="shared" si="81"/>
        <v>17308.800000000003</v>
      </c>
      <c r="I134" s="63">
        <f t="shared" si="82"/>
        <v>432.72</v>
      </c>
      <c r="J134" s="63">
        <v>0</v>
      </c>
      <c r="K134" s="63">
        <f t="shared" si="83"/>
        <v>2884.8</v>
      </c>
      <c r="L134" s="36">
        <f t="shared" si="84"/>
        <v>20193.600000000002</v>
      </c>
      <c r="M134" s="63">
        <f t="shared" si="85"/>
        <v>5769.6</v>
      </c>
      <c r="N134" s="36">
        <v>4000</v>
      </c>
      <c r="O134" s="63">
        <f t="shared" si="86"/>
        <v>576.96</v>
      </c>
      <c r="P134" s="63">
        <v>5000</v>
      </c>
      <c r="Q134" s="63">
        <v>0</v>
      </c>
      <c r="R134" s="63">
        <f t="shared" si="70"/>
        <v>4000</v>
      </c>
      <c r="S134" s="36">
        <f>25000+4000</f>
        <v>29000</v>
      </c>
      <c r="T134" s="63">
        <f>0</f>
        <v>0</v>
      </c>
      <c r="U134" s="36">
        <v>25000</v>
      </c>
      <c r="V134" s="36">
        <f t="shared" si="55"/>
        <v>25000</v>
      </c>
    </row>
    <row r="135" spans="1:22" ht="18.75" x14ac:dyDescent="0.3">
      <c r="A135" s="1">
        <v>27</v>
      </c>
      <c r="B135" s="178" t="s">
        <v>231</v>
      </c>
      <c r="C135" s="178"/>
      <c r="D135" s="62" t="s">
        <v>235</v>
      </c>
      <c r="E135" s="67" t="s">
        <v>298</v>
      </c>
      <c r="F135" s="68">
        <f t="shared" si="87"/>
        <v>5769.6</v>
      </c>
      <c r="G135" s="33"/>
      <c r="H135" s="63">
        <f t="shared" si="81"/>
        <v>17308.800000000003</v>
      </c>
      <c r="I135" s="63">
        <f t="shared" si="82"/>
        <v>432.72</v>
      </c>
      <c r="J135" s="63">
        <v>0</v>
      </c>
      <c r="K135" s="63">
        <f t="shared" si="83"/>
        <v>2884.8</v>
      </c>
      <c r="L135" s="36">
        <f t="shared" si="84"/>
        <v>20193.600000000002</v>
      </c>
      <c r="M135" s="63">
        <f t="shared" si="85"/>
        <v>5769.6</v>
      </c>
      <c r="N135" s="36">
        <v>4000</v>
      </c>
      <c r="O135" s="63">
        <f t="shared" si="86"/>
        <v>576.96</v>
      </c>
      <c r="P135" s="63">
        <v>5000</v>
      </c>
      <c r="Q135" s="63">
        <v>0</v>
      </c>
      <c r="R135" s="63">
        <f t="shared" si="70"/>
        <v>4000</v>
      </c>
      <c r="S135" s="36">
        <f>25000+4000</f>
        <v>29000</v>
      </c>
      <c r="T135" s="63">
        <f>0</f>
        <v>0</v>
      </c>
      <c r="U135" s="36">
        <v>25000</v>
      </c>
      <c r="V135" s="36">
        <f t="shared" ref="V135:V158" si="88">S135-N135</f>
        <v>25000</v>
      </c>
    </row>
    <row r="136" spans="1:22" ht="18.75" x14ac:dyDescent="0.3">
      <c r="A136" s="1">
        <v>28</v>
      </c>
      <c r="B136" s="178" t="s">
        <v>232</v>
      </c>
      <c r="C136" s="178"/>
      <c r="D136" s="62" t="s">
        <v>235</v>
      </c>
      <c r="E136" s="67" t="s">
        <v>298</v>
      </c>
      <c r="F136" s="68">
        <f t="shared" si="87"/>
        <v>5769.6</v>
      </c>
      <c r="G136" s="27">
        <f>0</f>
        <v>0</v>
      </c>
      <c r="H136" s="63">
        <f t="shared" si="81"/>
        <v>17308.800000000003</v>
      </c>
      <c r="I136" s="63">
        <f t="shared" si="82"/>
        <v>432.72</v>
      </c>
      <c r="J136" s="63">
        <v>0</v>
      </c>
      <c r="K136" s="63">
        <f t="shared" si="83"/>
        <v>2884.8</v>
      </c>
      <c r="L136" s="36">
        <f t="shared" si="84"/>
        <v>20193.600000000002</v>
      </c>
      <c r="M136" s="63">
        <f t="shared" si="85"/>
        <v>5769.6</v>
      </c>
      <c r="N136" s="36">
        <v>3000</v>
      </c>
      <c r="O136" s="63">
        <f t="shared" si="86"/>
        <v>576.96</v>
      </c>
      <c r="P136" s="63">
        <v>5000</v>
      </c>
      <c r="Q136" s="63">
        <v>0</v>
      </c>
      <c r="R136" s="63">
        <f t="shared" si="70"/>
        <v>3000</v>
      </c>
      <c r="S136" s="36">
        <f>25000+3000</f>
        <v>28000</v>
      </c>
      <c r="T136" s="63">
        <f>0</f>
        <v>0</v>
      </c>
      <c r="U136" s="36">
        <v>25000</v>
      </c>
      <c r="V136" s="36">
        <f t="shared" si="88"/>
        <v>25000</v>
      </c>
    </row>
    <row r="137" spans="1:22" ht="18.75" x14ac:dyDescent="0.3">
      <c r="A137" s="1">
        <v>29</v>
      </c>
      <c r="B137" s="178" t="s">
        <v>233</v>
      </c>
      <c r="C137" s="178"/>
      <c r="D137" s="62" t="s">
        <v>235</v>
      </c>
      <c r="E137" s="67" t="s">
        <v>298</v>
      </c>
      <c r="F137" s="68">
        <f t="shared" si="87"/>
        <v>5769.6</v>
      </c>
      <c r="G137" s="33"/>
      <c r="H137" s="63">
        <f t="shared" si="81"/>
        <v>17308.800000000003</v>
      </c>
      <c r="I137" s="63">
        <f t="shared" si="82"/>
        <v>432.72</v>
      </c>
      <c r="J137" s="63">
        <v>0</v>
      </c>
      <c r="K137" s="63">
        <f t="shared" si="83"/>
        <v>2884.8</v>
      </c>
      <c r="L137" s="36">
        <f t="shared" si="84"/>
        <v>20193.600000000002</v>
      </c>
      <c r="M137" s="63">
        <f t="shared" si="85"/>
        <v>5769.6</v>
      </c>
      <c r="N137" s="36">
        <v>7000</v>
      </c>
      <c r="O137" s="63">
        <f t="shared" si="86"/>
        <v>576.96</v>
      </c>
      <c r="P137" s="63">
        <v>5000</v>
      </c>
      <c r="Q137" s="63">
        <v>0</v>
      </c>
      <c r="R137" s="63">
        <f t="shared" si="70"/>
        <v>7000</v>
      </c>
      <c r="S137" s="36">
        <f>25000+7000</f>
        <v>32000</v>
      </c>
      <c r="T137" s="63">
        <f>0</f>
        <v>0</v>
      </c>
      <c r="U137" s="36">
        <v>25000</v>
      </c>
      <c r="V137" s="36">
        <f t="shared" si="88"/>
        <v>25000</v>
      </c>
    </row>
    <row r="138" spans="1:22" ht="18.75" x14ac:dyDescent="0.3">
      <c r="A138" s="1">
        <v>30</v>
      </c>
      <c r="B138" s="178" t="s">
        <v>234</v>
      </c>
      <c r="C138" s="178"/>
      <c r="D138" s="62" t="s">
        <v>251</v>
      </c>
      <c r="E138" s="67" t="s">
        <v>299</v>
      </c>
      <c r="F138" s="63">
        <f>5428.12</f>
        <v>5428.12</v>
      </c>
      <c r="G138" s="33"/>
      <c r="H138" s="63">
        <f t="shared" si="81"/>
        <v>16284.36</v>
      </c>
      <c r="I138" s="63">
        <f t="shared" si="82"/>
        <v>407.10899999999998</v>
      </c>
      <c r="J138" s="63">
        <v>0</v>
      </c>
      <c r="K138" s="63">
        <f t="shared" si="83"/>
        <v>2714.06</v>
      </c>
      <c r="L138" s="36">
        <f t="shared" si="84"/>
        <v>18998.419999999998</v>
      </c>
      <c r="M138" s="63">
        <f t="shared" si="85"/>
        <v>5428.12</v>
      </c>
      <c r="N138" s="36">
        <v>7000</v>
      </c>
      <c r="O138" s="63">
        <f t="shared" si="86"/>
        <v>542.81200000000001</v>
      </c>
      <c r="P138" s="63">
        <v>5000</v>
      </c>
      <c r="Q138" s="63">
        <v>0</v>
      </c>
      <c r="R138" s="63">
        <f t="shared" si="70"/>
        <v>7000</v>
      </c>
      <c r="S138" s="36">
        <f t="shared" ref="S138:S156" si="89">25000+7000</f>
        <v>32000</v>
      </c>
      <c r="T138" s="63">
        <f>0</f>
        <v>0</v>
      </c>
      <c r="U138" s="36">
        <v>25000</v>
      </c>
      <c r="V138" s="36">
        <f t="shared" si="88"/>
        <v>25000</v>
      </c>
    </row>
    <row r="139" spans="1:22" ht="18.75" x14ac:dyDescent="0.3">
      <c r="A139" s="1">
        <v>31</v>
      </c>
      <c r="B139" s="178" t="s">
        <v>237</v>
      </c>
      <c r="C139" s="178"/>
      <c r="D139" s="62" t="s">
        <v>251</v>
      </c>
      <c r="E139" s="67" t="s">
        <v>299</v>
      </c>
      <c r="F139" s="63">
        <f t="shared" ref="F139:F144" si="90">5428.12</f>
        <v>5428.12</v>
      </c>
      <c r="G139" s="33"/>
      <c r="H139" s="63">
        <f t="shared" si="81"/>
        <v>16284.36</v>
      </c>
      <c r="I139" s="63">
        <f t="shared" si="82"/>
        <v>407.10899999999998</v>
      </c>
      <c r="J139" s="63">
        <v>0</v>
      </c>
      <c r="K139" s="63">
        <f t="shared" si="83"/>
        <v>2714.06</v>
      </c>
      <c r="L139" s="36">
        <f t="shared" si="84"/>
        <v>18998.419999999998</v>
      </c>
      <c r="M139" s="63">
        <f t="shared" si="85"/>
        <v>5428.12</v>
      </c>
      <c r="N139" s="36">
        <v>4000</v>
      </c>
      <c r="O139" s="63">
        <f t="shared" si="86"/>
        <v>542.81200000000001</v>
      </c>
      <c r="P139" s="63">
        <v>5000</v>
      </c>
      <c r="Q139" s="63">
        <v>0</v>
      </c>
      <c r="R139" s="63">
        <f t="shared" si="70"/>
        <v>4000</v>
      </c>
      <c r="S139" s="36">
        <f>25000+4000</f>
        <v>29000</v>
      </c>
      <c r="T139" s="63">
        <f>0</f>
        <v>0</v>
      </c>
      <c r="U139" s="36">
        <v>25000</v>
      </c>
      <c r="V139" s="36">
        <f t="shared" si="88"/>
        <v>25000</v>
      </c>
    </row>
    <row r="140" spans="1:22" ht="18.75" x14ac:dyDescent="0.3">
      <c r="A140" s="1">
        <v>32</v>
      </c>
      <c r="B140" s="178" t="s">
        <v>238</v>
      </c>
      <c r="C140" s="178"/>
      <c r="D140" s="62" t="s">
        <v>251</v>
      </c>
      <c r="E140" s="67" t="s">
        <v>299</v>
      </c>
      <c r="F140" s="63">
        <f t="shared" si="90"/>
        <v>5428.12</v>
      </c>
      <c r="G140" s="33"/>
      <c r="H140" s="63">
        <f t="shared" si="81"/>
        <v>16284.36</v>
      </c>
      <c r="I140" s="63">
        <f t="shared" si="82"/>
        <v>407.10899999999998</v>
      </c>
      <c r="J140" s="63">
        <v>0</v>
      </c>
      <c r="K140" s="63">
        <f t="shared" si="83"/>
        <v>2714.06</v>
      </c>
      <c r="L140" s="36">
        <f t="shared" si="84"/>
        <v>18998.419999999998</v>
      </c>
      <c r="M140" s="63">
        <f t="shared" si="85"/>
        <v>5428.12</v>
      </c>
      <c r="N140" s="36">
        <v>4000</v>
      </c>
      <c r="O140" s="63">
        <f t="shared" si="86"/>
        <v>542.81200000000001</v>
      </c>
      <c r="P140" s="63">
        <v>5000</v>
      </c>
      <c r="Q140" s="63">
        <v>0</v>
      </c>
      <c r="R140" s="63">
        <f t="shared" si="70"/>
        <v>4000</v>
      </c>
      <c r="S140" s="36">
        <f>25000+4000</f>
        <v>29000</v>
      </c>
      <c r="T140" s="63">
        <f>0</f>
        <v>0</v>
      </c>
      <c r="U140" s="36">
        <v>25000</v>
      </c>
      <c r="V140" s="36">
        <f t="shared" si="88"/>
        <v>25000</v>
      </c>
    </row>
    <row r="141" spans="1:22" ht="18.75" x14ac:dyDescent="0.3">
      <c r="A141" s="1">
        <v>33</v>
      </c>
      <c r="B141" s="33" t="s">
        <v>239</v>
      </c>
      <c r="C141" s="33"/>
      <c r="D141" s="62" t="s">
        <v>251</v>
      </c>
      <c r="E141" s="67" t="s">
        <v>299</v>
      </c>
      <c r="F141" s="63">
        <f t="shared" si="90"/>
        <v>5428.12</v>
      </c>
      <c r="G141" s="33"/>
      <c r="H141" s="63">
        <f t="shared" si="81"/>
        <v>16284.36</v>
      </c>
      <c r="I141" s="63">
        <f t="shared" si="82"/>
        <v>407.10899999999998</v>
      </c>
      <c r="J141" s="63">
        <v>0</v>
      </c>
      <c r="K141" s="63">
        <f t="shared" si="83"/>
        <v>2714.06</v>
      </c>
      <c r="L141" s="36">
        <f t="shared" si="84"/>
        <v>18998.419999999998</v>
      </c>
      <c r="M141" s="63">
        <f>F140*100%</f>
        <v>5428.12</v>
      </c>
      <c r="N141" s="36">
        <v>7000</v>
      </c>
      <c r="O141" s="63">
        <f t="shared" si="86"/>
        <v>542.81200000000001</v>
      </c>
      <c r="P141" s="63">
        <v>5000</v>
      </c>
      <c r="Q141" s="63">
        <v>0</v>
      </c>
      <c r="R141" s="63">
        <f t="shared" si="70"/>
        <v>7000</v>
      </c>
      <c r="S141" s="36">
        <f t="shared" si="89"/>
        <v>32000</v>
      </c>
      <c r="T141" s="63">
        <f>0</f>
        <v>0</v>
      </c>
      <c r="U141" s="36">
        <v>25000</v>
      </c>
      <c r="V141" s="36">
        <f t="shared" si="88"/>
        <v>25000</v>
      </c>
    </row>
    <row r="142" spans="1:22" ht="18.75" x14ac:dyDescent="0.3">
      <c r="A142" s="1">
        <v>34</v>
      </c>
      <c r="B142" s="169" t="s">
        <v>240</v>
      </c>
      <c r="C142" s="170"/>
      <c r="D142" s="62" t="s">
        <v>251</v>
      </c>
      <c r="E142" s="67" t="s">
        <v>299</v>
      </c>
      <c r="F142" s="63">
        <f t="shared" si="90"/>
        <v>5428.12</v>
      </c>
      <c r="G142" s="33"/>
      <c r="H142" s="63">
        <f t="shared" si="81"/>
        <v>16284.36</v>
      </c>
      <c r="I142" s="63">
        <f t="shared" si="82"/>
        <v>407.10899999999998</v>
      </c>
      <c r="J142" s="63"/>
      <c r="K142" s="63">
        <f t="shared" si="83"/>
        <v>2714.06</v>
      </c>
      <c r="L142" s="36">
        <f t="shared" si="84"/>
        <v>18998.419999999998</v>
      </c>
      <c r="M142" s="63">
        <f t="shared" ref="M142:M157" si="91">F142*100%</f>
        <v>5428.12</v>
      </c>
      <c r="N142" s="36">
        <v>4000</v>
      </c>
      <c r="O142" s="63">
        <f t="shared" si="86"/>
        <v>542.81200000000001</v>
      </c>
      <c r="P142" s="63">
        <v>5000</v>
      </c>
      <c r="Q142" s="63">
        <v>0</v>
      </c>
      <c r="R142" s="63">
        <f t="shared" si="70"/>
        <v>4000</v>
      </c>
      <c r="S142" s="36">
        <f>25000+4000</f>
        <v>29000</v>
      </c>
      <c r="T142" s="63">
        <f>0</f>
        <v>0</v>
      </c>
      <c r="U142" s="36">
        <v>25000</v>
      </c>
      <c r="V142" s="36">
        <f t="shared" si="88"/>
        <v>25000</v>
      </c>
    </row>
    <row r="143" spans="1:22" ht="18.75" x14ac:dyDescent="0.3">
      <c r="A143" s="1">
        <v>35</v>
      </c>
      <c r="B143" s="62" t="s">
        <v>241</v>
      </c>
      <c r="C143" s="33"/>
      <c r="D143" s="62" t="s">
        <v>251</v>
      </c>
      <c r="E143" s="67" t="s">
        <v>299</v>
      </c>
      <c r="F143" s="63">
        <f t="shared" si="90"/>
        <v>5428.12</v>
      </c>
      <c r="G143" s="33"/>
      <c r="H143" s="63">
        <f t="shared" si="81"/>
        <v>16284.36</v>
      </c>
      <c r="I143" s="63">
        <f t="shared" si="82"/>
        <v>407.10899999999998</v>
      </c>
      <c r="J143" s="63"/>
      <c r="K143" s="63">
        <f t="shared" si="83"/>
        <v>2714.06</v>
      </c>
      <c r="L143" s="36">
        <f t="shared" si="84"/>
        <v>18998.419999999998</v>
      </c>
      <c r="M143" s="63">
        <f t="shared" si="91"/>
        <v>5428.12</v>
      </c>
      <c r="N143" s="36">
        <v>4000</v>
      </c>
      <c r="O143" s="63">
        <f t="shared" si="86"/>
        <v>542.81200000000001</v>
      </c>
      <c r="P143" s="63">
        <v>5000</v>
      </c>
      <c r="Q143" s="63">
        <v>0</v>
      </c>
      <c r="R143" s="63">
        <f t="shared" si="70"/>
        <v>4000</v>
      </c>
      <c r="S143" s="36">
        <f>25000+4000</f>
        <v>29000</v>
      </c>
      <c r="T143" s="63">
        <f>0</f>
        <v>0</v>
      </c>
      <c r="U143" s="36">
        <v>25000</v>
      </c>
      <c r="V143" s="36">
        <f t="shared" si="88"/>
        <v>25000</v>
      </c>
    </row>
    <row r="144" spans="1:22" ht="18.75" x14ac:dyDescent="0.3">
      <c r="A144" s="1">
        <v>36</v>
      </c>
      <c r="B144" s="62" t="s">
        <v>242</v>
      </c>
      <c r="C144" s="33"/>
      <c r="D144" s="62" t="s">
        <v>251</v>
      </c>
      <c r="E144" s="67" t="s">
        <v>299</v>
      </c>
      <c r="F144" s="63">
        <f t="shared" si="90"/>
        <v>5428.12</v>
      </c>
      <c r="G144" s="33"/>
      <c r="H144" s="63">
        <f t="shared" si="81"/>
        <v>16284.36</v>
      </c>
      <c r="I144" s="63">
        <f t="shared" si="82"/>
        <v>407.10899999999998</v>
      </c>
      <c r="J144" s="63"/>
      <c r="K144" s="63">
        <f t="shared" si="83"/>
        <v>2714.06</v>
      </c>
      <c r="L144" s="36">
        <f t="shared" si="84"/>
        <v>18998.419999999998</v>
      </c>
      <c r="M144" s="63">
        <f t="shared" si="91"/>
        <v>5428.12</v>
      </c>
      <c r="N144" s="36">
        <v>7000</v>
      </c>
      <c r="O144" s="63">
        <f t="shared" si="86"/>
        <v>542.81200000000001</v>
      </c>
      <c r="P144" s="63">
        <v>5000</v>
      </c>
      <c r="Q144" s="63">
        <v>0</v>
      </c>
      <c r="R144" s="63">
        <f t="shared" si="70"/>
        <v>7000</v>
      </c>
      <c r="S144" s="36">
        <f t="shared" si="89"/>
        <v>32000</v>
      </c>
      <c r="T144" s="63">
        <f>0</f>
        <v>0</v>
      </c>
      <c r="U144" s="36">
        <v>25000</v>
      </c>
      <c r="V144" s="36">
        <f t="shared" si="88"/>
        <v>25000</v>
      </c>
    </row>
    <row r="145" spans="1:22" ht="18.75" x14ac:dyDescent="0.3">
      <c r="A145" s="1">
        <v>37</v>
      </c>
      <c r="B145" s="169" t="s">
        <v>243</v>
      </c>
      <c r="C145" s="170"/>
      <c r="D145" s="62" t="s">
        <v>251</v>
      </c>
      <c r="E145" s="67" t="s">
        <v>249</v>
      </c>
      <c r="F145" s="63">
        <f>4915.97</f>
        <v>4915.97</v>
      </c>
      <c r="G145" s="33"/>
      <c r="H145" s="63">
        <f t="shared" si="81"/>
        <v>14747.91</v>
      </c>
      <c r="I145" s="63">
        <f t="shared" si="82"/>
        <v>368.69774999999998</v>
      </c>
      <c r="J145" s="63"/>
      <c r="K145" s="63">
        <f t="shared" si="83"/>
        <v>2457.9850000000001</v>
      </c>
      <c r="L145" s="36">
        <f t="shared" si="84"/>
        <v>17205.895</v>
      </c>
      <c r="M145" s="63">
        <f t="shared" si="91"/>
        <v>4915.97</v>
      </c>
      <c r="N145" s="36">
        <v>7000</v>
      </c>
      <c r="O145" s="63">
        <f t="shared" si="86"/>
        <v>491.59700000000004</v>
      </c>
      <c r="P145" s="63">
        <v>5000</v>
      </c>
      <c r="Q145" s="63">
        <v>0</v>
      </c>
      <c r="R145" s="63">
        <f t="shared" si="70"/>
        <v>7000</v>
      </c>
      <c r="S145" s="36">
        <f t="shared" si="89"/>
        <v>32000</v>
      </c>
      <c r="T145" s="63">
        <f>0</f>
        <v>0</v>
      </c>
      <c r="U145" s="36">
        <v>25000</v>
      </c>
      <c r="V145" s="36">
        <f t="shared" si="88"/>
        <v>25000</v>
      </c>
    </row>
    <row r="146" spans="1:22" ht="18.75" x14ac:dyDescent="0.3">
      <c r="A146" s="1">
        <v>38</v>
      </c>
      <c r="B146" s="169" t="s">
        <v>245</v>
      </c>
      <c r="C146" s="170"/>
      <c r="D146" s="62" t="s">
        <v>251</v>
      </c>
      <c r="E146" s="67" t="s">
        <v>249</v>
      </c>
      <c r="F146" s="63">
        <f>4915.97</f>
        <v>4915.97</v>
      </c>
      <c r="G146" s="33"/>
      <c r="H146" s="63">
        <f t="shared" si="81"/>
        <v>14747.91</v>
      </c>
      <c r="I146" s="63">
        <f t="shared" si="82"/>
        <v>368.69774999999998</v>
      </c>
      <c r="J146" s="63"/>
      <c r="K146" s="63">
        <f t="shared" si="83"/>
        <v>2457.9850000000001</v>
      </c>
      <c r="L146" s="36">
        <f t="shared" si="84"/>
        <v>17205.895</v>
      </c>
      <c r="M146" s="63">
        <f t="shared" si="91"/>
        <v>4915.97</v>
      </c>
      <c r="N146" s="36">
        <v>7000</v>
      </c>
      <c r="O146" s="63">
        <f t="shared" si="86"/>
        <v>491.59700000000004</v>
      </c>
      <c r="P146" s="63">
        <v>5000</v>
      </c>
      <c r="Q146" s="63">
        <v>0</v>
      </c>
      <c r="R146" s="63">
        <f t="shared" si="70"/>
        <v>7000</v>
      </c>
      <c r="S146" s="36">
        <f t="shared" si="89"/>
        <v>32000</v>
      </c>
      <c r="T146" s="63">
        <f>0</f>
        <v>0</v>
      </c>
      <c r="U146" s="36">
        <v>25000</v>
      </c>
      <c r="V146" s="36">
        <f t="shared" si="88"/>
        <v>25000</v>
      </c>
    </row>
    <row r="147" spans="1:22" ht="18.75" x14ac:dyDescent="0.3">
      <c r="A147" s="1">
        <v>39</v>
      </c>
      <c r="B147" s="62" t="s">
        <v>246</v>
      </c>
      <c r="C147" s="33"/>
      <c r="D147" s="62" t="s">
        <v>251</v>
      </c>
      <c r="E147" s="67" t="s">
        <v>300</v>
      </c>
      <c r="F147" s="63">
        <f>4836.3</f>
        <v>4836.3</v>
      </c>
      <c r="G147" s="33"/>
      <c r="H147" s="63">
        <f t="shared" si="81"/>
        <v>14508.900000000001</v>
      </c>
      <c r="I147" s="63">
        <f t="shared" si="82"/>
        <v>362.72250000000003</v>
      </c>
      <c r="J147" s="63"/>
      <c r="K147" s="63">
        <f t="shared" si="83"/>
        <v>2418.15</v>
      </c>
      <c r="L147" s="36">
        <f t="shared" si="84"/>
        <v>16927.05</v>
      </c>
      <c r="M147" s="63">
        <f t="shared" si="91"/>
        <v>4836.3</v>
      </c>
      <c r="N147" s="36">
        <v>7000</v>
      </c>
      <c r="O147" s="63">
        <f t="shared" si="86"/>
        <v>483.63000000000005</v>
      </c>
      <c r="P147" s="63">
        <v>5000</v>
      </c>
      <c r="Q147" s="63">
        <v>0</v>
      </c>
      <c r="R147" s="63">
        <f t="shared" si="70"/>
        <v>7000</v>
      </c>
      <c r="S147" s="36">
        <f t="shared" si="89"/>
        <v>32000</v>
      </c>
      <c r="T147" s="63">
        <f>0</f>
        <v>0</v>
      </c>
      <c r="U147" s="36">
        <v>25000</v>
      </c>
      <c r="V147" s="36">
        <f t="shared" si="88"/>
        <v>25000</v>
      </c>
    </row>
    <row r="148" spans="1:22" ht="18.75" x14ac:dyDescent="0.3">
      <c r="A148" s="1">
        <v>40</v>
      </c>
      <c r="B148" s="169" t="s">
        <v>248</v>
      </c>
      <c r="C148" s="170"/>
      <c r="D148" s="62" t="s">
        <v>251</v>
      </c>
      <c r="E148" s="67" t="s">
        <v>259</v>
      </c>
      <c r="F148" s="63">
        <f>4395.43</f>
        <v>4395.43</v>
      </c>
      <c r="G148" s="33"/>
      <c r="H148" s="63">
        <f t="shared" si="81"/>
        <v>13186.29</v>
      </c>
      <c r="I148" s="63">
        <f t="shared" si="82"/>
        <v>329.65725000000003</v>
      </c>
      <c r="J148" s="63"/>
      <c r="K148" s="63">
        <f t="shared" si="83"/>
        <v>2197.7150000000001</v>
      </c>
      <c r="L148" s="36">
        <f t="shared" si="84"/>
        <v>15384.005000000001</v>
      </c>
      <c r="M148" s="63">
        <f t="shared" si="91"/>
        <v>4395.43</v>
      </c>
      <c r="N148" s="36">
        <v>7000</v>
      </c>
      <c r="O148" s="63">
        <f t="shared" si="86"/>
        <v>439.54300000000006</v>
      </c>
      <c r="P148" s="63">
        <v>5000</v>
      </c>
      <c r="Q148" s="63">
        <v>0</v>
      </c>
      <c r="R148" s="63">
        <f t="shared" si="70"/>
        <v>7000</v>
      </c>
      <c r="S148" s="36">
        <f t="shared" si="89"/>
        <v>32000</v>
      </c>
      <c r="T148" s="63">
        <f>0</f>
        <v>0</v>
      </c>
      <c r="U148" s="36">
        <v>25000</v>
      </c>
      <c r="V148" s="36">
        <f t="shared" si="88"/>
        <v>25000</v>
      </c>
    </row>
    <row r="149" spans="1:22" ht="18.75" x14ac:dyDescent="0.3">
      <c r="A149" s="1">
        <v>41</v>
      </c>
      <c r="B149" s="169" t="s">
        <v>250</v>
      </c>
      <c r="C149" s="170"/>
      <c r="D149" s="62" t="s">
        <v>251</v>
      </c>
      <c r="E149" s="67" t="s">
        <v>259</v>
      </c>
      <c r="F149" s="63">
        <f t="shared" ref="F149:F154" si="92">4395.43</f>
        <v>4395.43</v>
      </c>
      <c r="G149" s="33"/>
      <c r="H149" s="63">
        <f t="shared" si="81"/>
        <v>13186.29</v>
      </c>
      <c r="I149" s="63">
        <f t="shared" si="82"/>
        <v>329.65725000000003</v>
      </c>
      <c r="J149" s="63"/>
      <c r="K149" s="63">
        <f t="shared" si="83"/>
        <v>2197.7150000000001</v>
      </c>
      <c r="L149" s="36">
        <f t="shared" si="84"/>
        <v>15384.005000000001</v>
      </c>
      <c r="M149" s="63">
        <f t="shared" si="91"/>
        <v>4395.43</v>
      </c>
      <c r="N149" s="36">
        <v>4000</v>
      </c>
      <c r="O149" s="63">
        <f t="shared" si="86"/>
        <v>439.54300000000006</v>
      </c>
      <c r="P149" s="63">
        <v>5000</v>
      </c>
      <c r="Q149" s="63">
        <v>0</v>
      </c>
      <c r="R149" s="63">
        <f t="shared" si="70"/>
        <v>4000</v>
      </c>
      <c r="S149" s="36">
        <f>25000+4000</f>
        <v>29000</v>
      </c>
      <c r="T149" s="63">
        <f>0</f>
        <v>0</v>
      </c>
      <c r="U149" s="36">
        <v>25000</v>
      </c>
      <c r="V149" s="36">
        <f t="shared" si="88"/>
        <v>25000</v>
      </c>
    </row>
    <row r="150" spans="1:22" ht="18.75" x14ac:dyDescent="0.3">
      <c r="A150" s="1">
        <v>42</v>
      </c>
      <c r="B150" s="169" t="s">
        <v>253</v>
      </c>
      <c r="C150" s="170"/>
      <c r="D150" s="62" t="s">
        <v>251</v>
      </c>
      <c r="E150" s="67" t="s">
        <v>259</v>
      </c>
      <c r="F150" s="63">
        <f t="shared" si="92"/>
        <v>4395.43</v>
      </c>
      <c r="G150" s="33"/>
      <c r="H150" s="63">
        <f t="shared" si="81"/>
        <v>13186.29</v>
      </c>
      <c r="I150" s="63">
        <f t="shared" si="82"/>
        <v>329.65725000000003</v>
      </c>
      <c r="J150" s="63"/>
      <c r="K150" s="63">
        <f t="shared" si="83"/>
        <v>2197.7150000000001</v>
      </c>
      <c r="L150" s="36">
        <f t="shared" si="84"/>
        <v>15384.005000000001</v>
      </c>
      <c r="M150" s="63">
        <f t="shared" si="91"/>
        <v>4395.43</v>
      </c>
      <c r="N150" s="36">
        <v>4000</v>
      </c>
      <c r="O150" s="63">
        <f t="shared" si="86"/>
        <v>439.54300000000006</v>
      </c>
      <c r="P150" s="63">
        <v>5000</v>
      </c>
      <c r="Q150" s="63">
        <v>0</v>
      </c>
      <c r="R150" s="63">
        <f t="shared" si="70"/>
        <v>4000</v>
      </c>
      <c r="S150" s="36">
        <f>25000+4000</f>
        <v>29000</v>
      </c>
      <c r="T150" s="63">
        <f>0</f>
        <v>0</v>
      </c>
      <c r="U150" s="36">
        <v>25000</v>
      </c>
      <c r="V150" s="36">
        <f t="shared" si="88"/>
        <v>25000</v>
      </c>
    </row>
    <row r="151" spans="1:22" ht="18.75" x14ac:dyDescent="0.3">
      <c r="A151" s="1">
        <v>43</v>
      </c>
      <c r="B151" s="169" t="s">
        <v>254</v>
      </c>
      <c r="C151" s="170"/>
      <c r="D151" s="62" t="s">
        <v>251</v>
      </c>
      <c r="E151" s="67" t="s">
        <v>259</v>
      </c>
      <c r="F151" s="63">
        <f t="shared" si="92"/>
        <v>4395.43</v>
      </c>
      <c r="G151" s="27">
        <f>6000</f>
        <v>6000</v>
      </c>
      <c r="H151" s="63">
        <f t="shared" si="81"/>
        <v>13186.29</v>
      </c>
      <c r="I151" s="63">
        <f t="shared" si="82"/>
        <v>329.65725000000003</v>
      </c>
      <c r="J151" s="63"/>
      <c r="K151" s="63">
        <f t="shared" si="83"/>
        <v>2197.7150000000001</v>
      </c>
      <c r="L151" s="36">
        <f t="shared" si="84"/>
        <v>15384.005000000001</v>
      </c>
      <c r="M151" s="63">
        <f t="shared" si="91"/>
        <v>4395.43</v>
      </c>
      <c r="N151" s="36">
        <v>7000</v>
      </c>
      <c r="O151" s="63">
        <f t="shared" si="86"/>
        <v>439.54300000000006</v>
      </c>
      <c r="P151" s="63">
        <v>5000</v>
      </c>
      <c r="Q151" s="63">
        <v>0</v>
      </c>
      <c r="R151" s="63">
        <f t="shared" si="70"/>
        <v>7000</v>
      </c>
      <c r="S151" s="36">
        <f t="shared" si="89"/>
        <v>32000</v>
      </c>
      <c r="T151" s="63">
        <f>0</f>
        <v>0</v>
      </c>
      <c r="U151" s="36">
        <v>25000</v>
      </c>
      <c r="V151" s="36">
        <f t="shared" si="88"/>
        <v>25000</v>
      </c>
    </row>
    <row r="152" spans="1:22" ht="18.75" x14ac:dyDescent="0.3">
      <c r="A152" s="1">
        <v>44</v>
      </c>
      <c r="B152" s="169" t="s">
        <v>255</v>
      </c>
      <c r="C152" s="170"/>
      <c r="D152" s="62" t="s">
        <v>251</v>
      </c>
      <c r="E152" s="67" t="s">
        <v>259</v>
      </c>
      <c r="F152" s="63">
        <f t="shared" si="92"/>
        <v>4395.43</v>
      </c>
      <c r="G152" s="33"/>
      <c r="H152" s="63">
        <f t="shared" si="81"/>
        <v>13186.29</v>
      </c>
      <c r="I152" s="63">
        <f t="shared" si="82"/>
        <v>329.65725000000003</v>
      </c>
      <c r="J152" s="63"/>
      <c r="K152" s="63">
        <f t="shared" si="83"/>
        <v>2197.7150000000001</v>
      </c>
      <c r="L152" s="36">
        <f t="shared" si="84"/>
        <v>15384.005000000001</v>
      </c>
      <c r="M152" s="63">
        <f t="shared" si="91"/>
        <v>4395.43</v>
      </c>
      <c r="N152" s="36">
        <v>7000</v>
      </c>
      <c r="O152" s="63">
        <f t="shared" si="86"/>
        <v>439.54300000000006</v>
      </c>
      <c r="P152" s="63">
        <v>5000</v>
      </c>
      <c r="Q152" s="63">
        <v>0</v>
      </c>
      <c r="R152" s="63">
        <f t="shared" si="70"/>
        <v>7000</v>
      </c>
      <c r="S152" s="36">
        <f t="shared" si="89"/>
        <v>32000</v>
      </c>
      <c r="T152" s="63">
        <f>0</f>
        <v>0</v>
      </c>
      <c r="U152" s="36">
        <v>25000</v>
      </c>
      <c r="V152" s="36">
        <f t="shared" si="88"/>
        <v>25000</v>
      </c>
    </row>
    <row r="153" spans="1:22" ht="18.75" x14ac:dyDescent="0.3">
      <c r="A153" s="1">
        <v>45</v>
      </c>
      <c r="B153" s="169" t="s">
        <v>256</v>
      </c>
      <c r="C153" s="170"/>
      <c r="D153" s="62" t="s">
        <v>251</v>
      </c>
      <c r="E153" s="67" t="s">
        <v>259</v>
      </c>
      <c r="F153" s="63">
        <f t="shared" si="92"/>
        <v>4395.43</v>
      </c>
      <c r="G153" s="33"/>
      <c r="H153" s="63">
        <f t="shared" si="81"/>
        <v>13186.29</v>
      </c>
      <c r="I153" s="63">
        <f t="shared" si="82"/>
        <v>329.65725000000003</v>
      </c>
      <c r="J153" s="63"/>
      <c r="K153" s="63">
        <f t="shared" si="83"/>
        <v>2197.7150000000001</v>
      </c>
      <c r="L153" s="36">
        <f t="shared" si="84"/>
        <v>15384.005000000001</v>
      </c>
      <c r="M153" s="63">
        <f t="shared" si="91"/>
        <v>4395.43</v>
      </c>
      <c r="N153" s="36">
        <v>7000</v>
      </c>
      <c r="O153" s="63">
        <f t="shared" si="86"/>
        <v>439.54300000000006</v>
      </c>
      <c r="P153" s="63">
        <v>5000</v>
      </c>
      <c r="Q153" s="63">
        <v>0</v>
      </c>
      <c r="R153" s="63">
        <f t="shared" si="70"/>
        <v>7000</v>
      </c>
      <c r="S153" s="36">
        <f t="shared" si="89"/>
        <v>32000</v>
      </c>
      <c r="T153" s="63">
        <f>0</f>
        <v>0</v>
      </c>
      <c r="U153" s="36">
        <v>25000</v>
      </c>
      <c r="V153" s="36">
        <f t="shared" si="88"/>
        <v>25000</v>
      </c>
    </row>
    <row r="154" spans="1:22" ht="18.75" x14ac:dyDescent="0.3">
      <c r="A154" s="1">
        <v>46</v>
      </c>
      <c r="B154" s="169" t="s">
        <v>257</v>
      </c>
      <c r="C154" s="170"/>
      <c r="D154" s="62" t="s">
        <v>251</v>
      </c>
      <c r="E154" s="67" t="s">
        <v>259</v>
      </c>
      <c r="F154" s="63">
        <f t="shared" si="92"/>
        <v>4395.43</v>
      </c>
      <c r="G154" s="33"/>
      <c r="H154" s="63">
        <f t="shared" si="81"/>
        <v>13186.29</v>
      </c>
      <c r="I154" s="63">
        <f t="shared" si="82"/>
        <v>329.65725000000003</v>
      </c>
      <c r="J154" s="63"/>
      <c r="K154" s="63">
        <f t="shared" si="83"/>
        <v>2197.7150000000001</v>
      </c>
      <c r="L154" s="36">
        <f t="shared" si="84"/>
        <v>15384.005000000001</v>
      </c>
      <c r="M154" s="63">
        <f t="shared" si="91"/>
        <v>4395.43</v>
      </c>
      <c r="N154" s="36">
        <v>7000</v>
      </c>
      <c r="O154" s="63">
        <f t="shared" si="86"/>
        <v>439.54300000000006</v>
      </c>
      <c r="P154" s="63">
        <v>5000</v>
      </c>
      <c r="Q154" s="63">
        <v>0</v>
      </c>
      <c r="R154" s="63">
        <f t="shared" si="70"/>
        <v>7000</v>
      </c>
      <c r="S154" s="36">
        <f t="shared" si="89"/>
        <v>32000</v>
      </c>
      <c r="T154" s="63">
        <f>0</f>
        <v>0</v>
      </c>
      <c r="U154" s="36">
        <v>25000</v>
      </c>
      <c r="V154" s="36">
        <f t="shared" si="88"/>
        <v>25000</v>
      </c>
    </row>
    <row r="155" spans="1:22" ht="18.75" x14ac:dyDescent="0.3">
      <c r="A155" s="1">
        <v>47</v>
      </c>
      <c r="B155" s="197" t="s">
        <v>258</v>
      </c>
      <c r="C155" s="198"/>
      <c r="D155" s="62" t="s">
        <v>251</v>
      </c>
      <c r="E155" s="67" t="s">
        <v>301</v>
      </c>
      <c r="F155" s="63">
        <f>4248.51</f>
        <v>4248.51</v>
      </c>
      <c r="G155" s="33"/>
      <c r="H155" s="63">
        <f t="shared" si="81"/>
        <v>12745.53</v>
      </c>
      <c r="I155" s="63">
        <f t="shared" si="82"/>
        <v>318.63825000000003</v>
      </c>
      <c r="J155" s="63"/>
      <c r="K155" s="63">
        <f t="shared" si="83"/>
        <v>2124.2550000000001</v>
      </c>
      <c r="L155" s="36">
        <f t="shared" si="84"/>
        <v>14869.785</v>
      </c>
      <c r="M155" s="63">
        <f t="shared" si="91"/>
        <v>4248.51</v>
      </c>
      <c r="N155" s="36">
        <v>7000</v>
      </c>
      <c r="O155" s="63">
        <f t="shared" si="86"/>
        <v>424.85100000000006</v>
      </c>
      <c r="P155" s="63">
        <v>5000</v>
      </c>
      <c r="Q155" s="63">
        <v>0</v>
      </c>
      <c r="R155" s="63">
        <f t="shared" si="70"/>
        <v>7000</v>
      </c>
      <c r="S155" s="36">
        <f t="shared" si="89"/>
        <v>32000</v>
      </c>
      <c r="T155" s="63">
        <f>0</f>
        <v>0</v>
      </c>
      <c r="U155" s="36">
        <v>25000</v>
      </c>
      <c r="V155" s="36">
        <f t="shared" si="88"/>
        <v>25000</v>
      </c>
    </row>
    <row r="156" spans="1:22" ht="18.75" x14ac:dyDescent="0.3">
      <c r="A156" s="1">
        <v>48</v>
      </c>
      <c r="B156" s="199" t="s">
        <v>260</v>
      </c>
      <c r="C156" s="200"/>
      <c r="D156" s="62" t="s">
        <v>251</v>
      </c>
      <c r="E156" s="67" t="s">
        <v>301</v>
      </c>
      <c r="F156" s="63">
        <f>4248.51</f>
        <v>4248.51</v>
      </c>
      <c r="G156" s="33"/>
      <c r="H156" s="63">
        <f t="shared" si="81"/>
        <v>12745.53</v>
      </c>
      <c r="I156" s="63">
        <f t="shared" si="82"/>
        <v>318.63825000000003</v>
      </c>
      <c r="J156" s="63"/>
      <c r="K156" s="63">
        <f t="shared" si="83"/>
        <v>2124.2550000000001</v>
      </c>
      <c r="L156" s="36">
        <f t="shared" si="84"/>
        <v>14869.785</v>
      </c>
      <c r="M156" s="63">
        <f t="shared" si="91"/>
        <v>4248.51</v>
      </c>
      <c r="N156" s="36">
        <v>7000</v>
      </c>
      <c r="O156" s="63">
        <f t="shared" si="86"/>
        <v>424.85100000000006</v>
      </c>
      <c r="P156" s="63">
        <v>5000</v>
      </c>
      <c r="Q156" s="63">
        <v>0</v>
      </c>
      <c r="R156" s="63">
        <f t="shared" si="70"/>
        <v>7000</v>
      </c>
      <c r="S156" s="36">
        <f t="shared" si="89"/>
        <v>32000</v>
      </c>
      <c r="T156" s="63">
        <f>0</f>
        <v>0</v>
      </c>
      <c r="U156" s="36">
        <v>25000</v>
      </c>
      <c r="V156" s="36">
        <f t="shared" si="88"/>
        <v>25000</v>
      </c>
    </row>
    <row r="157" spans="1:22" ht="18.75" x14ac:dyDescent="0.3">
      <c r="A157" s="1">
        <v>49</v>
      </c>
      <c r="B157" s="99" t="s">
        <v>261</v>
      </c>
      <c r="C157" s="100"/>
      <c r="D157" s="62" t="s">
        <v>251</v>
      </c>
      <c r="E157" s="67" t="s">
        <v>301</v>
      </c>
      <c r="F157" s="63">
        <f>4101.58</f>
        <v>4101.58</v>
      </c>
      <c r="G157" s="27">
        <f>0</f>
        <v>0</v>
      </c>
      <c r="H157" s="63">
        <f t="shared" si="81"/>
        <v>12304.74</v>
      </c>
      <c r="I157" s="63">
        <f t="shared" si="82"/>
        <v>307.61849999999998</v>
      </c>
      <c r="J157" s="63"/>
      <c r="K157" s="63">
        <f t="shared" si="83"/>
        <v>2050.79</v>
      </c>
      <c r="L157" s="36">
        <f t="shared" si="84"/>
        <v>14355.529999999999</v>
      </c>
      <c r="M157" s="63">
        <f t="shared" si="91"/>
        <v>4101.58</v>
      </c>
      <c r="N157" s="36">
        <v>4000</v>
      </c>
      <c r="O157" s="63">
        <f t="shared" si="86"/>
        <v>410.15800000000002</v>
      </c>
      <c r="P157" s="63">
        <v>5000</v>
      </c>
      <c r="Q157" s="63">
        <v>0</v>
      </c>
      <c r="R157" s="63">
        <f t="shared" si="70"/>
        <v>4000</v>
      </c>
      <c r="S157" s="36">
        <f>25000+4000</f>
        <v>29000</v>
      </c>
      <c r="T157" s="63">
        <f>0</f>
        <v>0</v>
      </c>
      <c r="U157" s="36">
        <v>25000</v>
      </c>
      <c r="V157" s="36">
        <f t="shared" si="88"/>
        <v>25000</v>
      </c>
    </row>
    <row r="158" spans="1:22" ht="23.25" x14ac:dyDescent="0.6">
      <c r="A158" s="11"/>
      <c r="B158" s="49" t="s">
        <v>32</v>
      </c>
      <c r="C158" s="1"/>
      <c r="D158" s="50" t="s">
        <v>324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63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9">
        <f t="shared" si="88"/>
        <v>2675000</v>
      </c>
    </row>
    <row r="159" spans="1:22" ht="21" x14ac:dyDescent="0.45">
      <c r="A159" s="33"/>
      <c r="B159" s="201" t="s">
        <v>263</v>
      </c>
      <c r="C159" s="201"/>
      <c r="D159" s="40"/>
      <c r="E159" s="41"/>
      <c r="F159" s="42">
        <f>F26+F31+F45+F50+F58+F65+F77+F86+F93+F106+F158</f>
        <v>3039011.87</v>
      </c>
      <c r="G159" s="42">
        <f t="shared" ref="G159:U159" si="95">G26+G31+G45+G50+G58+G65+G77+G86+G93+G106+G158</f>
        <v>6000</v>
      </c>
      <c r="H159" s="42">
        <f t="shared" si="95"/>
        <v>8956546.8599999994</v>
      </c>
      <c r="I159" s="42">
        <f t="shared" si="95"/>
        <v>264035.86399999994</v>
      </c>
      <c r="J159" s="42">
        <f t="shared" si="95"/>
        <v>1564765.4100000001</v>
      </c>
      <c r="K159" s="42">
        <f t="shared" si="95"/>
        <v>1511481.5</v>
      </c>
      <c r="L159" s="42">
        <f t="shared" si="95"/>
        <v>10074830.92</v>
      </c>
      <c r="M159" s="42">
        <f t="shared" si="95"/>
        <v>2998889.69</v>
      </c>
      <c r="N159" s="42">
        <f t="shared" si="95"/>
        <v>5402000</v>
      </c>
      <c r="O159" s="42">
        <f t="shared" si="95"/>
        <v>303901.19199999998</v>
      </c>
      <c r="P159" s="42">
        <f t="shared" si="95"/>
        <v>1530000</v>
      </c>
      <c r="Q159" s="42">
        <f t="shared" si="95"/>
        <v>805235</v>
      </c>
      <c r="R159" s="42">
        <f t="shared" si="95"/>
        <v>6207235</v>
      </c>
      <c r="S159" s="42">
        <f t="shared" si="95"/>
        <v>11977000</v>
      </c>
      <c r="T159" s="42">
        <f t="shared" si="95"/>
        <v>1950000</v>
      </c>
      <c r="U159" s="42">
        <f t="shared" si="95"/>
        <v>4625000</v>
      </c>
      <c r="V159" s="112">
        <f>V26+V31+V45+V50+V58+V65+V77+V86+V93+V106+V158</f>
        <v>6525000</v>
      </c>
    </row>
    <row r="162" spans="3:22" x14ac:dyDescent="0.2">
      <c r="C162" t="s">
        <v>325</v>
      </c>
      <c r="S162" s="113">
        <v>43952</v>
      </c>
      <c r="T162" s="97">
        <f>223329.05</f>
        <v>223329.05</v>
      </c>
      <c r="U162" s="97">
        <f>115000</f>
        <v>115000</v>
      </c>
      <c r="V162" s="97">
        <f>T162-U162</f>
        <v>108329.04999999999</v>
      </c>
    </row>
    <row r="163" spans="3:22" x14ac:dyDescent="0.2">
      <c r="S163" s="113">
        <v>43983</v>
      </c>
      <c r="T163" s="97">
        <f>223329.05</f>
        <v>223329.05</v>
      </c>
      <c r="U163" s="97">
        <f>115000</f>
        <v>115000</v>
      </c>
      <c r="V163" s="97">
        <f>T163-U163</f>
        <v>108329.04999999999</v>
      </c>
    </row>
    <row r="164" spans="3:22" x14ac:dyDescent="0.2">
      <c r="V164" s="32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T157"/>
  <sheetViews>
    <sheetView topLeftCell="A148" workbookViewId="0">
      <selection activeCell="F115" sqref="F115"/>
    </sheetView>
  </sheetViews>
  <sheetFormatPr defaultRowHeight="12.75" x14ac:dyDescent="0.2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6.710937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 x14ac:dyDescent="0.3">
      <c r="A2" s="1"/>
      <c r="B2" s="166" t="s">
        <v>307</v>
      </c>
      <c r="C2" s="166"/>
      <c r="D2" s="166"/>
      <c r="E2" s="166"/>
      <c r="F2" s="53"/>
      <c r="G2" s="53"/>
      <c r="H2" s="53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36.950000000000003" customHeight="1" x14ac:dyDescent="0.3">
      <c r="A3" s="33"/>
      <c r="B3" s="166" t="s">
        <v>2</v>
      </c>
      <c r="C3" s="166"/>
      <c r="D3" s="59" t="s">
        <v>5</v>
      </c>
      <c r="E3" s="59" t="s">
        <v>16</v>
      </c>
      <c r="F3" s="2" t="s">
        <v>326</v>
      </c>
      <c r="G3" s="60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60" t="s">
        <v>308</v>
      </c>
      <c r="O3" s="2" t="s">
        <v>26</v>
      </c>
      <c r="P3" s="2" t="s">
        <v>26</v>
      </c>
      <c r="Q3" s="2" t="s">
        <v>27</v>
      </c>
      <c r="R3" s="2"/>
      <c r="S3" s="60" t="s">
        <v>309</v>
      </c>
      <c r="T3" s="60" t="s">
        <v>310</v>
      </c>
    </row>
    <row r="4" spans="1:20" ht="18.75" x14ac:dyDescent="0.3">
      <c r="A4" s="21" t="s">
        <v>33</v>
      </c>
      <c r="B4" s="177" t="s">
        <v>34</v>
      </c>
      <c r="C4" s="177"/>
      <c r="D4" s="49"/>
      <c r="E4" s="49"/>
      <c r="F4" s="61" t="s">
        <v>35</v>
      </c>
      <c r="G4" s="7"/>
      <c r="H4" s="61"/>
      <c r="I4" s="61" t="s">
        <v>35</v>
      </c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</row>
    <row r="5" spans="1:20" ht="18.75" x14ac:dyDescent="0.3">
      <c r="A5" s="3">
        <v>1</v>
      </c>
      <c r="B5" s="169" t="s">
        <v>36</v>
      </c>
      <c r="C5" s="170"/>
      <c r="D5" s="62" t="s">
        <v>37</v>
      </c>
      <c r="E5" s="62" t="s">
        <v>38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.75" x14ac:dyDescent="0.3">
      <c r="A6" s="3">
        <v>2</v>
      </c>
      <c r="B6" s="107" t="s">
        <v>313</v>
      </c>
      <c r="C6" s="108"/>
      <c r="D6" s="62" t="s">
        <v>314</v>
      </c>
      <c r="E6" s="38" t="s">
        <v>315</v>
      </c>
      <c r="F6" s="63">
        <f>0</f>
        <v>0</v>
      </c>
      <c r="G6" s="63"/>
      <c r="H6" s="63">
        <f>F6*300%</f>
        <v>0</v>
      </c>
      <c r="I6" s="63">
        <f>F6*7.5%</f>
        <v>0</v>
      </c>
      <c r="J6" s="63">
        <v>40122.19</v>
      </c>
      <c r="K6" s="63">
        <f t="shared" ref="K6:K14" si="0">F6*50%</f>
        <v>0</v>
      </c>
      <c r="L6" s="63">
        <f>F6*350%</f>
        <v>0</v>
      </c>
      <c r="M6" s="63">
        <f t="shared" ref="M6:M21" si="1">F6*100%</f>
        <v>0</v>
      </c>
      <c r="N6" s="63">
        <f>0</f>
        <v>0</v>
      </c>
      <c r="O6" s="63">
        <f t="shared" ref="O6:O21" si="2">F6*10%</f>
        <v>0</v>
      </c>
      <c r="P6" s="63">
        <v>20000</v>
      </c>
      <c r="Q6" s="63">
        <v>0</v>
      </c>
      <c r="R6" s="36">
        <f t="shared" ref="R6:R24" si="3">N6+Q6</f>
        <v>0</v>
      </c>
      <c r="S6" s="63">
        <f>0</f>
        <v>0</v>
      </c>
      <c r="T6" s="63"/>
    </row>
    <row r="7" spans="1:20" ht="18.75" x14ac:dyDescent="0.3">
      <c r="A7" s="3">
        <v>3</v>
      </c>
      <c r="B7" s="171" t="s">
        <v>42</v>
      </c>
      <c r="C7" s="172"/>
      <c r="D7" s="33" t="s">
        <v>43</v>
      </c>
      <c r="E7" s="38" t="s">
        <v>44</v>
      </c>
      <c r="F7" s="63">
        <f>70000</f>
        <v>70000</v>
      </c>
      <c r="G7" s="63"/>
      <c r="H7" s="63">
        <f t="shared" ref="H7:H21" si="4">F7*300%</f>
        <v>210000</v>
      </c>
      <c r="I7" s="63">
        <f t="shared" ref="I7:I21" si="5">F7*7.5%</f>
        <v>5250</v>
      </c>
      <c r="J7" s="63">
        <v>40122.19</v>
      </c>
      <c r="K7" s="63">
        <f t="shared" si="0"/>
        <v>35000</v>
      </c>
      <c r="L7" s="63">
        <f t="shared" ref="L7:L21" si="6">F7*350%</f>
        <v>245000</v>
      </c>
      <c r="M7" s="63">
        <f t="shared" si="1"/>
        <v>70000</v>
      </c>
      <c r="N7" s="43">
        <f>100000</f>
        <v>100000</v>
      </c>
      <c r="O7" s="63">
        <f t="shared" si="2"/>
        <v>7000</v>
      </c>
      <c r="P7" s="63">
        <v>20000</v>
      </c>
      <c r="Q7" s="63">
        <v>0</v>
      </c>
      <c r="R7" s="36">
        <f t="shared" si="3"/>
        <v>100000</v>
      </c>
      <c r="S7" s="63">
        <f>100000</f>
        <v>100000</v>
      </c>
      <c r="T7" s="63"/>
    </row>
    <row r="8" spans="1:20" ht="18.75" x14ac:dyDescent="0.3">
      <c r="A8" s="3">
        <v>4</v>
      </c>
      <c r="B8" s="173" t="s">
        <v>45</v>
      </c>
      <c r="C8" s="174"/>
      <c r="D8" s="48" t="s">
        <v>46</v>
      </c>
      <c r="E8" s="29" t="s">
        <v>44</v>
      </c>
      <c r="F8" s="63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.75" x14ac:dyDescent="0.3">
      <c r="A9" s="3">
        <v>5</v>
      </c>
      <c r="B9" s="171" t="s">
        <v>47</v>
      </c>
      <c r="C9" s="172"/>
      <c r="D9" s="33" t="s">
        <v>48</v>
      </c>
      <c r="E9" s="3" t="s">
        <v>44</v>
      </c>
      <c r="F9" s="63">
        <f t="shared" si="7"/>
        <v>70000</v>
      </c>
      <c r="G9" s="63"/>
      <c r="H9" s="63">
        <f t="shared" si="4"/>
        <v>210000</v>
      </c>
      <c r="I9" s="63">
        <f t="shared" si="5"/>
        <v>5250</v>
      </c>
      <c r="J9" s="63">
        <v>40122.19</v>
      </c>
      <c r="K9" s="63">
        <f t="shared" si="0"/>
        <v>35000</v>
      </c>
      <c r="L9" s="63">
        <f t="shared" si="6"/>
        <v>245000</v>
      </c>
      <c r="M9" s="63">
        <f t="shared" si="1"/>
        <v>70000</v>
      </c>
      <c r="N9" s="63">
        <f>0</f>
        <v>0</v>
      </c>
      <c r="O9" s="63">
        <f t="shared" si="2"/>
        <v>7000</v>
      </c>
      <c r="P9" s="63">
        <v>20000</v>
      </c>
      <c r="Q9" s="64">
        <v>0</v>
      </c>
      <c r="R9" s="36">
        <f t="shared" si="3"/>
        <v>0</v>
      </c>
      <c r="S9" s="36">
        <f>100000</f>
        <v>100000</v>
      </c>
      <c r="T9" s="36"/>
    </row>
    <row r="10" spans="1:20" ht="18.75" x14ac:dyDescent="0.3">
      <c r="A10" s="3">
        <v>6</v>
      </c>
      <c r="B10" s="171" t="s">
        <v>49</v>
      </c>
      <c r="C10" s="172"/>
      <c r="D10" s="44" t="s">
        <v>50</v>
      </c>
      <c r="E10" s="81" t="s">
        <v>284</v>
      </c>
      <c r="F10" s="66">
        <f>100000</f>
        <v>100000</v>
      </c>
      <c r="G10" s="65"/>
      <c r="H10" s="63">
        <f t="shared" si="4"/>
        <v>300000</v>
      </c>
      <c r="I10" s="63">
        <f t="shared" si="5"/>
        <v>7500</v>
      </c>
      <c r="J10" s="63">
        <v>40122.19</v>
      </c>
      <c r="K10" s="63">
        <f t="shared" si="0"/>
        <v>50000</v>
      </c>
      <c r="L10" s="63">
        <f t="shared" si="6"/>
        <v>350000</v>
      </c>
      <c r="M10" s="63">
        <f t="shared" si="1"/>
        <v>100000</v>
      </c>
      <c r="N10" s="63">
        <v>0</v>
      </c>
      <c r="O10" s="63">
        <f t="shared" si="2"/>
        <v>10000</v>
      </c>
      <c r="P10" s="63">
        <v>20000</v>
      </c>
      <c r="Q10" s="82"/>
      <c r="R10" s="36">
        <f t="shared" si="3"/>
        <v>0</v>
      </c>
      <c r="S10" s="63">
        <f>100000</f>
        <v>100000</v>
      </c>
      <c r="T10" s="63"/>
    </row>
    <row r="11" spans="1:20" ht="18.75" x14ac:dyDescent="0.3">
      <c r="A11" s="3">
        <v>7</v>
      </c>
      <c r="B11" s="171" t="s">
        <v>52</v>
      </c>
      <c r="C11" s="172"/>
      <c r="D11" s="44" t="s">
        <v>53</v>
      </c>
      <c r="E11" s="81" t="s">
        <v>138</v>
      </c>
      <c r="F11" s="66">
        <f>70000</f>
        <v>70000</v>
      </c>
      <c r="G11" s="65"/>
      <c r="H11" s="63">
        <f t="shared" si="4"/>
        <v>210000</v>
      </c>
      <c r="I11" s="63">
        <f t="shared" si="5"/>
        <v>5250</v>
      </c>
      <c r="J11" s="63">
        <v>40122.19</v>
      </c>
      <c r="K11" s="63">
        <f t="shared" si="0"/>
        <v>35000</v>
      </c>
      <c r="L11" s="63">
        <f t="shared" si="6"/>
        <v>245000</v>
      </c>
      <c r="M11" s="63">
        <f t="shared" si="1"/>
        <v>70000</v>
      </c>
      <c r="N11" s="80">
        <v>100000</v>
      </c>
      <c r="O11" s="63">
        <f t="shared" si="2"/>
        <v>7000</v>
      </c>
      <c r="P11" s="63">
        <v>20000</v>
      </c>
      <c r="Q11" s="82"/>
      <c r="R11" s="36">
        <f t="shared" si="3"/>
        <v>100000</v>
      </c>
      <c r="S11" s="66">
        <f>150000</f>
        <v>150000</v>
      </c>
      <c r="T11" s="66">
        <f>S11-N11</f>
        <v>50000</v>
      </c>
    </row>
    <row r="12" spans="1:20" ht="18.75" x14ac:dyDescent="0.3">
      <c r="A12" s="3">
        <v>8</v>
      </c>
      <c r="B12" s="171" t="s">
        <v>55</v>
      </c>
      <c r="C12" s="172"/>
      <c r="D12" s="44" t="s">
        <v>56</v>
      </c>
      <c r="E12" s="45" t="s">
        <v>110</v>
      </c>
      <c r="F12" s="65">
        <f>50000</f>
        <v>50000</v>
      </c>
      <c r="G12" s="65"/>
      <c r="H12" s="65">
        <f t="shared" si="4"/>
        <v>150000</v>
      </c>
      <c r="I12" s="65">
        <f t="shared" si="5"/>
        <v>3750</v>
      </c>
      <c r="J12" s="65"/>
      <c r="K12" s="65">
        <f t="shared" si="0"/>
        <v>25000</v>
      </c>
      <c r="L12" s="65">
        <f t="shared" si="6"/>
        <v>175000</v>
      </c>
      <c r="M12" s="65">
        <f t="shared" si="1"/>
        <v>50000</v>
      </c>
      <c r="N12" s="43">
        <f>0</f>
        <v>0</v>
      </c>
      <c r="O12" s="65">
        <f t="shared" si="2"/>
        <v>5000</v>
      </c>
      <c r="P12" s="65">
        <v>15000</v>
      </c>
      <c r="Q12" s="65">
        <f>100000</f>
        <v>100000</v>
      </c>
      <c r="R12" s="36">
        <f t="shared" si="3"/>
        <v>100000</v>
      </c>
      <c r="S12" s="65">
        <f>100000</f>
        <v>100000</v>
      </c>
      <c r="T12" s="65"/>
    </row>
    <row r="13" spans="1:20" ht="18.75" x14ac:dyDescent="0.3">
      <c r="A13" s="3">
        <v>9</v>
      </c>
      <c r="B13" s="171" t="s">
        <v>58</v>
      </c>
      <c r="C13" s="172"/>
      <c r="D13" s="44" t="s">
        <v>59</v>
      </c>
      <c r="E13" s="45" t="s">
        <v>110</v>
      </c>
      <c r="F13" s="65">
        <f>50000</f>
        <v>50000</v>
      </c>
      <c r="G13" s="65"/>
      <c r="H13" s="65">
        <f t="shared" si="4"/>
        <v>150000</v>
      </c>
      <c r="I13" s="65">
        <f t="shared" si="5"/>
        <v>3750</v>
      </c>
      <c r="J13" s="65"/>
      <c r="K13" s="65">
        <f t="shared" si="0"/>
        <v>25000</v>
      </c>
      <c r="L13" s="65">
        <f t="shared" si="6"/>
        <v>175000</v>
      </c>
      <c r="M13" s="65">
        <f t="shared" si="1"/>
        <v>50000</v>
      </c>
      <c r="N13" s="63">
        <f>0</f>
        <v>0</v>
      </c>
      <c r="O13" s="65">
        <f t="shared" si="2"/>
        <v>5000</v>
      </c>
      <c r="P13" s="65">
        <v>15000</v>
      </c>
      <c r="Q13" s="65">
        <v>50000</v>
      </c>
      <c r="R13" s="36">
        <f t="shared" si="3"/>
        <v>50000</v>
      </c>
      <c r="S13" s="65">
        <f>100000</f>
        <v>100000</v>
      </c>
      <c r="T13" s="65"/>
    </row>
    <row r="14" spans="1:20" ht="18.75" x14ac:dyDescent="0.3">
      <c r="A14" s="3">
        <v>10</v>
      </c>
      <c r="B14" s="171" t="s">
        <v>60</v>
      </c>
      <c r="C14" s="172"/>
      <c r="D14" s="33" t="s">
        <v>61</v>
      </c>
      <c r="E14" s="3" t="s">
        <v>62</v>
      </c>
      <c r="F14" s="65">
        <f>50000</f>
        <v>50000</v>
      </c>
      <c r="G14" s="63"/>
      <c r="H14" s="63">
        <f t="shared" si="4"/>
        <v>150000</v>
      </c>
      <c r="I14" s="63">
        <f t="shared" si="5"/>
        <v>3750</v>
      </c>
      <c r="J14" s="63"/>
      <c r="K14" s="63">
        <f t="shared" si="0"/>
        <v>25000</v>
      </c>
      <c r="L14" s="36">
        <f t="shared" si="6"/>
        <v>175000</v>
      </c>
      <c r="M14" s="63">
        <f t="shared" si="1"/>
        <v>50000</v>
      </c>
      <c r="N14" s="63">
        <v>100000</v>
      </c>
      <c r="O14" s="63">
        <f t="shared" si="2"/>
        <v>5000</v>
      </c>
      <c r="P14" s="63">
        <v>15000</v>
      </c>
      <c r="Q14" s="63">
        <v>0</v>
      </c>
      <c r="R14" s="36">
        <f t="shared" si="3"/>
        <v>100000</v>
      </c>
      <c r="S14" s="65">
        <f t="shared" ref="S14:S23" si="8">100000</f>
        <v>100000</v>
      </c>
      <c r="T14" s="65"/>
    </row>
    <row r="15" spans="1:20" ht="18.75" x14ac:dyDescent="0.3">
      <c r="A15" s="3">
        <v>11</v>
      </c>
      <c r="B15" s="169" t="s">
        <v>65</v>
      </c>
      <c r="C15" s="170"/>
      <c r="D15" s="62" t="s">
        <v>61</v>
      </c>
      <c r="E15" s="67" t="s">
        <v>62</v>
      </c>
      <c r="F15" s="65">
        <f>50000</f>
        <v>50000</v>
      </c>
      <c r="G15" s="63">
        <v>0</v>
      </c>
      <c r="H15" s="63">
        <f t="shared" si="4"/>
        <v>150000</v>
      </c>
      <c r="I15" s="63">
        <f t="shared" si="5"/>
        <v>3750</v>
      </c>
      <c r="J15" s="36">
        <v>0</v>
      </c>
      <c r="K15" s="63">
        <f>F15*50%</f>
        <v>25000</v>
      </c>
      <c r="L15" s="36">
        <f t="shared" si="6"/>
        <v>175000</v>
      </c>
      <c r="M15" s="63">
        <f t="shared" si="1"/>
        <v>50000</v>
      </c>
      <c r="N15" s="63">
        <v>100000</v>
      </c>
      <c r="O15" s="63">
        <f t="shared" si="2"/>
        <v>5000</v>
      </c>
      <c r="P15" s="63">
        <v>15000</v>
      </c>
      <c r="Q15" s="63">
        <f>0</f>
        <v>0</v>
      </c>
      <c r="R15" s="36">
        <f t="shared" si="3"/>
        <v>100000</v>
      </c>
      <c r="S15" s="65">
        <f t="shared" si="8"/>
        <v>100000</v>
      </c>
      <c r="T15" s="65"/>
    </row>
    <row r="16" spans="1:20" ht="18.75" x14ac:dyDescent="0.3">
      <c r="A16" s="3">
        <v>12</v>
      </c>
      <c r="B16" s="169" t="s">
        <v>66</v>
      </c>
      <c r="C16" s="170"/>
      <c r="D16" s="62" t="s">
        <v>67</v>
      </c>
      <c r="E16" s="67" t="s">
        <v>85</v>
      </c>
      <c r="F16" s="63">
        <f>30000</f>
        <v>30000</v>
      </c>
      <c r="G16" s="63"/>
      <c r="H16" s="63">
        <f t="shared" si="4"/>
        <v>90000</v>
      </c>
      <c r="I16" s="63">
        <f t="shared" si="5"/>
        <v>2250</v>
      </c>
      <c r="J16" s="36"/>
      <c r="K16" s="63">
        <f>F16*50%</f>
        <v>15000</v>
      </c>
      <c r="L16" s="36">
        <f t="shared" si="6"/>
        <v>105000</v>
      </c>
      <c r="M16" s="63">
        <f t="shared" si="1"/>
        <v>30000</v>
      </c>
      <c r="N16" s="63">
        <f>0</f>
        <v>0</v>
      </c>
      <c r="O16" s="63">
        <f t="shared" si="2"/>
        <v>3000</v>
      </c>
      <c r="P16" s="63">
        <v>10000</v>
      </c>
      <c r="Q16" s="63"/>
      <c r="R16" s="36">
        <f t="shared" si="3"/>
        <v>0</v>
      </c>
      <c r="S16" s="65">
        <f t="shared" si="8"/>
        <v>100000</v>
      </c>
      <c r="T16" s="65"/>
    </row>
    <row r="17" spans="1:20" ht="18.75" x14ac:dyDescent="0.3">
      <c r="A17" s="3">
        <v>13</v>
      </c>
      <c r="B17" s="169" t="s">
        <v>69</v>
      </c>
      <c r="C17" s="170"/>
      <c r="D17" s="62" t="s">
        <v>70</v>
      </c>
      <c r="E17" s="67" t="s">
        <v>92</v>
      </c>
      <c r="F17" s="63">
        <f>30000</f>
        <v>30000</v>
      </c>
      <c r="G17" s="63"/>
      <c r="H17" s="63">
        <f t="shared" si="4"/>
        <v>90000</v>
      </c>
      <c r="I17" s="63">
        <f t="shared" si="5"/>
        <v>2250</v>
      </c>
      <c r="J17" s="36"/>
      <c r="K17" s="63">
        <f>F17*50%</f>
        <v>15000</v>
      </c>
      <c r="L17" s="36">
        <f t="shared" si="6"/>
        <v>105000</v>
      </c>
      <c r="M17" s="63">
        <f t="shared" si="1"/>
        <v>30000</v>
      </c>
      <c r="N17" s="63">
        <v>100000</v>
      </c>
      <c r="O17" s="63">
        <f t="shared" si="2"/>
        <v>3000</v>
      </c>
      <c r="P17" s="63">
        <v>10000</v>
      </c>
      <c r="Q17" s="63"/>
      <c r="R17" s="36">
        <f t="shared" si="3"/>
        <v>100000</v>
      </c>
      <c r="S17" s="65">
        <f t="shared" si="8"/>
        <v>100000</v>
      </c>
      <c r="T17" s="65"/>
    </row>
    <row r="18" spans="1:20" ht="18.75" x14ac:dyDescent="0.3">
      <c r="A18" s="3">
        <v>14</v>
      </c>
      <c r="B18" s="84" t="s">
        <v>72</v>
      </c>
      <c r="C18" s="85"/>
      <c r="D18" s="62" t="s">
        <v>70</v>
      </c>
      <c r="E18" s="67" t="s">
        <v>183</v>
      </c>
      <c r="F18" s="63">
        <f>30000</f>
        <v>30000</v>
      </c>
      <c r="G18" s="63"/>
      <c r="H18" s="63">
        <f t="shared" si="4"/>
        <v>90000</v>
      </c>
      <c r="I18" s="63">
        <f t="shared" si="5"/>
        <v>2250</v>
      </c>
      <c r="J18" s="63"/>
      <c r="K18" s="63">
        <f t="shared" ref="K18:K21" si="9">F18*50%</f>
        <v>15000</v>
      </c>
      <c r="L18" s="36">
        <f t="shared" si="6"/>
        <v>105000</v>
      </c>
      <c r="M18" s="63">
        <f t="shared" si="1"/>
        <v>30000</v>
      </c>
      <c r="N18" s="63">
        <f>100000</f>
        <v>100000</v>
      </c>
      <c r="O18" s="63">
        <f t="shared" si="2"/>
        <v>3000</v>
      </c>
      <c r="P18" s="63">
        <v>10000</v>
      </c>
      <c r="Q18" s="63"/>
      <c r="R18" s="36">
        <f t="shared" si="3"/>
        <v>100000</v>
      </c>
      <c r="S18" s="65">
        <f t="shared" si="8"/>
        <v>100000</v>
      </c>
      <c r="T18" s="65"/>
    </row>
    <row r="19" spans="1:20" ht="18.75" x14ac:dyDescent="0.3">
      <c r="A19" s="3">
        <v>15</v>
      </c>
      <c r="B19" s="84" t="s">
        <v>74</v>
      </c>
      <c r="C19" s="85"/>
      <c r="D19" s="62"/>
      <c r="E19" s="67" t="s">
        <v>76</v>
      </c>
      <c r="F19" s="63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63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65">
        <f t="shared" si="8"/>
        <v>100000</v>
      </c>
      <c r="T19" s="65"/>
    </row>
    <row r="20" spans="1:20" ht="18.75" x14ac:dyDescent="0.3">
      <c r="A20" s="3">
        <v>16</v>
      </c>
      <c r="B20" s="84" t="s">
        <v>316</v>
      </c>
      <c r="C20" s="85"/>
      <c r="D20" s="62"/>
      <c r="E20" s="67" t="s">
        <v>317</v>
      </c>
      <c r="F20" s="63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65">
        <f>0</f>
        <v>0</v>
      </c>
      <c r="T20" s="65"/>
    </row>
    <row r="21" spans="1:20" ht="18.75" x14ac:dyDescent="0.3">
      <c r="A21" s="3">
        <v>17</v>
      </c>
      <c r="B21" s="84" t="s">
        <v>77</v>
      </c>
      <c r="C21" s="85"/>
      <c r="D21" s="62"/>
      <c r="E21" s="67" t="s">
        <v>76</v>
      </c>
      <c r="F21" s="63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63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65">
        <f t="shared" si="8"/>
        <v>100000</v>
      </c>
      <c r="T21" s="65"/>
    </row>
    <row r="22" spans="1:20" ht="18.75" x14ac:dyDescent="0.3">
      <c r="A22" s="3">
        <v>18</v>
      </c>
      <c r="B22" s="178" t="s">
        <v>78</v>
      </c>
      <c r="C22" s="178"/>
      <c r="D22" s="33" t="s">
        <v>82</v>
      </c>
      <c r="E22" s="67" t="s">
        <v>285</v>
      </c>
      <c r="F22" s="63">
        <f>30000</f>
        <v>30000</v>
      </c>
      <c r="G22" s="63"/>
      <c r="H22" s="63">
        <f>F22*300%</f>
        <v>90000</v>
      </c>
      <c r="I22" s="63">
        <f>F22*7.5%</f>
        <v>2250</v>
      </c>
      <c r="J22" s="63">
        <v>0</v>
      </c>
      <c r="K22" s="63">
        <f>F22*50%</f>
        <v>15000</v>
      </c>
      <c r="L22" s="36">
        <f>F22*350%</f>
        <v>105000</v>
      </c>
      <c r="M22" s="63">
        <f>F22*100%</f>
        <v>30000</v>
      </c>
      <c r="N22" s="63">
        <v>100000</v>
      </c>
      <c r="O22" s="63">
        <f>F22*10%</f>
        <v>3000</v>
      </c>
      <c r="P22" s="63">
        <v>10000</v>
      </c>
      <c r="Q22" s="63">
        <v>0</v>
      </c>
      <c r="R22" s="36">
        <f t="shared" si="3"/>
        <v>100000</v>
      </c>
      <c r="S22" s="65">
        <f t="shared" si="8"/>
        <v>100000</v>
      </c>
      <c r="T22" s="65"/>
    </row>
    <row r="23" spans="1:20" ht="18.75" x14ac:dyDescent="0.3">
      <c r="A23" s="3">
        <v>19</v>
      </c>
      <c r="B23" s="169" t="s">
        <v>81</v>
      </c>
      <c r="C23" s="170"/>
      <c r="D23" s="33" t="s">
        <v>82</v>
      </c>
      <c r="E23" s="67" t="s">
        <v>85</v>
      </c>
      <c r="F23" s="63">
        <f>30000</f>
        <v>30000</v>
      </c>
      <c r="G23" s="63"/>
      <c r="H23" s="63">
        <f>F23*300%</f>
        <v>90000</v>
      </c>
      <c r="I23" s="63">
        <f>F23*7.5%</f>
        <v>2250</v>
      </c>
      <c r="J23" s="63"/>
      <c r="K23" s="63">
        <f>F23*50%</f>
        <v>15000</v>
      </c>
      <c r="L23" s="36">
        <f>F23*350%</f>
        <v>105000</v>
      </c>
      <c r="M23" s="63">
        <f>F23*100%</f>
        <v>30000</v>
      </c>
      <c r="N23" s="63">
        <v>100000</v>
      </c>
      <c r="O23" s="63">
        <f>F23*10%</f>
        <v>3000</v>
      </c>
      <c r="P23" s="63">
        <v>10000</v>
      </c>
      <c r="Q23" s="63"/>
      <c r="R23" s="36">
        <f t="shared" si="3"/>
        <v>100000</v>
      </c>
      <c r="S23" s="65">
        <f t="shared" si="8"/>
        <v>100000</v>
      </c>
      <c r="T23" s="65"/>
    </row>
    <row r="24" spans="1:20" ht="23.25" x14ac:dyDescent="0.6">
      <c r="A24" s="3"/>
      <c r="B24" s="179" t="s">
        <v>32</v>
      </c>
      <c r="C24" s="179"/>
      <c r="D24" s="33"/>
      <c r="E24" s="67"/>
      <c r="F24" s="69">
        <f t="shared" ref="F24:Q24" si="10">SUM(F5:F23)</f>
        <v>1140000</v>
      </c>
      <c r="G24" s="69">
        <f t="shared" si="10"/>
        <v>0</v>
      </c>
      <c r="H24" s="69">
        <f t="shared" si="10"/>
        <v>2840977.5</v>
      </c>
      <c r="I24" s="69">
        <f t="shared" si="10"/>
        <v>111146.63</v>
      </c>
      <c r="J24" s="69">
        <f t="shared" si="10"/>
        <v>361099.71</v>
      </c>
      <c r="K24" s="69">
        <f t="shared" si="10"/>
        <v>492219.94</v>
      </c>
      <c r="L24" s="69">
        <f t="shared" si="10"/>
        <v>2940000</v>
      </c>
      <c r="M24" s="69">
        <f t="shared" si="10"/>
        <v>960366.57000000007</v>
      </c>
      <c r="N24" s="69">
        <f t="shared" si="10"/>
        <v>1000000</v>
      </c>
      <c r="O24" s="69">
        <f t="shared" si="10"/>
        <v>100048.88</v>
      </c>
      <c r="P24" s="69">
        <f t="shared" si="10"/>
        <v>290000</v>
      </c>
      <c r="Q24" s="69">
        <f t="shared" si="10"/>
        <v>275235</v>
      </c>
      <c r="R24" s="109">
        <f t="shared" si="3"/>
        <v>1275235</v>
      </c>
      <c r="S24" s="69">
        <f>SUM(S4:S23)</f>
        <v>1850000</v>
      </c>
      <c r="T24" s="69">
        <f>SUM(T5:T23)</f>
        <v>150000</v>
      </c>
    </row>
    <row r="25" spans="1:20" ht="18.75" x14ac:dyDescent="0.3">
      <c r="A25" s="3"/>
      <c r="B25" s="101"/>
      <c r="C25" s="101"/>
      <c r="D25" s="33"/>
      <c r="E25" s="67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</row>
    <row r="26" spans="1:20" ht="18.75" x14ac:dyDescent="0.3">
      <c r="A26" s="3"/>
      <c r="B26" s="179" t="s">
        <v>86</v>
      </c>
      <c r="C26" s="179"/>
      <c r="D26" s="33"/>
      <c r="E26" s="67"/>
      <c r="F26" s="63"/>
      <c r="G26" s="63"/>
      <c r="H26" s="63"/>
      <c r="I26" s="63"/>
      <c r="J26" s="63"/>
      <c r="K26" s="63"/>
      <c r="L26" s="36"/>
      <c r="M26" s="63"/>
      <c r="N26" s="63"/>
      <c r="O26" s="63"/>
      <c r="P26" s="63"/>
      <c r="Q26" s="63"/>
      <c r="R26" s="63"/>
      <c r="S26" s="63"/>
      <c r="T26" s="63"/>
    </row>
    <row r="27" spans="1:20" ht="18.75" x14ac:dyDescent="0.3">
      <c r="A27" s="3">
        <v>1</v>
      </c>
      <c r="B27" s="180" t="s">
        <v>87</v>
      </c>
      <c r="C27" s="181"/>
      <c r="D27" s="62" t="s">
        <v>88</v>
      </c>
      <c r="E27" s="67" t="s">
        <v>287</v>
      </c>
      <c r="F27" s="63">
        <f>150000</f>
        <v>150000</v>
      </c>
      <c r="G27" s="63"/>
      <c r="H27" s="63">
        <f t="shared" ref="H27" si="11">F27*300%</f>
        <v>450000</v>
      </c>
      <c r="I27" s="63">
        <f t="shared" ref="I27" si="12">F27*7.5%</f>
        <v>11250</v>
      </c>
      <c r="J27" s="63">
        <f>80244.38</f>
        <v>80244.38</v>
      </c>
      <c r="K27" s="63">
        <f t="shared" ref="K27" si="13">F27*50%</f>
        <v>75000</v>
      </c>
      <c r="L27" s="63">
        <f t="shared" ref="L27" si="14">F27*350%</f>
        <v>525000</v>
      </c>
      <c r="M27" s="63">
        <f t="shared" ref="M27" si="15">F27*100%</f>
        <v>150000</v>
      </c>
      <c r="N27" s="63">
        <f>0</f>
        <v>0</v>
      </c>
      <c r="O27" s="63">
        <f t="shared" ref="O27" si="16">F27*10%</f>
        <v>15000</v>
      </c>
      <c r="P27" s="63">
        <v>20000</v>
      </c>
      <c r="Q27" s="63">
        <v>0</v>
      </c>
      <c r="R27" s="63">
        <f>N27+Q27</f>
        <v>0</v>
      </c>
      <c r="S27" s="65">
        <f t="shared" ref="S27:S28" si="17">100000</f>
        <v>100000</v>
      </c>
      <c r="T27" s="65">
        <f>0</f>
        <v>0</v>
      </c>
    </row>
    <row r="28" spans="1:20" ht="18.75" x14ac:dyDescent="0.3">
      <c r="A28" s="3">
        <v>2</v>
      </c>
      <c r="B28" s="180" t="s">
        <v>90</v>
      </c>
      <c r="C28" s="181"/>
      <c r="D28" s="62" t="s">
        <v>91</v>
      </c>
      <c r="E28" s="67" t="s">
        <v>92</v>
      </c>
      <c r="F28" s="63">
        <f>30000</f>
        <v>30000</v>
      </c>
      <c r="G28" s="63"/>
      <c r="H28" s="63">
        <f>F28*300%</f>
        <v>90000</v>
      </c>
      <c r="I28" s="63">
        <f>F28*7.5%</f>
        <v>2250</v>
      </c>
      <c r="J28" s="63">
        <v>0</v>
      </c>
      <c r="K28" s="63">
        <f>F28*50%</f>
        <v>15000</v>
      </c>
      <c r="L28" s="36">
        <f>F28*350%</f>
        <v>105000</v>
      </c>
      <c r="M28" s="63">
        <f>F28*100%</f>
        <v>30000</v>
      </c>
      <c r="N28" s="63">
        <f>0</f>
        <v>0</v>
      </c>
      <c r="O28" s="63">
        <f>F28*10%</f>
        <v>3000</v>
      </c>
      <c r="P28" s="63">
        <v>10000</v>
      </c>
      <c r="Q28" s="63">
        <v>0</v>
      </c>
      <c r="R28" s="63">
        <f t="shared" ref="R28:R91" si="18">N28+Q28</f>
        <v>0</v>
      </c>
      <c r="S28" s="65">
        <f t="shared" si="17"/>
        <v>100000</v>
      </c>
      <c r="T28" s="65">
        <f>0</f>
        <v>0</v>
      </c>
    </row>
    <row r="29" spans="1:20" ht="18.75" x14ac:dyDescent="0.3">
      <c r="A29" s="3"/>
      <c r="B29" s="33"/>
      <c r="C29" s="21" t="s">
        <v>32</v>
      </c>
      <c r="D29" s="7">
        <v>2</v>
      </c>
      <c r="E29" s="3"/>
      <c r="F29" s="69">
        <f>SUM(F27:F28)</f>
        <v>180000</v>
      </c>
      <c r="G29" s="69">
        <f t="shared" ref="G29:Q29" si="19">SUM(G27:G28)</f>
        <v>0</v>
      </c>
      <c r="H29" s="69">
        <f t="shared" si="19"/>
        <v>540000</v>
      </c>
      <c r="I29" s="69">
        <f t="shared" si="19"/>
        <v>13500</v>
      </c>
      <c r="J29" s="69">
        <f t="shared" si="19"/>
        <v>80244.38</v>
      </c>
      <c r="K29" s="69">
        <f t="shared" si="19"/>
        <v>90000</v>
      </c>
      <c r="L29" s="69">
        <f t="shared" si="19"/>
        <v>630000</v>
      </c>
      <c r="M29" s="69">
        <f t="shared" si="19"/>
        <v>180000</v>
      </c>
      <c r="N29" s="69">
        <f t="shared" si="19"/>
        <v>0</v>
      </c>
      <c r="O29" s="69">
        <f t="shared" si="19"/>
        <v>18000</v>
      </c>
      <c r="P29" s="69">
        <f t="shared" si="19"/>
        <v>30000</v>
      </c>
      <c r="Q29" s="69">
        <f t="shared" si="19"/>
        <v>0</v>
      </c>
      <c r="R29" s="39">
        <f t="shared" si="18"/>
        <v>0</v>
      </c>
      <c r="S29" s="69">
        <f>SUM(S27:S28)</f>
        <v>200000</v>
      </c>
      <c r="T29" s="69">
        <f>SUM(T27:T28)</f>
        <v>0</v>
      </c>
    </row>
    <row r="30" spans="1:20" ht="18.75" x14ac:dyDescent="0.3">
      <c r="A30" s="3"/>
      <c r="B30" s="184"/>
      <c r="C30" s="185"/>
      <c r="D30" s="33"/>
      <c r="E30" s="3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3">
        <f t="shared" si="18"/>
        <v>0</v>
      </c>
      <c r="S30" s="69"/>
      <c r="T30" s="69"/>
    </row>
    <row r="31" spans="1:20" ht="18.75" x14ac:dyDescent="0.3">
      <c r="A31" s="3"/>
      <c r="B31" s="186" t="s">
        <v>93</v>
      </c>
      <c r="C31" s="187"/>
      <c r="D31" s="51"/>
      <c r="E31" s="2"/>
      <c r="F31" s="69"/>
      <c r="G31" s="69"/>
      <c r="H31" s="69"/>
      <c r="I31" s="36"/>
      <c r="J31" s="36"/>
      <c r="K31" s="36"/>
      <c r="L31" s="36"/>
      <c r="M31" s="36"/>
      <c r="N31" s="36"/>
      <c r="O31" s="36"/>
      <c r="P31" s="36"/>
      <c r="Q31" s="36"/>
      <c r="R31" s="63">
        <f t="shared" si="18"/>
        <v>0</v>
      </c>
      <c r="S31" s="36"/>
      <c r="T31" s="36"/>
    </row>
    <row r="32" spans="1:20" ht="18.75" x14ac:dyDescent="0.3">
      <c r="A32" s="3">
        <v>1</v>
      </c>
      <c r="B32" s="169" t="s">
        <v>94</v>
      </c>
      <c r="C32" s="170"/>
      <c r="D32" s="33" t="s">
        <v>95</v>
      </c>
      <c r="E32" s="3" t="s">
        <v>89</v>
      </c>
      <c r="F32" s="63">
        <f>150000</f>
        <v>150000</v>
      </c>
      <c r="G32" s="63"/>
      <c r="H32" s="63">
        <f>F32*300%</f>
        <v>450000</v>
      </c>
      <c r="I32" s="63">
        <f>F32*7.5%</f>
        <v>11250</v>
      </c>
      <c r="J32" s="63">
        <v>80244.38</v>
      </c>
      <c r="K32" s="63">
        <f>F32*50%</f>
        <v>75000</v>
      </c>
      <c r="L32" s="63">
        <f>F32*350%</f>
        <v>525000</v>
      </c>
      <c r="M32" s="63">
        <f t="shared" ref="M32:M42" si="20">F32*100%</f>
        <v>150000</v>
      </c>
      <c r="N32" s="63">
        <v>100000</v>
      </c>
      <c r="O32" s="63">
        <f t="shared" ref="O32:O42" si="21">F32*10%</f>
        <v>15000</v>
      </c>
      <c r="P32" s="63">
        <v>20000</v>
      </c>
      <c r="Q32" s="63"/>
      <c r="R32" s="63">
        <f t="shared" si="18"/>
        <v>100000</v>
      </c>
      <c r="S32" s="63">
        <f>150000</f>
        <v>150000</v>
      </c>
      <c r="T32" s="63">
        <f>S32-N32</f>
        <v>50000</v>
      </c>
    </row>
    <row r="33" spans="1:20" ht="18.75" x14ac:dyDescent="0.3">
      <c r="A33" s="3">
        <v>2</v>
      </c>
      <c r="B33" s="169" t="s">
        <v>96</v>
      </c>
      <c r="C33" s="170"/>
      <c r="D33" s="33" t="s">
        <v>97</v>
      </c>
      <c r="E33" s="3" t="s">
        <v>44</v>
      </c>
      <c r="F33" s="63">
        <f t="shared" ref="F33:F34" si="22">70000</f>
        <v>70000</v>
      </c>
      <c r="G33" s="63"/>
      <c r="H33" s="63">
        <f>F33*300%</f>
        <v>210000</v>
      </c>
      <c r="I33" s="63">
        <f>F33*7.5%</f>
        <v>5250</v>
      </c>
      <c r="J33" s="63">
        <v>40122.19</v>
      </c>
      <c r="K33" s="63">
        <f>F33*50%</f>
        <v>35000</v>
      </c>
      <c r="L33" s="63">
        <f>F33*350%</f>
        <v>245000</v>
      </c>
      <c r="M33" s="63">
        <f>F33*100%</f>
        <v>70000</v>
      </c>
      <c r="N33" s="63">
        <v>100000</v>
      </c>
      <c r="O33" s="63">
        <f>F33*10%</f>
        <v>7000</v>
      </c>
      <c r="P33" s="63">
        <v>20000</v>
      </c>
      <c r="Q33" s="63">
        <v>0</v>
      </c>
      <c r="R33" s="63">
        <f t="shared" si="18"/>
        <v>100000</v>
      </c>
      <c r="S33" s="63">
        <f t="shared" ref="S33:S42" si="23">150000</f>
        <v>150000</v>
      </c>
      <c r="T33" s="63">
        <f t="shared" ref="T33:T43" si="24">S33-N33</f>
        <v>50000</v>
      </c>
    </row>
    <row r="34" spans="1:20" ht="18.75" x14ac:dyDescent="0.3">
      <c r="A34" s="3">
        <v>3</v>
      </c>
      <c r="B34" s="169" t="s">
        <v>98</v>
      </c>
      <c r="C34" s="170"/>
      <c r="D34" s="33" t="s">
        <v>99</v>
      </c>
      <c r="E34" s="3" t="s">
        <v>138</v>
      </c>
      <c r="F34" s="63">
        <f t="shared" si="22"/>
        <v>70000</v>
      </c>
      <c r="G34" s="63"/>
      <c r="H34" s="63">
        <f>F34*300%</f>
        <v>210000</v>
      </c>
      <c r="I34" s="63">
        <f>F34*7.5%</f>
        <v>5250</v>
      </c>
      <c r="J34" s="63">
        <v>40122.19</v>
      </c>
      <c r="K34" s="63">
        <f>F34*50%</f>
        <v>35000</v>
      </c>
      <c r="L34" s="63">
        <f>F34*350%</f>
        <v>245000</v>
      </c>
      <c r="M34" s="63">
        <f>F34*100%</f>
        <v>70000</v>
      </c>
      <c r="N34" s="63">
        <v>100000</v>
      </c>
      <c r="O34" s="63">
        <f>F34*10%</f>
        <v>7000</v>
      </c>
      <c r="P34" s="63">
        <v>20000</v>
      </c>
      <c r="Q34" s="63"/>
      <c r="R34" s="63">
        <f t="shared" si="18"/>
        <v>100000</v>
      </c>
      <c r="S34" s="63">
        <f t="shared" si="23"/>
        <v>150000</v>
      </c>
      <c r="T34" s="63">
        <f t="shared" si="24"/>
        <v>50000</v>
      </c>
    </row>
    <row r="35" spans="1:20" ht="18.75" x14ac:dyDescent="0.3">
      <c r="A35" s="3">
        <v>4</v>
      </c>
      <c r="B35" s="169" t="s">
        <v>100</v>
      </c>
      <c r="C35" s="170"/>
      <c r="D35" s="33" t="s">
        <v>101</v>
      </c>
      <c r="E35" s="3" t="s">
        <v>102</v>
      </c>
      <c r="F35" s="63">
        <f>50000</f>
        <v>50000</v>
      </c>
      <c r="G35" s="63"/>
      <c r="H35" s="63">
        <f>F35*300%</f>
        <v>150000</v>
      </c>
      <c r="I35" s="63">
        <f>F35*7.5%</f>
        <v>3750</v>
      </c>
      <c r="J35" s="63"/>
      <c r="K35" s="63">
        <f>F35*50%</f>
        <v>25000</v>
      </c>
      <c r="L35" s="63">
        <f>F35*350%</f>
        <v>175000</v>
      </c>
      <c r="M35" s="63">
        <f>F35*100%</f>
        <v>50000</v>
      </c>
      <c r="N35" s="63">
        <v>100000</v>
      </c>
      <c r="O35" s="63">
        <f>F35*10%</f>
        <v>5000</v>
      </c>
      <c r="P35" s="63">
        <v>20000</v>
      </c>
      <c r="Q35" s="63"/>
      <c r="R35" s="63">
        <f t="shared" si="18"/>
        <v>100000</v>
      </c>
      <c r="S35" s="63">
        <f t="shared" si="23"/>
        <v>150000</v>
      </c>
      <c r="T35" s="63">
        <f t="shared" si="24"/>
        <v>50000</v>
      </c>
    </row>
    <row r="36" spans="1:20" ht="18.75" x14ac:dyDescent="0.3">
      <c r="A36" s="3">
        <v>5</v>
      </c>
      <c r="B36" s="169" t="s">
        <v>103</v>
      </c>
      <c r="C36" s="170"/>
      <c r="D36" s="33" t="s">
        <v>101</v>
      </c>
      <c r="E36" s="3" t="s">
        <v>288</v>
      </c>
      <c r="F36" s="63">
        <f>50000</f>
        <v>50000</v>
      </c>
      <c r="G36" s="63"/>
      <c r="H36" s="63">
        <f t="shared" ref="H36:H42" si="25">F36*300%</f>
        <v>150000</v>
      </c>
      <c r="I36" s="63">
        <f t="shared" ref="I36:I42" si="26">F36*7.5%</f>
        <v>3750</v>
      </c>
      <c r="J36" s="63">
        <v>0</v>
      </c>
      <c r="K36" s="63">
        <f t="shared" ref="K36:K42" si="27">F36*50%</f>
        <v>25000</v>
      </c>
      <c r="L36" s="63">
        <f t="shared" ref="L36:L42" si="28">F36*350%</f>
        <v>175000</v>
      </c>
      <c r="M36" s="63">
        <f t="shared" si="20"/>
        <v>50000</v>
      </c>
      <c r="N36" s="63">
        <v>100000</v>
      </c>
      <c r="O36" s="63">
        <f t="shared" si="21"/>
        <v>5000</v>
      </c>
      <c r="P36" s="63">
        <v>20000</v>
      </c>
      <c r="Q36" s="63">
        <v>0</v>
      </c>
      <c r="R36" s="63">
        <f t="shared" si="18"/>
        <v>100000</v>
      </c>
      <c r="S36" s="63">
        <f t="shared" si="23"/>
        <v>150000</v>
      </c>
      <c r="T36" s="63">
        <f t="shared" si="24"/>
        <v>50000</v>
      </c>
    </row>
    <row r="37" spans="1:20" ht="18.75" x14ac:dyDescent="0.3">
      <c r="A37" s="3">
        <v>6</v>
      </c>
      <c r="B37" s="169" t="s">
        <v>104</v>
      </c>
      <c r="C37" s="170"/>
      <c r="D37" s="33" t="s">
        <v>112</v>
      </c>
      <c r="E37" s="3" t="s">
        <v>110</v>
      </c>
      <c r="F37" s="63">
        <f>50000</f>
        <v>50000</v>
      </c>
      <c r="G37" s="63"/>
      <c r="H37" s="63">
        <f t="shared" si="25"/>
        <v>150000</v>
      </c>
      <c r="I37" s="63">
        <f t="shared" si="26"/>
        <v>3750</v>
      </c>
      <c r="J37" s="63"/>
      <c r="K37" s="63">
        <f t="shared" si="27"/>
        <v>25000</v>
      </c>
      <c r="L37" s="63">
        <f t="shared" si="28"/>
        <v>175000</v>
      </c>
      <c r="M37" s="63">
        <f t="shared" si="20"/>
        <v>50000</v>
      </c>
      <c r="N37" s="63">
        <v>100000</v>
      </c>
      <c r="O37" s="63">
        <f t="shared" si="21"/>
        <v>5000</v>
      </c>
      <c r="P37" s="63">
        <v>15000</v>
      </c>
      <c r="Q37" s="63"/>
      <c r="R37" s="63">
        <f t="shared" si="18"/>
        <v>100000</v>
      </c>
      <c r="S37" s="63">
        <f t="shared" si="23"/>
        <v>150000</v>
      </c>
      <c r="T37" s="63">
        <f t="shared" si="24"/>
        <v>50000</v>
      </c>
    </row>
    <row r="38" spans="1:20" ht="18.75" x14ac:dyDescent="0.3">
      <c r="A38" s="3">
        <v>7</v>
      </c>
      <c r="B38" s="182" t="s">
        <v>106</v>
      </c>
      <c r="C38" s="183"/>
      <c r="D38" s="20" t="s">
        <v>107</v>
      </c>
      <c r="E38" s="25" t="s">
        <v>62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76">
        <v>100000</v>
      </c>
      <c r="O38" s="26">
        <f>F38*10%</f>
        <v>5000</v>
      </c>
      <c r="P38" s="26">
        <v>15000</v>
      </c>
      <c r="Q38" s="26"/>
      <c r="R38" s="63">
        <f t="shared" si="18"/>
        <v>100000</v>
      </c>
      <c r="S38" s="63">
        <f t="shared" si="23"/>
        <v>150000</v>
      </c>
      <c r="T38" s="63">
        <f t="shared" si="24"/>
        <v>50000</v>
      </c>
    </row>
    <row r="39" spans="1:20" ht="18.75" x14ac:dyDescent="0.3">
      <c r="A39" s="3">
        <v>8</v>
      </c>
      <c r="B39" s="169" t="s">
        <v>108</v>
      </c>
      <c r="C39" s="170"/>
      <c r="D39" s="33" t="s">
        <v>109</v>
      </c>
      <c r="E39" s="3" t="s">
        <v>80</v>
      </c>
      <c r="F39" s="63">
        <f>50000</f>
        <v>50000</v>
      </c>
      <c r="G39" s="63"/>
      <c r="H39" s="63">
        <f t="shared" si="25"/>
        <v>150000</v>
      </c>
      <c r="I39" s="63">
        <f t="shared" si="26"/>
        <v>3750</v>
      </c>
      <c r="J39" s="63">
        <v>0</v>
      </c>
      <c r="K39" s="63">
        <f t="shared" si="27"/>
        <v>25000</v>
      </c>
      <c r="L39" s="63">
        <f t="shared" si="28"/>
        <v>175000</v>
      </c>
      <c r="M39" s="63">
        <f t="shared" si="20"/>
        <v>50000</v>
      </c>
      <c r="N39" s="63">
        <v>100000</v>
      </c>
      <c r="O39" s="63">
        <f t="shared" si="21"/>
        <v>5000</v>
      </c>
      <c r="P39" s="63">
        <v>15000</v>
      </c>
      <c r="Q39" s="63">
        <v>0</v>
      </c>
      <c r="R39" s="63">
        <f t="shared" si="18"/>
        <v>100000</v>
      </c>
      <c r="S39" s="63">
        <f t="shared" si="23"/>
        <v>150000</v>
      </c>
      <c r="T39" s="63">
        <f t="shared" si="24"/>
        <v>50000</v>
      </c>
    </row>
    <row r="40" spans="1:20" ht="18.75" x14ac:dyDescent="0.3">
      <c r="A40" s="3">
        <v>9</v>
      </c>
      <c r="B40" s="169" t="s">
        <v>111</v>
      </c>
      <c r="C40" s="170"/>
      <c r="D40" s="33" t="s">
        <v>112</v>
      </c>
      <c r="E40" s="3" t="s">
        <v>110</v>
      </c>
      <c r="F40" s="63">
        <f>50000</f>
        <v>50000</v>
      </c>
      <c r="G40" s="63"/>
      <c r="H40" s="63">
        <f t="shared" si="25"/>
        <v>150000</v>
      </c>
      <c r="I40" s="63">
        <f t="shared" si="26"/>
        <v>3750</v>
      </c>
      <c r="J40" s="63">
        <v>0</v>
      </c>
      <c r="K40" s="63">
        <f t="shared" si="27"/>
        <v>25000</v>
      </c>
      <c r="L40" s="63">
        <f t="shared" si="28"/>
        <v>175000</v>
      </c>
      <c r="M40" s="63">
        <f t="shared" si="20"/>
        <v>50000</v>
      </c>
      <c r="N40" s="63">
        <v>100000</v>
      </c>
      <c r="O40" s="63">
        <f t="shared" si="21"/>
        <v>5000</v>
      </c>
      <c r="P40" s="63">
        <v>15000</v>
      </c>
      <c r="Q40" s="63">
        <v>0</v>
      </c>
      <c r="R40" s="63">
        <f t="shared" si="18"/>
        <v>100000</v>
      </c>
      <c r="S40" s="63">
        <f t="shared" si="23"/>
        <v>150000</v>
      </c>
      <c r="T40" s="63">
        <f t="shared" si="24"/>
        <v>50000</v>
      </c>
    </row>
    <row r="41" spans="1:20" ht="18.75" x14ac:dyDescent="0.3">
      <c r="A41" s="3">
        <v>10</v>
      </c>
      <c r="B41" s="169" t="s">
        <v>269</v>
      </c>
      <c r="C41" s="170"/>
      <c r="D41" s="33" t="s">
        <v>112</v>
      </c>
      <c r="E41" s="3" t="s">
        <v>110</v>
      </c>
      <c r="F41" s="63">
        <f>50000</f>
        <v>50000</v>
      </c>
      <c r="G41" s="63"/>
      <c r="H41" s="63">
        <f t="shared" si="25"/>
        <v>150000</v>
      </c>
      <c r="I41" s="63">
        <f t="shared" si="26"/>
        <v>3750</v>
      </c>
      <c r="J41" s="63">
        <f>J15</f>
        <v>0</v>
      </c>
      <c r="K41" s="63">
        <f t="shared" si="27"/>
        <v>25000</v>
      </c>
      <c r="L41" s="63">
        <f t="shared" si="28"/>
        <v>175000</v>
      </c>
      <c r="M41" s="63">
        <f t="shared" si="20"/>
        <v>50000</v>
      </c>
      <c r="N41" s="63">
        <v>100000</v>
      </c>
      <c r="O41" s="63">
        <f t="shared" si="21"/>
        <v>5000</v>
      </c>
      <c r="P41" s="63">
        <v>15000</v>
      </c>
      <c r="Q41" s="63">
        <v>0</v>
      </c>
      <c r="R41" s="63">
        <f t="shared" si="18"/>
        <v>100000</v>
      </c>
      <c r="S41" s="63">
        <f t="shared" si="23"/>
        <v>150000</v>
      </c>
      <c r="T41" s="63">
        <f t="shared" si="24"/>
        <v>50000</v>
      </c>
    </row>
    <row r="42" spans="1:20" ht="18.75" x14ac:dyDescent="0.3">
      <c r="A42" s="3">
        <v>11</v>
      </c>
      <c r="B42" s="173" t="s">
        <v>114</v>
      </c>
      <c r="C42" s="174"/>
      <c r="D42" s="20" t="s">
        <v>124</v>
      </c>
      <c r="E42" s="29" t="s">
        <v>68</v>
      </c>
      <c r="F42" s="26">
        <f>30000</f>
        <v>30000</v>
      </c>
      <c r="G42" s="63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63">
        <f t="shared" si="18"/>
        <v>100000</v>
      </c>
      <c r="S42" s="63">
        <f t="shared" si="23"/>
        <v>150000</v>
      </c>
      <c r="T42" s="63">
        <f t="shared" si="24"/>
        <v>50000</v>
      </c>
    </row>
    <row r="43" spans="1:20" ht="23.25" x14ac:dyDescent="0.6">
      <c r="A43" s="3"/>
      <c r="B43" s="188" t="s">
        <v>32</v>
      </c>
      <c r="C43" s="189"/>
      <c r="D43" s="30">
        <v>11</v>
      </c>
      <c r="E43" s="30"/>
      <c r="F43" s="103">
        <f>SUM(F32:F42)</f>
        <v>670000</v>
      </c>
      <c r="G43" s="103"/>
      <c r="H43" s="103">
        <f t="shared" ref="H43:Q43" si="29">SUM(H32:H42)</f>
        <v>2010000</v>
      </c>
      <c r="I43" s="103">
        <f t="shared" si="29"/>
        <v>50250</v>
      </c>
      <c r="J43" s="103">
        <f t="shared" si="29"/>
        <v>160488.76</v>
      </c>
      <c r="K43" s="103">
        <f t="shared" si="29"/>
        <v>335000</v>
      </c>
      <c r="L43" s="103">
        <f t="shared" si="29"/>
        <v>2345000</v>
      </c>
      <c r="M43" s="103">
        <f t="shared" si="29"/>
        <v>670000</v>
      </c>
      <c r="N43" s="103">
        <f t="shared" si="29"/>
        <v>1100000</v>
      </c>
      <c r="O43" s="103">
        <f t="shared" si="29"/>
        <v>67000</v>
      </c>
      <c r="P43" s="103">
        <f t="shared" si="29"/>
        <v>185000</v>
      </c>
      <c r="Q43" s="103">
        <f t="shared" si="29"/>
        <v>0</v>
      </c>
      <c r="R43" s="39">
        <f t="shared" si="18"/>
        <v>1100000</v>
      </c>
      <c r="S43" s="103">
        <f>SUM(S32:S42)</f>
        <v>1650000</v>
      </c>
      <c r="T43" s="106">
        <f t="shared" si="24"/>
        <v>550000</v>
      </c>
    </row>
    <row r="44" spans="1:20" ht="18.75" x14ac:dyDescent="0.3">
      <c r="A44" s="3"/>
      <c r="B44" s="83"/>
      <c r="C44" s="83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63">
        <f t="shared" si="18"/>
        <v>0</v>
      </c>
      <c r="S44" s="31"/>
      <c r="T44" s="31"/>
    </row>
    <row r="45" spans="1:20" ht="18.75" x14ac:dyDescent="0.3">
      <c r="A45" s="3"/>
      <c r="B45" s="188" t="s">
        <v>115</v>
      </c>
      <c r="C45" s="189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63">
        <f t="shared" si="18"/>
        <v>0</v>
      </c>
      <c r="S45" s="31"/>
      <c r="T45" s="31"/>
    </row>
    <row r="46" spans="1:20" ht="18.75" x14ac:dyDescent="0.3">
      <c r="A46" s="3">
        <v>1</v>
      </c>
      <c r="B46" s="169" t="s">
        <v>116</v>
      </c>
      <c r="C46" s="170"/>
      <c r="D46" s="62" t="s">
        <v>117</v>
      </c>
      <c r="E46" s="67" t="s">
        <v>41</v>
      </c>
      <c r="F46" s="63">
        <f>150000</f>
        <v>150000</v>
      </c>
      <c r="G46" s="63"/>
      <c r="H46" s="63">
        <f>F46*300%</f>
        <v>450000</v>
      </c>
      <c r="I46" s="63">
        <f>F46*7.5%</f>
        <v>11250</v>
      </c>
      <c r="J46" s="63">
        <v>80244.38</v>
      </c>
      <c r="K46" s="63">
        <f>F46*50%</f>
        <v>75000</v>
      </c>
      <c r="L46" s="63">
        <f>F46*350%</f>
        <v>525000</v>
      </c>
      <c r="M46" s="63">
        <f>F46*100%</f>
        <v>150000</v>
      </c>
      <c r="N46" s="63">
        <v>100000</v>
      </c>
      <c r="O46" s="63">
        <f>F46*10%</f>
        <v>15000</v>
      </c>
      <c r="P46" s="63">
        <v>20000</v>
      </c>
      <c r="Q46" s="63">
        <v>0</v>
      </c>
      <c r="R46" s="63">
        <f t="shared" si="18"/>
        <v>100000</v>
      </c>
      <c r="S46" s="63">
        <f>150000</f>
        <v>150000</v>
      </c>
      <c r="T46" s="63">
        <f>S46-N46</f>
        <v>50000</v>
      </c>
    </row>
    <row r="47" spans="1:20" ht="18.75" x14ac:dyDescent="0.3">
      <c r="A47" s="3">
        <v>2</v>
      </c>
      <c r="B47" s="84" t="s">
        <v>318</v>
      </c>
      <c r="C47" s="85"/>
      <c r="D47" s="62" t="s">
        <v>319</v>
      </c>
      <c r="E47" s="81" t="s">
        <v>317</v>
      </c>
      <c r="F47" s="26">
        <f>50000</f>
        <v>50000</v>
      </c>
      <c r="G47" s="63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63">
        <f>0</f>
        <v>0</v>
      </c>
      <c r="O47" s="26">
        <f t="shared" ref="O47" si="35">F47*10%</f>
        <v>5000</v>
      </c>
      <c r="P47" s="26">
        <v>15000</v>
      </c>
      <c r="Q47" s="26"/>
      <c r="R47" s="63">
        <f t="shared" si="18"/>
        <v>0</v>
      </c>
      <c r="S47" s="26">
        <f>100000</f>
        <v>100000</v>
      </c>
      <c r="T47" s="26">
        <f>0</f>
        <v>0</v>
      </c>
    </row>
    <row r="48" spans="1:20" ht="23.25" x14ac:dyDescent="0.6">
      <c r="A48" s="3"/>
      <c r="B48" s="188" t="s">
        <v>32</v>
      </c>
      <c r="C48" s="189"/>
      <c r="D48" s="30">
        <v>2</v>
      </c>
      <c r="E48" s="30"/>
      <c r="F48" s="103">
        <f>SUM(F46:F47)</f>
        <v>200000</v>
      </c>
      <c r="G48" s="103">
        <f t="shared" ref="G48" si="36">SUM(G46:G46)</f>
        <v>0</v>
      </c>
      <c r="H48" s="103">
        <f t="shared" ref="H48:P48" si="37">SUM(H46:H47)</f>
        <v>600000</v>
      </c>
      <c r="I48" s="103">
        <f t="shared" si="37"/>
        <v>15000</v>
      </c>
      <c r="J48" s="103">
        <f t="shared" si="37"/>
        <v>80244.38</v>
      </c>
      <c r="K48" s="103">
        <f t="shared" si="37"/>
        <v>100000</v>
      </c>
      <c r="L48" s="103">
        <f t="shared" si="37"/>
        <v>700000</v>
      </c>
      <c r="M48" s="103">
        <f t="shared" si="37"/>
        <v>200000</v>
      </c>
      <c r="N48" s="103">
        <f t="shared" si="37"/>
        <v>100000</v>
      </c>
      <c r="O48" s="103">
        <f t="shared" si="37"/>
        <v>20000</v>
      </c>
      <c r="P48" s="103">
        <f t="shared" si="37"/>
        <v>35000</v>
      </c>
      <c r="Q48" s="103">
        <f t="shared" ref="Q48" si="38">SUM(Q46:Q46)</f>
        <v>0</v>
      </c>
      <c r="R48" s="39">
        <f t="shared" si="18"/>
        <v>100000</v>
      </c>
      <c r="S48" s="103">
        <f>SUM(S46:S47)</f>
        <v>250000</v>
      </c>
      <c r="T48" s="103">
        <f>SUM(T46:T47)</f>
        <v>50000</v>
      </c>
    </row>
    <row r="49" spans="1:20" ht="18.75" x14ac:dyDescent="0.3">
      <c r="A49" s="3"/>
      <c r="B49" s="188"/>
      <c r="C49" s="189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63">
        <f t="shared" si="18"/>
        <v>0</v>
      </c>
      <c r="S49" s="31"/>
      <c r="T49" s="31"/>
    </row>
    <row r="50" spans="1:20" ht="18.75" x14ac:dyDescent="0.3">
      <c r="A50" s="3"/>
      <c r="B50" s="188" t="s">
        <v>118</v>
      </c>
      <c r="C50" s="189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63">
        <f t="shared" si="18"/>
        <v>0</v>
      </c>
      <c r="S50" s="31"/>
      <c r="T50" s="31"/>
    </row>
    <row r="51" spans="1:20" ht="18.75" x14ac:dyDescent="0.3">
      <c r="A51" s="3">
        <v>1</v>
      </c>
      <c r="B51" s="173" t="s">
        <v>119</v>
      </c>
      <c r="C51" s="174"/>
      <c r="D51" s="48" t="s">
        <v>120</v>
      </c>
      <c r="E51" s="29" t="s">
        <v>287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63">
        <f t="shared" si="18"/>
        <v>100000</v>
      </c>
      <c r="S51" s="63">
        <f t="shared" ref="S51:S55" si="39">150000</f>
        <v>150000</v>
      </c>
      <c r="T51" s="110">
        <f>S51-N51</f>
        <v>50000</v>
      </c>
    </row>
    <row r="52" spans="1:20" ht="18.75" x14ac:dyDescent="0.3">
      <c r="A52" s="3">
        <v>2</v>
      </c>
      <c r="B52" s="173" t="s">
        <v>320</v>
      </c>
      <c r="C52" s="174"/>
      <c r="D52" s="20" t="s">
        <v>101</v>
      </c>
      <c r="E52" s="29" t="s">
        <v>143</v>
      </c>
      <c r="F52" s="26">
        <f>0</f>
        <v>0</v>
      </c>
      <c r="G52" s="63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63">
        <f t="shared" si="18"/>
        <v>100000</v>
      </c>
      <c r="S52" s="63">
        <f t="shared" si="39"/>
        <v>150000</v>
      </c>
      <c r="T52" s="110">
        <f>0</f>
        <v>0</v>
      </c>
    </row>
    <row r="53" spans="1:20" ht="18.75" x14ac:dyDescent="0.3">
      <c r="A53" s="3">
        <v>3</v>
      </c>
      <c r="B53" s="171" t="s">
        <v>141</v>
      </c>
      <c r="C53" s="172"/>
      <c r="D53" s="33" t="s">
        <v>109</v>
      </c>
      <c r="E53" s="3" t="s">
        <v>57</v>
      </c>
      <c r="F53" s="63">
        <f>50000</f>
        <v>50000</v>
      </c>
      <c r="G53" s="63"/>
      <c r="H53" s="63">
        <f>F53*300%</f>
        <v>150000</v>
      </c>
      <c r="I53" s="63">
        <f>F53*7.5%</f>
        <v>3750</v>
      </c>
      <c r="J53" s="63"/>
      <c r="K53" s="63">
        <f>F53*50%</f>
        <v>25000</v>
      </c>
      <c r="L53" s="36">
        <f>F53*350%</f>
        <v>175000</v>
      </c>
      <c r="M53" s="63">
        <f>F53*100%</f>
        <v>50000</v>
      </c>
      <c r="N53" s="63">
        <v>100000</v>
      </c>
      <c r="O53" s="63">
        <f>F53*10%</f>
        <v>5000</v>
      </c>
      <c r="P53" s="63">
        <v>15000</v>
      </c>
      <c r="Q53" s="63">
        <v>0</v>
      </c>
      <c r="R53" s="63">
        <f t="shared" si="18"/>
        <v>100000</v>
      </c>
      <c r="S53" s="63">
        <f t="shared" si="39"/>
        <v>150000</v>
      </c>
      <c r="T53" s="110">
        <f t="shared" ref="T53:T56" si="40">S53-N53</f>
        <v>50000</v>
      </c>
    </row>
    <row r="54" spans="1:20" ht="18.75" x14ac:dyDescent="0.3">
      <c r="A54" s="3">
        <v>4</v>
      </c>
      <c r="B54" s="173" t="s">
        <v>122</v>
      </c>
      <c r="C54" s="174"/>
      <c r="D54" s="48" t="s">
        <v>124</v>
      </c>
      <c r="E54" s="29" t="s">
        <v>68</v>
      </c>
      <c r="F54" s="63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63">
        <f t="shared" si="18"/>
        <v>100000</v>
      </c>
      <c r="S54" s="63">
        <f t="shared" si="39"/>
        <v>150000</v>
      </c>
      <c r="T54" s="110">
        <f t="shared" si="40"/>
        <v>50000</v>
      </c>
    </row>
    <row r="55" spans="1:20" ht="18.75" x14ac:dyDescent="0.3">
      <c r="A55" s="3">
        <v>5</v>
      </c>
      <c r="B55" s="178" t="s">
        <v>126</v>
      </c>
      <c r="C55" s="178"/>
      <c r="D55" s="62" t="s">
        <v>127</v>
      </c>
      <c r="E55" s="67" t="s">
        <v>92</v>
      </c>
      <c r="F55" s="63">
        <f>30000</f>
        <v>30000</v>
      </c>
      <c r="G55" s="63"/>
      <c r="H55" s="63">
        <f>F55*300%</f>
        <v>90000</v>
      </c>
      <c r="I55" s="63">
        <f>F55*7.5%</f>
        <v>2250</v>
      </c>
      <c r="J55" s="63">
        <v>0</v>
      </c>
      <c r="K55" s="63">
        <f>F55*50%</f>
        <v>15000</v>
      </c>
      <c r="L55" s="36">
        <f>F55*350%</f>
        <v>105000</v>
      </c>
      <c r="M55" s="63">
        <f>F55*100%</f>
        <v>30000</v>
      </c>
      <c r="N55" s="63">
        <f>100000</f>
        <v>100000</v>
      </c>
      <c r="O55" s="63">
        <f>F55*10%</f>
        <v>3000</v>
      </c>
      <c r="P55" s="63">
        <v>10000</v>
      </c>
      <c r="Q55" s="63">
        <v>0</v>
      </c>
      <c r="R55" s="63">
        <f t="shared" si="18"/>
        <v>100000</v>
      </c>
      <c r="S55" s="63">
        <f t="shared" si="39"/>
        <v>150000</v>
      </c>
      <c r="T55" s="110">
        <f t="shared" si="40"/>
        <v>50000</v>
      </c>
    </row>
    <row r="56" spans="1:20" ht="23.25" x14ac:dyDescent="0.6">
      <c r="A56" s="3"/>
      <c r="B56" s="188" t="s">
        <v>32</v>
      </c>
      <c r="C56" s="189"/>
      <c r="D56" s="30">
        <v>5</v>
      </c>
      <c r="E56" s="30"/>
      <c r="F56" s="103">
        <f t="shared" ref="F56:Q56" si="41">SUM(F51:F55)</f>
        <v>260000</v>
      </c>
      <c r="G56" s="103">
        <f t="shared" si="41"/>
        <v>0</v>
      </c>
      <c r="H56" s="103">
        <f t="shared" si="41"/>
        <v>780000</v>
      </c>
      <c r="I56" s="103">
        <f t="shared" si="41"/>
        <v>19500</v>
      </c>
      <c r="J56" s="103">
        <f t="shared" si="41"/>
        <v>80244.38</v>
      </c>
      <c r="K56" s="103">
        <f t="shared" si="41"/>
        <v>130000</v>
      </c>
      <c r="L56" s="103">
        <f t="shared" si="41"/>
        <v>910000</v>
      </c>
      <c r="M56" s="103">
        <f t="shared" si="41"/>
        <v>260000</v>
      </c>
      <c r="N56" s="103">
        <f t="shared" si="41"/>
        <v>500000</v>
      </c>
      <c r="O56" s="103">
        <f t="shared" si="41"/>
        <v>26000</v>
      </c>
      <c r="P56" s="103">
        <f t="shared" si="41"/>
        <v>75000</v>
      </c>
      <c r="Q56" s="103">
        <f t="shared" si="41"/>
        <v>0</v>
      </c>
      <c r="R56" s="39">
        <f t="shared" si="18"/>
        <v>500000</v>
      </c>
      <c r="S56" s="103">
        <f>SUM(S51:S55)</f>
        <v>750000</v>
      </c>
      <c r="T56" s="111">
        <f t="shared" si="40"/>
        <v>250000</v>
      </c>
    </row>
    <row r="57" spans="1:20" ht="18.75" x14ac:dyDescent="0.3">
      <c r="A57" s="3"/>
      <c r="B57" s="70"/>
      <c r="C57" s="71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3">
        <f t="shared" si="18"/>
        <v>0</v>
      </c>
      <c r="S57" s="31"/>
      <c r="T57" s="31"/>
    </row>
    <row r="58" spans="1:20" ht="18.75" x14ac:dyDescent="0.3">
      <c r="A58" s="3"/>
      <c r="B58" s="188" t="s">
        <v>130</v>
      </c>
      <c r="C58" s="189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63">
        <f t="shared" si="18"/>
        <v>0</v>
      </c>
      <c r="S58" s="31"/>
      <c r="T58" s="31"/>
    </row>
    <row r="59" spans="1:20" ht="18.75" x14ac:dyDescent="0.3">
      <c r="A59" s="3">
        <v>1</v>
      </c>
      <c r="B59" s="169" t="s">
        <v>131</v>
      </c>
      <c r="C59" s="170"/>
      <c r="D59" s="33" t="s">
        <v>132</v>
      </c>
      <c r="E59" s="3" t="s">
        <v>41</v>
      </c>
      <c r="F59" s="63">
        <v>150000</v>
      </c>
      <c r="G59" s="63"/>
      <c r="H59" s="63">
        <f t="shared" ref="H59:H62" si="42">F59*300%</f>
        <v>450000</v>
      </c>
      <c r="I59" s="63">
        <f t="shared" ref="I59:I62" si="43">F59*7.5%</f>
        <v>11250</v>
      </c>
      <c r="J59" s="63">
        <v>80244.38</v>
      </c>
      <c r="K59" s="63">
        <f>F59*50%</f>
        <v>75000</v>
      </c>
      <c r="L59" s="63">
        <f t="shared" ref="L59:L62" si="44">F59*350%</f>
        <v>525000</v>
      </c>
      <c r="M59" s="63">
        <f>F59*100%</f>
        <v>150000</v>
      </c>
      <c r="N59" s="63">
        <v>100000</v>
      </c>
      <c r="O59" s="63">
        <f>F59*10%</f>
        <v>15000</v>
      </c>
      <c r="P59" s="63">
        <v>20000</v>
      </c>
      <c r="Q59" s="63">
        <v>0</v>
      </c>
      <c r="R59" s="63">
        <f t="shared" si="18"/>
        <v>100000</v>
      </c>
      <c r="S59" s="63">
        <f t="shared" ref="S59:S62" si="45">150000</f>
        <v>150000</v>
      </c>
      <c r="T59" s="63">
        <f>S59-N59</f>
        <v>50000</v>
      </c>
    </row>
    <row r="60" spans="1:20" ht="18.75" x14ac:dyDescent="0.3">
      <c r="A60" s="3">
        <v>2</v>
      </c>
      <c r="B60" s="169" t="s">
        <v>139</v>
      </c>
      <c r="C60" s="170"/>
      <c r="D60" s="33" t="s">
        <v>101</v>
      </c>
      <c r="E60" s="3" t="s">
        <v>143</v>
      </c>
      <c r="F60" s="63">
        <f>50000</f>
        <v>50000</v>
      </c>
      <c r="G60" s="63"/>
      <c r="H60" s="63">
        <f t="shared" si="42"/>
        <v>150000</v>
      </c>
      <c r="I60" s="63">
        <f t="shared" si="43"/>
        <v>3750</v>
      </c>
      <c r="J60" s="63"/>
      <c r="K60" s="63">
        <f>F60*50%</f>
        <v>25000</v>
      </c>
      <c r="L60" s="63">
        <f t="shared" si="44"/>
        <v>175000</v>
      </c>
      <c r="M60" s="63">
        <f>F60*100%</f>
        <v>50000</v>
      </c>
      <c r="N60" s="63">
        <v>100000</v>
      </c>
      <c r="O60" s="63">
        <f>F60*10%</f>
        <v>5000</v>
      </c>
      <c r="P60" s="63">
        <v>20000</v>
      </c>
      <c r="Q60" s="63"/>
      <c r="R60" s="63">
        <f t="shared" si="18"/>
        <v>100000</v>
      </c>
      <c r="S60" s="63">
        <f t="shared" si="45"/>
        <v>150000</v>
      </c>
      <c r="T60" s="63">
        <f t="shared" ref="T60:T63" si="46">S60-N60</f>
        <v>50000</v>
      </c>
    </row>
    <row r="61" spans="1:20" ht="18.75" x14ac:dyDescent="0.3">
      <c r="A61" s="3">
        <v>3</v>
      </c>
      <c r="B61" s="169" t="s">
        <v>128</v>
      </c>
      <c r="C61" s="170"/>
      <c r="D61" s="33" t="s">
        <v>129</v>
      </c>
      <c r="E61" s="3" t="s">
        <v>85</v>
      </c>
      <c r="F61" s="63">
        <f>30000</f>
        <v>30000</v>
      </c>
      <c r="G61" s="63"/>
      <c r="H61" s="63">
        <f t="shared" si="42"/>
        <v>90000</v>
      </c>
      <c r="I61" s="63">
        <f t="shared" si="43"/>
        <v>2250</v>
      </c>
      <c r="J61" s="63"/>
      <c r="K61" s="63">
        <f>F61*50%</f>
        <v>15000</v>
      </c>
      <c r="L61" s="63">
        <f t="shared" si="44"/>
        <v>105000</v>
      </c>
      <c r="M61" s="63">
        <f>F61*100%</f>
        <v>30000</v>
      </c>
      <c r="N61" s="63">
        <v>100000</v>
      </c>
      <c r="O61" s="63">
        <f>F61*10%</f>
        <v>3000</v>
      </c>
      <c r="P61" s="63">
        <v>10000</v>
      </c>
      <c r="Q61" s="63"/>
      <c r="R61" s="63">
        <f t="shared" si="18"/>
        <v>100000</v>
      </c>
      <c r="S61" s="63">
        <f t="shared" si="45"/>
        <v>150000</v>
      </c>
      <c r="T61" s="63">
        <f t="shared" si="46"/>
        <v>50000</v>
      </c>
    </row>
    <row r="62" spans="1:20" ht="18.75" x14ac:dyDescent="0.3">
      <c r="A62" s="3">
        <v>4</v>
      </c>
      <c r="B62" s="169" t="s">
        <v>133</v>
      </c>
      <c r="C62" s="170"/>
      <c r="D62" s="62" t="s">
        <v>129</v>
      </c>
      <c r="E62" s="67" t="s">
        <v>92</v>
      </c>
      <c r="F62" s="63">
        <f>30000</f>
        <v>30000</v>
      </c>
      <c r="G62" s="63"/>
      <c r="H62" s="63">
        <f t="shared" si="42"/>
        <v>90000</v>
      </c>
      <c r="I62" s="63">
        <f t="shared" si="43"/>
        <v>2250</v>
      </c>
      <c r="J62" s="36">
        <v>0</v>
      </c>
      <c r="K62" s="63">
        <f>F62*50%</f>
        <v>15000</v>
      </c>
      <c r="L62" s="36">
        <f t="shared" si="44"/>
        <v>105000</v>
      </c>
      <c r="M62" s="63">
        <f>F62*100%</f>
        <v>30000</v>
      </c>
      <c r="N62" s="63">
        <f>100000</f>
        <v>100000</v>
      </c>
      <c r="O62" s="63">
        <f>F62*10%</f>
        <v>3000</v>
      </c>
      <c r="P62" s="63">
        <v>10000</v>
      </c>
      <c r="Q62" s="63">
        <v>0</v>
      </c>
      <c r="R62" s="63">
        <f t="shared" si="18"/>
        <v>100000</v>
      </c>
      <c r="S62" s="63">
        <f t="shared" si="45"/>
        <v>150000</v>
      </c>
      <c r="T62" s="63">
        <f t="shared" si="46"/>
        <v>50000</v>
      </c>
    </row>
    <row r="63" spans="1:20" ht="23.25" x14ac:dyDescent="0.6">
      <c r="A63" s="3"/>
      <c r="B63" s="188" t="s">
        <v>32</v>
      </c>
      <c r="C63" s="189"/>
      <c r="D63" s="30">
        <v>4</v>
      </c>
      <c r="E63" s="30"/>
      <c r="F63" s="103">
        <f>SUM(F59:F62)</f>
        <v>260000</v>
      </c>
      <c r="G63" s="103"/>
      <c r="H63" s="103">
        <f t="shared" ref="H63:Q63" si="47">SUM(H59:H62)</f>
        <v>780000</v>
      </c>
      <c r="I63" s="103">
        <f t="shared" si="47"/>
        <v>19500</v>
      </c>
      <c r="J63" s="103">
        <f t="shared" si="47"/>
        <v>80244.38</v>
      </c>
      <c r="K63" s="103">
        <f t="shared" si="47"/>
        <v>130000</v>
      </c>
      <c r="L63" s="103">
        <f t="shared" si="47"/>
        <v>910000</v>
      </c>
      <c r="M63" s="103">
        <f t="shared" si="47"/>
        <v>260000</v>
      </c>
      <c r="N63" s="103">
        <f t="shared" si="47"/>
        <v>400000</v>
      </c>
      <c r="O63" s="103">
        <f t="shared" si="47"/>
        <v>26000</v>
      </c>
      <c r="P63" s="103">
        <f t="shared" si="47"/>
        <v>60000</v>
      </c>
      <c r="Q63" s="103">
        <f t="shared" si="47"/>
        <v>0</v>
      </c>
      <c r="R63" s="39">
        <f t="shared" si="18"/>
        <v>400000</v>
      </c>
      <c r="S63" s="106">
        <f>SUM(S59:S62)</f>
        <v>600000</v>
      </c>
      <c r="T63" s="106">
        <f t="shared" si="46"/>
        <v>200000</v>
      </c>
    </row>
    <row r="64" spans="1:20" ht="18.75" x14ac:dyDescent="0.3">
      <c r="A64" s="3"/>
      <c r="B64" s="190"/>
      <c r="C64" s="191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63">
        <f t="shared" si="18"/>
        <v>0</v>
      </c>
      <c r="S64" s="39"/>
      <c r="T64" s="39"/>
    </row>
    <row r="65" spans="1:20" ht="18.75" x14ac:dyDescent="0.3">
      <c r="A65" s="3"/>
      <c r="B65" s="192" t="s">
        <v>134</v>
      </c>
      <c r="C65" s="193"/>
      <c r="D65" s="72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3">
        <f t="shared" si="18"/>
        <v>0</v>
      </c>
      <c r="S65" s="39"/>
      <c r="T65" s="39"/>
    </row>
    <row r="66" spans="1:20" ht="18.75" x14ac:dyDescent="0.3">
      <c r="A66" s="3">
        <v>1</v>
      </c>
      <c r="B66" s="169" t="s">
        <v>39</v>
      </c>
      <c r="C66" s="170"/>
      <c r="D66" s="62" t="s">
        <v>270</v>
      </c>
      <c r="E66" s="67" t="s">
        <v>41</v>
      </c>
      <c r="F66" s="63">
        <f>150000</f>
        <v>150000</v>
      </c>
      <c r="G66" s="63"/>
      <c r="H66" s="63">
        <f>F66*300%</f>
        <v>450000</v>
      </c>
      <c r="I66" s="63">
        <f>F66*7.5%</f>
        <v>11250</v>
      </c>
      <c r="J66" s="63">
        <v>80244.38</v>
      </c>
      <c r="K66" s="63">
        <f>F66*50%</f>
        <v>75000</v>
      </c>
      <c r="L66" s="63">
        <f>F66*350%</f>
        <v>525000</v>
      </c>
      <c r="M66" s="63">
        <f t="shared" ref="M66:M74" si="48">F66*100%</f>
        <v>150000</v>
      </c>
      <c r="N66" s="63">
        <v>100000</v>
      </c>
      <c r="O66" s="63">
        <f t="shared" ref="O66:O74" si="49">F66*10%</f>
        <v>15000</v>
      </c>
      <c r="P66" s="63">
        <v>20000</v>
      </c>
      <c r="Q66" s="63">
        <v>0</v>
      </c>
      <c r="R66" s="63">
        <f t="shared" si="18"/>
        <v>100000</v>
      </c>
      <c r="S66" s="63">
        <f t="shared" ref="S66:S74" si="50">150000</f>
        <v>150000</v>
      </c>
      <c r="T66" s="63">
        <f>S66-N66</f>
        <v>50000</v>
      </c>
    </row>
    <row r="67" spans="1:20" ht="18.75" x14ac:dyDescent="0.3">
      <c r="A67" s="3">
        <v>2</v>
      </c>
      <c r="B67" s="169" t="s">
        <v>135</v>
      </c>
      <c r="C67" s="170"/>
      <c r="D67" s="33" t="s">
        <v>271</v>
      </c>
      <c r="E67" s="3" t="s">
        <v>44</v>
      </c>
      <c r="F67" s="63">
        <f>70000</f>
        <v>70000</v>
      </c>
      <c r="G67" s="63"/>
      <c r="H67" s="63">
        <f t="shared" ref="H67:H74" si="51">F67*300%</f>
        <v>210000</v>
      </c>
      <c r="I67" s="63">
        <f t="shared" ref="I67:I74" si="52">F67*7.5%</f>
        <v>5250</v>
      </c>
      <c r="J67" s="63">
        <v>40122.19</v>
      </c>
      <c r="K67" s="63">
        <f t="shared" ref="K67:K74" si="53">F67*50%</f>
        <v>35000</v>
      </c>
      <c r="L67" s="63">
        <f t="shared" ref="L67:L74" si="54">F67*350%</f>
        <v>245000</v>
      </c>
      <c r="M67" s="63">
        <f t="shared" si="48"/>
        <v>70000</v>
      </c>
      <c r="N67" s="63">
        <v>100000</v>
      </c>
      <c r="O67" s="63">
        <f t="shared" si="49"/>
        <v>7000</v>
      </c>
      <c r="P67" s="63">
        <v>20000</v>
      </c>
      <c r="Q67" s="63"/>
      <c r="R67" s="63">
        <f t="shared" si="18"/>
        <v>100000</v>
      </c>
      <c r="S67" s="63">
        <f t="shared" si="50"/>
        <v>150000</v>
      </c>
      <c r="T67" s="63">
        <f t="shared" ref="T67:T75" si="55">S67-N67</f>
        <v>50000</v>
      </c>
    </row>
    <row r="68" spans="1:20" ht="18.75" x14ac:dyDescent="0.3">
      <c r="A68" s="3">
        <v>3</v>
      </c>
      <c r="B68" s="169" t="s">
        <v>137</v>
      </c>
      <c r="C68" s="170"/>
      <c r="D68" s="33" t="s">
        <v>101</v>
      </c>
      <c r="E68" s="3" t="s">
        <v>102</v>
      </c>
      <c r="F68" s="63">
        <f>50000</f>
        <v>50000</v>
      </c>
      <c r="G68" s="63"/>
      <c r="H68" s="63">
        <f t="shared" si="51"/>
        <v>150000</v>
      </c>
      <c r="I68" s="63">
        <f t="shared" si="52"/>
        <v>3750</v>
      </c>
      <c r="J68" s="63"/>
      <c r="K68" s="63">
        <f t="shared" si="53"/>
        <v>25000</v>
      </c>
      <c r="L68" s="63">
        <f t="shared" si="54"/>
        <v>175000</v>
      </c>
      <c r="M68" s="63">
        <f t="shared" si="48"/>
        <v>50000</v>
      </c>
      <c r="N68" s="63">
        <v>100000</v>
      </c>
      <c r="O68" s="63">
        <f t="shared" si="49"/>
        <v>5000</v>
      </c>
      <c r="P68" s="63">
        <v>20000</v>
      </c>
      <c r="Q68" s="63"/>
      <c r="R68" s="63">
        <f t="shared" si="18"/>
        <v>100000</v>
      </c>
      <c r="S68" s="63">
        <f t="shared" si="50"/>
        <v>150000</v>
      </c>
      <c r="T68" s="63">
        <f t="shared" si="55"/>
        <v>50000</v>
      </c>
    </row>
    <row r="69" spans="1:20" ht="18.75" x14ac:dyDescent="0.3">
      <c r="A69" s="3">
        <v>4</v>
      </c>
      <c r="B69" s="169" t="s">
        <v>140</v>
      </c>
      <c r="C69" s="170"/>
      <c r="D69" s="33" t="s">
        <v>112</v>
      </c>
      <c r="E69" s="3" t="s">
        <v>57</v>
      </c>
      <c r="F69" s="63">
        <f>50000</f>
        <v>50000</v>
      </c>
      <c r="G69" s="63"/>
      <c r="H69" s="63">
        <f t="shared" si="51"/>
        <v>150000</v>
      </c>
      <c r="I69" s="63">
        <f t="shared" si="52"/>
        <v>3750</v>
      </c>
      <c r="J69" s="63">
        <v>0</v>
      </c>
      <c r="K69" s="63">
        <f t="shared" si="53"/>
        <v>25000</v>
      </c>
      <c r="L69" s="63">
        <f t="shared" si="54"/>
        <v>175000</v>
      </c>
      <c r="M69" s="63">
        <f t="shared" si="48"/>
        <v>50000</v>
      </c>
      <c r="N69" s="63">
        <v>100000</v>
      </c>
      <c r="O69" s="63">
        <f t="shared" si="49"/>
        <v>5000</v>
      </c>
      <c r="P69" s="63">
        <v>15000</v>
      </c>
      <c r="Q69" s="63">
        <v>0</v>
      </c>
      <c r="R69" s="63">
        <f t="shared" si="18"/>
        <v>100000</v>
      </c>
      <c r="S69" s="63">
        <f t="shared" si="50"/>
        <v>150000</v>
      </c>
      <c r="T69" s="63">
        <f t="shared" si="55"/>
        <v>50000</v>
      </c>
    </row>
    <row r="70" spans="1:20" ht="18.75" x14ac:dyDescent="0.3">
      <c r="A70" s="3">
        <v>5</v>
      </c>
      <c r="B70" s="173" t="s">
        <v>144</v>
      </c>
      <c r="C70" s="174"/>
      <c r="D70" s="20" t="s">
        <v>112</v>
      </c>
      <c r="E70" s="29" t="s">
        <v>110</v>
      </c>
      <c r="F70" s="26">
        <f>50000</f>
        <v>50000</v>
      </c>
      <c r="G70" s="63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63">
        <f t="shared" si="18"/>
        <v>100000</v>
      </c>
      <c r="S70" s="63">
        <f t="shared" si="50"/>
        <v>150000</v>
      </c>
      <c r="T70" s="63">
        <f t="shared" si="55"/>
        <v>50000</v>
      </c>
    </row>
    <row r="71" spans="1:20" ht="18.75" x14ac:dyDescent="0.3">
      <c r="A71" s="3">
        <v>6</v>
      </c>
      <c r="B71" s="173" t="s">
        <v>123</v>
      </c>
      <c r="C71" s="174"/>
      <c r="D71" s="20" t="s">
        <v>124</v>
      </c>
      <c r="E71" s="29" t="s">
        <v>285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63">
        <f t="shared" si="18"/>
        <v>100000</v>
      </c>
      <c r="S71" s="63">
        <f t="shared" si="50"/>
        <v>150000</v>
      </c>
      <c r="T71" s="63">
        <f t="shared" si="55"/>
        <v>50000</v>
      </c>
    </row>
    <row r="72" spans="1:20" ht="18.75" x14ac:dyDescent="0.3">
      <c r="A72" s="3">
        <v>7</v>
      </c>
      <c r="B72" s="173" t="s">
        <v>121</v>
      </c>
      <c r="C72" s="174"/>
      <c r="D72" s="20" t="s">
        <v>112</v>
      </c>
      <c r="E72" s="29" t="s">
        <v>110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63">
        <f t="shared" si="18"/>
        <v>100000</v>
      </c>
      <c r="S72" s="63">
        <f t="shared" si="50"/>
        <v>150000</v>
      </c>
      <c r="T72" s="63">
        <f t="shared" si="55"/>
        <v>50000</v>
      </c>
    </row>
    <row r="73" spans="1:20" ht="18.75" x14ac:dyDescent="0.3">
      <c r="A73" s="3">
        <v>8</v>
      </c>
      <c r="B73" s="173" t="s">
        <v>145</v>
      </c>
      <c r="C73" s="174"/>
      <c r="D73" s="20" t="s">
        <v>289</v>
      </c>
      <c r="E73" s="29" t="s">
        <v>110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63">
        <f t="shared" si="18"/>
        <v>100000</v>
      </c>
      <c r="S73" s="63">
        <f t="shared" si="50"/>
        <v>150000</v>
      </c>
      <c r="T73" s="63">
        <f t="shared" si="55"/>
        <v>50000</v>
      </c>
    </row>
    <row r="74" spans="1:20" ht="18.75" x14ac:dyDescent="0.3">
      <c r="A74" s="3">
        <v>9</v>
      </c>
      <c r="B74" s="178" t="s">
        <v>146</v>
      </c>
      <c r="C74" s="178"/>
      <c r="D74" s="33" t="s">
        <v>124</v>
      </c>
      <c r="E74" s="67" t="s">
        <v>68</v>
      </c>
      <c r="F74" s="63">
        <f>30000</f>
        <v>30000</v>
      </c>
      <c r="G74" s="63"/>
      <c r="H74" s="63">
        <f t="shared" si="51"/>
        <v>90000</v>
      </c>
      <c r="I74" s="63">
        <f t="shared" si="52"/>
        <v>2250</v>
      </c>
      <c r="J74" s="63">
        <v>0</v>
      </c>
      <c r="K74" s="63">
        <f t="shared" si="53"/>
        <v>15000</v>
      </c>
      <c r="L74" s="36">
        <f t="shared" si="54"/>
        <v>105000</v>
      </c>
      <c r="M74" s="63">
        <f t="shared" si="48"/>
        <v>30000</v>
      </c>
      <c r="N74" s="63">
        <v>100000</v>
      </c>
      <c r="O74" s="63">
        <f t="shared" si="49"/>
        <v>3000</v>
      </c>
      <c r="P74" s="63">
        <v>10000</v>
      </c>
      <c r="Q74" s="63">
        <v>0</v>
      </c>
      <c r="R74" s="63">
        <f t="shared" si="18"/>
        <v>100000</v>
      </c>
      <c r="S74" s="63">
        <f t="shared" si="50"/>
        <v>150000</v>
      </c>
      <c r="T74" s="63">
        <f t="shared" si="55"/>
        <v>50000</v>
      </c>
    </row>
    <row r="75" spans="1:20" ht="23.25" x14ac:dyDescent="0.6">
      <c r="A75" s="33"/>
      <c r="B75" s="179" t="s">
        <v>32</v>
      </c>
      <c r="C75" s="179"/>
      <c r="D75" s="7">
        <v>9</v>
      </c>
      <c r="E75" s="7"/>
      <c r="F75" s="106">
        <f>SUM(F66:F74)</f>
        <v>530000</v>
      </c>
      <c r="G75" s="106"/>
      <c r="H75" s="106">
        <f t="shared" ref="H75:Q75" si="56">SUM(H66:H74)</f>
        <v>1590000</v>
      </c>
      <c r="I75" s="106">
        <f t="shared" si="56"/>
        <v>39750</v>
      </c>
      <c r="J75" s="106">
        <f t="shared" si="56"/>
        <v>120366.57</v>
      </c>
      <c r="K75" s="106">
        <f t="shared" si="56"/>
        <v>265000</v>
      </c>
      <c r="L75" s="106">
        <f t="shared" si="56"/>
        <v>1855000</v>
      </c>
      <c r="M75" s="106">
        <f t="shared" si="56"/>
        <v>530000</v>
      </c>
      <c r="N75" s="106">
        <f t="shared" si="56"/>
        <v>900000</v>
      </c>
      <c r="O75" s="106">
        <f t="shared" si="56"/>
        <v>53000</v>
      </c>
      <c r="P75" s="106">
        <f t="shared" si="56"/>
        <v>140000</v>
      </c>
      <c r="Q75" s="106">
        <f t="shared" si="56"/>
        <v>0</v>
      </c>
      <c r="R75" s="39">
        <f t="shared" si="18"/>
        <v>900000</v>
      </c>
      <c r="S75" s="106">
        <f>SUM(S66:S74)</f>
        <v>1350000</v>
      </c>
      <c r="T75" s="106">
        <f t="shared" si="55"/>
        <v>450000</v>
      </c>
    </row>
    <row r="76" spans="1:20" ht="18.75" x14ac:dyDescent="0.3">
      <c r="A76" s="33"/>
      <c r="B76" s="101"/>
      <c r="C76" s="101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63">
        <f t="shared" si="18"/>
        <v>0</v>
      </c>
      <c r="S76" s="39"/>
      <c r="T76" s="39"/>
    </row>
    <row r="77" spans="1:20" ht="18.75" x14ac:dyDescent="0.3">
      <c r="A77" s="33"/>
      <c r="B77" s="179" t="s">
        <v>147</v>
      </c>
      <c r="C77" s="179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63">
        <f t="shared" si="18"/>
        <v>0</v>
      </c>
      <c r="S77" s="39"/>
      <c r="T77" s="39"/>
    </row>
    <row r="78" spans="1:20" ht="18.75" x14ac:dyDescent="0.3">
      <c r="A78" s="33">
        <v>1</v>
      </c>
      <c r="B78" s="169" t="s">
        <v>321</v>
      </c>
      <c r="C78" s="170"/>
      <c r="D78" s="33" t="s">
        <v>322</v>
      </c>
      <c r="E78" s="3" t="s">
        <v>54</v>
      </c>
      <c r="F78" s="63">
        <f>100000</f>
        <v>100000</v>
      </c>
      <c r="G78" s="63">
        <v>0</v>
      </c>
      <c r="H78" s="63">
        <f t="shared" ref="H78" si="57">F78*300%</f>
        <v>300000</v>
      </c>
      <c r="I78" s="63">
        <f t="shared" ref="I78" si="58">F78*7.5%</f>
        <v>7500</v>
      </c>
      <c r="J78" s="63">
        <v>40122.19</v>
      </c>
      <c r="K78" s="63">
        <f t="shared" ref="K78" si="59">F78*50%</f>
        <v>50000</v>
      </c>
      <c r="L78" s="63">
        <f t="shared" ref="L78" si="60">F78*350%</f>
        <v>350000</v>
      </c>
      <c r="M78" s="63">
        <f t="shared" ref="M78" si="61">F78*100%</f>
        <v>100000</v>
      </c>
      <c r="N78" s="63">
        <v>100000</v>
      </c>
      <c r="O78" s="63">
        <f t="shared" ref="O78" si="62">F78*10%</f>
        <v>10000</v>
      </c>
      <c r="P78" s="63">
        <v>20000</v>
      </c>
      <c r="Q78" s="63">
        <v>0</v>
      </c>
      <c r="R78" s="63">
        <f t="shared" si="18"/>
        <v>100000</v>
      </c>
      <c r="S78" s="63">
        <v>100000</v>
      </c>
      <c r="T78" s="63"/>
    </row>
    <row r="79" spans="1:20" ht="18.75" x14ac:dyDescent="0.3">
      <c r="A79" s="33">
        <v>2</v>
      </c>
      <c r="B79" s="169" t="s">
        <v>148</v>
      </c>
      <c r="C79" s="170"/>
      <c r="D79" s="33" t="s">
        <v>290</v>
      </c>
      <c r="E79" s="3" t="s">
        <v>44</v>
      </c>
      <c r="F79" s="63">
        <f>70000</f>
        <v>70000</v>
      </c>
      <c r="G79" s="63"/>
      <c r="H79" s="63">
        <f>F79*300%</f>
        <v>210000</v>
      </c>
      <c r="I79" s="63">
        <f>F79*7.5%</f>
        <v>5250</v>
      </c>
      <c r="J79" s="63">
        <v>40122.19</v>
      </c>
      <c r="K79" s="63">
        <f>F79*50%</f>
        <v>35000</v>
      </c>
      <c r="L79" s="63">
        <f>F79*350%</f>
        <v>245000</v>
      </c>
      <c r="M79" s="63">
        <f>F79*100%</f>
        <v>70000</v>
      </c>
      <c r="N79" s="63">
        <v>100000</v>
      </c>
      <c r="O79" s="63">
        <f>F79*10%</f>
        <v>7000</v>
      </c>
      <c r="P79" s="63">
        <v>20000</v>
      </c>
      <c r="Q79" s="63">
        <v>150000</v>
      </c>
      <c r="R79" s="63">
        <f t="shared" si="18"/>
        <v>250000</v>
      </c>
      <c r="S79" s="63">
        <v>150000</v>
      </c>
      <c r="T79" s="63">
        <f>S79-N79</f>
        <v>50000</v>
      </c>
    </row>
    <row r="80" spans="1:20" ht="18.75" x14ac:dyDescent="0.3">
      <c r="A80" s="33">
        <v>3</v>
      </c>
      <c r="B80" s="173" t="s">
        <v>150</v>
      </c>
      <c r="C80" s="174"/>
      <c r="D80" s="20" t="s">
        <v>151</v>
      </c>
      <c r="E80" s="29" t="s">
        <v>110</v>
      </c>
      <c r="F80" s="26">
        <f>50000</f>
        <v>50000</v>
      </c>
      <c r="G80" s="63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63">
        <f t="shared" si="18"/>
        <v>100000</v>
      </c>
      <c r="S80" s="26">
        <v>100000</v>
      </c>
      <c r="T80" s="26"/>
    </row>
    <row r="81" spans="1:20" ht="18.75" x14ac:dyDescent="0.3">
      <c r="A81" s="33">
        <v>4</v>
      </c>
      <c r="B81" s="171" t="s">
        <v>63</v>
      </c>
      <c r="C81" s="172"/>
      <c r="D81" s="33" t="s">
        <v>64</v>
      </c>
      <c r="E81" s="3" t="s">
        <v>110</v>
      </c>
      <c r="F81" s="26">
        <f>50000</f>
        <v>50000</v>
      </c>
      <c r="G81" s="63"/>
      <c r="H81" s="63">
        <f>F81*300%</f>
        <v>150000</v>
      </c>
      <c r="I81" s="63">
        <f>F81*7.5%</f>
        <v>3750</v>
      </c>
      <c r="J81" s="63"/>
      <c r="K81" s="63">
        <f>F81*50%</f>
        <v>25000</v>
      </c>
      <c r="L81" s="36">
        <f>F81*350%</f>
        <v>175000</v>
      </c>
      <c r="M81" s="63">
        <f>F81*100%</f>
        <v>50000</v>
      </c>
      <c r="N81" s="26">
        <v>100000</v>
      </c>
      <c r="O81" s="63">
        <f>F81*10%</f>
        <v>5000</v>
      </c>
      <c r="P81" s="63">
        <v>15000</v>
      </c>
      <c r="Q81" s="63">
        <v>50000</v>
      </c>
      <c r="R81" s="63">
        <f t="shared" si="18"/>
        <v>150000</v>
      </c>
      <c r="S81" s="26">
        <v>150000</v>
      </c>
      <c r="T81" s="26">
        <f>S81-N81</f>
        <v>50000</v>
      </c>
    </row>
    <row r="82" spans="1:20" ht="18.75" x14ac:dyDescent="0.3">
      <c r="A82" s="33">
        <v>5</v>
      </c>
      <c r="B82" s="169" t="s">
        <v>152</v>
      </c>
      <c r="C82" s="170"/>
      <c r="D82" s="33" t="s">
        <v>273</v>
      </c>
      <c r="E82" s="67" t="s">
        <v>85</v>
      </c>
      <c r="F82" s="26">
        <f>30000</f>
        <v>30000</v>
      </c>
      <c r="G82" s="63"/>
      <c r="H82" s="63">
        <f>F82*300%</f>
        <v>90000</v>
      </c>
      <c r="I82" s="63">
        <f>F82*7.5%</f>
        <v>2250</v>
      </c>
      <c r="J82" s="63"/>
      <c r="K82" s="63">
        <f>F82*50%</f>
        <v>15000</v>
      </c>
      <c r="L82" s="36">
        <f>F82*350%</f>
        <v>105000</v>
      </c>
      <c r="M82" s="26">
        <f>F82*100%</f>
        <v>30000</v>
      </c>
      <c r="N82" s="63">
        <f t="shared" ref="N82:N113" si="63">100000</f>
        <v>100000</v>
      </c>
      <c r="O82" s="63">
        <f>F82*10%</f>
        <v>3000</v>
      </c>
      <c r="P82" s="63">
        <v>10000</v>
      </c>
      <c r="Q82" s="63"/>
      <c r="R82" s="63">
        <f t="shared" si="18"/>
        <v>100000</v>
      </c>
      <c r="S82" s="63">
        <f t="shared" ref="S82" si="64">100000</f>
        <v>100000</v>
      </c>
      <c r="T82" s="63"/>
    </row>
    <row r="83" spans="1:20" ht="18.75" x14ac:dyDescent="0.3">
      <c r="A83" s="33">
        <v>6</v>
      </c>
      <c r="B83" s="84" t="s">
        <v>323</v>
      </c>
      <c r="C83" s="85"/>
      <c r="D83" s="33"/>
      <c r="E83" s="67" t="s">
        <v>286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63">
        <f t="shared" si="18"/>
        <v>100000</v>
      </c>
      <c r="S83" s="26">
        <v>100000</v>
      </c>
      <c r="T83" s="26"/>
    </row>
    <row r="84" spans="1:20" ht="23.25" x14ac:dyDescent="0.6">
      <c r="A84" s="33"/>
      <c r="B84" s="179" t="s">
        <v>32</v>
      </c>
      <c r="C84" s="179"/>
      <c r="D84" s="7">
        <v>6</v>
      </c>
      <c r="E84" s="102"/>
      <c r="F84" s="103">
        <f t="shared" ref="F84:Q84" si="65">SUM(F78:F83)</f>
        <v>330000</v>
      </c>
      <c r="G84" s="103">
        <f t="shared" si="65"/>
        <v>0</v>
      </c>
      <c r="H84" s="103">
        <f t="shared" si="65"/>
        <v>990000</v>
      </c>
      <c r="I84" s="103">
        <f t="shared" si="65"/>
        <v>24750</v>
      </c>
      <c r="J84" s="103">
        <f t="shared" si="65"/>
        <v>80244.38</v>
      </c>
      <c r="K84" s="103">
        <f t="shared" si="65"/>
        <v>165000</v>
      </c>
      <c r="L84" s="103">
        <f t="shared" si="65"/>
        <v>1155000</v>
      </c>
      <c r="M84" s="103">
        <f t="shared" si="65"/>
        <v>330000</v>
      </c>
      <c r="N84" s="103">
        <f t="shared" si="65"/>
        <v>600000</v>
      </c>
      <c r="O84" s="103">
        <f t="shared" si="65"/>
        <v>33000</v>
      </c>
      <c r="P84" s="103">
        <f t="shared" si="65"/>
        <v>90000</v>
      </c>
      <c r="Q84" s="103">
        <f t="shared" si="65"/>
        <v>200000</v>
      </c>
      <c r="R84" s="39">
        <f t="shared" si="18"/>
        <v>800000</v>
      </c>
      <c r="S84" s="103">
        <f t="shared" ref="S84" si="66">SUM(S78:S83)</f>
        <v>700000</v>
      </c>
      <c r="T84" s="103">
        <f>SUM(T78:T83)</f>
        <v>100000</v>
      </c>
    </row>
    <row r="85" spans="1:20" ht="18.75" x14ac:dyDescent="0.3">
      <c r="A85" s="33"/>
      <c r="B85" s="101"/>
      <c r="C85" s="101"/>
      <c r="D85" s="7"/>
      <c r="E85" s="102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3">
        <f t="shared" si="18"/>
        <v>0</v>
      </c>
      <c r="S85" s="31"/>
      <c r="T85" s="31"/>
    </row>
    <row r="86" spans="1:20" ht="18.75" x14ac:dyDescent="0.3">
      <c r="A86" s="33"/>
      <c r="B86" s="179" t="s">
        <v>155</v>
      </c>
      <c r="C86" s="179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63">
        <f t="shared" si="18"/>
        <v>0</v>
      </c>
      <c r="S86" s="33"/>
      <c r="T86" s="33"/>
    </row>
    <row r="87" spans="1:20" ht="18.75" x14ac:dyDescent="0.3">
      <c r="A87" s="1">
        <v>1</v>
      </c>
      <c r="B87" s="169" t="s">
        <v>156</v>
      </c>
      <c r="C87" s="170"/>
      <c r="D87" s="62" t="s">
        <v>157</v>
      </c>
      <c r="E87" s="67" t="s">
        <v>287</v>
      </c>
      <c r="F87" s="63">
        <f>150000</f>
        <v>150000</v>
      </c>
      <c r="G87" s="63"/>
      <c r="H87" s="63">
        <f>F87*300%</f>
        <v>450000</v>
      </c>
      <c r="I87" s="63">
        <f>F87*7.5%</f>
        <v>11250</v>
      </c>
      <c r="J87" s="63">
        <v>80244.38</v>
      </c>
      <c r="K87" s="63">
        <f>F87*50%</f>
        <v>75000</v>
      </c>
      <c r="L87" s="63">
        <f>F87*350%</f>
        <v>525000</v>
      </c>
      <c r="M87" s="63">
        <f>F87*100%</f>
        <v>150000</v>
      </c>
      <c r="N87" s="63">
        <v>100000</v>
      </c>
      <c r="O87" s="63">
        <f>F87*10%</f>
        <v>15000</v>
      </c>
      <c r="P87" s="63">
        <v>20000</v>
      </c>
      <c r="Q87" s="63">
        <v>0</v>
      </c>
      <c r="R87" s="63">
        <f t="shared" si="18"/>
        <v>100000</v>
      </c>
      <c r="S87" s="63">
        <v>150000</v>
      </c>
      <c r="T87" s="63">
        <f>S87-N87</f>
        <v>50000</v>
      </c>
    </row>
    <row r="88" spans="1:20" ht="18.75" x14ac:dyDescent="0.3">
      <c r="A88" s="1">
        <v>2</v>
      </c>
      <c r="B88" s="180" t="s">
        <v>158</v>
      </c>
      <c r="C88" s="181"/>
      <c r="D88" s="33" t="s">
        <v>159</v>
      </c>
      <c r="E88" s="3" t="s">
        <v>44</v>
      </c>
      <c r="F88" s="63">
        <f>70000</f>
        <v>70000</v>
      </c>
      <c r="G88" s="63"/>
      <c r="H88" s="63">
        <f>F88*300%</f>
        <v>210000</v>
      </c>
      <c r="I88" s="63">
        <f>F88*7.5%</f>
        <v>5250</v>
      </c>
      <c r="J88" s="63">
        <v>40122.19</v>
      </c>
      <c r="K88" s="63">
        <f>F88*50%</f>
        <v>35000</v>
      </c>
      <c r="L88" s="63">
        <f>F88*350%</f>
        <v>245000</v>
      </c>
      <c r="M88" s="63">
        <f>F88*100%</f>
        <v>70000</v>
      </c>
      <c r="N88" s="63">
        <v>100000</v>
      </c>
      <c r="O88" s="63">
        <f>F88*10%</f>
        <v>7000</v>
      </c>
      <c r="P88" s="63">
        <v>20000</v>
      </c>
      <c r="Q88" s="63">
        <v>0</v>
      </c>
      <c r="R88" s="63">
        <f t="shared" si="18"/>
        <v>100000</v>
      </c>
      <c r="S88" s="63">
        <v>150000</v>
      </c>
      <c r="T88" s="63">
        <f t="shared" ref="T88:T91" si="67">S88-N88</f>
        <v>50000</v>
      </c>
    </row>
    <row r="89" spans="1:20" ht="18.75" x14ac:dyDescent="0.3">
      <c r="A89" s="1">
        <v>3</v>
      </c>
      <c r="B89" s="169" t="s">
        <v>160</v>
      </c>
      <c r="C89" s="170"/>
      <c r="D89" s="33" t="s">
        <v>274</v>
      </c>
      <c r="E89" s="3" t="s">
        <v>57</v>
      </c>
      <c r="F89" s="63">
        <f>50000</f>
        <v>50000</v>
      </c>
      <c r="G89" s="63"/>
      <c r="H89" s="63">
        <f>F89*300%</f>
        <v>150000</v>
      </c>
      <c r="I89" s="63">
        <f>F89*7.5%</f>
        <v>3750</v>
      </c>
      <c r="J89" s="63">
        <v>0</v>
      </c>
      <c r="K89" s="63">
        <f>F89*50%</f>
        <v>25000</v>
      </c>
      <c r="L89" s="63">
        <f>F89*350%</f>
        <v>175000</v>
      </c>
      <c r="M89" s="63">
        <f>F89*100%</f>
        <v>50000</v>
      </c>
      <c r="N89" s="63">
        <v>100000</v>
      </c>
      <c r="O89" s="63">
        <f>F89*10%</f>
        <v>5000</v>
      </c>
      <c r="P89" s="63">
        <v>15000</v>
      </c>
      <c r="Q89" s="63">
        <v>0</v>
      </c>
      <c r="R89" s="63">
        <f t="shared" si="18"/>
        <v>100000</v>
      </c>
      <c r="S89" s="63">
        <v>150000</v>
      </c>
      <c r="T89" s="63">
        <f t="shared" si="67"/>
        <v>50000</v>
      </c>
    </row>
    <row r="90" spans="1:20" ht="18.75" x14ac:dyDescent="0.3">
      <c r="A90" s="1">
        <v>4</v>
      </c>
      <c r="B90" s="173" t="s">
        <v>162</v>
      </c>
      <c r="C90" s="174"/>
      <c r="D90" s="20" t="s">
        <v>275</v>
      </c>
      <c r="E90" s="29" t="s">
        <v>291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63">
        <f t="shared" si="18"/>
        <v>100000</v>
      </c>
      <c r="S90" s="63">
        <v>150000</v>
      </c>
      <c r="T90" s="63">
        <f t="shared" si="67"/>
        <v>50000</v>
      </c>
    </row>
    <row r="91" spans="1:20" ht="23.25" x14ac:dyDescent="0.6">
      <c r="A91" s="1"/>
      <c r="B91" s="179" t="s">
        <v>32</v>
      </c>
      <c r="C91" s="179"/>
      <c r="D91" s="3">
        <v>4</v>
      </c>
      <c r="E91" s="33"/>
      <c r="F91" s="104">
        <f>SUM(F87:F90)</f>
        <v>300000</v>
      </c>
      <c r="G91" s="105"/>
      <c r="H91" s="104">
        <f t="shared" ref="H91:Q91" si="68">SUM(H87:H90)</f>
        <v>900000</v>
      </c>
      <c r="I91" s="104">
        <f t="shared" si="68"/>
        <v>22500</v>
      </c>
      <c r="J91" s="104">
        <f t="shared" si="68"/>
        <v>120366.57</v>
      </c>
      <c r="K91" s="104">
        <f t="shared" si="68"/>
        <v>150000</v>
      </c>
      <c r="L91" s="104">
        <f t="shared" si="68"/>
        <v>1050000</v>
      </c>
      <c r="M91" s="104">
        <f t="shared" si="68"/>
        <v>300000</v>
      </c>
      <c r="N91" s="104">
        <f t="shared" si="68"/>
        <v>400000</v>
      </c>
      <c r="O91" s="104">
        <f t="shared" si="68"/>
        <v>30000</v>
      </c>
      <c r="P91" s="104">
        <f t="shared" si="68"/>
        <v>65000</v>
      </c>
      <c r="Q91" s="104">
        <f t="shared" si="68"/>
        <v>0</v>
      </c>
      <c r="R91" s="39">
        <f t="shared" si="18"/>
        <v>400000</v>
      </c>
      <c r="S91" s="104">
        <f t="shared" ref="S91" si="69">SUM(S87:S90)</f>
        <v>600000</v>
      </c>
      <c r="T91" s="39">
        <f t="shared" si="67"/>
        <v>200000</v>
      </c>
    </row>
    <row r="92" spans="1:20" ht="18.75" x14ac:dyDescent="0.3">
      <c r="A92" s="1"/>
      <c r="B92" s="101"/>
      <c r="C92" s="101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3">
        <f t="shared" ref="R92:R155" si="70">N92+Q92</f>
        <v>0</v>
      </c>
      <c r="S92" s="13"/>
      <c r="T92" s="13"/>
    </row>
    <row r="93" spans="1:20" ht="18.75" x14ac:dyDescent="0.3">
      <c r="A93" s="1"/>
      <c r="B93" s="179" t="s">
        <v>163</v>
      </c>
      <c r="C93" s="179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>
        <f t="shared" si="70"/>
        <v>0</v>
      </c>
      <c r="S93" s="39"/>
      <c r="T93" s="39"/>
    </row>
    <row r="94" spans="1:20" ht="18.75" x14ac:dyDescent="0.3">
      <c r="A94" s="1">
        <v>1</v>
      </c>
      <c r="B94" s="178" t="s">
        <v>164</v>
      </c>
      <c r="C94" s="178"/>
      <c r="D94" s="62" t="s">
        <v>165</v>
      </c>
      <c r="E94" s="67" t="s">
        <v>89</v>
      </c>
      <c r="F94" s="63">
        <f>150000</f>
        <v>150000</v>
      </c>
      <c r="G94" s="63"/>
      <c r="H94" s="63">
        <f t="shared" ref="H94:H103" si="71">F94*300%</f>
        <v>450000</v>
      </c>
      <c r="I94" s="63">
        <f t="shared" ref="I94:I103" si="72">F94*7.5%</f>
        <v>11250</v>
      </c>
      <c r="J94" s="63">
        <f>80244.38</f>
        <v>80244.38</v>
      </c>
      <c r="K94" s="63">
        <f t="shared" ref="K94:K103" si="73">F94*50%</f>
        <v>75000</v>
      </c>
      <c r="L94" s="63">
        <f t="shared" ref="L94:L103" si="74">F94*350%</f>
        <v>525000</v>
      </c>
      <c r="M94" s="63">
        <f t="shared" ref="M94:M103" si="75">F94*100%</f>
        <v>150000</v>
      </c>
      <c r="N94" s="63">
        <f>0</f>
        <v>0</v>
      </c>
      <c r="O94" s="63">
        <f t="shared" ref="O94:O103" si="76">F94*10%</f>
        <v>15000</v>
      </c>
      <c r="P94" s="63">
        <v>20000</v>
      </c>
      <c r="Q94" s="63">
        <v>100000</v>
      </c>
      <c r="R94" s="63">
        <f t="shared" si="70"/>
        <v>100000</v>
      </c>
      <c r="S94" s="63">
        <f>100000</f>
        <v>100000</v>
      </c>
      <c r="T94" s="63">
        <f>0</f>
        <v>0</v>
      </c>
    </row>
    <row r="95" spans="1:20" ht="18.75" x14ac:dyDescent="0.3">
      <c r="A95" s="1">
        <v>2</v>
      </c>
      <c r="B95" s="178" t="s">
        <v>166</v>
      </c>
      <c r="C95" s="178"/>
      <c r="D95" s="62" t="s">
        <v>167</v>
      </c>
      <c r="E95" s="67" t="s">
        <v>284</v>
      </c>
      <c r="F95" s="63">
        <f>100000</f>
        <v>100000</v>
      </c>
      <c r="G95" s="63"/>
      <c r="H95" s="63">
        <f t="shared" si="71"/>
        <v>300000</v>
      </c>
      <c r="I95" s="63">
        <f t="shared" si="72"/>
        <v>7500</v>
      </c>
      <c r="J95" s="63">
        <v>40122.19</v>
      </c>
      <c r="K95" s="63">
        <f t="shared" si="73"/>
        <v>50000</v>
      </c>
      <c r="L95" s="63">
        <f t="shared" si="74"/>
        <v>350000</v>
      </c>
      <c r="M95" s="63">
        <f t="shared" si="75"/>
        <v>100000</v>
      </c>
      <c r="N95" s="63">
        <v>0</v>
      </c>
      <c r="O95" s="63">
        <f t="shared" si="76"/>
        <v>10000</v>
      </c>
      <c r="P95" s="63">
        <v>20000</v>
      </c>
      <c r="Q95" s="63">
        <f>50000</f>
        <v>50000</v>
      </c>
      <c r="R95" s="63">
        <f t="shared" si="70"/>
        <v>50000</v>
      </c>
      <c r="S95" s="63">
        <f t="shared" ref="S95:S103" si="77">100000</f>
        <v>100000</v>
      </c>
      <c r="T95" s="63">
        <f>0</f>
        <v>0</v>
      </c>
    </row>
    <row r="96" spans="1:20" ht="18.75" x14ac:dyDescent="0.3">
      <c r="A96" s="1">
        <v>3</v>
      </c>
      <c r="B96" s="178" t="s">
        <v>168</v>
      </c>
      <c r="C96" s="178"/>
      <c r="D96" s="62" t="s">
        <v>169</v>
      </c>
      <c r="E96" s="67" t="s">
        <v>138</v>
      </c>
      <c r="F96" s="63">
        <f>70000</f>
        <v>70000</v>
      </c>
      <c r="G96" s="63"/>
      <c r="H96" s="63">
        <f t="shared" si="71"/>
        <v>210000</v>
      </c>
      <c r="I96" s="63">
        <f t="shared" si="72"/>
        <v>5250</v>
      </c>
      <c r="J96" s="63">
        <v>40122.19</v>
      </c>
      <c r="K96" s="63">
        <f t="shared" si="73"/>
        <v>35000</v>
      </c>
      <c r="L96" s="36">
        <f t="shared" si="74"/>
        <v>245000</v>
      </c>
      <c r="M96" s="63">
        <f t="shared" si="75"/>
        <v>70000</v>
      </c>
      <c r="N96" s="63">
        <v>0</v>
      </c>
      <c r="O96" s="63">
        <f t="shared" si="76"/>
        <v>7000</v>
      </c>
      <c r="P96" s="63">
        <v>20000</v>
      </c>
      <c r="Q96" s="63">
        <v>0</v>
      </c>
      <c r="R96" s="63">
        <f t="shared" si="70"/>
        <v>0</v>
      </c>
      <c r="S96" s="63">
        <f t="shared" si="77"/>
        <v>100000</v>
      </c>
      <c r="T96" s="63">
        <f>0</f>
        <v>0</v>
      </c>
    </row>
    <row r="97" spans="1:20" ht="18.75" x14ac:dyDescent="0.3">
      <c r="A97" s="1">
        <v>4</v>
      </c>
      <c r="B97" s="178" t="s">
        <v>170</v>
      </c>
      <c r="C97" s="178"/>
      <c r="D97" s="62" t="s">
        <v>292</v>
      </c>
      <c r="E97" s="67" t="s">
        <v>57</v>
      </c>
      <c r="F97" s="63">
        <f>50000</f>
        <v>50000</v>
      </c>
      <c r="G97" s="63"/>
      <c r="H97" s="63">
        <f t="shared" si="71"/>
        <v>150000</v>
      </c>
      <c r="I97" s="63">
        <f t="shared" si="72"/>
        <v>3750</v>
      </c>
      <c r="J97" s="63">
        <v>0</v>
      </c>
      <c r="K97" s="63">
        <f t="shared" si="73"/>
        <v>25000</v>
      </c>
      <c r="L97" s="36">
        <f t="shared" si="74"/>
        <v>175000</v>
      </c>
      <c r="M97" s="63">
        <f t="shared" si="75"/>
        <v>50000</v>
      </c>
      <c r="N97" s="63">
        <v>0</v>
      </c>
      <c r="O97" s="63">
        <f t="shared" si="76"/>
        <v>5000</v>
      </c>
      <c r="P97" s="63">
        <v>15000</v>
      </c>
      <c r="Q97" s="63">
        <v>0</v>
      </c>
      <c r="R97" s="63">
        <f t="shared" si="70"/>
        <v>0</v>
      </c>
      <c r="S97" s="63">
        <f t="shared" si="77"/>
        <v>100000</v>
      </c>
      <c r="T97" s="63">
        <f>0</f>
        <v>0</v>
      </c>
    </row>
    <row r="98" spans="1:20" ht="18.75" x14ac:dyDescent="0.3">
      <c r="A98" s="1">
        <v>5</v>
      </c>
      <c r="B98" s="194" t="s">
        <v>172</v>
      </c>
      <c r="C98" s="194"/>
      <c r="D98" s="33" t="s">
        <v>293</v>
      </c>
      <c r="E98" s="67" t="s">
        <v>57</v>
      </c>
      <c r="F98" s="63">
        <f>50000</f>
        <v>50000</v>
      </c>
      <c r="G98" s="63"/>
      <c r="H98" s="63">
        <f t="shared" si="71"/>
        <v>150000</v>
      </c>
      <c r="I98" s="63">
        <f t="shared" si="72"/>
        <v>3750</v>
      </c>
      <c r="J98" s="63">
        <v>0</v>
      </c>
      <c r="K98" s="63">
        <f t="shared" si="73"/>
        <v>25000</v>
      </c>
      <c r="L98" s="36">
        <f t="shared" si="74"/>
        <v>175000</v>
      </c>
      <c r="M98" s="63">
        <f t="shared" si="75"/>
        <v>50000</v>
      </c>
      <c r="N98" s="63">
        <f>50000</f>
        <v>50000</v>
      </c>
      <c r="O98" s="63">
        <f t="shared" si="76"/>
        <v>5000</v>
      </c>
      <c r="P98" s="63">
        <v>15000</v>
      </c>
      <c r="Q98" s="63">
        <f>100000</f>
        <v>100000</v>
      </c>
      <c r="R98" s="63">
        <f t="shared" si="70"/>
        <v>150000</v>
      </c>
      <c r="S98" s="63">
        <f t="shared" si="77"/>
        <v>100000</v>
      </c>
      <c r="T98" s="63">
        <f>0</f>
        <v>0</v>
      </c>
    </row>
    <row r="99" spans="1:20" ht="18.75" x14ac:dyDescent="0.3">
      <c r="A99" s="1">
        <v>6</v>
      </c>
      <c r="B99" s="195" t="s">
        <v>174</v>
      </c>
      <c r="C99" s="195"/>
      <c r="D99" s="62" t="s">
        <v>175</v>
      </c>
      <c r="E99" s="67" t="s">
        <v>80</v>
      </c>
      <c r="F99" s="63">
        <f>50000</f>
        <v>50000</v>
      </c>
      <c r="G99" s="63">
        <v>0</v>
      </c>
      <c r="H99" s="63">
        <f t="shared" si="71"/>
        <v>150000</v>
      </c>
      <c r="I99" s="63">
        <f t="shared" si="72"/>
        <v>3750</v>
      </c>
      <c r="J99" s="63">
        <v>0</v>
      </c>
      <c r="K99" s="63">
        <f t="shared" si="73"/>
        <v>25000</v>
      </c>
      <c r="L99" s="36">
        <f t="shared" si="74"/>
        <v>175000</v>
      </c>
      <c r="M99" s="63">
        <f t="shared" si="75"/>
        <v>50000</v>
      </c>
      <c r="N99" s="63">
        <v>0</v>
      </c>
      <c r="O99" s="63">
        <f t="shared" si="76"/>
        <v>5000</v>
      </c>
      <c r="P99" s="63">
        <v>15000</v>
      </c>
      <c r="Q99" s="63">
        <v>0</v>
      </c>
      <c r="R99" s="63">
        <f t="shared" si="70"/>
        <v>0</v>
      </c>
      <c r="S99" s="63">
        <f t="shared" si="77"/>
        <v>100000</v>
      </c>
      <c r="T99" s="63">
        <f>0</f>
        <v>0</v>
      </c>
    </row>
    <row r="100" spans="1:20" ht="18.75" x14ac:dyDescent="0.3">
      <c r="A100" s="1">
        <v>7</v>
      </c>
      <c r="B100" s="178" t="s">
        <v>176</v>
      </c>
      <c r="C100" s="178"/>
      <c r="D100" s="62" t="s">
        <v>294</v>
      </c>
      <c r="E100" s="67" t="s">
        <v>92</v>
      </c>
      <c r="F100" s="63">
        <f>30000</f>
        <v>30000</v>
      </c>
      <c r="G100" s="63"/>
      <c r="H100" s="63">
        <f t="shared" si="71"/>
        <v>90000</v>
      </c>
      <c r="I100" s="63">
        <f t="shared" si="72"/>
        <v>2250</v>
      </c>
      <c r="J100" s="63"/>
      <c r="K100" s="63">
        <f t="shared" si="73"/>
        <v>15000</v>
      </c>
      <c r="L100" s="36">
        <f t="shared" si="74"/>
        <v>105000</v>
      </c>
      <c r="M100" s="63">
        <f t="shared" si="75"/>
        <v>30000</v>
      </c>
      <c r="N100" s="63">
        <v>0</v>
      </c>
      <c r="O100" s="63">
        <f t="shared" si="76"/>
        <v>3000</v>
      </c>
      <c r="P100" s="63">
        <v>10000</v>
      </c>
      <c r="Q100" s="63">
        <f>30000</f>
        <v>30000</v>
      </c>
      <c r="R100" s="63">
        <f t="shared" si="70"/>
        <v>30000</v>
      </c>
      <c r="S100" s="63">
        <f t="shared" si="77"/>
        <v>100000</v>
      </c>
      <c r="T100" s="63">
        <f>0</f>
        <v>0</v>
      </c>
    </row>
    <row r="101" spans="1:20" ht="18.75" x14ac:dyDescent="0.3">
      <c r="A101" s="1">
        <v>8</v>
      </c>
      <c r="B101" s="178" t="s">
        <v>178</v>
      </c>
      <c r="C101" s="178"/>
      <c r="D101" s="62" t="s">
        <v>294</v>
      </c>
      <c r="E101" s="67" t="s">
        <v>92</v>
      </c>
      <c r="F101" s="63">
        <f>30000</f>
        <v>30000</v>
      </c>
      <c r="G101" s="63"/>
      <c r="H101" s="63">
        <f t="shared" si="71"/>
        <v>90000</v>
      </c>
      <c r="I101" s="63">
        <f t="shared" si="72"/>
        <v>2250</v>
      </c>
      <c r="J101" s="63"/>
      <c r="K101" s="63">
        <f t="shared" si="73"/>
        <v>15000</v>
      </c>
      <c r="L101" s="36">
        <f t="shared" si="74"/>
        <v>105000</v>
      </c>
      <c r="M101" s="63">
        <f t="shared" si="75"/>
        <v>30000</v>
      </c>
      <c r="N101" s="63">
        <v>0</v>
      </c>
      <c r="O101" s="63">
        <f t="shared" si="76"/>
        <v>3000</v>
      </c>
      <c r="P101" s="63">
        <v>10000</v>
      </c>
      <c r="Q101" s="63"/>
      <c r="R101" s="63">
        <f t="shared" si="70"/>
        <v>0</v>
      </c>
      <c r="S101" s="63">
        <f t="shared" si="77"/>
        <v>100000</v>
      </c>
      <c r="T101" s="63">
        <f>0</f>
        <v>0</v>
      </c>
    </row>
    <row r="102" spans="1:20" ht="18.75" x14ac:dyDescent="0.3">
      <c r="A102" s="1">
        <v>9</v>
      </c>
      <c r="B102" s="178" t="s">
        <v>201</v>
      </c>
      <c r="C102" s="178"/>
      <c r="D102" s="33" t="s">
        <v>200</v>
      </c>
      <c r="E102" s="67" t="s">
        <v>110</v>
      </c>
      <c r="F102" s="63">
        <f>50000</f>
        <v>50000</v>
      </c>
      <c r="G102" s="63"/>
      <c r="H102" s="63">
        <f t="shared" si="71"/>
        <v>150000</v>
      </c>
      <c r="I102" s="63">
        <f t="shared" si="72"/>
        <v>3750</v>
      </c>
      <c r="J102" s="63">
        <v>0</v>
      </c>
      <c r="K102" s="63">
        <f t="shared" si="73"/>
        <v>25000</v>
      </c>
      <c r="L102" s="36">
        <f t="shared" si="74"/>
        <v>175000</v>
      </c>
      <c r="M102" s="63">
        <f t="shared" si="75"/>
        <v>50000</v>
      </c>
      <c r="N102" s="63">
        <v>0</v>
      </c>
      <c r="O102" s="63">
        <f t="shared" si="76"/>
        <v>5000</v>
      </c>
      <c r="P102" s="63">
        <v>15000</v>
      </c>
      <c r="Q102" s="63">
        <v>0</v>
      </c>
      <c r="R102" s="63">
        <f t="shared" si="70"/>
        <v>0</v>
      </c>
      <c r="S102" s="63">
        <f t="shared" si="77"/>
        <v>100000</v>
      </c>
      <c r="T102" s="63">
        <f>0</f>
        <v>0</v>
      </c>
    </row>
    <row r="103" spans="1:20" ht="18.75" x14ac:dyDescent="0.3">
      <c r="A103" s="1">
        <v>10</v>
      </c>
      <c r="B103" s="169" t="s">
        <v>179</v>
      </c>
      <c r="C103" s="170"/>
      <c r="D103" s="62" t="s">
        <v>180</v>
      </c>
      <c r="E103" s="67" t="s">
        <v>295</v>
      </c>
      <c r="F103" s="63">
        <f>30000</f>
        <v>30000</v>
      </c>
      <c r="G103" s="63"/>
      <c r="H103" s="63">
        <f t="shared" si="71"/>
        <v>90000</v>
      </c>
      <c r="I103" s="63">
        <f t="shared" si="72"/>
        <v>2250</v>
      </c>
      <c r="J103" s="63"/>
      <c r="K103" s="63">
        <f t="shared" si="73"/>
        <v>15000</v>
      </c>
      <c r="L103" s="36">
        <f t="shared" si="74"/>
        <v>105000</v>
      </c>
      <c r="M103" s="63">
        <f t="shared" si="75"/>
        <v>30000</v>
      </c>
      <c r="N103" s="63">
        <v>0</v>
      </c>
      <c r="O103" s="63">
        <f t="shared" si="76"/>
        <v>3000</v>
      </c>
      <c r="P103" s="63">
        <v>10000</v>
      </c>
      <c r="Q103" s="63"/>
      <c r="R103" s="63">
        <f t="shared" si="70"/>
        <v>0</v>
      </c>
      <c r="S103" s="63">
        <f t="shared" si="77"/>
        <v>100000</v>
      </c>
      <c r="T103" s="63">
        <f>0</f>
        <v>0</v>
      </c>
    </row>
    <row r="104" spans="1:20" ht="23.25" x14ac:dyDescent="0.6">
      <c r="A104" s="1"/>
      <c r="B104" s="179" t="s">
        <v>32</v>
      </c>
      <c r="C104" s="179"/>
      <c r="D104" s="102" t="s">
        <v>184</v>
      </c>
      <c r="E104" s="67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64">
        <f t="shared" si="78"/>
        <v>2135000</v>
      </c>
      <c r="M104" s="39">
        <f t="shared" si="78"/>
        <v>610000</v>
      </c>
      <c r="N104" s="106">
        <f t="shared" si="78"/>
        <v>50000</v>
      </c>
      <c r="O104" s="106">
        <f t="shared" si="78"/>
        <v>61000</v>
      </c>
      <c r="P104" s="106">
        <f t="shared" si="78"/>
        <v>150000</v>
      </c>
      <c r="Q104" s="106">
        <f t="shared" si="78"/>
        <v>280000</v>
      </c>
      <c r="R104" s="106">
        <f t="shared" si="70"/>
        <v>330000</v>
      </c>
      <c r="S104" s="106">
        <f>SUM(S94:S103)</f>
        <v>1000000</v>
      </c>
      <c r="T104" s="63">
        <f>0</f>
        <v>0</v>
      </c>
    </row>
    <row r="105" spans="1:20" ht="18.75" x14ac:dyDescent="0.3">
      <c r="A105" s="1"/>
      <c r="B105" s="101"/>
      <c r="C105" s="101"/>
      <c r="D105" s="102"/>
      <c r="E105" s="67"/>
      <c r="F105" s="39"/>
      <c r="G105" s="39"/>
      <c r="H105" s="39"/>
      <c r="I105" s="39"/>
      <c r="J105" s="39"/>
      <c r="K105" s="39"/>
      <c r="L105" s="64"/>
      <c r="M105" s="39"/>
      <c r="N105" s="39"/>
      <c r="O105" s="39"/>
      <c r="P105" s="39"/>
      <c r="Q105" s="39"/>
      <c r="R105" s="63">
        <f t="shared" si="70"/>
        <v>0</v>
      </c>
      <c r="S105" s="39"/>
      <c r="T105" s="63"/>
    </row>
    <row r="106" spans="1:20" ht="18.75" x14ac:dyDescent="0.3">
      <c r="A106" s="1"/>
      <c r="B106" s="179" t="s">
        <v>185</v>
      </c>
      <c r="C106" s="179"/>
      <c r="D106" s="62"/>
      <c r="E106" s="67"/>
      <c r="F106" s="63"/>
      <c r="G106" s="63"/>
      <c r="H106" s="63"/>
      <c r="I106" s="63"/>
      <c r="J106" s="63"/>
      <c r="K106" s="63"/>
      <c r="L106" s="36"/>
      <c r="M106" s="63"/>
      <c r="N106" s="63"/>
      <c r="O106" s="63"/>
      <c r="P106" s="63"/>
      <c r="Q106" s="63"/>
      <c r="R106" s="63">
        <f t="shared" si="70"/>
        <v>0</v>
      </c>
      <c r="S106" s="63"/>
      <c r="T106" s="63"/>
    </row>
    <row r="107" spans="1:20" ht="18.75" x14ac:dyDescent="0.3">
      <c r="A107" s="1">
        <v>1</v>
      </c>
      <c r="B107" s="178" t="s">
        <v>186</v>
      </c>
      <c r="C107" s="178"/>
      <c r="D107" s="62" t="s">
        <v>187</v>
      </c>
      <c r="E107" s="67" t="s">
        <v>41</v>
      </c>
      <c r="F107" s="63">
        <f>150000</f>
        <v>150000</v>
      </c>
      <c r="G107" s="63">
        <v>0</v>
      </c>
      <c r="H107" s="63">
        <f>F107*300%</f>
        <v>450000</v>
      </c>
      <c r="I107" s="63">
        <f>F107*7.5%</f>
        <v>11250</v>
      </c>
      <c r="J107" s="63">
        <v>80244.38</v>
      </c>
      <c r="K107" s="63">
        <f>F107*50%</f>
        <v>75000</v>
      </c>
      <c r="L107" s="63">
        <f>F107*350%</f>
        <v>525000</v>
      </c>
      <c r="M107" s="63">
        <f>F107*100%</f>
        <v>150000</v>
      </c>
      <c r="N107" s="63">
        <v>0</v>
      </c>
      <c r="O107" s="63">
        <f>F107*10%</f>
        <v>15000</v>
      </c>
      <c r="P107" s="63">
        <v>20000</v>
      </c>
      <c r="Q107" s="63">
        <v>0</v>
      </c>
      <c r="R107" s="63">
        <f t="shared" si="70"/>
        <v>0</v>
      </c>
      <c r="S107" s="63">
        <f>100000</f>
        <v>100000</v>
      </c>
      <c r="T107" s="63">
        <f>0</f>
        <v>0</v>
      </c>
    </row>
    <row r="108" spans="1:20" ht="18.75" x14ac:dyDescent="0.3">
      <c r="A108" s="1">
        <v>2</v>
      </c>
      <c r="B108" s="178" t="s">
        <v>188</v>
      </c>
      <c r="C108" s="178"/>
      <c r="D108" s="62" t="s">
        <v>189</v>
      </c>
      <c r="E108" s="67" t="s">
        <v>89</v>
      </c>
      <c r="F108" s="63">
        <f>150000</f>
        <v>150000</v>
      </c>
      <c r="G108" s="63"/>
      <c r="H108" s="63">
        <f>F108*300%</f>
        <v>450000</v>
      </c>
      <c r="I108" s="63">
        <f>F108*7.5%</f>
        <v>11250</v>
      </c>
      <c r="J108" s="63">
        <f>80244.38</f>
        <v>80244.38</v>
      </c>
      <c r="K108" s="63">
        <f>F108*50%</f>
        <v>75000</v>
      </c>
      <c r="L108" s="63">
        <f>F108*350%</f>
        <v>525000</v>
      </c>
      <c r="M108" s="63">
        <f>F108*100%</f>
        <v>150000</v>
      </c>
      <c r="N108" s="63">
        <v>0</v>
      </c>
      <c r="O108" s="63">
        <f>F108*10%</f>
        <v>15000</v>
      </c>
      <c r="P108" s="63">
        <v>20000</v>
      </c>
      <c r="Q108" s="63">
        <v>0</v>
      </c>
      <c r="R108" s="63">
        <f t="shared" si="70"/>
        <v>0</v>
      </c>
      <c r="S108" s="63">
        <f t="shared" ref="S108:S128" si="79">100000</f>
        <v>100000</v>
      </c>
      <c r="T108" s="63">
        <f>0</f>
        <v>0</v>
      </c>
    </row>
    <row r="109" spans="1:20" ht="18.75" x14ac:dyDescent="0.3">
      <c r="A109" s="1">
        <v>3</v>
      </c>
      <c r="B109" s="195" t="s">
        <v>190</v>
      </c>
      <c r="C109" s="195"/>
      <c r="D109" s="62" t="s">
        <v>191</v>
      </c>
      <c r="E109" s="67" t="s">
        <v>284</v>
      </c>
      <c r="F109" s="63">
        <f>100000</f>
        <v>100000</v>
      </c>
      <c r="G109" s="63"/>
      <c r="H109" s="63">
        <f t="shared" ref="H109:H155" si="80">F109*300%</f>
        <v>300000</v>
      </c>
      <c r="I109" s="63">
        <f t="shared" ref="I109:I155" si="81">F109*7.5%</f>
        <v>7500</v>
      </c>
      <c r="J109" s="63">
        <v>40122.19</v>
      </c>
      <c r="K109" s="63">
        <f t="shared" ref="K109:K155" si="82">F109*50%</f>
        <v>50000</v>
      </c>
      <c r="L109" s="63">
        <f t="shared" ref="L109:L155" si="83">F109*350%</f>
        <v>350000</v>
      </c>
      <c r="M109" s="63">
        <f t="shared" ref="M109:M138" si="84">F109*100%</f>
        <v>100000</v>
      </c>
      <c r="N109" s="63">
        <v>0</v>
      </c>
      <c r="O109" s="63">
        <f t="shared" ref="O109:O155" si="85">F109*10%</f>
        <v>10000</v>
      </c>
      <c r="P109" s="63">
        <v>20000</v>
      </c>
      <c r="Q109" s="63">
        <v>0</v>
      </c>
      <c r="R109" s="63">
        <f t="shared" si="70"/>
        <v>0</v>
      </c>
      <c r="S109" s="63">
        <f t="shared" si="79"/>
        <v>100000</v>
      </c>
      <c r="T109" s="63">
        <f>0</f>
        <v>0</v>
      </c>
    </row>
    <row r="110" spans="1:20" ht="18.75" x14ac:dyDescent="0.3">
      <c r="A110" s="1">
        <v>4</v>
      </c>
      <c r="B110" s="182" t="s">
        <v>192</v>
      </c>
      <c r="C110" s="183"/>
      <c r="D110" s="20" t="s">
        <v>193</v>
      </c>
      <c r="E110" s="25" t="s">
        <v>44</v>
      </c>
      <c r="F110" s="63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76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63">
        <f t="shared" si="70"/>
        <v>150000</v>
      </c>
      <c r="S110" s="63">
        <f t="shared" si="79"/>
        <v>100000</v>
      </c>
      <c r="T110" s="63">
        <f>0</f>
        <v>0</v>
      </c>
    </row>
    <row r="111" spans="1:20" ht="18.75" x14ac:dyDescent="0.3">
      <c r="A111" s="1">
        <v>5</v>
      </c>
      <c r="B111" s="171" t="s">
        <v>194</v>
      </c>
      <c r="C111" s="172"/>
      <c r="D111" s="33" t="s">
        <v>195</v>
      </c>
      <c r="E111" s="67" t="s">
        <v>110</v>
      </c>
      <c r="F111" s="63">
        <f>50000</f>
        <v>50000</v>
      </c>
      <c r="G111" s="63"/>
      <c r="H111" s="63">
        <f t="shared" si="80"/>
        <v>150000</v>
      </c>
      <c r="I111" s="63">
        <f t="shared" si="81"/>
        <v>3750</v>
      </c>
      <c r="J111" s="63"/>
      <c r="K111" s="63">
        <f t="shared" si="82"/>
        <v>25000</v>
      </c>
      <c r="L111" s="36">
        <f t="shared" si="83"/>
        <v>175000</v>
      </c>
      <c r="M111" s="63">
        <f t="shared" si="84"/>
        <v>50000</v>
      </c>
      <c r="N111" s="63">
        <v>0</v>
      </c>
      <c r="O111" s="63">
        <f t="shared" si="85"/>
        <v>5000</v>
      </c>
      <c r="P111" s="63">
        <v>15000</v>
      </c>
      <c r="Q111" s="63"/>
      <c r="R111" s="63">
        <f t="shared" si="70"/>
        <v>0</v>
      </c>
      <c r="S111" s="63">
        <f t="shared" si="79"/>
        <v>100000</v>
      </c>
      <c r="T111" s="63">
        <f>0</f>
        <v>0</v>
      </c>
    </row>
    <row r="112" spans="1:20" ht="18.75" x14ac:dyDescent="0.3">
      <c r="A112" s="1">
        <v>6</v>
      </c>
      <c r="B112" s="169" t="s">
        <v>196</v>
      </c>
      <c r="C112" s="170"/>
      <c r="D112" s="62" t="s">
        <v>127</v>
      </c>
      <c r="E112" s="67" t="s">
        <v>92</v>
      </c>
      <c r="F112" s="63">
        <f>30000</f>
        <v>30000</v>
      </c>
      <c r="G112" s="63"/>
      <c r="H112" s="63">
        <f t="shared" si="80"/>
        <v>90000</v>
      </c>
      <c r="I112" s="63">
        <f t="shared" si="81"/>
        <v>2250</v>
      </c>
      <c r="J112" s="63">
        <v>0</v>
      </c>
      <c r="K112" s="63">
        <f t="shared" si="82"/>
        <v>15000</v>
      </c>
      <c r="L112" s="36">
        <f t="shared" si="83"/>
        <v>105000</v>
      </c>
      <c r="M112" s="63">
        <f t="shared" si="84"/>
        <v>30000</v>
      </c>
      <c r="N112" s="63">
        <v>0</v>
      </c>
      <c r="O112" s="63">
        <f t="shared" si="85"/>
        <v>3000</v>
      </c>
      <c r="P112" s="63">
        <v>10000</v>
      </c>
      <c r="Q112" s="63">
        <v>0</v>
      </c>
      <c r="R112" s="63">
        <f t="shared" si="70"/>
        <v>0</v>
      </c>
      <c r="S112" s="63">
        <f t="shared" si="79"/>
        <v>100000</v>
      </c>
      <c r="T112" s="63">
        <f>0</f>
        <v>0</v>
      </c>
    </row>
    <row r="113" spans="1:20" ht="18.75" x14ac:dyDescent="0.3">
      <c r="A113" s="1">
        <v>7</v>
      </c>
      <c r="B113" s="178" t="s">
        <v>197</v>
      </c>
      <c r="C113" s="178"/>
      <c r="D113" s="62" t="s">
        <v>198</v>
      </c>
      <c r="E113" s="67" t="s">
        <v>110</v>
      </c>
      <c r="F113" s="63">
        <f>50000</f>
        <v>50000</v>
      </c>
      <c r="G113" s="63"/>
      <c r="H113" s="63">
        <f t="shared" si="80"/>
        <v>150000</v>
      </c>
      <c r="I113" s="63">
        <f t="shared" si="81"/>
        <v>3750</v>
      </c>
      <c r="J113" s="63">
        <v>0</v>
      </c>
      <c r="K113" s="63">
        <f t="shared" si="82"/>
        <v>25000</v>
      </c>
      <c r="L113" s="36">
        <f t="shared" si="83"/>
        <v>175000</v>
      </c>
      <c r="M113" s="63">
        <f t="shared" si="84"/>
        <v>50000</v>
      </c>
      <c r="N113" s="63">
        <f t="shared" si="63"/>
        <v>100000</v>
      </c>
      <c r="O113" s="63">
        <f t="shared" si="85"/>
        <v>5000</v>
      </c>
      <c r="P113" s="63">
        <v>15000</v>
      </c>
      <c r="Q113" s="63"/>
      <c r="R113" s="63">
        <f t="shared" si="70"/>
        <v>100000</v>
      </c>
      <c r="S113" s="63">
        <f t="shared" si="79"/>
        <v>100000</v>
      </c>
      <c r="T113" s="63">
        <f>0</f>
        <v>0</v>
      </c>
    </row>
    <row r="114" spans="1:20" ht="18.75" x14ac:dyDescent="0.3">
      <c r="A114" s="1">
        <v>8</v>
      </c>
      <c r="B114" s="178" t="s">
        <v>199</v>
      </c>
      <c r="C114" s="178"/>
      <c r="D114" s="33" t="s">
        <v>200</v>
      </c>
      <c r="E114" s="67" t="s">
        <v>110</v>
      </c>
      <c r="F114" s="63">
        <f>50000</f>
        <v>50000</v>
      </c>
      <c r="G114" s="63"/>
      <c r="H114" s="63">
        <f t="shared" si="80"/>
        <v>150000</v>
      </c>
      <c r="I114" s="63">
        <f t="shared" si="81"/>
        <v>3750</v>
      </c>
      <c r="J114" s="63">
        <v>0</v>
      </c>
      <c r="K114" s="63">
        <f t="shared" si="82"/>
        <v>25000</v>
      </c>
      <c r="L114" s="36">
        <f t="shared" si="83"/>
        <v>175000</v>
      </c>
      <c r="M114" s="63">
        <f t="shared" si="84"/>
        <v>50000</v>
      </c>
      <c r="N114" s="63">
        <v>0</v>
      </c>
      <c r="O114" s="63">
        <f t="shared" si="85"/>
        <v>5000</v>
      </c>
      <c r="P114" s="63">
        <v>15000</v>
      </c>
      <c r="Q114" s="63">
        <v>0</v>
      </c>
      <c r="R114" s="63">
        <f t="shared" si="70"/>
        <v>0</v>
      </c>
      <c r="S114" s="63">
        <f t="shared" si="79"/>
        <v>100000</v>
      </c>
      <c r="T114" s="63">
        <f>0</f>
        <v>0</v>
      </c>
    </row>
    <row r="115" spans="1:20" ht="18.75" x14ac:dyDescent="0.3">
      <c r="A115" s="1">
        <v>9</v>
      </c>
      <c r="B115" s="178" t="s">
        <v>202</v>
      </c>
      <c r="C115" s="178"/>
      <c r="D115" s="33" t="s">
        <v>205</v>
      </c>
      <c r="E115" s="67" t="s">
        <v>92</v>
      </c>
      <c r="F115" s="63">
        <f>30000</f>
        <v>30000</v>
      </c>
      <c r="G115" s="63"/>
      <c r="H115" s="63">
        <f t="shared" si="80"/>
        <v>90000</v>
      </c>
      <c r="I115" s="63">
        <f t="shared" si="81"/>
        <v>2250</v>
      </c>
      <c r="J115" s="36">
        <v>0</v>
      </c>
      <c r="K115" s="63">
        <f t="shared" si="82"/>
        <v>15000</v>
      </c>
      <c r="L115" s="36">
        <f t="shared" si="83"/>
        <v>105000</v>
      </c>
      <c r="M115" s="63">
        <f t="shared" si="84"/>
        <v>30000</v>
      </c>
      <c r="N115" s="63">
        <v>0</v>
      </c>
      <c r="O115" s="63">
        <f t="shared" si="85"/>
        <v>3000</v>
      </c>
      <c r="P115" s="63">
        <v>10000</v>
      </c>
      <c r="Q115" s="63">
        <v>0</v>
      </c>
      <c r="R115" s="63">
        <f t="shared" si="70"/>
        <v>0</v>
      </c>
      <c r="S115" s="63">
        <f t="shared" si="79"/>
        <v>100000</v>
      </c>
      <c r="T115" s="63">
        <f>0</f>
        <v>0</v>
      </c>
    </row>
    <row r="116" spans="1:20" ht="18.75" x14ac:dyDescent="0.3">
      <c r="A116" s="1">
        <v>10</v>
      </c>
      <c r="B116" s="178" t="s">
        <v>203</v>
      </c>
      <c r="C116" s="178"/>
      <c r="D116" s="33" t="s">
        <v>127</v>
      </c>
      <c r="E116" s="67" t="s">
        <v>68</v>
      </c>
      <c r="F116" s="63">
        <f>30000</f>
        <v>30000</v>
      </c>
      <c r="G116" s="63"/>
      <c r="H116" s="63">
        <f>F116*300%</f>
        <v>90000</v>
      </c>
      <c r="I116" s="63">
        <f>F116*7.5%</f>
        <v>2250</v>
      </c>
      <c r="J116" s="63">
        <v>0</v>
      </c>
      <c r="K116" s="63">
        <f>F116*50%</f>
        <v>15000</v>
      </c>
      <c r="L116" s="36">
        <f>F116*350%</f>
        <v>105000</v>
      </c>
      <c r="M116" s="26">
        <f t="shared" si="84"/>
        <v>30000</v>
      </c>
      <c r="N116" s="63">
        <v>0</v>
      </c>
      <c r="O116" s="63">
        <f t="shared" si="85"/>
        <v>3000</v>
      </c>
      <c r="P116" s="63">
        <v>10000</v>
      </c>
      <c r="Q116" s="63">
        <v>0</v>
      </c>
      <c r="R116" s="63">
        <f t="shared" si="70"/>
        <v>0</v>
      </c>
      <c r="S116" s="63">
        <f t="shared" si="79"/>
        <v>100000</v>
      </c>
      <c r="T116" s="63">
        <f>0</f>
        <v>0</v>
      </c>
    </row>
    <row r="117" spans="1:20" ht="18.75" x14ac:dyDescent="0.3">
      <c r="A117" s="1">
        <v>11</v>
      </c>
      <c r="B117" s="169" t="s">
        <v>204</v>
      </c>
      <c r="C117" s="170"/>
      <c r="D117" s="33" t="s">
        <v>205</v>
      </c>
      <c r="E117" s="67" t="s">
        <v>85</v>
      </c>
      <c r="F117" s="63">
        <f>30000</f>
        <v>30000</v>
      </c>
      <c r="G117" s="63"/>
      <c r="H117" s="63">
        <f>F117*300%</f>
        <v>90000</v>
      </c>
      <c r="I117" s="63">
        <f>F117*7.5%</f>
        <v>2250</v>
      </c>
      <c r="J117" s="63"/>
      <c r="K117" s="63">
        <f>F117*50%</f>
        <v>15000</v>
      </c>
      <c r="L117" s="36">
        <f>F117*350%</f>
        <v>105000</v>
      </c>
      <c r="M117" s="26">
        <f t="shared" si="84"/>
        <v>30000</v>
      </c>
      <c r="N117" s="63">
        <v>0</v>
      </c>
      <c r="O117" s="63">
        <f t="shared" si="85"/>
        <v>3000</v>
      </c>
      <c r="P117" s="63">
        <v>10000</v>
      </c>
      <c r="Q117" s="63"/>
      <c r="R117" s="63">
        <f t="shared" si="70"/>
        <v>0</v>
      </c>
      <c r="S117" s="63">
        <f t="shared" si="79"/>
        <v>100000</v>
      </c>
      <c r="T117" s="63">
        <f>0</f>
        <v>0</v>
      </c>
    </row>
    <row r="118" spans="1:20" ht="18.75" x14ac:dyDescent="0.3">
      <c r="A118" s="1">
        <v>12</v>
      </c>
      <c r="B118" s="169" t="s">
        <v>206</v>
      </c>
      <c r="C118" s="170"/>
      <c r="D118" s="62" t="s">
        <v>297</v>
      </c>
      <c r="E118" s="67" t="s">
        <v>210</v>
      </c>
      <c r="F118" s="63">
        <f>30000</f>
        <v>30000</v>
      </c>
      <c r="G118" s="63"/>
      <c r="H118" s="63">
        <f t="shared" si="80"/>
        <v>90000</v>
      </c>
      <c r="I118" s="63">
        <f t="shared" si="81"/>
        <v>2250</v>
      </c>
      <c r="J118" s="63"/>
      <c r="K118" s="63">
        <f t="shared" si="82"/>
        <v>15000</v>
      </c>
      <c r="L118" s="36">
        <f t="shared" si="83"/>
        <v>105000</v>
      </c>
      <c r="M118" s="63">
        <f t="shared" si="84"/>
        <v>30000</v>
      </c>
      <c r="N118" s="63">
        <v>0</v>
      </c>
      <c r="O118" s="63">
        <f t="shared" si="85"/>
        <v>3000</v>
      </c>
      <c r="P118" s="63">
        <v>10000</v>
      </c>
      <c r="Q118" s="63"/>
      <c r="R118" s="63">
        <f t="shared" si="70"/>
        <v>0</v>
      </c>
      <c r="S118" s="63">
        <f t="shared" si="79"/>
        <v>100000</v>
      </c>
      <c r="T118" s="63">
        <f>0</f>
        <v>0</v>
      </c>
    </row>
    <row r="119" spans="1:20" ht="18.75" x14ac:dyDescent="0.3">
      <c r="A119" s="1">
        <v>13</v>
      </c>
      <c r="B119" s="169" t="s">
        <v>208</v>
      </c>
      <c r="C119" s="170"/>
      <c r="D119" s="62" t="s">
        <v>209</v>
      </c>
      <c r="E119" s="67" t="s">
        <v>181</v>
      </c>
      <c r="F119" s="63">
        <f>30000</f>
        <v>30000</v>
      </c>
      <c r="G119" s="63"/>
      <c r="H119" s="63">
        <f t="shared" si="80"/>
        <v>90000</v>
      </c>
      <c r="I119" s="63">
        <f t="shared" si="81"/>
        <v>2250</v>
      </c>
      <c r="J119" s="63"/>
      <c r="K119" s="63">
        <f t="shared" si="82"/>
        <v>15000</v>
      </c>
      <c r="L119" s="36">
        <f t="shared" si="83"/>
        <v>105000</v>
      </c>
      <c r="M119" s="63">
        <f t="shared" si="84"/>
        <v>30000</v>
      </c>
      <c r="N119" s="63">
        <v>0</v>
      </c>
      <c r="O119" s="63">
        <f t="shared" si="85"/>
        <v>3000</v>
      </c>
      <c r="P119" s="63">
        <v>10000</v>
      </c>
      <c r="Q119" s="63"/>
      <c r="R119" s="63">
        <f t="shared" si="70"/>
        <v>0</v>
      </c>
      <c r="S119" s="63">
        <f t="shared" si="79"/>
        <v>100000</v>
      </c>
      <c r="T119" s="63">
        <f>0</f>
        <v>0</v>
      </c>
    </row>
    <row r="120" spans="1:20" ht="18.75" x14ac:dyDescent="0.3">
      <c r="A120" s="1">
        <v>14</v>
      </c>
      <c r="B120" s="169" t="s">
        <v>211</v>
      </c>
      <c r="C120" s="170"/>
      <c r="D120" s="62" t="s">
        <v>209</v>
      </c>
      <c r="E120" s="67" t="s">
        <v>181</v>
      </c>
      <c r="F120" s="63">
        <f>30000</f>
        <v>30000</v>
      </c>
      <c r="G120" s="63"/>
      <c r="H120" s="63">
        <f t="shared" si="80"/>
        <v>90000</v>
      </c>
      <c r="I120" s="63">
        <f t="shared" si="81"/>
        <v>2250</v>
      </c>
      <c r="J120" s="63"/>
      <c r="K120" s="63">
        <f t="shared" si="82"/>
        <v>15000</v>
      </c>
      <c r="L120" s="36">
        <f t="shared" si="83"/>
        <v>105000</v>
      </c>
      <c r="M120" s="63">
        <f t="shared" si="84"/>
        <v>30000</v>
      </c>
      <c r="N120" s="63">
        <v>0</v>
      </c>
      <c r="O120" s="63">
        <f t="shared" si="85"/>
        <v>3000</v>
      </c>
      <c r="P120" s="63">
        <v>10000</v>
      </c>
      <c r="Q120" s="63"/>
      <c r="R120" s="63">
        <f t="shared" si="70"/>
        <v>0</v>
      </c>
      <c r="S120" s="63">
        <f t="shared" si="79"/>
        <v>100000</v>
      </c>
      <c r="T120" s="63">
        <f>0</f>
        <v>0</v>
      </c>
    </row>
    <row r="121" spans="1:20" ht="18.75" x14ac:dyDescent="0.3">
      <c r="A121" s="1">
        <v>15</v>
      </c>
      <c r="B121" s="169" t="s">
        <v>212</v>
      </c>
      <c r="C121" s="170"/>
      <c r="D121" s="62" t="s">
        <v>209</v>
      </c>
      <c r="E121" s="67" t="s">
        <v>181</v>
      </c>
      <c r="F121" s="63">
        <f>30000</f>
        <v>30000</v>
      </c>
      <c r="G121" s="63"/>
      <c r="H121" s="63">
        <f t="shared" si="80"/>
        <v>90000</v>
      </c>
      <c r="I121" s="63">
        <f t="shared" si="81"/>
        <v>2250</v>
      </c>
      <c r="J121" s="63"/>
      <c r="K121" s="63">
        <f t="shared" si="82"/>
        <v>15000</v>
      </c>
      <c r="L121" s="36">
        <f t="shared" si="83"/>
        <v>105000</v>
      </c>
      <c r="M121" s="63">
        <f t="shared" si="84"/>
        <v>30000</v>
      </c>
      <c r="N121" s="63">
        <v>0</v>
      </c>
      <c r="O121" s="63">
        <f t="shared" si="85"/>
        <v>3000</v>
      </c>
      <c r="P121" s="63">
        <v>10000</v>
      </c>
      <c r="Q121" s="63"/>
      <c r="R121" s="63">
        <f t="shared" si="70"/>
        <v>0</v>
      </c>
      <c r="S121" s="63">
        <f t="shared" si="79"/>
        <v>100000</v>
      </c>
      <c r="T121" s="63">
        <f>0</f>
        <v>0</v>
      </c>
    </row>
    <row r="122" spans="1:20" ht="18.75" x14ac:dyDescent="0.3">
      <c r="A122" s="1">
        <v>16</v>
      </c>
      <c r="B122" s="169" t="s">
        <v>213</v>
      </c>
      <c r="C122" s="170"/>
      <c r="D122" s="62" t="s">
        <v>209</v>
      </c>
      <c r="E122" s="67" t="s">
        <v>295</v>
      </c>
      <c r="F122" s="63">
        <f>30000</f>
        <v>30000</v>
      </c>
      <c r="G122" s="63"/>
      <c r="H122" s="63">
        <f t="shared" si="80"/>
        <v>90000</v>
      </c>
      <c r="I122" s="63">
        <f t="shared" si="81"/>
        <v>2250</v>
      </c>
      <c r="J122" s="63"/>
      <c r="K122" s="63">
        <f t="shared" si="82"/>
        <v>15000</v>
      </c>
      <c r="L122" s="36">
        <f t="shared" si="83"/>
        <v>105000</v>
      </c>
      <c r="M122" s="63">
        <f t="shared" si="84"/>
        <v>30000</v>
      </c>
      <c r="N122" s="63">
        <v>0</v>
      </c>
      <c r="O122" s="63">
        <f t="shared" si="85"/>
        <v>3000</v>
      </c>
      <c r="P122" s="63">
        <v>10000</v>
      </c>
      <c r="Q122" s="63"/>
      <c r="R122" s="63">
        <f t="shared" si="70"/>
        <v>0</v>
      </c>
      <c r="S122" s="63">
        <f t="shared" si="79"/>
        <v>100000</v>
      </c>
      <c r="T122" s="63">
        <f>0</f>
        <v>0</v>
      </c>
    </row>
    <row r="123" spans="1:20" ht="18.75" x14ac:dyDescent="0.3">
      <c r="A123" s="1">
        <v>17</v>
      </c>
      <c r="B123" s="169" t="s">
        <v>214</v>
      </c>
      <c r="C123" s="170"/>
      <c r="D123" s="62" t="s">
        <v>215</v>
      </c>
      <c r="E123" s="67" t="s">
        <v>295</v>
      </c>
      <c r="F123" s="63">
        <f>30000</f>
        <v>30000</v>
      </c>
      <c r="G123" s="63"/>
      <c r="H123" s="63">
        <f t="shared" si="80"/>
        <v>90000</v>
      </c>
      <c r="I123" s="63">
        <f t="shared" si="81"/>
        <v>2250</v>
      </c>
      <c r="J123" s="63"/>
      <c r="K123" s="63">
        <f t="shared" si="82"/>
        <v>15000</v>
      </c>
      <c r="L123" s="36">
        <f t="shared" si="83"/>
        <v>105000</v>
      </c>
      <c r="M123" s="63">
        <f t="shared" si="84"/>
        <v>30000</v>
      </c>
      <c r="N123" s="63">
        <v>0</v>
      </c>
      <c r="O123" s="63">
        <f t="shared" si="85"/>
        <v>3000</v>
      </c>
      <c r="P123" s="63">
        <v>10000</v>
      </c>
      <c r="Q123" s="63"/>
      <c r="R123" s="63">
        <f t="shared" si="70"/>
        <v>0</v>
      </c>
      <c r="S123" s="63">
        <f t="shared" si="79"/>
        <v>100000</v>
      </c>
      <c r="T123" s="63">
        <f>0</f>
        <v>0</v>
      </c>
    </row>
    <row r="124" spans="1:20" ht="18.75" x14ac:dyDescent="0.3">
      <c r="A124" s="1">
        <v>18</v>
      </c>
      <c r="B124" s="169" t="s">
        <v>216</v>
      </c>
      <c r="C124" s="170"/>
      <c r="D124" s="62" t="s">
        <v>217</v>
      </c>
      <c r="E124" s="67" t="s">
        <v>295</v>
      </c>
      <c r="F124" s="63">
        <f>30000</f>
        <v>30000</v>
      </c>
      <c r="G124" s="63"/>
      <c r="H124" s="63">
        <f t="shared" si="80"/>
        <v>90000</v>
      </c>
      <c r="I124" s="63">
        <f t="shared" si="81"/>
        <v>2250</v>
      </c>
      <c r="J124" s="63"/>
      <c r="K124" s="63">
        <f t="shared" si="82"/>
        <v>15000</v>
      </c>
      <c r="L124" s="36">
        <f t="shared" si="83"/>
        <v>105000</v>
      </c>
      <c r="M124" s="63">
        <f t="shared" si="84"/>
        <v>30000</v>
      </c>
      <c r="N124" s="63">
        <v>0</v>
      </c>
      <c r="O124" s="63">
        <f t="shared" si="85"/>
        <v>3000</v>
      </c>
      <c r="P124" s="63">
        <v>10000</v>
      </c>
      <c r="Q124" s="63"/>
      <c r="R124" s="63">
        <f t="shared" si="70"/>
        <v>0</v>
      </c>
      <c r="S124" s="63">
        <f t="shared" si="79"/>
        <v>100000</v>
      </c>
      <c r="T124" s="63">
        <f>0</f>
        <v>0</v>
      </c>
    </row>
    <row r="125" spans="1:20" ht="18.75" x14ac:dyDescent="0.3">
      <c r="A125" s="1">
        <v>19</v>
      </c>
      <c r="B125" s="169" t="s">
        <v>218</v>
      </c>
      <c r="C125" s="170"/>
      <c r="D125" s="62" t="s">
        <v>217</v>
      </c>
      <c r="E125" s="67" t="s">
        <v>295</v>
      </c>
      <c r="F125" s="63">
        <f>30000</f>
        <v>30000</v>
      </c>
      <c r="G125" s="63"/>
      <c r="H125" s="63">
        <f t="shared" si="80"/>
        <v>90000</v>
      </c>
      <c r="I125" s="63">
        <f t="shared" si="81"/>
        <v>2250</v>
      </c>
      <c r="J125" s="63"/>
      <c r="K125" s="63">
        <f t="shared" si="82"/>
        <v>15000</v>
      </c>
      <c r="L125" s="36">
        <f t="shared" si="83"/>
        <v>105000</v>
      </c>
      <c r="M125" s="63">
        <f t="shared" si="84"/>
        <v>30000</v>
      </c>
      <c r="N125" s="63">
        <v>0</v>
      </c>
      <c r="O125" s="63">
        <f t="shared" si="85"/>
        <v>3000</v>
      </c>
      <c r="P125" s="63">
        <v>10000</v>
      </c>
      <c r="Q125" s="63"/>
      <c r="R125" s="63">
        <f t="shared" si="70"/>
        <v>0</v>
      </c>
      <c r="S125" s="63">
        <f t="shared" si="79"/>
        <v>100000</v>
      </c>
      <c r="T125" s="63">
        <f>0</f>
        <v>0</v>
      </c>
    </row>
    <row r="126" spans="1:20" ht="18.75" x14ac:dyDescent="0.3">
      <c r="A126" s="1">
        <v>20</v>
      </c>
      <c r="B126" s="169" t="s">
        <v>219</v>
      </c>
      <c r="C126" s="170"/>
      <c r="D126" s="62" t="s">
        <v>209</v>
      </c>
      <c r="E126" s="67" t="s">
        <v>295</v>
      </c>
      <c r="F126" s="63">
        <f>30000</f>
        <v>30000</v>
      </c>
      <c r="G126" s="63"/>
      <c r="H126" s="63">
        <f t="shared" si="80"/>
        <v>90000</v>
      </c>
      <c r="I126" s="63">
        <f t="shared" si="81"/>
        <v>2250</v>
      </c>
      <c r="J126" s="63"/>
      <c r="K126" s="63">
        <f t="shared" si="82"/>
        <v>15000</v>
      </c>
      <c r="L126" s="36">
        <f t="shared" si="83"/>
        <v>105000</v>
      </c>
      <c r="M126" s="63">
        <f t="shared" si="84"/>
        <v>30000</v>
      </c>
      <c r="N126" s="63">
        <v>0</v>
      </c>
      <c r="O126" s="63">
        <f t="shared" si="85"/>
        <v>3000</v>
      </c>
      <c r="P126" s="63">
        <v>10000</v>
      </c>
      <c r="Q126" s="63"/>
      <c r="R126" s="63">
        <f t="shared" si="70"/>
        <v>0</v>
      </c>
      <c r="S126" s="63">
        <f t="shared" si="79"/>
        <v>100000</v>
      </c>
      <c r="T126" s="63">
        <f>0</f>
        <v>0</v>
      </c>
    </row>
    <row r="127" spans="1:20" ht="18.75" x14ac:dyDescent="0.3">
      <c r="A127" s="1">
        <v>21</v>
      </c>
      <c r="B127" s="169" t="s">
        <v>220</v>
      </c>
      <c r="C127" s="170"/>
      <c r="D127" s="62" t="s">
        <v>221</v>
      </c>
      <c r="E127" s="67" t="s">
        <v>92</v>
      </c>
      <c r="F127" s="63">
        <f>30000</f>
        <v>30000</v>
      </c>
      <c r="G127" s="63"/>
      <c r="H127" s="63">
        <f t="shared" si="80"/>
        <v>90000</v>
      </c>
      <c r="I127" s="63">
        <f t="shared" si="81"/>
        <v>2250</v>
      </c>
      <c r="J127" s="36"/>
      <c r="K127" s="63">
        <f t="shared" si="82"/>
        <v>15000</v>
      </c>
      <c r="L127" s="36">
        <f t="shared" si="83"/>
        <v>105000</v>
      </c>
      <c r="M127" s="63">
        <f t="shared" si="84"/>
        <v>30000</v>
      </c>
      <c r="N127" s="63">
        <v>0</v>
      </c>
      <c r="O127" s="63">
        <f t="shared" si="85"/>
        <v>3000</v>
      </c>
      <c r="P127" s="63">
        <v>10000</v>
      </c>
      <c r="Q127" s="63"/>
      <c r="R127" s="63">
        <f t="shared" si="70"/>
        <v>0</v>
      </c>
      <c r="S127" s="63">
        <f t="shared" si="79"/>
        <v>100000</v>
      </c>
      <c r="T127" s="63">
        <f>0</f>
        <v>0</v>
      </c>
    </row>
    <row r="128" spans="1:20" ht="18.75" x14ac:dyDescent="0.3">
      <c r="A128" s="1">
        <v>22</v>
      </c>
      <c r="B128" s="169" t="s">
        <v>222</v>
      </c>
      <c r="C128" s="170"/>
      <c r="D128" s="62" t="s">
        <v>209</v>
      </c>
      <c r="E128" s="67" t="s">
        <v>85</v>
      </c>
      <c r="F128" s="63">
        <f>30000</f>
        <v>30000</v>
      </c>
      <c r="G128" s="63"/>
      <c r="H128" s="63">
        <f t="shared" si="80"/>
        <v>90000</v>
      </c>
      <c r="I128" s="63">
        <f t="shared" si="81"/>
        <v>2250</v>
      </c>
      <c r="J128" s="36"/>
      <c r="K128" s="63">
        <f t="shared" si="82"/>
        <v>15000</v>
      </c>
      <c r="L128" s="36">
        <f t="shared" si="83"/>
        <v>105000</v>
      </c>
      <c r="M128" s="63">
        <f t="shared" si="84"/>
        <v>30000</v>
      </c>
      <c r="N128" s="63">
        <v>0</v>
      </c>
      <c r="O128" s="63">
        <f t="shared" si="85"/>
        <v>3000</v>
      </c>
      <c r="P128" s="63">
        <v>10000</v>
      </c>
      <c r="Q128" s="63"/>
      <c r="R128" s="63">
        <f t="shared" si="70"/>
        <v>0</v>
      </c>
      <c r="S128" s="63">
        <f t="shared" si="79"/>
        <v>100000</v>
      </c>
      <c r="T128" s="63">
        <f>0</f>
        <v>0</v>
      </c>
    </row>
    <row r="129" spans="1:20" ht="18.75" x14ac:dyDescent="0.3">
      <c r="A129" s="1">
        <v>23</v>
      </c>
      <c r="B129" s="178" t="s">
        <v>225</v>
      </c>
      <c r="C129" s="178"/>
      <c r="D129" s="62" t="s">
        <v>235</v>
      </c>
      <c r="E129" s="67" t="s">
        <v>298</v>
      </c>
      <c r="F129" s="63">
        <f>20000</f>
        <v>20000</v>
      </c>
      <c r="G129" s="33"/>
      <c r="H129" s="63">
        <f t="shared" si="80"/>
        <v>60000</v>
      </c>
      <c r="I129" s="63">
        <f t="shared" si="81"/>
        <v>1500</v>
      </c>
      <c r="J129" s="68">
        <v>0</v>
      </c>
      <c r="K129" s="63">
        <f t="shared" si="82"/>
        <v>10000</v>
      </c>
      <c r="L129" s="36">
        <f t="shared" si="83"/>
        <v>70000</v>
      </c>
      <c r="M129" s="63">
        <f t="shared" si="84"/>
        <v>20000</v>
      </c>
      <c r="N129" s="36">
        <v>4000</v>
      </c>
      <c r="O129" s="63">
        <f t="shared" si="85"/>
        <v>2000</v>
      </c>
      <c r="P129" s="68">
        <v>5000</v>
      </c>
      <c r="Q129" s="63">
        <v>0</v>
      </c>
      <c r="R129" s="63">
        <f t="shared" si="70"/>
        <v>4000</v>
      </c>
      <c r="S129" s="36">
        <f>25000+4000</f>
        <v>29000</v>
      </c>
      <c r="T129" s="63">
        <f>0</f>
        <v>0</v>
      </c>
    </row>
    <row r="130" spans="1:20" ht="18.75" x14ac:dyDescent="0.3">
      <c r="A130" s="1">
        <v>24</v>
      </c>
      <c r="B130" s="178" t="s">
        <v>228</v>
      </c>
      <c r="C130" s="178"/>
      <c r="D130" s="62" t="s">
        <v>235</v>
      </c>
      <c r="E130" s="67" t="s">
        <v>298</v>
      </c>
      <c r="F130" s="63">
        <f>20000</f>
        <v>20000</v>
      </c>
      <c r="G130" s="33"/>
      <c r="H130" s="63">
        <f t="shared" si="80"/>
        <v>60000</v>
      </c>
      <c r="I130" s="63">
        <f t="shared" si="81"/>
        <v>1500</v>
      </c>
      <c r="J130" s="68">
        <v>0</v>
      </c>
      <c r="K130" s="63">
        <f t="shared" si="82"/>
        <v>10000</v>
      </c>
      <c r="L130" s="36">
        <f t="shared" si="83"/>
        <v>70000</v>
      </c>
      <c r="M130" s="63">
        <f t="shared" si="84"/>
        <v>20000</v>
      </c>
      <c r="N130" s="36">
        <v>7000</v>
      </c>
      <c r="O130" s="63">
        <f t="shared" si="85"/>
        <v>2000</v>
      </c>
      <c r="P130" s="68">
        <v>5000</v>
      </c>
      <c r="Q130" s="63">
        <v>0</v>
      </c>
      <c r="R130" s="63">
        <f t="shared" si="70"/>
        <v>7000</v>
      </c>
      <c r="S130" s="36">
        <f>25000+7000</f>
        <v>32000</v>
      </c>
      <c r="T130" s="63">
        <f>0</f>
        <v>0</v>
      </c>
    </row>
    <row r="131" spans="1:20" ht="18.75" x14ac:dyDescent="0.3">
      <c r="A131" s="1">
        <v>25</v>
      </c>
      <c r="B131" s="178" t="s">
        <v>229</v>
      </c>
      <c r="C131" s="178"/>
      <c r="D131" s="62" t="s">
        <v>235</v>
      </c>
      <c r="E131" s="67" t="s">
        <v>298</v>
      </c>
      <c r="F131" s="63">
        <f>20000</f>
        <v>20000</v>
      </c>
      <c r="G131" s="33"/>
      <c r="H131" s="63">
        <f t="shared" si="80"/>
        <v>60000</v>
      </c>
      <c r="I131" s="63">
        <f t="shared" si="81"/>
        <v>1500</v>
      </c>
      <c r="J131" s="63">
        <v>0</v>
      </c>
      <c r="K131" s="63">
        <f t="shared" si="82"/>
        <v>10000</v>
      </c>
      <c r="L131" s="36">
        <f t="shared" si="83"/>
        <v>70000</v>
      </c>
      <c r="M131" s="63">
        <f t="shared" si="84"/>
        <v>20000</v>
      </c>
      <c r="N131" s="36">
        <v>4000</v>
      </c>
      <c r="O131" s="63">
        <f t="shared" si="85"/>
        <v>2000</v>
      </c>
      <c r="P131" s="63">
        <v>5000</v>
      </c>
      <c r="Q131" s="63">
        <v>0</v>
      </c>
      <c r="R131" s="63">
        <f t="shared" si="70"/>
        <v>4000</v>
      </c>
      <c r="S131" s="36">
        <f>25000+4000</f>
        <v>29000</v>
      </c>
      <c r="T131" s="63">
        <f>0</f>
        <v>0</v>
      </c>
    </row>
    <row r="132" spans="1:20" ht="18.75" x14ac:dyDescent="0.3">
      <c r="A132" s="1">
        <v>26</v>
      </c>
      <c r="B132" s="178" t="s">
        <v>230</v>
      </c>
      <c r="C132" s="178"/>
      <c r="D132" s="62" t="s">
        <v>235</v>
      </c>
      <c r="E132" s="67" t="s">
        <v>298</v>
      </c>
      <c r="F132" s="63">
        <f>20000</f>
        <v>20000</v>
      </c>
      <c r="G132" s="33"/>
      <c r="H132" s="63">
        <f t="shared" si="80"/>
        <v>60000</v>
      </c>
      <c r="I132" s="63">
        <f t="shared" si="81"/>
        <v>1500</v>
      </c>
      <c r="J132" s="63">
        <v>0</v>
      </c>
      <c r="K132" s="63">
        <f t="shared" si="82"/>
        <v>10000</v>
      </c>
      <c r="L132" s="36">
        <f t="shared" si="83"/>
        <v>70000</v>
      </c>
      <c r="M132" s="63">
        <f t="shared" si="84"/>
        <v>20000</v>
      </c>
      <c r="N132" s="36">
        <v>4000</v>
      </c>
      <c r="O132" s="63">
        <f t="shared" si="85"/>
        <v>2000</v>
      </c>
      <c r="P132" s="63">
        <v>5000</v>
      </c>
      <c r="Q132" s="63">
        <v>0</v>
      </c>
      <c r="R132" s="63">
        <f t="shared" si="70"/>
        <v>4000</v>
      </c>
      <c r="S132" s="36">
        <f>25000+4000</f>
        <v>29000</v>
      </c>
      <c r="T132" s="63">
        <f>0</f>
        <v>0</v>
      </c>
    </row>
    <row r="133" spans="1:20" ht="18.75" x14ac:dyDescent="0.3">
      <c r="A133" s="1">
        <v>27</v>
      </c>
      <c r="B133" s="178" t="s">
        <v>231</v>
      </c>
      <c r="C133" s="178"/>
      <c r="D133" s="62" t="s">
        <v>235</v>
      </c>
      <c r="E133" s="67" t="s">
        <v>298</v>
      </c>
      <c r="F133" s="63">
        <f>20000</f>
        <v>20000</v>
      </c>
      <c r="G133" s="33"/>
      <c r="H133" s="63">
        <f t="shared" si="80"/>
        <v>60000</v>
      </c>
      <c r="I133" s="63">
        <f t="shared" si="81"/>
        <v>1500</v>
      </c>
      <c r="J133" s="63">
        <v>0</v>
      </c>
      <c r="K133" s="63">
        <f t="shared" si="82"/>
        <v>10000</v>
      </c>
      <c r="L133" s="36">
        <f t="shared" si="83"/>
        <v>70000</v>
      </c>
      <c r="M133" s="63">
        <f t="shared" si="84"/>
        <v>20000</v>
      </c>
      <c r="N133" s="36">
        <v>4000</v>
      </c>
      <c r="O133" s="63">
        <f t="shared" si="85"/>
        <v>2000</v>
      </c>
      <c r="P133" s="63">
        <v>5000</v>
      </c>
      <c r="Q133" s="63">
        <v>0</v>
      </c>
      <c r="R133" s="63">
        <f t="shared" si="70"/>
        <v>4000</v>
      </c>
      <c r="S133" s="36">
        <f>25000+4000</f>
        <v>29000</v>
      </c>
      <c r="T133" s="63">
        <f>0</f>
        <v>0</v>
      </c>
    </row>
    <row r="134" spans="1:20" ht="18.75" x14ac:dyDescent="0.3">
      <c r="A134" s="1">
        <v>28</v>
      </c>
      <c r="B134" s="178" t="s">
        <v>232</v>
      </c>
      <c r="C134" s="178"/>
      <c r="D134" s="62" t="s">
        <v>235</v>
      </c>
      <c r="E134" s="67" t="s">
        <v>298</v>
      </c>
      <c r="F134" s="63">
        <f>20000</f>
        <v>20000</v>
      </c>
      <c r="G134" s="27">
        <f>0</f>
        <v>0</v>
      </c>
      <c r="H134" s="63">
        <f t="shared" si="80"/>
        <v>60000</v>
      </c>
      <c r="I134" s="63">
        <f t="shared" si="81"/>
        <v>1500</v>
      </c>
      <c r="J134" s="63">
        <v>0</v>
      </c>
      <c r="K134" s="63">
        <f t="shared" si="82"/>
        <v>10000</v>
      </c>
      <c r="L134" s="36">
        <f t="shared" si="83"/>
        <v>70000</v>
      </c>
      <c r="M134" s="63">
        <f t="shared" si="84"/>
        <v>20000</v>
      </c>
      <c r="N134" s="36">
        <v>3000</v>
      </c>
      <c r="O134" s="63">
        <f t="shared" si="85"/>
        <v>2000</v>
      </c>
      <c r="P134" s="63">
        <v>5000</v>
      </c>
      <c r="Q134" s="63">
        <v>0</v>
      </c>
      <c r="R134" s="63">
        <f t="shared" si="70"/>
        <v>3000</v>
      </c>
      <c r="S134" s="36">
        <f>25000+3000</f>
        <v>28000</v>
      </c>
      <c r="T134" s="63">
        <f>0</f>
        <v>0</v>
      </c>
    </row>
    <row r="135" spans="1:20" ht="18.75" x14ac:dyDescent="0.3">
      <c r="A135" s="1">
        <v>29</v>
      </c>
      <c r="B135" s="178" t="s">
        <v>233</v>
      </c>
      <c r="C135" s="178"/>
      <c r="D135" s="62" t="s">
        <v>235</v>
      </c>
      <c r="E135" s="67" t="s">
        <v>298</v>
      </c>
      <c r="F135" s="63">
        <f>20000</f>
        <v>20000</v>
      </c>
      <c r="G135" s="33"/>
      <c r="H135" s="63">
        <f t="shared" si="80"/>
        <v>60000</v>
      </c>
      <c r="I135" s="63">
        <f t="shared" si="81"/>
        <v>1500</v>
      </c>
      <c r="J135" s="63">
        <v>0</v>
      </c>
      <c r="K135" s="63">
        <f t="shared" si="82"/>
        <v>10000</v>
      </c>
      <c r="L135" s="36">
        <f t="shared" si="83"/>
        <v>70000</v>
      </c>
      <c r="M135" s="63">
        <f t="shared" si="84"/>
        <v>20000</v>
      </c>
      <c r="N135" s="36">
        <v>7000</v>
      </c>
      <c r="O135" s="63">
        <f t="shared" si="85"/>
        <v>2000</v>
      </c>
      <c r="P135" s="63">
        <v>5000</v>
      </c>
      <c r="Q135" s="63">
        <v>0</v>
      </c>
      <c r="R135" s="63">
        <f t="shared" si="70"/>
        <v>7000</v>
      </c>
      <c r="S135" s="36">
        <f>25000+7000</f>
        <v>32000</v>
      </c>
      <c r="T135" s="63">
        <f>0</f>
        <v>0</v>
      </c>
    </row>
    <row r="136" spans="1:20" ht="18.75" x14ac:dyDescent="0.3">
      <c r="A136" s="1">
        <v>30</v>
      </c>
      <c r="B136" s="178" t="s">
        <v>234</v>
      </c>
      <c r="C136" s="178"/>
      <c r="D136" s="62" t="s">
        <v>251</v>
      </c>
      <c r="E136" s="67" t="s">
        <v>299</v>
      </c>
      <c r="F136" s="63">
        <f>20000</f>
        <v>20000</v>
      </c>
      <c r="G136" s="33"/>
      <c r="H136" s="63">
        <f t="shared" si="80"/>
        <v>60000</v>
      </c>
      <c r="I136" s="63">
        <f t="shared" si="81"/>
        <v>1500</v>
      </c>
      <c r="J136" s="63">
        <v>0</v>
      </c>
      <c r="K136" s="63">
        <f t="shared" si="82"/>
        <v>10000</v>
      </c>
      <c r="L136" s="36">
        <f t="shared" si="83"/>
        <v>70000</v>
      </c>
      <c r="M136" s="63">
        <f t="shared" si="84"/>
        <v>20000</v>
      </c>
      <c r="N136" s="36">
        <v>7000</v>
      </c>
      <c r="O136" s="63">
        <f t="shared" si="85"/>
        <v>2000</v>
      </c>
      <c r="P136" s="63">
        <v>5000</v>
      </c>
      <c r="Q136" s="63">
        <v>0</v>
      </c>
      <c r="R136" s="63">
        <f t="shared" si="70"/>
        <v>7000</v>
      </c>
      <c r="S136" s="36">
        <f t="shared" ref="S136:S154" si="86">25000+7000</f>
        <v>32000</v>
      </c>
      <c r="T136" s="63">
        <f>0</f>
        <v>0</v>
      </c>
    </row>
    <row r="137" spans="1:20" ht="18.75" x14ac:dyDescent="0.3">
      <c r="A137" s="1">
        <v>31</v>
      </c>
      <c r="B137" s="178" t="s">
        <v>237</v>
      </c>
      <c r="C137" s="178"/>
      <c r="D137" s="62" t="s">
        <v>251</v>
      </c>
      <c r="E137" s="67" t="s">
        <v>299</v>
      </c>
      <c r="F137" s="63">
        <f>20000</f>
        <v>20000</v>
      </c>
      <c r="G137" s="33"/>
      <c r="H137" s="63">
        <f t="shared" si="80"/>
        <v>60000</v>
      </c>
      <c r="I137" s="63">
        <f t="shared" si="81"/>
        <v>1500</v>
      </c>
      <c r="J137" s="63">
        <v>0</v>
      </c>
      <c r="K137" s="63">
        <f t="shared" si="82"/>
        <v>10000</v>
      </c>
      <c r="L137" s="36">
        <f t="shared" si="83"/>
        <v>70000</v>
      </c>
      <c r="M137" s="63">
        <f t="shared" si="84"/>
        <v>20000</v>
      </c>
      <c r="N137" s="36">
        <v>4000</v>
      </c>
      <c r="O137" s="63">
        <f t="shared" si="85"/>
        <v>2000</v>
      </c>
      <c r="P137" s="63">
        <v>5000</v>
      </c>
      <c r="Q137" s="63">
        <v>0</v>
      </c>
      <c r="R137" s="63">
        <f t="shared" si="70"/>
        <v>4000</v>
      </c>
      <c r="S137" s="36">
        <f>25000+4000</f>
        <v>29000</v>
      </c>
      <c r="T137" s="63">
        <f>0</f>
        <v>0</v>
      </c>
    </row>
    <row r="138" spans="1:20" ht="18.75" x14ac:dyDescent="0.3">
      <c r="A138" s="1">
        <v>32</v>
      </c>
      <c r="B138" s="178" t="s">
        <v>238</v>
      </c>
      <c r="C138" s="178"/>
      <c r="D138" s="62" t="s">
        <v>251</v>
      </c>
      <c r="E138" s="67" t="s">
        <v>299</v>
      </c>
      <c r="F138" s="63">
        <f>20000</f>
        <v>20000</v>
      </c>
      <c r="G138" s="33"/>
      <c r="H138" s="63">
        <f t="shared" si="80"/>
        <v>60000</v>
      </c>
      <c r="I138" s="63">
        <f t="shared" si="81"/>
        <v>1500</v>
      </c>
      <c r="J138" s="63">
        <v>0</v>
      </c>
      <c r="K138" s="63">
        <f t="shared" si="82"/>
        <v>10000</v>
      </c>
      <c r="L138" s="36">
        <f t="shared" si="83"/>
        <v>70000</v>
      </c>
      <c r="M138" s="63">
        <f t="shared" si="84"/>
        <v>20000</v>
      </c>
      <c r="N138" s="36">
        <v>4000</v>
      </c>
      <c r="O138" s="63">
        <f t="shared" si="85"/>
        <v>2000</v>
      </c>
      <c r="P138" s="63">
        <v>5000</v>
      </c>
      <c r="Q138" s="63">
        <v>0</v>
      </c>
      <c r="R138" s="63">
        <f t="shared" si="70"/>
        <v>4000</v>
      </c>
      <c r="S138" s="36">
        <f>25000+4000</f>
        <v>29000</v>
      </c>
      <c r="T138" s="63">
        <f>0</f>
        <v>0</v>
      </c>
    </row>
    <row r="139" spans="1:20" ht="18.75" x14ac:dyDescent="0.3">
      <c r="A139" s="1">
        <v>33</v>
      </c>
      <c r="B139" s="33" t="s">
        <v>239</v>
      </c>
      <c r="C139" s="33"/>
      <c r="D139" s="62" t="s">
        <v>251</v>
      </c>
      <c r="E139" s="67" t="s">
        <v>299</v>
      </c>
      <c r="F139" s="63">
        <f>20000</f>
        <v>20000</v>
      </c>
      <c r="G139" s="33"/>
      <c r="H139" s="63">
        <f t="shared" si="80"/>
        <v>60000</v>
      </c>
      <c r="I139" s="63">
        <f t="shared" si="81"/>
        <v>1500</v>
      </c>
      <c r="J139" s="63">
        <v>0</v>
      </c>
      <c r="K139" s="63">
        <f t="shared" si="82"/>
        <v>10000</v>
      </c>
      <c r="L139" s="36">
        <f t="shared" si="83"/>
        <v>70000</v>
      </c>
      <c r="M139" s="63">
        <f>F138*100%</f>
        <v>20000</v>
      </c>
      <c r="N139" s="36">
        <v>7000</v>
      </c>
      <c r="O139" s="63">
        <f t="shared" si="85"/>
        <v>2000</v>
      </c>
      <c r="P139" s="63">
        <v>5000</v>
      </c>
      <c r="Q139" s="63">
        <v>0</v>
      </c>
      <c r="R139" s="63">
        <f t="shared" si="70"/>
        <v>7000</v>
      </c>
      <c r="S139" s="36">
        <f t="shared" si="86"/>
        <v>32000</v>
      </c>
      <c r="T139" s="63">
        <f>0</f>
        <v>0</v>
      </c>
    </row>
    <row r="140" spans="1:20" ht="18.75" x14ac:dyDescent="0.3">
      <c r="A140" s="1">
        <v>34</v>
      </c>
      <c r="B140" s="169" t="s">
        <v>240</v>
      </c>
      <c r="C140" s="170"/>
      <c r="D140" s="62" t="s">
        <v>251</v>
      </c>
      <c r="E140" s="67" t="s">
        <v>299</v>
      </c>
      <c r="F140" s="63">
        <f>20000</f>
        <v>20000</v>
      </c>
      <c r="G140" s="33"/>
      <c r="H140" s="63">
        <f t="shared" si="80"/>
        <v>60000</v>
      </c>
      <c r="I140" s="63">
        <f t="shared" si="81"/>
        <v>1500</v>
      </c>
      <c r="J140" s="63"/>
      <c r="K140" s="63">
        <f t="shared" si="82"/>
        <v>10000</v>
      </c>
      <c r="L140" s="36">
        <f t="shared" si="83"/>
        <v>70000</v>
      </c>
      <c r="M140" s="63">
        <f t="shared" ref="M140:M155" si="87">F140*100%</f>
        <v>20000</v>
      </c>
      <c r="N140" s="36">
        <v>4000</v>
      </c>
      <c r="O140" s="63">
        <f t="shared" si="85"/>
        <v>2000</v>
      </c>
      <c r="P140" s="63">
        <v>5000</v>
      </c>
      <c r="Q140" s="63">
        <v>0</v>
      </c>
      <c r="R140" s="63">
        <f t="shared" si="70"/>
        <v>4000</v>
      </c>
      <c r="S140" s="36">
        <f>25000+4000</f>
        <v>29000</v>
      </c>
      <c r="T140" s="63">
        <f>0</f>
        <v>0</v>
      </c>
    </row>
    <row r="141" spans="1:20" ht="18.75" x14ac:dyDescent="0.3">
      <c r="A141" s="1">
        <v>35</v>
      </c>
      <c r="B141" s="62" t="s">
        <v>241</v>
      </c>
      <c r="C141" s="33"/>
      <c r="D141" s="62" t="s">
        <v>251</v>
      </c>
      <c r="E141" s="67" t="s">
        <v>299</v>
      </c>
      <c r="F141" s="63">
        <f>20000</f>
        <v>20000</v>
      </c>
      <c r="G141" s="33"/>
      <c r="H141" s="63">
        <f t="shared" si="80"/>
        <v>60000</v>
      </c>
      <c r="I141" s="63">
        <f t="shared" si="81"/>
        <v>1500</v>
      </c>
      <c r="J141" s="63"/>
      <c r="K141" s="63">
        <f t="shared" si="82"/>
        <v>10000</v>
      </c>
      <c r="L141" s="36">
        <f t="shared" si="83"/>
        <v>70000</v>
      </c>
      <c r="M141" s="63">
        <f t="shared" si="87"/>
        <v>20000</v>
      </c>
      <c r="N141" s="36">
        <v>4000</v>
      </c>
      <c r="O141" s="63">
        <f t="shared" si="85"/>
        <v>2000</v>
      </c>
      <c r="P141" s="63">
        <v>5000</v>
      </c>
      <c r="Q141" s="63">
        <v>0</v>
      </c>
      <c r="R141" s="63">
        <f t="shared" si="70"/>
        <v>4000</v>
      </c>
      <c r="S141" s="36">
        <f>25000+4000</f>
        <v>29000</v>
      </c>
      <c r="T141" s="63">
        <f>0</f>
        <v>0</v>
      </c>
    </row>
    <row r="142" spans="1:20" ht="18.75" x14ac:dyDescent="0.3">
      <c r="A142" s="1">
        <v>36</v>
      </c>
      <c r="B142" s="62" t="s">
        <v>242</v>
      </c>
      <c r="C142" s="33"/>
      <c r="D142" s="62" t="s">
        <v>251</v>
      </c>
      <c r="E142" s="67" t="s">
        <v>299</v>
      </c>
      <c r="F142" s="63">
        <f>20000</f>
        <v>20000</v>
      </c>
      <c r="G142" s="33"/>
      <c r="H142" s="63">
        <f t="shared" si="80"/>
        <v>60000</v>
      </c>
      <c r="I142" s="63">
        <f t="shared" si="81"/>
        <v>1500</v>
      </c>
      <c r="J142" s="63"/>
      <c r="K142" s="63">
        <f t="shared" si="82"/>
        <v>10000</v>
      </c>
      <c r="L142" s="36">
        <f t="shared" si="83"/>
        <v>70000</v>
      </c>
      <c r="M142" s="63">
        <f t="shared" si="87"/>
        <v>20000</v>
      </c>
      <c r="N142" s="36">
        <v>7000</v>
      </c>
      <c r="O142" s="63">
        <f t="shared" si="85"/>
        <v>2000</v>
      </c>
      <c r="P142" s="63">
        <v>5000</v>
      </c>
      <c r="Q142" s="63">
        <v>0</v>
      </c>
      <c r="R142" s="63">
        <f t="shared" si="70"/>
        <v>7000</v>
      </c>
      <c r="S142" s="36">
        <f t="shared" si="86"/>
        <v>32000</v>
      </c>
      <c r="T142" s="63">
        <f>0</f>
        <v>0</v>
      </c>
    </row>
    <row r="143" spans="1:20" ht="18.75" x14ac:dyDescent="0.3">
      <c r="A143" s="1">
        <v>37</v>
      </c>
      <c r="B143" s="169" t="s">
        <v>243</v>
      </c>
      <c r="C143" s="170"/>
      <c r="D143" s="62" t="s">
        <v>251</v>
      </c>
      <c r="E143" s="67" t="s">
        <v>249</v>
      </c>
      <c r="F143" s="63">
        <f>20000</f>
        <v>20000</v>
      </c>
      <c r="G143" s="33"/>
      <c r="H143" s="63">
        <f t="shared" si="80"/>
        <v>60000</v>
      </c>
      <c r="I143" s="63">
        <f t="shared" si="81"/>
        <v>1500</v>
      </c>
      <c r="J143" s="63"/>
      <c r="K143" s="63">
        <f t="shared" si="82"/>
        <v>10000</v>
      </c>
      <c r="L143" s="36">
        <f t="shared" si="83"/>
        <v>70000</v>
      </c>
      <c r="M143" s="63">
        <f t="shared" si="87"/>
        <v>20000</v>
      </c>
      <c r="N143" s="36">
        <v>7000</v>
      </c>
      <c r="O143" s="63">
        <f t="shared" si="85"/>
        <v>2000</v>
      </c>
      <c r="P143" s="63">
        <v>5000</v>
      </c>
      <c r="Q143" s="63">
        <v>0</v>
      </c>
      <c r="R143" s="63">
        <f t="shared" si="70"/>
        <v>7000</v>
      </c>
      <c r="S143" s="36">
        <f t="shared" si="86"/>
        <v>32000</v>
      </c>
      <c r="T143" s="63">
        <f>0</f>
        <v>0</v>
      </c>
    </row>
    <row r="144" spans="1:20" ht="18.75" x14ac:dyDescent="0.3">
      <c r="A144" s="1">
        <v>38</v>
      </c>
      <c r="B144" s="169" t="s">
        <v>245</v>
      </c>
      <c r="C144" s="170"/>
      <c r="D144" s="62" t="s">
        <v>251</v>
      </c>
      <c r="E144" s="67" t="s">
        <v>249</v>
      </c>
      <c r="F144" s="63">
        <f>20000</f>
        <v>20000</v>
      </c>
      <c r="G144" s="33"/>
      <c r="H144" s="63">
        <f t="shared" si="80"/>
        <v>60000</v>
      </c>
      <c r="I144" s="63">
        <f t="shared" si="81"/>
        <v>1500</v>
      </c>
      <c r="J144" s="63"/>
      <c r="K144" s="63">
        <f t="shared" si="82"/>
        <v>10000</v>
      </c>
      <c r="L144" s="36">
        <f t="shared" si="83"/>
        <v>70000</v>
      </c>
      <c r="M144" s="63">
        <f t="shared" si="87"/>
        <v>20000</v>
      </c>
      <c r="N144" s="36">
        <v>7000</v>
      </c>
      <c r="O144" s="63">
        <f t="shared" si="85"/>
        <v>2000</v>
      </c>
      <c r="P144" s="63">
        <v>5000</v>
      </c>
      <c r="Q144" s="63">
        <v>0</v>
      </c>
      <c r="R144" s="63">
        <f t="shared" si="70"/>
        <v>7000</v>
      </c>
      <c r="S144" s="36">
        <f t="shared" si="86"/>
        <v>32000</v>
      </c>
      <c r="T144" s="63">
        <f>0</f>
        <v>0</v>
      </c>
    </row>
    <row r="145" spans="1:20" ht="18.75" x14ac:dyDescent="0.3">
      <c r="A145" s="1">
        <v>39</v>
      </c>
      <c r="B145" s="62" t="s">
        <v>246</v>
      </c>
      <c r="C145" s="33"/>
      <c r="D145" s="62" t="s">
        <v>251</v>
      </c>
      <c r="E145" s="67" t="s">
        <v>300</v>
      </c>
      <c r="F145" s="63">
        <f>20000</f>
        <v>20000</v>
      </c>
      <c r="G145" s="33"/>
      <c r="H145" s="63">
        <f t="shared" si="80"/>
        <v>60000</v>
      </c>
      <c r="I145" s="63">
        <f t="shared" si="81"/>
        <v>1500</v>
      </c>
      <c r="J145" s="63"/>
      <c r="K145" s="63">
        <f t="shared" si="82"/>
        <v>10000</v>
      </c>
      <c r="L145" s="36">
        <f t="shared" si="83"/>
        <v>70000</v>
      </c>
      <c r="M145" s="63">
        <f t="shared" si="87"/>
        <v>20000</v>
      </c>
      <c r="N145" s="36">
        <v>7000</v>
      </c>
      <c r="O145" s="63">
        <f t="shared" si="85"/>
        <v>2000</v>
      </c>
      <c r="P145" s="63">
        <v>5000</v>
      </c>
      <c r="Q145" s="63">
        <v>0</v>
      </c>
      <c r="R145" s="63">
        <f t="shared" si="70"/>
        <v>7000</v>
      </c>
      <c r="S145" s="36">
        <f t="shared" si="86"/>
        <v>32000</v>
      </c>
      <c r="T145" s="63">
        <f>0</f>
        <v>0</v>
      </c>
    </row>
    <row r="146" spans="1:20" ht="18.75" x14ac:dyDescent="0.3">
      <c r="A146" s="1">
        <v>40</v>
      </c>
      <c r="B146" s="169" t="s">
        <v>248</v>
      </c>
      <c r="C146" s="170"/>
      <c r="D146" s="62" t="s">
        <v>251</v>
      </c>
      <c r="E146" s="67" t="s">
        <v>259</v>
      </c>
      <c r="F146" s="63">
        <f>20000</f>
        <v>20000</v>
      </c>
      <c r="G146" s="33"/>
      <c r="H146" s="63">
        <f t="shared" si="80"/>
        <v>60000</v>
      </c>
      <c r="I146" s="63">
        <f t="shared" si="81"/>
        <v>1500</v>
      </c>
      <c r="J146" s="63"/>
      <c r="K146" s="63">
        <f t="shared" si="82"/>
        <v>10000</v>
      </c>
      <c r="L146" s="36">
        <f t="shared" si="83"/>
        <v>70000</v>
      </c>
      <c r="M146" s="63">
        <f t="shared" si="87"/>
        <v>20000</v>
      </c>
      <c r="N146" s="36">
        <v>7000</v>
      </c>
      <c r="O146" s="63">
        <f t="shared" si="85"/>
        <v>2000</v>
      </c>
      <c r="P146" s="63">
        <v>5000</v>
      </c>
      <c r="Q146" s="63">
        <v>0</v>
      </c>
      <c r="R146" s="63">
        <f t="shared" si="70"/>
        <v>7000</v>
      </c>
      <c r="S146" s="36">
        <f t="shared" si="86"/>
        <v>32000</v>
      </c>
      <c r="T146" s="63">
        <f>0</f>
        <v>0</v>
      </c>
    </row>
    <row r="147" spans="1:20" ht="18.75" x14ac:dyDescent="0.3">
      <c r="A147" s="1">
        <v>41</v>
      </c>
      <c r="B147" s="169" t="s">
        <v>250</v>
      </c>
      <c r="C147" s="170"/>
      <c r="D147" s="62" t="s">
        <v>251</v>
      </c>
      <c r="E147" s="67" t="s">
        <v>259</v>
      </c>
      <c r="F147" s="63">
        <f>20000</f>
        <v>20000</v>
      </c>
      <c r="G147" s="33"/>
      <c r="H147" s="63">
        <f t="shared" si="80"/>
        <v>60000</v>
      </c>
      <c r="I147" s="63">
        <f t="shared" si="81"/>
        <v>1500</v>
      </c>
      <c r="J147" s="63"/>
      <c r="K147" s="63">
        <f t="shared" si="82"/>
        <v>10000</v>
      </c>
      <c r="L147" s="36">
        <f t="shared" si="83"/>
        <v>70000</v>
      </c>
      <c r="M147" s="63">
        <f t="shared" si="87"/>
        <v>20000</v>
      </c>
      <c r="N147" s="36">
        <v>4000</v>
      </c>
      <c r="O147" s="63">
        <f t="shared" si="85"/>
        <v>2000</v>
      </c>
      <c r="P147" s="63">
        <v>5000</v>
      </c>
      <c r="Q147" s="63">
        <v>0</v>
      </c>
      <c r="R147" s="63">
        <f t="shared" si="70"/>
        <v>4000</v>
      </c>
      <c r="S147" s="36">
        <f>25000+4000</f>
        <v>29000</v>
      </c>
      <c r="T147" s="63">
        <f>0</f>
        <v>0</v>
      </c>
    </row>
    <row r="148" spans="1:20" ht="18.75" x14ac:dyDescent="0.3">
      <c r="A148" s="1">
        <v>42</v>
      </c>
      <c r="B148" s="169" t="s">
        <v>253</v>
      </c>
      <c r="C148" s="170"/>
      <c r="D148" s="62" t="s">
        <v>251</v>
      </c>
      <c r="E148" s="67" t="s">
        <v>259</v>
      </c>
      <c r="F148" s="63">
        <f>20000</f>
        <v>20000</v>
      </c>
      <c r="G148" s="33"/>
      <c r="H148" s="63">
        <f t="shared" si="80"/>
        <v>60000</v>
      </c>
      <c r="I148" s="63">
        <f t="shared" si="81"/>
        <v>1500</v>
      </c>
      <c r="J148" s="63"/>
      <c r="K148" s="63">
        <f t="shared" si="82"/>
        <v>10000</v>
      </c>
      <c r="L148" s="36">
        <f t="shared" si="83"/>
        <v>70000</v>
      </c>
      <c r="M148" s="63">
        <f t="shared" si="87"/>
        <v>20000</v>
      </c>
      <c r="N148" s="36">
        <v>4000</v>
      </c>
      <c r="O148" s="63">
        <f t="shared" si="85"/>
        <v>2000</v>
      </c>
      <c r="P148" s="63">
        <v>5000</v>
      </c>
      <c r="Q148" s="63">
        <v>0</v>
      </c>
      <c r="R148" s="63">
        <f t="shared" si="70"/>
        <v>4000</v>
      </c>
      <c r="S148" s="36">
        <f>25000+4000</f>
        <v>29000</v>
      </c>
      <c r="T148" s="63">
        <f>0</f>
        <v>0</v>
      </c>
    </row>
    <row r="149" spans="1:20" ht="18.75" x14ac:dyDescent="0.3">
      <c r="A149" s="1">
        <v>43</v>
      </c>
      <c r="B149" s="169" t="s">
        <v>254</v>
      </c>
      <c r="C149" s="170"/>
      <c r="D149" s="62" t="s">
        <v>251</v>
      </c>
      <c r="E149" s="67" t="s">
        <v>259</v>
      </c>
      <c r="F149" s="63">
        <f>20000</f>
        <v>20000</v>
      </c>
      <c r="G149" s="27">
        <f>6000</f>
        <v>6000</v>
      </c>
      <c r="H149" s="63">
        <f t="shared" si="80"/>
        <v>60000</v>
      </c>
      <c r="I149" s="63">
        <f t="shared" si="81"/>
        <v>1500</v>
      </c>
      <c r="J149" s="63"/>
      <c r="K149" s="63">
        <f t="shared" si="82"/>
        <v>10000</v>
      </c>
      <c r="L149" s="36">
        <f t="shared" si="83"/>
        <v>70000</v>
      </c>
      <c r="M149" s="63">
        <f t="shared" si="87"/>
        <v>20000</v>
      </c>
      <c r="N149" s="36">
        <v>7000</v>
      </c>
      <c r="O149" s="63">
        <f t="shared" si="85"/>
        <v>2000</v>
      </c>
      <c r="P149" s="63">
        <v>5000</v>
      </c>
      <c r="Q149" s="63">
        <v>0</v>
      </c>
      <c r="R149" s="63">
        <f t="shared" si="70"/>
        <v>7000</v>
      </c>
      <c r="S149" s="36">
        <f t="shared" si="86"/>
        <v>32000</v>
      </c>
      <c r="T149" s="63">
        <f>0</f>
        <v>0</v>
      </c>
    </row>
    <row r="150" spans="1:20" ht="18.75" x14ac:dyDescent="0.3">
      <c r="A150" s="1">
        <v>44</v>
      </c>
      <c r="B150" s="169" t="s">
        <v>255</v>
      </c>
      <c r="C150" s="170"/>
      <c r="D150" s="62" t="s">
        <v>251</v>
      </c>
      <c r="E150" s="67" t="s">
        <v>259</v>
      </c>
      <c r="F150" s="63">
        <f>20000</f>
        <v>20000</v>
      </c>
      <c r="G150" s="33"/>
      <c r="H150" s="63">
        <f t="shared" si="80"/>
        <v>60000</v>
      </c>
      <c r="I150" s="63">
        <f t="shared" si="81"/>
        <v>1500</v>
      </c>
      <c r="J150" s="63"/>
      <c r="K150" s="63">
        <f t="shared" si="82"/>
        <v>10000</v>
      </c>
      <c r="L150" s="36">
        <f t="shared" si="83"/>
        <v>70000</v>
      </c>
      <c r="M150" s="63">
        <f t="shared" si="87"/>
        <v>20000</v>
      </c>
      <c r="N150" s="36">
        <v>7000</v>
      </c>
      <c r="O150" s="63">
        <f t="shared" si="85"/>
        <v>2000</v>
      </c>
      <c r="P150" s="63">
        <v>5000</v>
      </c>
      <c r="Q150" s="63">
        <v>0</v>
      </c>
      <c r="R150" s="63">
        <f t="shared" si="70"/>
        <v>7000</v>
      </c>
      <c r="S150" s="36">
        <f t="shared" si="86"/>
        <v>32000</v>
      </c>
      <c r="T150" s="63">
        <f>0</f>
        <v>0</v>
      </c>
    </row>
    <row r="151" spans="1:20" ht="18.75" x14ac:dyDescent="0.3">
      <c r="A151" s="1">
        <v>45</v>
      </c>
      <c r="B151" s="169" t="s">
        <v>256</v>
      </c>
      <c r="C151" s="170"/>
      <c r="D151" s="62" t="s">
        <v>251</v>
      </c>
      <c r="E151" s="67" t="s">
        <v>259</v>
      </c>
      <c r="F151" s="63">
        <f>20000</f>
        <v>20000</v>
      </c>
      <c r="G151" s="33"/>
      <c r="H151" s="63">
        <f t="shared" si="80"/>
        <v>60000</v>
      </c>
      <c r="I151" s="63">
        <f t="shared" si="81"/>
        <v>1500</v>
      </c>
      <c r="J151" s="63"/>
      <c r="K151" s="63">
        <f t="shared" si="82"/>
        <v>10000</v>
      </c>
      <c r="L151" s="36">
        <f t="shared" si="83"/>
        <v>70000</v>
      </c>
      <c r="M151" s="63">
        <f t="shared" si="87"/>
        <v>20000</v>
      </c>
      <c r="N151" s="36">
        <v>7000</v>
      </c>
      <c r="O151" s="63">
        <f t="shared" si="85"/>
        <v>2000</v>
      </c>
      <c r="P151" s="63">
        <v>5000</v>
      </c>
      <c r="Q151" s="63">
        <v>0</v>
      </c>
      <c r="R151" s="63">
        <f t="shared" si="70"/>
        <v>7000</v>
      </c>
      <c r="S151" s="36">
        <f t="shared" si="86"/>
        <v>32000</v>
      </c>
      <c r="T151" s="63">
        <f>0</f>
        <v>0</v>
      </c>
    </row>
    <row r="152" spans="1:20" ht="18.75" x14ac:dyDescent="0.3">
      <c r="A152" s="1">
        <v>46</v>
      </c>
      <c r="B152" s="169" t="s">
        <v>257</v>
      </c>
      <c r="C152" s="170"/>
      <c r="D152" s="62" t="s">
        <v>251</v>
      </c>
      <c r="E152" s="67" t="s">
        <v>259</v>
      </c>
      <c r="F152" s="63">
        <f>20000</f>
        <v>20000</v>
      </c>
      <c r="G152" s="33"/>
      <c r="H152" s="63">
        <f t="shared" si="80"/>
        <v>60000</v>
      </c>
      <c r="I152" s="63">
        <f t="shared" si="81"/>
        <v>1500</v>
      </c>
      <c r="J152" s="63"/>
      <c r="K152" s="63">
        <f t="shared" si="82"/>
        <v>10000</v>
      </c>
      <c r="L152" s="36">
        <f t="shared" si="83"/>
        <v>70000</v>
      </c>
      <c r="M152" s="63">
        <f t="shared" si="87"/>
        <v>20000</v>
      </c>
      <c r="N152" s="36">
        <v>7000</v>
      </c>
      <c r="O152" s="63">
        <f t="shared" si="85"/>
        <v>2000</v>
      </c>
      <c r="P152" s="63">
        <v>5000</v>
      </c>
      <c r="Q152" s="63">
        <v>0</v>
      </c>
      <c r="R152" s="63">
        <f t="shared" si="70"/>
        <v>7000</v>
      </c>
      <c r="S152" s="36">
        <f t="shared" si="86"/>
        <v>32000</v>
      </c>
      <c r="T152" s="63">
        <f>0</f>
        <v>0</v>
      </c>
    </row>
    <row r="153" spans="1:20" ht="18.75" x14ac:dyDescent="0.3">
      <c r="A153" s="1">
        <v>47</v>
      </c>
      <c r="B153" s="197" t="s">
        <v>258</v>
      </c>
      <c r="C153" s="198"/>
      <c r="D153" s="62" t="s">
        <v>251</v>
      </c>
      <c r="E153" s="67" t="s">
        <v>301</v>
      </c>
      <c r="F153" s="63">
        <f>20000</f>
        <v>20000</v>
      </c>
      <c r="G153" s="33"/>
      <c r="H153" s="63">
        <f t="shared" si="80"/>
        <v>60000</v>
      </c>
      <c r="I153" s="63">
        <f t="shared" si="81"/>
        <v>1500</v>
      </c>
      <c r="J153" s="63"/>
      <c r="K153" s="63">
        <f t="shared" si="82"/>
        <v>10000</v>
      </c>
      <c r="L153" s="36">
        <f t="shared" si="83"/>
        <v>70000</v>
      </c>
      <c r="M153" s="63">
        <f t="shared" si="87"/>
        <v>20000</v>
      </c>
      <c r="N153" s="36">
        <v>7000</v>
      </c>
      <c r="O153" s="63">
        <f t="shared" si="85"/>
        <v>2000</v>
      </c>
      <c r="P153" s="63">
        <v>5000</v>
      </c>
      <c r="Q153" s="63">
        <v>0</v>
      </c>
      <c r="R153" s="63">
        <f t="shared" si="70"/>
        <v>7000</v>
      </c>
      <c r="S153" s="36">
        <f t="shared" si="86"/>
        <v>32000</v>
      </c>
      <c r="T153" s="63">
        <f>0</f>
        <v>0</v>
      </c>
    </row>
    <row r="154" spans="1:20" ht="18.75" x14ac:dyDescent="0.3">
      <c r="A154" s="1">
        <v>48</v>
      </c>
      <c r="B154" s="199" t="s">
        <v>260</v>
      </c>
      <c r="C154" s="200"/>
      <c r="D154" s="62" t="s">
        <v>251</v>
      </c>
      <c r="E154" s="67" t="s">
        <v>301</v>
      </c>
      <c r="F154" s="63">
        <f>20000</f>
        <v>20000</v>
      </c>
      <c r="G154" s="33"/>
      <c r="H154" s="63">
        <f t="shared" si="80"/>
        <v>60000</v>
      </c>
      <c r="I154" s="63">
        <f t="shared" si="81"/>
        <v>1500</v>
      </c>
      <c r="J154" s="63"/>
      <c r="K154" s="63">
        <f t="shared" si="82"/>
        <v>10000</v>
      </c>
      <c r="L154" s="36">
        <f t="shared" si="83"/>
        <v>70000</v>
      </c>
      <c r="M154" s="63">
        <f t="shared" si="87"/>
        <v>20000</v>
      </c>
      <c r="N154" s="36">
        <v>7000</v>
      </c>
      <c r="O154" s="63">
        <f t="shared" si="85"/>
        <v>2000</v>
      </c>
      <c r="P154" s="63">
        <v>5000</v>
      </c>
      <c r="Q154" s="63">
        <v>0</v>
      </c>
      <c r="R154" s="63">
        <f t="shared" si="70"/>
        <v>7000</v>
      </c>
      <c r="S154" s="36">
        <f t="shared" si="86"/>
        <v>32000</v>
      </c>
      <c r="T154" s="63">
        <f>0</f>
        <v>0</v>
      </c>
    </row>
    <row r="155" spans="1:20" ht="18.75" x14ac:dyDescent="0.3">
      <c r="A155" s="1">
        <v>49</v>
      </c>
      <c r="B155" s="99" t="s">
        <v>261</v>
      </c>
      <c r="C155" s="100"/>
      <c r="D155" s="62" t="s">
        <v>251</v>
      </c>
      <c r="E155" s="67" t="s">
        <v>301</v>
      </c>
      <c r="F155" s="63">
        <f>20000</f>
        <v>20000</v>
      </c>
      <c r="G155" s="27">
        <f>0</f>
        <v>0</v>
      </c>
      <c r="H155" s="63">
        <f t="shared" si="80"/>
        <v>60000</v>
      </c>
      <c r="I155" s="63">
        <f t="shared" si="81"/>
        <v>1500</v>
      </c>
      <c r="J155" s="63"/>
      <c r="K155" s="63">
        <f t="shared" si="82"/>
        <v>10000</v>
      </c>
      <c r="L155" s="36">
        <f t="shared" si="83"/>
        <v>70000</v>
      </c>
      <c r="M155" s="63">
        <f t="shared" si="87"/>
        <v>20000</v>
      </c>
      <c r="N155" s="36">
        <v>4000</v>
      </c>
      <c r="O155" s="63">
        <f t="shared" si="85"/>
        <v>2000</v>
      </c>
      <c r="P155" s="63">
        <v>5000</v>
      </c>
      <c r="Q155" s="63">
        <v>0</v>
      </c>
      <c r="R155" s="63">
        <f t="shared" si="70"/>
        <v>4000</v>
      </c>
      <c r="S155" s="36">
        <f>25000+4000</f>
        <v>29000</v>
      </c>
      <c r="T155" s="63">
        <f>0</f>
        <v>0</v>
      </c>
    </row>
    <row r="156" spans="1:20" ht="18.75" x14ac:dyDescent="0.3">
      <c r="A156" s="11"/>
      <c r="B156" s="49" t="s">
        <v>32</v>
      </c>
      <c r="C156" s="1"/>
      <c r="D156" s="50" t="s">
        <v>324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63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.75" x14ac:dyDescent="0.3">
      <c r="A157" s="33"/>
      <c r="B157" s="201" t="s">
        <v>263</v>
      </c>
      <c r="C157" s="201"/>
      <c r="D157" s="40"/>
      <c r="E157" s="41"/>
      <c r="F157" s="42">
        <f>F24+F29+F43+F48+F56+F63+F75+F84+F91+F104+F156</f>
        <v>6090000</v>
      </c>
      <c r="G157" s="42">
        <f t="shared" ref="G157:T157" si="90">G24+G29+G43+G48+G56+G63+G75+G84+G91+G104+G156</f>
        <v>6000</v>
      </c>
      <c r="H157" s="42">
        <f t="shared" si="90"/>
        <v>17690977.5</v>
      </c>
      <c r="I157" s="42">
        <f t="shared" si="90"/>
        <v>482396.63</v>
      </c>
      <c r="J157" s="42">
        <f t="shared" si="90"/>
        <v>1564765.4100000001</v>
      </c>
      <c r="K157" s="42">
        <f t="shared" si="90"/>
        <v>2967219.94</v>
      </c>
      <c r="L157" s="42">
        <f t="shared" si="90"/>
        <v>20265000</v>
      </c>
      <c r="M157" s="42">
        <f t="shared" si="90"/>
        <v>5910366.5700000003</v>
      </c>
      <c r="N157" s="42">
        <f t="shared" si="90"/>
        <v>5402000</v>
      </c>
      <c r="O157" s="42">
        <f t="shared" si="90"/>
        <v>595048.88</v>
      </c>
      <c r="P157" s="42">
        <f t="shared" si="90"/>
        <v>1530000</v>
      </c>
      <c r="Q157" s="42">
        <f t="shared" si="90"/>
        <v>805235</v>
      </c>
      <c r="R157" s="42">
        <f t="shared" si="90"/>
        <v>6207235</v>
      </c>
      <c r="S157" s="42">
        <f t="shared" si="90"/>
        <v>11977000</v>
      </c>
      <c r="T157" s="42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2"/>
  <sheetViews>
    <sheetView workbookViewId="0">
      <selection activeCell="B49" sqref="B49:B53"/>
    </sheetView>
  </sheetViews>
  <sheetFormatPr defaultRowHeight="12.75" x14ac:dyDescent="0.2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 x14ac:dyDescent="0.2">
      <c r="B1" s="95" t="s">
        <v>327</v>
      </c>
      <c r="C1" s="95"/>
    </row>
    <row r="2" spans="1:11" ht="15" x14ac:dyDescent="0.2">
      <c r="A2" s="89"/>
      <c r="B2" s="89"/>
      <c r="C2" s="89"/>
      <c r="D2" s="89" t="s">
        <v>328</v>
      </c>
      <c r="E2" s="89" t="s">
        <v>329</v>
      </c>
      <c r="F2" s="89"/>
      <c r="G2" s="89"/>
      <c r="H2" s="89"/>
    </row>
    <row r="3" spans="1:11" ht="30" x14ac:dyDescent="0.2">
      <c r="A3" s="89"/>
      <c r="B3" s="89"/>
      <c r="C3" s="89"/>
      <c r="D3" s="89" t="s">
        <v>330</v>
      </c>
      <c r="E3" s="89" t="s">
        <v>331</v>
      </c>
      <c r="F3" s="89" t="s">
        <v>332</v>
      </c>
      <c r="G3" s="90" t="s">
        <v>333</v>
      </c>
      <c r="H3" s="89"/>
      <c r="K3" s="88"/>
    </row>
    <row r="4" spans="1:11" ht="15" x14ac:dyDescent="0.2">
      <c r="A4" s="89">
        <v>1</v>
      </c>
      <c r="B4" s="89" t="s">
        <v>334</v>
      </c>
      <c r="C4" s="89"/>
      <c r="D4" s="91">
        <f>451465</f>
        <v>451465</v>
      </c>
      <c r="E4" s="91">
        <f>800657</f>
        <v>800657</v>
      </c>
      <c r="F4" s="91">
        <f>E4-D4</f>
        <v>349192</v>
      </c>
      <c r="G4" s="91">
        <f>F4*6</f>
        <v>2095152</v>
      </c>
      <c r="H4" s="91"/>
    </row>
    <row r="5" spans="1:11" ht="15" x14ac:dyDescent="0.2">
      <c r="A5" s="89">
        <v>2</v>
      </c>
      <c r="B5" s="89" t="s">
        <v>335</v>
      </c>
      <c r="C5" s="89"/>
      <c r="D5" s="91">
        <f t="shared" ref="D5" si="0">451465</f>
        <v>451465</v>
      </c>
      <c r="E5" s="91">
        <f>800657</f>
        <v>800657</v>
      </c>
      <c r="F5" s="91">
        <f t="shared" ref="F5:F8" si="1">E5-D5</f>
        <v>349192</v>
      </c>
      <c r="G5" s="91">
        <f t="shared" ref="G5:G8" si="2">F5*6</f>
        <v>2095152</v>
      </c>
      <c r="H5" s="91"/>
    </row>
    <row r="6" spans="1:11" ht="15" x14ac:dyDescent="0.2">
      <c r="A6" s="89">
        <v>3</v>
      </c>
      <c r="B6" s="89" t="s">
        <v>336</v>
      </c>
      <c r="C6" s="89"/>
      <c r="D6" s="91">
        <f>367553</f>
        <v>367553</v>
      </c>
      <c r="E6" s="91">
        <f>424023</f>
        <v>424023</v>
      </c>
      <c r="F6" s="91">
        <f t="shared" si="1"/>
        <v>56470</v>
      </c>
      <c r="G6" s="91">
        <f t="shared" si="2"/>
        <v>338820</v>
      </c>
      <c r="H6" s="91"/>
    </row>
    <row r="7" spans="1:11" ht="15" x14ac:dyDescent="0.2">
      <c r="A7" s="89">
        <v>4</v>
      </c>
      <c r="B7" s="89" t="s">
        <v>337</v>
      </c>
      <c r="C7" s="89"/>
      <c r="D7" s="91">
        <f t="shared" ref="D7:D8" si="3">367553</f>
        <v>367553</v>
      </c>
      <c r="E7" s="91">
        <f t="shared" ref="E7:E8" si="4">424023</f>
        <v>424023</v>
      </c>
      <c r="F7" s="91">
        <f t="shared" si="1"/>
        <v>56470</v>
      </c>
      <c r="G7" s="91">
        <f t="shared" si="2"/>
        <v>338820</v>
      </c>
      <c r="H7" s="91"/>
    </row>
    <row r="8" spans="1:11" ht="15" x14ac:dyDescent="0.2">
      <c r="A8" s="89">
        <v>5</v>
      </c>
      <c r="B8" s="89" t="s">
        <v>338</v>
      </c>
      <c r="C8" s="89"/>
      <c r="D8" s="91">
        <f t="shared" si="3"/>
        <v>367553</v>
      </c>
      <c r="E8" s="91">
        <f t="shared" si="4"/>
        <v>424023</v>
      </c>
      <c r="F8" s="91">
        <f t="shared" si="1"/>
        <v>56470</v>
      </c>
      <c r="G8" s="91">
        <f t="shared" si="2"/>
        <v>338820</v>
      </c>
      <c r="H8" s="91"/>
    </row>
    <row r="9" spans="1:11" ht="15.75" x14ac:dyDescent="0.25">
      <c r="A9" s="89"/>
      <c r="B9" s="89"/>
      <c r="C9" s="89"/>
      <c r="D9" s="91"/>
      <c r="E9" s="91"/>
      <c r="F9" s="91"/>
      <c r="G9" s="92">
        <f>SUM(G4:G8)</f>
        <v>5206764</v>
      </c>
      <c r="H9" s="91"/>
    </row>
    <row r="10" spans="1:11" ht="15" x14ac:dyDescent="0.2">
      <c r="A10" s="89"/>
      <c r="B10" s="89"/>
      <c r="C10" s="89"/>
      <c r="D10" s="89"/>
      <c r="E10" s="89"/>
      <c r="F10" s="89"/>
      <c r="G10" s="89"/>
      <c r="H10" s="89"/>
    </row>
    <row r="11" spans="1:11" ht="15.75" x14ac:dyDescent="0.25">
      <c r="A11" s="89"/>
      <c r="B11" s="96" t="s">
        <v>339</v>
      </c>
      <c r="C11" s="96"/>
      <c r="D11" s="96"/>
      <c r="E11" s="96"/>
      <c r="F11" s="89"/>
      <c r="G11" s="89"/>
      <c r="H11" s="89"/>
    </row>
    <row r="12" spans="1:11" ht="15" x14ac:dyDescent="0.2">
      <c r="A12" s="89">
        <v>1</v>
      </c>
      <c r="B12" s="89" t="s">
        <v>334</v>
      </c>
      <c r="C12" s="89"/>
      <c r="D12" s="91">
        <f>451465</f>
        <v>451465</v>
      </c>
      <c r="E12" s="91">
        <f>825433</f>
        <v>825433</v>
      </c>
      <c r="F12" s="93">
        <f>E12-D12</f>
        <v>373968</v>
      </c>
      <c r="H12">
        <f>2880462.89-2095152</f>
        <v>785310.89000000013</v>
      </c>
    </row>
    <row r="13" spans="1:11" ht="15" x14ac:dyDescent="0.2">
      <c r="A13" s="89">
        <v>2</v>
      </c>
      <c r="B13" s="89" t="s">
        <v>335</v>
      </c>
      <c r="C13" s="89"/>
      <c r="D13" s="91">
        <f t="shared" ref="D13" si="5">451465</f>
        <v>451465</v>
      </c>
      <c r="E13" s="91">
        <f>825433</f>
        <v>825433</v>
      </c>
      <c r="F13" s="93">
        <f t="shared" ref="F13:F16" si="6">E13-D13</f>
        <v>373968</v>
      </c>
      <c r="H13">
        <f>2980462.89-2095152</f>
        <v>885310.89000000013</v>
      </c>
    </row>
    <row r="14" spans="1:11" ht="15" x14ac:dyDescent="0.2">
      <c r="A14" s="89">
        <v>3</v>
      </c>
      <c r="B14" s="89" t="s">
        <v>336</v>
      </c>
      <c r="C14" s="89"/>
      <c r="D14" s="91">
        <f>367553</f>
        <v>367553</v>
      </c>
      <c r="E14" s="91">
        <f>437744</f>
        <v>437744</v>
      </c>
      <c r="F14" s="93">
        <f t="shared" si="6"/>
        <v>70191</v>
      </c>
      <c r="H14">
        <f>776564-338820</f>
        <v>437744</v>
      </c>
    </row>
    <row r="15" spans="1:11" ht="15" x14ac:dyDescent="0.2">
      <c r="A15" s="89">
        <v>4</v>
      </c>
      <c r="B15" s="89" t="s">
        <v>337</v>
      </c>
      <c r="C15" s="89"/>
      <c r="D15" s="91">
        <f t="shared" ref="D15:D16" si="7">367553</f>
        <v>367553</v>
      </c>
      <c r="E15" s="91">
        <f t="shared" ref="E15:E16" si="8">437744</f>
        <v>437744</v>
      </c>
      <c r="F15" s="93">
        <f t="shared" si="6"/>
        <v>70191</v>
      </c>
      <c r="H15">
        <f t="shared" ref="H15:H16" si="9">776564-338820</f>
        <v>437744</v>
      </c>
    </row>
    <row r="16" spans="1:11" ht="15" x14ac:dyDescent="0.2">
      <c r="A16" s="89">
        <v>5</v>
      </c>
      <c r="B16" s="89" t="s">
        <v>338</v>
      </c>
      <c r="C16" s="89"/>
      <c r="D16" s="91">
        <f t="shared" si="7"/>
        <v>367553</v>
      </c>
      <c r="E16" s="91">
        <f t="shared" si="8"/>
        <v>437744</v>
      </c>
      <c r="F16" s="93">
        <f t="shared" si="6"/>
        <v>70191</v>
      </c>
      <c r="H16">
        <f t="shared" si="9"/>
        <v>437744</v>
      </c>
    </row>
    <row r="17" spans="1:13" ht="15.75" x14ac:dyDescent="0.25">
      <c r="D17" s="89"/>
      <c r="E17" s="89"/>
      <c r="F17" s="94">
        <f>SUM(F12:F16)</f>
        <v>958509</v>
      </c>
    </row>
    <row r="19" spans="1:13" ht="15.75" x14ac:dyDescent="0.25">
      <c r="B19" s="96" t="s">
        <v>340</v>
      </c>
      <c r="C19" s="96"/>
      <c r="D19" s="96"/>
      <c r="E19" s="96"/>
    </row>
    <row r="20" spans="1:13" ht="15" x14ac:dyDescent="0.2">
      <c r="A20" s="89">
        <v>1</v>
      </c>
      <c r="B20" s="89" t="s">
        <v>334</v>
      </c>
      <c r="C20" s="89"/>
      <c r="D20" s="91">
        <f>21618.09</f>
        <v>21618.09</v>
      </c>
      <c r="E20" s="91">
        <f>52776.63</f>
        <v>52776.63</v>
      </c>
      <c r="F20" s="93">
        <f>E20-D20</f>
        <v>31158.539999999997</v>
      </c>
    </row>
    <row r="21" spans="1:13" ht="15" x14ac:dyDescent="0.2">
      <c r="A21" s="89">
        <v>2</v>
      </c>
      <c r="B21" s="89" t="s">
        <v>335</v>
      </c>
      <c r="C21" s="89"/>
      <c r="D21" s="91">
        <f>21618.09</f>
        <v>21618.09</v>
      </c>
      <c r="E21" s="91">
        <f>52776.63</f>
        <v>52776.63</v>
      </c>
      <c r="F21" s="93">
        <f t="shared" ref="F21:F24" si="10">E21-D21</f>
        <v>31158.539999999997</v>
      </c>
    </row>
    <row r="22" spans="1:13" ht="15" x14ac:dyDescent="0.2">
      <c r="A22" s="89">
        <v>3</v>
      </c>
      <c r="B22" s="89" t="s">
        <v>336</v>
      </c>
      <c r="C22" s="89"/>
      <c r="D22" s="91">
        <f>15548.33</f>
        <v>15548.33</v>
      </c>
      <c r="E22" s="91">
        <f>21618.09</f>
        <v>21618.09</v>
      </c>
      <c r="F22" s="93">
        <f t="shared" si="10"/>
        <v>6069.76</v>
      </c>
    </row>
    <row r="23" spans="1:13" ht="15" x14ac:dyDescent="0.2">
      <c r="A23" s="89">
        <v>4</v>
      </c>
      <c r="B23" s="89" t="s">
        <v>337</v>
      </c>
      <c r="C23" s="89"/>
      <c r="D23" s="91">
        <f t="shared" ref="D23:D24" si="11">15548.33</f>
        <v>15548.33</v>
      </c>
      <c r="E23" s="91">
        <f t="shared" ref="E23:E24" si="12">21618.09</f>
        <v>21618.09</v>
      </c>
      <c r="F23" s="93">
        <f t="shared" si="10"/>
        <v>6069.76</v>
      </c>
    </row>
    <row r="24" spans="1:13" ht="15" x14ac:dyDescent="0.2">
      <c r="A24" s="89">
        <v>5</v>
      </c>
      <c r="B24" s="89" t="s">
        <v>338</v>
      </c>
      <c r="C24" s="89"/>
      <c r="D24" s="91">
        <f t="shared" si="11"/>
        <v>15548.33</v>
      </c>
      <c r="E24" s="91">
        <f t="shared" si="12"/>
        <v>21618.09</v>
      </c>
      <c r="F24" s="93">
        <f t="shared" si="10"/>
        <v>6069.76</v>
      </c>
    </row>
    <row r="25" spans="1:13" ht="15.75" x14ac:dyDescent="0.25">
      <c r="F25" s="94">
        <f>SUM(F20:F24)</f>
        <v>80526.359999999986</v>
      </c>
    </row>
    <row r="28" spans="1:13" ht="15.75" x14ac:dyDescent="0.25">
      <c r="B28" s="96" t="s">
        <v>341</v>
      </c>
      <c r="C28" s="96"/>
      <c r="D28" s="96"/>
      <c r="E28" s="96"/>
    </row>
    <row r="29" spans="1:13" ht="15" x14ac:dyDescent="0.2">
      <c r="A29" s="89">
        <v>1</v>
      </c>
      <c r="B29" s="89" t="s">
        <v>342</v>
      </c>
      <c r="C29" s="89" t="s">
        <v>315</v>
      </c>
      <c r="D29" s="97">
        <v>0</v>
      </c>
      <c r="E29" s="97">
        <f>437744</f>
        <v>437744</v>
      </c>
      <c r="F29" s="97"/>
      <c r="G29" s="98">
        <f>E29+F29</f>
        <v>437744</v>
      </c>
      <c r="H29" s="98">
        <f>G29-D29</f>
        <v>437744</v>
      </c>
      <c r="K29" s="97">
        <f>[4]FEB2020!$H$19</f>
        <v>0</v>
      </c>
      <c r="L29" s="97">
        <f>[4]FEB2020!$G$19</f>
        <v>0</v>
      </c>
      <c r="M29" s="98">
        <f>K29+L29</f>
        <v>0</v>
      </c>
    </row>
    <row r="30" spans="1:13" ht="15" x14ac:dyDescent="0.2">
      <c r="A30" s="89">
        <v>2</v>
      </c>
      <c r="B30" s="89" t="s">
        <v>343</v>
      </c>
      <c r="C30" s="89" t="s">
        <v>344</v>
      </c>
      <c r="D30" s="97">
        <v>0</v>
      </c>
      <c r="E30" s="97">
        <f t="shared" ref="E30:E35" si="13">344720</f>
        <v>344720</v>
      </c>
      <c r="F30" s="97">
        <f>100000</f>
        <v>100000</v>
      </c>
      <c r="G30" s="98">
        <f t="shared" ref="G30:G53" si="14">E30+F30</f>
        <v>444720</v>
      </c>
      <c r="H30" s="98">
        <f t="shared" ref="H30:H53" si="15">G30-D30</f>
        <v>444720</v>
      </c>
      <c r="K30" s="97"/>
      <c r="L30" s="97">
        <f>50000</f>
        <v>50000</v>
      </c>
    </row>
    <row r="31" spans="1:13" ht="15" x14ac:dyDescent="0.2">
      <c r="A31" s="89">
        <v>3</v>
      </c>
      <c r="B31" s="89" t="s">
        <v>345</v>
      </c>
      <c r="C31" s="89" t="s">
        <v>344</v>
      </c>
      <c r="D31" s="97">
        <v>0</v>
      </c>
      <c r="E31" s="97">
        <f t="shared" si="13"/>
        <v>344720</v>
      </c>
      <c r="F31" s="97">
        <f t="shared" ref="F31:F48" si="16">100000</f>
        <v>100000</v>
      </c>
      <c r="G31" s="98">
        <f t="shared" si="14"/>
        <v>444720</v>
      </c>
      <c r="H31" s="98">
        <f t="shared" si="15"/>
        <v>444720</v>
      </c>
      <c r="K31" s="97"/>
      <c r="L31" s="97"/>
    </row>
    <row r="32" spans="1:13" ht="15" x14ac:dyDescent="0.2">
      <c r="A32" s="89">
        <v>4</v>
      </c>
      <c r="B32" s="89" t="s">
        <v>346</v>
      </c>
      <c r="C32" s="89" t="s">
        <v>344</v>
      </c>
      <c r="D32" s="97">
        <v>0</v>
      </c>
      <c r="E32" s="97">
        <f t="shared" si="13"/>
        <v>344720</v>
      </c>
      <c r="F32" s="97">
        <f t="shared" si="16"/>
        <v>100000</v>
      </c>
      <c r="G32" s="98">
        <f t="shared" si="14"/>
        <v>444720</v>
      </c>
      <c r="H32" s="98">
        <f t="shared" si="15"/>
        <v>444720</v>
      </c>
      <c r="K32" s="97"/>
      <c r="L32" s="97"/>
    </row>
    <row r="33" spans="1:12" ht="15" x14ac:dyDescent="0.2">
      <c r="A33" s="89">
        <v>5</v>
      </c>
      <c r="B33" s="89" t="s">
        <v>347</v>
      </c>
      <c r="C33" s="89" t="s">
        <v>344</v>
      </c>
      <c r="D33" s="97">
        <v>0</v>
      </c>
      <c r="E33" s="97">
        <f t="shared" si="13"/>
        <v>344720</v>
      </c>
      <c r="F33" s="97"/>
      <c r="G33" s="98">
        <f t="shared" si="14"/>
        <v>344720</v>
      </c>
      <c r="H33" s="98">
        <f t="shared" si="15"/>
        <v>344720</v>
      </c>
      <c r="K33" s="97"/>
      <c r="L33" s="97"/>
    </row>
    <row r="34" spans="1:12" ht="15" x14ac:dyDescent="0.2">
      <c r="A34" s="89">
        <v>6</v>
      </c>
      <c r="B34" s="89" t="s">
        <v>348</v>
      </c>
      <c r="C34" s="89" t="s">
        <v>344</v>
      </c>
      <c r="D34" s="97">
        <v>0</v>
      </c>
      <c r="E34" s="97">
        <f t="shared" si="13"/>
        <v>344720</v>
      </c>
      <c r="F34" s="97">
        <f>100000</f>
        <v>100000</v>
      </c>
      <c r="G34" s="98">
        <f>E34+F34</f>
        <v>444720</v>
      </c>
      <c r="H34" s="98">
        <f>G34-D34</f>
        <v>444720</v>
      </c>
      <c r="K34" s="97"/>
      <c r="L34" s="97">
        <f>25000</f>
        <v>25000</v>
      </c>
    </row>
    <row r="35" spans="1:12" ht="15" x14ac:dyDescent="0.2">
      <c r="A35" s="89">
        <v>7</v>
      </c>
      <c r="B35" s="89" t="s">
        <v>349</v>
      </c>
      <c r="C35" s="89" t="s">
        <v>344</v>
      </c>
      <c r="D35" s="97">
        <v>0</v>
      </c>
      <c r="E35" s="97">
        <f t="shared" si="13"/>
        <v>344720</v>
      </c>
      <c r="F35" s="97">
        <f>100000</f>
        <v>100000</v>
      </c>
      <c r="G35" s="98">
        <f>E35+F35</f>
        <v>444720</v>
      </c>
      <c r="H35" s="98">
        <f>G35-D35</f>
        <v>444720</v>
      </c>
      <c r="K35" s="97"/>
      <c r="L35" s="97">
        <f>25000</f>
        <v>25000</v>
      </c>
    </row>
    <row r="36" spans="1:12" ht="15" x14ac:dyDescent="0.2">
      <c r="A36" s="89">
        <v>8</v>
      </c>
      <c r="B36" s="89" t="s">
        <v>350</v>
      </c>
      <c r="C36" s="89" t="s">
        <v>351</v>
      </c>
      <c r="D36" s="97">
        <v>0</v>
      </c>
      <c r="E36" s="97">
        <f>249153.06</f>
        <v>249153.06</v>
      </c>
      <c r="F36" s="97">
        <f>100000</f>
        <v>100000</v>
      </c>
      <c r="G36" s="98">
        <f t="shared" si="14"/>
        <v>349153.06</v>
      </c>
      <c r="H36" s="98">
        <f t="shared" si="15"/>
        <v>349153.06</v>
      </c>
      <c r="K36" s="97"/>
      <c r="L36" s="97">
        <f>20000</f>
        <v>20000</v>
      </c>
    </row>
    <row r="37" spans="1:12" ht="15" x14ac:dyDescent="0.2">
      <c r="A37" s="89">
        <v>9</v>
      </c>
      <c r="B37" s="89" t="s">
        <v>352</v>
      </c>
      <c r="C37" s="89" t="s">
        <v>353</v>
      </c>
      <c r="D37" s="97">
        <v>0</v>
      </c>
      <c r="E37" s="97">
        <f>226713</f>
        <v>226713</v>
      </c>
      <c r="F37" s="97">
        <f t="shared" si="16"/>
        <v>100000</v>
      </c>
      <c r="G37" s="98">
        <f t="shared" si="14"/>
        <v>326713</v>
      </c>
      <c r="H37" s="98">
        <f t="shared" si="15"/>
        <v>326713</v>
      </c>
      <c r="K37" s="97"/>
      <c r="L37" s="97">
        <f>110000</f>
        <v>110000</v>
      </c>
    </row>
    <row r="38" spans="1:12" ht="15" x14ac:dyDescent="0.2">
      <c r="A38" s="89">
        <v>10</v>
      </c>
      <c r="B38" s="89" t="s">
        <v>354</v>
      </c>
      <c r="C38" s="89" t="s">
        <v>353</v>
      </c>
      <c r="D38" s="97"/>
      <c r="E38" s="97">
        <f t="shared" ref="E38:E40" si="17">226713</f>
        <v>226713</v>
      </c>
      <c r="F38" s="97">
        <f t="shared" si="16"/>
        <v>100000</v>
      </c>
      <c r="G38" s="98">
        <f t="shared" ref="G38:G39" si="18">E38+F38</f>
        <v>326713</v>
      </c>
      <c r="H38" s="98">
        <f t="shared" ref="H38:H39" si="19">G38-D38</f>
        <v>326713</v>
      </c>
      <c r="K38" s="97">
        <f>131666.67</f>
        <v>131666.67000000001</v>
      </c>
      <c r="L38" s="97">
        <f>10000</f>
        <v>10000</v>
      </c>
    </row>
    <row r="39" spans="1:12" ht="15" x14ac:dyDescent="0.2">
      <c r="A39" s="89">
        <v>11</v>
      </c>
      <c r="B39" s="89" t="s">
        <v>355</v>
      </c>
      <c r="C39" s="89" t="s">
        <v>353</v>
      </c>
      <c r="D39" s="97"/>
      <c r="E39" s="97">
        <f t="shared" si="17"/>
        <v>226713</v>
      </c>
      <c r="F39" s="97">
        <f t="shared" si="16"/>
        <v>100000</v>
      </c>
      <c r="G39" s="98">
        <f t="shared" si="18"/>
        <v>326713</v>
      </c>
      <c r="H39" s="98">
        <f t="shared" si="19"/>
        <v>326713</v>
      </c>
      <c r="K39" s="97">
        <f>34166.67</f>
        <v>34166.67</v>
      </c>
      <c r="L39" s="97">
        <f>25000</f>
        <v>25000</v>
      </c>
    </row>
    <row r="40" spans="1:12" ht="15" x14ac:dyDescent="0.2">
      <c r="A40" s="89">
        <v>12</v>
      </c>
      <c r="B40" s="89" t="s">
        <v>356</v>
      </c>
      <c r="C40" s="89" t="s">
        <v>353</v>
      </c>
      <c r="D40" s="97"/>
      <c r="E40" s="97">
        <f t="shared" si="17"/>
        <v>226713</v>
      </c>
      <c r="F40" s="97">
        <f t="shared" si="16"/>
        <v>100000</v>
      </c>
      <c r="G40" s="98">
        <f t="shared" ref="G40" si="20">E40+F40</f>
        <v>326713</v>
      </c>
      <c r="H40" s="98">
        <f t="shared" ref="H40" si="21">G40-D40</f>
        <v>326713</v>
      </c>
      <c r="K40" s="97"/>
      <c r="L40" s="97">
        <f>20000</f>
        <v>20000</v>
      </c>
    </row>
    <row r="41" spans="1:12" ht="15" x14ac:dyDescent="0.2">
      <c r="A41" s="89">
        <v>13</v>
      </c>
      <c r="B41" s="89" t="s">
        <v>357</v>
      </c>
      <c r="C41" s="89" t="s">
        <v>358</v>
      </c>
      <c r="D41" s="97">
        <v>0</v>
      </c>
      <c r="E41" s="97">
        <f>168602.08</f>
        <v>168602.08</v>
      </c>
      <c r="F41" s="97"/>
      <c r="G41" s="98">
        <f t="shared" si="14"/>
        <v>168602.08</v>
      </c>
      <c r="H41" s="98">
        <f t="shared" si="15"/>
        <v>168602.08</v>
      </c>
      <c r="K41" s="97"/>
      <c r="L41" s="97">
        <f>10000</f>
        <v>10000</v>
      </c>
    </row>
    <row r="42" spans="1:12" ht="15" x14ac:dyDescent="0.2">
      <c r="A42" s="89">
        <v>14</v>
      </c>
      <c r="B42" s="89" t="s">
        <v>359</v>
      </c>
      <c r="C42" s="89" t="s">
        <v>358</v>
      </c>
      <c r="D42" s="97">
        <v>0</v>
      </c>
      <c r="E42" s="97">
        <f>168602.08</f>
        <v>168602.08</v>
      </c>
      <c r="F42" s="97">
        <f t="shared" si="16"/>
        <v>100000</v>
      </c>
      <c r="G42" s="98">
        <f t="shared" si="14"/>
        <v>268602.07999999996</v>
      </c>
      <c r="H42" s="98">
        <f t="shared" si="15"/>
        <v>268602.07999999996</v>
      </c>
      <c r="K42" s="97"/>
      <c r="L42" s="97"/>
    </row>
    <row r="43" spans="1:12" ht="15" x14ac:dyDescent="0.2">
      <c r="A43" s="89">
        <v>15</v>
      </c>
      <c r="B43" s="89" t="s">
        <v>360</v>
      </c>
      <c r="C43" s="89" t="s">
        <v>358</v>
      </c>
      <c r="D43" s="97">
        <v>0</v>
      </c>
      <c r="E43" s="97">
        <f>168602</f>
        <v>168602</v>
      </c>
      <c r="F43" s="97">
        <f t="shared" si="16"/>
        <v>100000</v>
      </c>
      <c r="G43" s="98">
        <f t="shared" si="14"/>
        <v>268602</v>
      </c>
      <c r="H43" s="98">
        <f t="shared" si="15"/>
        <v>268602</v>
      </c>
      <c r="K43" s="97"/>
      <c r="L43" s="97"/>
    </row>
    <row r="44" spans="1:12" ht="15" x14ac:dyDescent="0.2">
      <c r="A44" s="89">
        <v>16</v>
      </c>
      <c r="B44" s="89" t="s">
        <v>361</v>
      </c>
      <c r="C44" s="89" t="s">
        <v>358</v>
      </c>
      <c r="D44" s="97">
        <v>0</v>
      </c>
      <c r="E44" s="97">
        <f>168602</f>
        <v>168602</v>
      </c>
      <c r="F44" s="97">
        <f t="shared" si="16"/>
        <v>100000</v>
      </c>
      <c r="G44" s="98">
        <f t="shared" si="14"/>
        <v>268602</v>
      </c>
      <c r="H44" s="98">
        <f t="shared" si="15"/>
        <v>268602</v>
      </c>
      <c r="K44" s="97"/>
      <c r="L44" s="97">
        <f>10000</f>
        <v>10000</v>
      </c>
    </row>
    <row r="45" spans="1:12" ht="15" x14ac:dyDescent="0.2">
      <c r="A45" s="89">
        <v>17</v>
      </c>
      <c r="B45" s="89" t="s">
        <v>362</v>
      </c>
      <c r="C45" s="89" t="s">
        <v>296</v>
      </c>
      <c r="D45" s="97">
        <v>0</v>
      </c>
      <c r="E45" s="97">
        <f t="shared" ref="E45:E50" si="22">123329</f>
        <v>123329</v>
      </c>
      <c r="F45" s="97">
        <f t="shared" si="16"/>
        <v>100000</v>
      </c>
      <c r="G45" s="98">
        <f t="shared" si="14"/>
        <v>223329</v>
      </c>
      <c r="H45" s="98">
        <f t="shared" si="15"/>
        <v>223329</v>
      </c>
      <c r="K45" s="97"/>
      <c r="L45" s="97"/>
    </row>
    <row r="46" spans="1:12" ht="15" x14ac:dyDescent="0.2">
      <c r="A46" s="89">
        <v>18</v>
      </c>
      <c r="B46" s="89" t="s">
        <v>363</v>
      </c>
      <c r="C46" s="89" t="s">
        <v>296</v>
      </c>
      <c r="D46" s="97">
        <v>0</v>
      </c>
      <c r="E46" s="97">
        <f t="shared" si="22"/>
        <v>123329</v>
      </c>
      <c r="F46" s="97">
        <f t="shared" si="16"/>
        <v>100000</v>
      </c>
      <c r="G46" s="98">
        <f t="shared" si="14"/>
        <v>223329</v>
      </c>
      <c r="H46" s="98">
        <f t="shared" si="15"/>
        <v>223329</v>
      </c>
      <c r="K46" s="97"/>
      <c r="L46" s="97"/>
    </row>
    <row r="47" spans="1:12" ht="15" x14ac:dyDescent="0.2">
      <c r="A47" s="89">
        <v>19</v>
      </c>
      <c r="B47" s="89" t="s">
        <v>364</v>
      </c>
      <c r="C47" s="89" t="s">
        <v>296</v>
      </c>
      <c r="D47" s="97">
        <v>0</v>
      </c>
      <c r="E47" s="97">
        <f t="shared" si="22"/>
        <v>123329</v>
      </c>
      <c r="F47" s="97">
        <f t="shared" si="16"/>
        <v>100000</v>
      </c>
      <c r="G47" s="98">
        <f t="shared" si="14"/>
        <v>223329</v>
      </c>
      <c r="H47" s="98">
        <f t="shared" si="15"/>
        <v>223329</v>
      </c>
      <c r="K47" s="97"/>
      <c r="L47" s="97"/>
    </row>
    <row r="48" spans="1:12" ht="15" x14ac:dyDescent="0.2">
      <c r="A48" s="89">
        <v>20</v>
      </c>
      <c r="B48" s="89" t="s">
        <v>365</v>
      </c>
      <c r="C48" s="89" t="s">
        <v>296</v>
      </c>
      <c r="D48" s="97">
        <v>0</v>
      </c>
      <c r="E48" s="97">
        <f t="shared" si="22"/>
        <v>123329</v>
      </c>
      <c r="F48" s="97">
        <f t="shared" si="16"/>
        <v>100000</v>
      </c>
      <c r="G48" s="98">
        <f t="shared" si="14"/>
        <v>223329</v>
      </c>
      <c r="H48" s="98">
        <f t="shared" si="15"/>
        <v>223329</v>
      </c>
      <c r="K48" s="97"/>
      <c r="L48" s="97"/>
    </row>
    <row r="49" spans="1:12" ht="15" x14ac:dyDescent="0.2">
      <c r="A49" s="89">
        <v>21</v>
      </c>
      <c r="B49" s="89" t="s">
        <v>366</v>
      </c>
      <c r="C49" s="89" t="s">
        <v>296</v>
      </c>
      <c r="D49" s="97">
        <v>0</v>
      </c>
      <c r="E49" s="97">
        <f t="shared" si="22"/>
        <v>123329</v>
      </c>
      <c r="F49" s="97"/>
      <c r="G49" s="98">
        <f t="shared" si="14"/>
        <v>123329</v>
      </c>
      <c r="H49" s="98">
        <f t="shared" si="15"/>
        <v>123329</v>
      </c>
      <c r="K49" s="97"/>
      <c r="L49" s="97"/>
    </row>
    <row r="50" spans="1:12" ht="15" x14ac:dyDescent="0.2">
      <c r="A50" s="89">
        <v>22</v>
      </c>
      <c r="B50" s="89" t="s">
        <v>367</v>
      </c>
      <c r="C50" s="89" t="s">
        <v>296</v>
      </c>
      <c r="D50" s="97">
        <v>0</v>
      </c>
      <c r="E50" s="97">
        <f t="shared" si="22"/>
        <v>123329</v>
      </c>
      <c r="F50" s="97"/>
      <c r="G50" s="98">
        <f t="shared" si="14"/>
        <v>123329</v>
      </c>
      <c r="H50" s="98">
        <f t="shared" si="15"/>
        <v>123329</v>
      </c>
      <c r="K50" s="97"/>
      <c r="L50" s="97"/>
    </row>
    <row r="51" spans="1:12" ht="15" x14ac:dyDescent="0.2">
      <c r="A51" s="89">
        <v>23</v>
      </c>
      <c r="B51" s="89" t="s">
        <v>368</v>
      </c>
      <c r="C51" s="89" t="s">
        <v>369</v>
      </c>
      <c r="D51" s="97">
        <v>0</v>
      </c>
      <c r="E51" s="97">
        <f>226713</f>
        <v>226713</v>
      </c>
      <c r="F51" s="97">
        <f>100000</f>
        <v>100000</v>
      </c>
      <c r="G51" s="98">
        <f t="shared" si="14"/>
        <v>326713</v>
      </c>
      <c r="H51" s="98">
        <f t="shared" si="15"/>
        <v>326713</v>
      </c>
      <c r="K51" s="97"/>
      <c r="L51" s="97"/>
    </row>
    <row r="52" spans="1:12" ht="15" x14ac:dyDescent="0.2">
      <c r="A52" s="89">
        <v>24</v>
      </c>
      <c r="B52" s="89" t="s">
        <v>370</v>
      </c>
      <c r="C52" s="89" t="s">
        <v>369</v>
      </c>
      <c r="D52" s="97">
        <v>0</v>
      </c>
      <c r="E52" s="97">
        <f>226713</f>
        <v>226713</v>
      </c>
      <c r="F52" s="97"/>
      <c r="G52" s="98">
        <f t="shared" si="14"/>
        <v>226713</v>
      </c>
      <c r="H52" s="98">
        <f t="shared" si="15"/>
        <v>226713</v>
      </c>
      <c r="K52" s="97"/>
      <c r="L52" s="97"/>
    </row>
    <row r="53" spans="1:12" ht="15" x14ac:dyDescent="0.2">
      <c r="A53" s="89">
        <v>25</v>
      </c>
      <c r="B53" s="89" t="s">
        <v>371</v>
      </c>
      <c r="C53" s="89" t="s">
        <v>296</v>
      </c>
      <c r="D53" s="97">
        <v>0</v>
      </c>
      <c r="E53" s="97">
        <f>123329</f>
        <v>123329</v>
      </c>
      <c r="F53" s="97"/>
      <c r="G53" s="98">
        <f t="shared" si="14"/>
        <v>123329</v>
      </c>
      <c r="H53" s="98">
        <f t="shared" si="15"/>
        <v>123329</v>
      </c>
      <c r="K53" s="97"/>
      <c r="L53" s="97"/>
    </row>
    <row r="54" spans="1:12" ht="15" x14ac:dyDescent="0.2">
      <c r="A54" s="89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98">
        <f>SUM(G29:G53)</f>
        <v>7453206.2200000007</v>
      </c>
      <c r="H54" s="98">
        <f>SUM(H29:H53)</f>
        <v>7453206.2200000007</v>
      </c>
      <c r="K54" s="97">
        <f>SUM(K29:K53)</f>
        <v>165833.34000000003</v>
      </c>
      <c r="L54" s="97">
        <f>SUM(L29:L53)</f>
        <v>305000</v>
      </c>
    </row>
    <row r="55" spans="1:12" ht="15" x14ac:dyDescent="0.2">
      <c r="A55" s="89"/>
      <c r="H55" s="98"/>
      <c r="L55" s="98">
        <f>K54+L54</f>
        <v>470833.34</v>
      </c>
    </row>
    <row r="56" spans="1:12" ht="15.75" x14ac:dyDescent="0.25">
      <c r="A56" s="89"/>
      <c r="B56" s="96" t="s">
        <v>340</v>
      </c>
    </row>
    <row r="57" spans="1:12" ht="15" x14ac:dyDescent="0.2">
      <c r="A57" s="89">
        <v>1</v>
      </c>
      <c r="B57" s="89" t="s">
        <v>342</v>
      </c>
      <c r="C57" s="89" t="s">
        <v>315</v>
      </c>
      <c r="D57">
        <v>0</v>
      </c>
      <c r="E57" s="97">
        <f>21618.09</f>
        <v>21618.09</v>
      </c>
      <c r="F57" s="98">
        <f>D57-E57</f>
        <v>-21618.09</v>
      </c>
    </row>
    <row r="58" spans="1:12" ht="15" x14ac:dyDescent="0.2">
      <c r="A58" s="89">
        <v>2</v>
      </c>
      <c r="B58" s="89" t="s">
        <v>343</v>
      </c>
      <c r="C58" s="89" t="s">
        <v>344</v>
      </c>
      <c r="D58">
        <v>0</v>
      </c>
      <c r="E58" s="97">
        <f>[4]FEB2020!$J$10</f>
        <v>0</v>
      </c>
      <c r="F58" s="98">
        <f t="shared" ref="F58:F81" si="23">D58-E58</f>
        <v>0</v>
      </c>
    </row>
    <row r="59" spans="1:12" ht="15" x14ac:dyDescent="0.2">
      <c r="A59" s="89">
        <v>3</v>
      </c>
      <c r="B59" s="89" t="s">
        <v>345</v>
      </c>
      <c r="C59" s="89" t="s">
        <v>344</v>
      </c>
      <c r="D59">
        <v>0</v>
      </c>
      <c r="E59" s="97">
        <f>[4]FEB2020!$J$37</f>
        <v>0</v>
      </c>
      <c r="F59" s="98">
        <f t="shared" si="23"/>
        <v>0</v>
      </c>
    </row>
    <row r="60" spans="1:12" ht="15" x14ac:dyDescent="0.2">
      <c r="A60" s="89">
        <v>4</v>
      </c>
      <c r="B60" s="89" t="s">
        <v>346</v>
      </c>
      <c r="C60" s="89" t="s">
        <v>344</v>
      </c>
      <c r="D60">
        <v>0</v>
      </c>
      <c r="E60" s="97">
        <f>[4]FEB2020!$J$27</f>
        <v>0</v>
      </c>
      <c r="F60" s="98">
        <f t="shared" si="23"/>
        <v>0</v>
      </c>
    </row>
    <row r="61" spans="1:12" ht="15" x14ac:dyDescent="0.2">
      <c r="A61" s="89">
        <v>5</v>
      </c>
      <c r="B61" s="89" t="s">
        <v>347</v>
      </c>
      <c r="C61" s="89" t="s">
        <v>344</v>
      </c>
      <c r="D61">
        <v>0</v>
      </c>
      <c r="E61" s="97">
        <f>[4]FEB2020!$J$66</f>
        <v>0</v>
      </c>
      <c r="F61" s="98">
        <f t="shared" si="23"/>
        <v>0</v>
      </c>
    </row>
    <row r="62" spans="1:12" ht="15" x14ac:dyDescent="0.2">
      <c r="A62" s="89">
        <v>6</v>
      </c>
      <c r="B62" s="89" t="s">
        <v>348</v>
      </c>
      <c r="C62" s="89" t="s">
        <v>344</v>
      </c>
      <c r="D62">
        <v>0</v>
      </c>
      <c r="E62" s="97">
        <f>[4]FEB2020!$J$69</f>
        <v>0</v>
      </c>
      <c r="F62" s="98">
        <f t="shared" si="23"/>
        <v>0</v>
      </c>
    </row>
    <row r="63" spans="1:12" ht="15" x14ac:dyDescent="0.2">
      <c r="A63" s="89">
        <v>7</v>
      </c>
      <c r="B63" s="89" t="s">
        <v>349</v>
      </c>
      <c r="C63" s="89" t="s">
        <v>344</v>
      </c>
      <c r="E63" s="97">
        <f>[4]FEB2020!$J$69</f>
        <v>0</v>
      </c>
      <c r="F63" s="98">
        <f t="shared" si="23"/>
        <v>0</v>
      </c>
    </row>
    <row r="64" spans="1:12" ht="15" x14ac:dyDescent="0.2">
      <c r="A64" s="89">
        <v>8</v>
      </c>
      <c r="B64" s="89" t="s">
        <v>350</v>
      </c>
      <c r="C64" s="89" t="s">
        <v>351</v>
      </c>
      <c r="D64">
        <v>0</v>
      </c>
      <c r="E64" s="97">
        <f>[4]FEB2020!$J$12</f>
        <v>0</v>
      </c>
      <c r="F64" s="98">
        <f t="shared" si="23"/>
        <v>0</v>
      </c>
    </row>
    <row r="65" spans="1:6" ht="15" x14ac:dyDescent="0.2">
      <c r="A65" s="89">
        <v>9</v>
      </c>
      <c r="B65" s="89" t="s">
        <v>352</v>
      </c>
      <c r="C65" s="89" t="s">
        <v>353</v>
      </c>
      <c r="D65">
        <v>0</v>
      </c>
      <c r="E65" s="97">
        <f>[4]FEB2020!$J$23</f>
        <v>0</v>
      </c>
      <c r="F65" s="98">
        <f t="shared" si="23"/>
        <v>0</v>
      </c>
    </row>
    <row r="66" spans="1:6" ht="15" x14ac:dyDescent="0.2">
      <c r="A66" s="89">
        <v>10</v>
      </c>
      <c r="B66" s="89" t="s">
        <v>354</v>
      </c>
      <c r="C66" s="89" t="s">
        <v>353</v>
      </c>
      <c r="E66" s="97">
        <f>[4]FEB2020!$J$12</f>
        <v>0</v>
      </c>
      <c r="F66" s="98">
        <f t="shared" si="23"/>
        <v>0</v>
      </c>
    </row>
    <row r="67" spans="1:6" ht="15" x14ac:dyDescent="0.2">
      <c r="A67" s="89">
        <v>11</v>
      </c>
      <c r="B67" s="89" t="s">
        <v>355</v>
      </c>
      <c r="C67" s="89" t="s">
        <v>353</v>
      </c>
      <c r="E67" s="97">
        <f>[4]FEB2020!$J$12</f>
        <v>0</v>
      </c>
      <c r="F67" s="98">
        <f t="shared" si="23"/>
        <v>0</v>
      </c>
    </row>
    <row r="68" spans="1:6" ht="15" x14ac:dyDescent="0.2">
      <c r="A68" s="89">
        <v>12</v>
      </c>
      <c r="B68" s="89" t="s">
        <v>356</v>
      </c>
      <c r="C68" s="89" t="s">
        <v>353</v>
      </c>
      <c r="E68" s="97">
        <f>[4]FEB2020!$J$12</f>
        <v>0</v>
      </c>
      <c r="F68" s="98">
        <f t="shared" si="23"/>
        <v>0</v>
      </c>
    </row>
    <row r="69" spans="1:6" ht="15" x14ac:dyDescent="0.2">
      <c r="A69" s="89">
        <v>13</v>
      </c>
      <c r="B69" s="89" t="s">
        <v>357</v>
      </c>
      <c r="C69" s="89" t="s">
        <v>358</v>
      </c>
      <c r="D69">
        <v>0</v>
      </c>
      <c r="E69" s="97">
        <f>[4]FEB2020!$J$14</f>
        <v>15548.33</v>
      </c>
      <c r="F69" s="98">
        <f t="shared" si="23"/>
        <v>-15548.33</v>
      </c>
    </row>
    <row r="70" spans="1:6" ht="15" x14ac:dyDescent="0.2">
      <c r="A70" s="89">
        <v>14</v>
      </c>
      <c r="B70" s="89" t="s">
        <v>359</v>
      </c>
      <c r="C70" s="89" t="s">
        <v>358</v>
      </c>
      <c r="D70">
        <v>0</v>
      </c>
      <c r="E70" s="97">
        <f>[4]FEB2020!$J$24</f>
        <v>0</v>
      </c>
      <c r="F70" s="98">
        <f t="shared" si="23"/>
        <v>0</v>
      </c>
    </row>
    <row r="71" spans="1:6" ht="15" x14ac:dyDescent="0.2">
      <c r="A71" s="89">
        <v>15</v>
      </c>
      <c r="B71" s="89" t="s">
        <v>360</v>
      </c>
      <c r="C71" s="89" t="s">
        <v>358</v>
      </c>
      <c r="D71">
        <v>0</v>
      </c>
      <c r="E71" s="97">
        <f>[4]FEB2020!$J$25</f>
        <v>0</v>
      </c>
      <c r="F71" s="98">
        <f t="shared" si="23"/>
        <v>0</v>
      </c>
    </row>
    <row r="72" spans="1:6" ht="15" x14ac:dyDescent="0.2">
      <c r="A72" s="89">
        <v>16</v>
      </c>
      <c r="B72" s="89" t="s">
        <v>361</v>
      </c>
      <c r="C72" s="89" t="s">
        <v>358</v>
      </c>
      <c r="D72">
        <v>0</v>
      </c>
      <c r="E72" s="97">
        <f>[4]FEB2020!$J$73</f>
        <v>0</v>
      </c>
      <c r="F72" s="98">
        <f t="shared" si="23"/>
        <v>0</v>
      </c>
    </row>
    <row r="73" spans="1:6" ht="15" x14ac:dyDescent="0.2">
      <c r="A73" s="89">
        <v>17</v>
      </c>
      <c r="B73" s="89" t="s">
        <v>362</v>
      </c>
      <c r="C73" s="89" t="s">
        <v>296</v>
      </c>
      <c r="D73">
        <v>0</v>
      </c>
      <c r="E73" s="97">
        <f>[4]FEB2020!$J$44</f>
        <v>0</v>
      </c>
      <c r="F73" s="98">
        <f t="shared" si="23"/>
        <v>0</v>
      </c>
    </row>
    <row r="74" spans="1:6" ht="15" x14ac:dyDescent="0.2">
      <c r="A74" s="89">
        <v>18</v>
      </c>
      <c r="B74" s="89" t="s">
        <v>363</v>
      </c>
      <c r="C74" s="89" t="s">
        <v>296</v>
      </c>
      <c r="D74">
        <v>0</v>
      </c>
      <c r="E74" s="97">
        <f>[4]FEB2020!$J$44</f>
        <v>0</v>
      </c>
      <c r="F74" s="98">
        <f t="shared" si="23"/>
        <v>0</v>
      </c>
    </row>
    <row r="75" spans="1:6" ht="15" x14ac:dyDescent="0.2">
      <c r="A75" s="89">
        <v>19</v>
      </c>
      <c r="B75" s="89" t="s">
        <v>364</v>
      </c>
      <c r="C75" s="89" t="s">
        <v>296</v>
      </c>
      <c r="D75">
        <v>0</v>
      </c>
      <c r="E75" s="97">
        <f>[4]FEB2020!$J$44</f>
        <v>0</v>
      </c>
      <c r="F75" s="98">
        <f t="shared" si="23"/>
        <v>0</v>
      </c>
    </row>
    <row r="76" spans="1:6" ht="15" x14ac:dyDescent="0.2">
      <c r="A76" s="89">
        <v>20</v>
      </c>
      <c r="B76" s="89" t="s">
        <v>365</v>
      </c>
      <c r="C76" s="89" t="s">
        <v>296</v>
      </c>
      <c r="D76">
        <v>0</v>
      </c>
      <c r="E76" s="97">
        <f>[4]FEB2020!$J$44</f>
        <v>0</v>
      </c>
      <c r="F76" s="98">
        <f t="shared" si="23"/>
        <v>0</v>
      </c>
    </row>
    <row r="77" spans="1:6" ht="15" x14ac:dyDescent="0.2">
      <c r="A77" s="89">
        <v>21</v>
      </c>
      <c r="B77" s="89" t="s">
        <v>366</v>
      </c>
      <c r="C77" s="89" t="s">
        <v>296</v>
      </c>
      <c r="D77">
        <v>0</v>
      </c>
      <c r="E77" s="97">
        <f>[4]FEB2020!$J$44</f>
        <v>0</v>
      </c>
      <c r="F77" s="98">
        <f t="shared" si="23"/>
        <v>0</v>
      </c>
    </row>
    <row r="78" spans="1:6" ht="15" x14ac:dyDescent="0.2">
      <c r="A78" s="89">
        <v>22</v>
      </c>
      <c r="B78" s="89" t="s">
        <v>367</v>
      </c>
      <c r="C78" s="89" t="s">
        <v>296</v>
      </c>
      <c r="D78">
        <v>0</v>
      </c>
      <c r="E78" s="97">
        <f>[4]FEB2020!$J$44</f>
        <v>0</v>
      </c>
      <c r="F78" s="98">
        <f t="shared" si="23"/>
        <v>0</v>
      </c>
    </row>
    <row r="79" spans="1:6" ht="15" x14ac:dyDescent="0.2">
      <c r="A79" s="89">
        <v>23</v>
      </c>
      <c r="B79" s="89" t="s">
        <v>368</v>
      </c>
      <c r="C79" s="89" t="s">
        <v>369</v>
      </c>
      <c r="D79">
        <v>0</v>
      </c>
      <c r="E79" s="97">
        <f>[4]FEB2020!$J$12</f>
        <v>0</v>
      </c>
      <c r="F79" s="98">
        <f t="shared" si="23"/>
        <v>0</v>
      </c>
    </row>
    <row r="80" spans="1:6" ht="15" x14ac:dyDescent="0.2">
      <c r="A80" s="89">
        <v>24</v>
      </c>
      <c r="B80" s="89" t="s">
        <v>370</v>
      </c>
      <c r="C80" s="89" t="s">
        <v>369</v>
      </c>
      <c r="D80">
        <v>0</v>
      </c>
      <c r="E80" s="97">
        <f>[4]FEB2020!$J$12</f>
        <v>0</v>
      </c>
      <c r="F80" s="98">
        <f t="shared" si="23"/>
        <v>0</v>
      </c>
    </row>
    <row r="81" spans="1:6" ht="15" x14ac:dyDescent="0.2">
      <c r="A81" s="89">
        <v>25</v>
      </c>
      <c r="B81" s="89" t="s">
        <v>371</v>
      </c>
      <c r="C81" s="89" t="s">
        <v>296</v>
      </c>
      <c r="E81" s="97">
        <f>[4]FEB2020!$J$44</f>
        <v>0</v>
      </c>
      <c r="F81" s="98">
        <f t="shared" si="23"/>
        <v>0</v>
      </c>
    </row>
    <row r="82" spans="1:6" x14ac:dyDescent="0.2">
      <c r="F82" s="98">
        <f>SUM(F57:F81)</f>
        <v>-37166.42</v>
      </c>
    </row>
    <row r="85" spans="1:6" ht="15.75" x14ac:dyDescent="0.25">
      <c r="A85" s="89"/>
      <c r="B85" s="96" t="s">
        <v>372</v>
      </c>
      <c r="C85" s="96"/>
      <c r="D85" s="96"/>
      <c r="E85" s="96"/>
      <c r="F85" s="89"/>
    </row>
    <row r="86" spans="1:6" ht="15" x14ac:dyDescent="0.2">
      <c r="A86" s="89">
        <v>1</v>
      </c>
      <c r="B86" s="89" t="s">
        <v>373</v>
      </c>
      <c r="C86" s="89"/>
      <c r="D86" s="91">
        <f>501465.02</f>
        <v>501465.02</v>
      </c>
      <c r="E86" s="91">
        <f>800657.46</f>
        <v>800657.46</v>
      </c>
      <c r="F86" s="93">
        <f t="shared" ref="F86:F87" si="24">E86-D86</f>
        <v>299192.43999999994</v>
      </c>
    </row>
    <row r="87" spans="1:6" ht="15" x14ac:dyDescent="0.2">
      <c r="A87" s="89">
        <v>2</v>
      </c>
      <c r="B87" s="89" t="s">
        <v>338</v>
      </c>
      <c r="C87" s="89"/>
      <c r="D87" s="91">
        <f>437744</f>
        <v>437744</v>
      </c>
      <c r="E87" s="91">
        <f>800657.46</f>
        <v>800657.46</v>
      </c>
      <c r="F87" s="93">
        <f t="shared" si="24"/>
        <v>362913.45999999996</v>
      </c>
    </row>
    <row r="88" spans="1:6" x14ac:dyDescent="0.2">
      <c r="F88" s="98">
        <f>SUM(F86:F87)</f>
        <v>662105.89999999991</v>
      </c>
    </row>
    <row r="89" spans="1:6" ht="15.75" x14ac:dyDescent="0.25">
      <c r="B89" s="96" t="s">
        <v>340</v>
      </c>
      <c r="C89" s="96"/>
      <c r="D89" s="96"/>
      <c r="E89" s="96"/>
    </row>
    <row r="90" spans="1:6" ht="15" x14ac:dyDescent="0.2">
      <c r="A90" s="89">
        <v>1</v>
      </c>
      <c r="B90" s="89" t="s">
        <v>373</v>
      </c>
      <c r="C90" s="89"/>
      <c r="D90" s="91">
        <f>21618.09</f>
        <v>21618.09</v>
      </c>
      <c r="E90" s="91">
        <f>52776.63</f>
        <v>52776.63</v>
      </c>
      <c r="F90" s="93">
        <f>E90-D90</f>
        <v>31158.539999999997</v>
      </c>
    </row>
    <row r="91" spans="1:6" ht="15" x14ac:dyDescent="0.2">
      <c r="A91" s="89">
        <v>2</v>
      </c>
      <c r="B91" s="89" t="s">
        <v>338</v>
      </c>
      <c r="C91" s="89"/>
      <c r="D91" s="91">
        <f>21618.09</f>
        <v>21618.09</v>
      </c>
      <c r="E91" s="91">
        <f>52776.63</f>
        <v>52776.63</v>
      </c>
      <c r="F91" s="93">
        <f t="shared" ref="F91" si="25">E91-D91</f>
        <v>31158.539999999997</v>
      </c>
    </row>
    <row r="92" spans="1:6" x14ac:dyDescent="0.2">
      <c r="F92" s="98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0"/>
  <sheetViews>
    <sheetView topLeftCell="A41" zoomScale="91" zoomScaleNormal="91" workbookViewId="0">
      <selection activeCell="G42" sqref="G42"/>
    </sheetView>
  </sheetViews>
  <sheetFormatPr defaultRowHeight="12.75" x14ac:dyDescent="0.2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10" ht="25.15" customHeight="1" x14ac:dyDescent="0.2"/>
    <row r="2" spans="1:10" ht="22.5" x14ac:dyDescent="0.3">
      <c r="A2" s="210" t="s">
        <v>374</v>
      </c>
      <c r="B2" s="210"/>
      <c r="C2" s="210"/>
      <c r="D2" s="210"/>
      <c r="E2" s="210"/>
      <c r="F2" s="210"/>
      <c r="G2" s="210"/>
      <c r="H2" s="210"/>
    </row>
    <row r="3" spans="1:10" ht="9" customHeight="1" x14ac:dyDescent="0.3">
      <c r="A3" s="128"/>
      <c r="B3" s="128"/>
      <c r="C3" s="128"/>
      <c r="D3" s="128"/>
      <c r="E3" s="128"/>
      <c r="F3" s="128"/>
      <c r="G3" s="128"/>
      <c r="H3" s="128"/>
    </row>
    <row r="4" spans="1:10" ht="15.6" hidden="1" customHeight="1" x14ac:dyDescent="0.3">
      <c r="A4" s="211" t="s">
        <v>375</v>
      </c>
      <c r="B4" s="211"/>
      <c r="C4" s="211"/>
      <c r="D4" s="211"/>
      <c r="E4" s="211"/>
      <c r="F4" s="211"/>
      <c r="G4" s="211"/>
      <c r="H4" s="211"/>
    </row>
    <row r="5" spans="1:10" ht="9.6" hidden="1" customHeight="1" x14ac:dyDescent="0.35">
      <c r="A5" s="129"/>
      <c r="B5" s="129"/>
      <c r="C5" s="129"/>
      <c r="D5" s="129"/>
      <c r="E5" s="129"/>
      <c r="F5" s="129"/>
      <c r="G5" s="129"/>
      <c r="H5" s="129"/>
    </row>
    <row r="6" spans="1:10" ht="29.25" hidden="1" customHeight="1" x14ac:dyDescent="0.35">
      <c r="A6" s="130" t="s">
        <v>376</v>
      </c>
      <c r="B6" s="130"/>
      <c r="C6" s="130"/>
      <c r="D6" s="130"/>
      <c r="E6" s="130"/>
      <c r="F6" s="130"/>
      <c r="G6" s="129"/>
      <c r="H6" s="129"/>
    </row>
    <row r="7" spans="1:10" ht="25.15" hidden="1" customHeight="1" x14ac:dyDescent="0.35">
      <c r="A7" s="202" t="s">
        <v>377</v>
      </c>
      <c r="B7" s="202"/>
      <c r="C7" s="202"/>
      <c r="D7" s="202"/>
      <c r="E7" s="202"/>
      <c r="F7" s="202"/>
      <c r="G7" s="129"/>
      <c r="H7" s="129"/>
    </row>
    <row r="8" spans="1:10" ht="24.75" hidden="1" customHeight="1" x14ac:dyDescent="0.35">
      <c r="A8" s="202" t="s">
        <v>378</v>
      </c>
      <c r="B8" s="202"/>
      <c r="C8" s="202"/>
      <c r="D8" s="202"/>
      <c r="E8" s="202"/>
      <c r="F8" s="202"/>
      <c r="G8" s="129"/>
      <c r="H8" s="129"/>
    </row>
    <row r="9" spans="1:10" ht="24" hidden="1" customHeight="1" x14ac:dyDescent="0.35">
      <c r="A9" s="202" t="s">
        <v>379</v>
      </c>
      <c r="B9" s="202"/>
      <c r="C9" s="202"/>
      <c r="D9" s="202"/>
      <c r="E9" s="202"/>
      <c r="F9" s="129"/>
      <c r="G9" s="129"/>
      <c r="H9" s="129"/>
    </row>
    <row r="10" spans="1:10" ht="13.15" hidden="1" customHeight="1" x14ac:dyDescent="0.35">
      <c r="A10" s="129"/>
      <c r="B10" s="129"/>
      <c r="C10" s="129"/>
      <c r="D10" s="129"/>
      <c r="E10" s="129"/>
      <c r="F10" s="129"/>
      <c r="G10" s="129"/>
      <c r="H10" s="129"/>
    </row>
    <row r="11" spans="1:10" ht="18" hidden="1" customHeight="1" x14ac:dyDescent="0.35">
      <c r="A11" s="204" t="s">
        <v>380</v>
      </c>
      <c r="B11" s="204"/>
      <c r="C11" s="204"/>
      <c r="D11" s="204"/>
      <c r="E11" s="204"/>
      <c r="F11" s="204"/>
      <c r="G11" s="129"/>
      <c r="H11" s="129"/>
    </row>
    <row r="12" spans="1:10" ht="18.75" hidden="1" customHeight="1" x14ac:dyDescent="0.35">
      <c r="A12" s="202" t="s">
        <v>381</v>
      </c>
      <c r="B12" s="202"/>
      <c r="C12" s="202"/>
      <c r="D12" s="202"/>
      <c r="E12" s="202"/>
      <c r="F12" s="202"/>
      <c r="G12" s="202"/>
      <c r="H12" s="202"/>
    </row>
    <row r="13" spans="1:10" ht="12" hidden="1" customHeight="1" x14ac:dyDescent="0.35">
      <c r="A13" s="131"/>
      <c r="B13" s="129"/>
      <c r="C13" s="129"/>
      <c r="D13" s="129"/>
      <c r="E13" s="129"/>
      <c r="F13" s="129"/>
      <c r="G13" s="129"/>
      <c r="H13" s="129"/>
    </row>
    <row r="14" spans="1:10" ht="21" customHeight="1" x14ac:dyDescent="0.3">
      <c r="A14" s="204" t="s">
        <v>382</v>
      </c>
      <c r="B14" s="204"/>
      <c r="C14" s="204"/>
      <c r="D14" s="204"/>
      <c r="E14" s="204"/>
      <c r="F14" s="204"/>
      <c r="G14" s="204"/>
      <c r="H14" s="132">
        <f>'JANURAY, 2021'!R159</f>
        <v>52774121.483000003</v>
      </c>
    </row>
    <row r="15" spans="1:10" ht="21" customHeight="1" x14ac:dyDescent="0.35">
      <c r="A15" s="207" t="s">
        <v>3</v>
      </c>
      <c r="B15" s="207"/>
      <c r="C15" s="207"/>
      <c r="D15" s="207"/>
      <c r="E15" s="207"/>
      <c r="F15" s="207"/>
      <c r="G15" s="131"/>
      <c r="H15" s="129"/>
    </row>
    <row r="16" spans="1:10" ht="18.75" customHeight="1" x14ac:dyDescent="0.35">
      <c r="A16" s="202" t="s">
        <v>383</v>
      </c>
      <c r="B16" s="202"/>
      <c r="C16" s="202"/>
      <c r="D16" s="202"/>
      <c r="E16" s="202"/>
      <c r="F16" s="202"/>
      <c r="G16" s="133">
        <f>'JANURAY, 2021'!T159</f>
        <v>3871500</v>
      </c>
      <c r="H16" s="129"/>
      <c r="J16" s="98"/>
    </row>
    <row r="17" spans="1:10" ht="19.5" customHeight="1" x14ac:dyDescent="0.35">
      <c r="A17" s="202" t="s">
        <v>384</v>
      </c>
      <c r="B17" s="202"/>
      <c r="C17" s="202"/>
      <c r="D17" s="202"/>
      <c r="E17" s="202"/>
      <c r="F17" s="202"/>
      <c r="G17" s="133">
        <f>'JANURAY, 2021'!U159</f>
        <v>5989607.169999999</v>
      </c>
      <c r="H17" s="129"/>
    </row>
    <row r="18" spans="1:10" ht="20.25" customHeight="1" x14ac:dyDescent="0.35">
      <c r="A18" s="202" t="s">
        <v>385</v>
      </c>
      <c r="B18" s="202"/>
      <c r="C18" s="202"/>
      <c r="D18" s="202"/>
      <c r="E18" s="202"/>
      <c r="F18" s="202"/>
      <c r="G18" s="133">
        <f>'JANURAY, 2021'!W159</f>
        <v>1895697.1199999996</v>
      </c>
      <c r="H18" s="129"/>
    </row>
    <row r="19" spans="1:10" ht="27" customHeight="1" x14ac:dyDescent="0.5">
      <c r="A19" s="203" t="s">
        <v>386</v>
      </c>
      <c r="B19" s="203"/>
      <c r="C19" s="203"/>
      <c r="D19" s="203"/>
      <c r="E19" s="203"/>
      <c r="F19" s="203"/>
      <c r="G19" s="134">
        <f>'JANURAY, 2021'!V159</f>
        <v>55621.485000000001</v>
      </c>
      <c r="H19" s="129"/>
    </row>
    <row r="20" spans="1:10" ht="19.5" customHeight="1" x14ac:dyDescent="0.35">
      <c r="A20" s="202" t="s">
        <v>387</v>
      </c>
      <c r="B20" s="202"/>
      <c r="C20" s="202"/>
      <c r="D20" s="202"/>
      <c r="E20" s="202"/>
      <c r="F20" s="202"/>
      <c r="G20" s="133"/>
      <c r="H20" s="150">
        <f>SUM(G16:G19)</f>
        <v>11812425.774999997</v>
      </c>
      <c r="I20" s="32"/>
    </row>
    <row r="21" spans="1:10" ht="20.25" customHeight="1" x14ac:dyDescent="0.3">
      <c r="A21" s="204" t="s">
        <v>388</v>
      </c>
      <c r="B21" s="204"/>
      <c r="C21" s="204"/>
      <c r="D21" s="204"/>
      <c r="E21" s="204"/>
      <c r="F21" s="204"/>
      <c r="G21" s="135"/>
      <c r="H21" s="136">
        <f>H14-H20</f>
        <v>40961695.708000004</v>
      </c>
      <c r="I21" s="35"/>
    </row>
    <row r="22" spans="1:10" ht="21" customHeight="1" x14ac:dyDescent="0.3">
      <c r="A22" s="204" t="s">
        <v>389</v>
      </c>
      <c r="B22" s="204"/>
      <c r="C22" s="204"/>
      <c r="D22" s="204"/>
      <c r="E22" s="204"/>
      <c r="F22" s="204"/>
      <c r="G22" s="135"/>
      <c r="H22" s="137">
        <f>'JANURAY, 2021'!Y159</f>
        <v>30608812.215500005</v>
      </c>
    </row>
    <row r="23" spans="1:10" ht="21" customHeight="1" x14ac:dyDescent="0.3">
      <c r="A23" s="204" t="s">
        <v>390</v>
      </c>
      <c r="B23" s="204"/>
      <c r="C23" s="204"/>
      <c r="D23" s="204"/>
      <c r="E23" s="204"/>
      <c r="F23" s="204"/>
      <c r="G23" s="135"/>
      <c r="H23" s="138">
        <f>H21-H22-1.08</f>
        <v>10352882.4125</v>
      </c>
    </row>
    <row r="24" spans="1:10" ht="12.6" customHeight="1" x14ac:dyDescent="0.35">
      <c r="A24" s="129"/>
      <c r="B24" s="129"/>
      <c r="C24" s="129"/>
      <c r="D24" s="129"/>
      <c r="E24" s="129"/>
      <c r="F24" s="129"/>
      <c r="G24" s="129"/>
      <c r="H24" s="129"/>
    </row>
    <row r="25" spans="1:10" ht="19.149999999999999" customHeight="1" x14ac:dyDescent="0.35">
      <c r="A25" s="204" t="s">
        <v>391</v>
      </c>
      <c r="B25" s="204"/>
      <c r="C25" s="204"/>
      <c r="D25" s="204"/>
      <c r="E25" s="204"/>
      <c r="F25" s="204"/>
      <c r="G25" s="204"/>
      <c r="H25" s="151"/>
      <c r="J25" s="32"/>
    </row>
    <row r="26" spans="1:10" ht="21.75" customHeight="1" x14ac:dyDescent="0.35">
      <c r="A26" s="130" t="s">
        <v>392</v>
      </c>
      <c r="B26" s="130"/>
      <c r="C26" s="130"/>
      <c r="D26" s="130"/>
      <c r="E26" s="130"/>
      <c r="F26" s="130"/>
      <c r="G26" s="130"/>
      <c r="H26" s="151">
        <f>-475748.92+120000</f>
        <v>-355748.92</v>
      </c>
      <c r="J26" s="32"/>
    </row>
    <row r="27" spans="1:10" ht="22.5" customHeight="1" x14ac:dyDescent="0.35">
      <c r="A27" s="130" t="s">
        <v>393</v>
      </c>
      <c r="B27" s="130"/>
      <c r="C27" s="130"/>
      <c r="D27" s="130"/>
      <c r="E27" s="130"/>
      <c r="F27" s="130"/>
      <c r="G27" s="130"/>
      <c r="H27" s="151">
        <f>2782.11</f>
        <v>2782.11</v>
      </c>
      <c r="J27" s="32"/>
    </row>
    <row r="28" spans="1:10" ht="21.75" customHeight="1" x14ac:dyDescent="0.35">
      <c r="A28" s="130" t="s">
        <v>394</v>
      </c>
      <c r="B28" s="130"/>
      <c r="C28" s="130"/>
      <c r="D28" s="130"/>
      <c r="E28" s="130"/>
      <c r="F28" s="130"/>
      <c r="G28" s="130"/>
      <c r="H28" s="151">
        <f>282300.08</f>
        <v>282300.08</v>
      </c>
      <c r="J28" s="32"/>
    </row>
    <row r="29" spans="1:10" ht="24.75" customHeight="1" x14ac:dyDescent="0.35">
      <c r="A29" s="130" t="s">
        <v>395</v>
      </c>
      <c r="B29" s="130"/>
      <c r="C29" s="130"/>
      <c r="D29" s="130"/>
      <c r="E29" s="130"/>
      <c r="F29" s="130"/>
      <c r="G29" s="130"/>
      <c r="H29" s="151">
        <f>-3369.51+81742.94+ARREARS!AJ63</f>
        <v>695472.53</v>
      </c>
      <c r="J29" s="32"/>
    </row>
    <row r="30" spans="1:10" ht="19.149999999999999" customHeight="1" x14ac:dyDescent="0.35">
      <c r="A30" s="130" t="s">
        <v>396</v>
      </c>
      <c r="B30" s="130"/>
      <c r="C30" s="130"/>
      <c r="D30" s="130"/>
      <c r="E30" s="130"/>
      <c r="F30" s="130"/>
      <c r="G30" s="130"/>
      <c r="H30" s="151">
        <f>-ARREARS!V63</f>
        <v>-9216900</v>
      </c>
      <c r="J30" s="32"/>
    </row>
    <row r="31" spans="1:10" ht="22.5" customHeight="1" x14ac:dyDescent="0.35">
      <c r="A31" s="130" t="s">
        <v>397</v>
      </c>
      <c r="B31" s="130"/>
      <c r="C31" s="130"/>
      <c r="D31" s="130"/>
      <c r="E31" s="130"/>
      <c r="F31" s="130"/>
      <c r="G31" s="130"/>
      <c r="H31" s="151">
        <f>-'ANNUAL INCREMENT'!T159</f>
        <v>-1787089.5090000005</v>
      </c>
      <c r="I31" s="98"/>
      <c r="J31" s="32"/>
    </row>
    <row r="32" spans="1:10" ht="21" customHeight="1" x14ac:dyDescent="0.35">
      <c r="A32" s="202"/>
      <c r="B32" s="202"/>
      <c r="C32" s="202"/>
      <c r="D32" s="202"/>
      <c r="E32" s="202"/>
      <c r="F32" s="202"/>
      <c r="G32" s="202"/>
      <c r="H32" s="139">
        <f>SUM(H26:H31)</f>
        <v>-10379183.708999999</v>
      </c>
      <c r="I32" s="32"/>
      <c r="J32" s="32"/>
    </row>
    <row r="33" spans="1:10" ht="18" customHeight="1" x14ac:dyDescent="0.35">
      <c r="A33" s="130"/>
      <c r="B33" s="130"/>
      <c r="C33" s="130"/>
      <c r="D33" s="130"/>
      <c r="E33" s="130"/>
      <c r="F33" s="130"/>
      <c r="G33" s="130"/>
      <c r="H33" s="139"/>
      <c r="I33" s="32"/>
      <c r="J33" s="32"/>
    </row>
    <row r="34" spans="1:10" ht="23.25" customHeight="1" x14ac:dyDescent="0.35">
      <c r="A34" s="129"/>
      <c r="B34" s="129"/>
      <c r="C34" s="129"/>
      <c r="D34" s="129"/>
      <c r="E34" s="208" t="s">
        <v>398</v>
      </c>
      <c r="F34" s="209"/>
      <c r="G34" s="208" t="s">
        <v>399</v>
      </c>
      <c r="H34" s="209"/>
      <c r="I34" s="32"/>
      <c r="J34" s="32"/>
    </row>
    <row r="35" spans="1:10" ht="18.600000000000001" customHeight="1" x14ac:dyDescent="0.35">
      <c r="A35" s="129"/>
      <c r="B35" s="129"/>
      <c r="C35" s="129"/>
      <c r="D35" s="129"/>
      <c r="E35" s="140" t="s">
        <v>400</v>
      </c>
      <c r="F35" s="141" t="s">
        <v>326</v>
      </c>
      <c r="G35" s="140" t="s">
        <v>400</v>
      </c>
      <c r="H35" s="141" t="s">
        <v>326</v>
      </c>
      <c r="I35" s="32"/>
      <c r="J35" s="32"/>
    </row>
    <row r="36" spans="1:10" ht="18.600000000000001" customHeight="1" x14ac:dyDescent="0.35">
      <c r="A36" s="129"/>
      <c r="B36" s="129"/>
      <c r="C36" s="129"/>
      <c r="D36" s="129"/>
      <c r="E36" s="140" t="s">
        <v>401</v>
      </c>
      <c r="F36" s="142" t="s">
        <v>35</v>
      </c>
      <c r="G36" s="140" t="s">
        <v>401</v>
      </c>
      <c r="H36" s="142" t="s">
        <v>35</v>
      </c>
      <c r="I36" s="32"/>
      <c r="J36" s="32"/>
    </row>
    <row r="37" spans="1:10" ht="28.5" customHeight="1" x14ac:dyDescent="0.35">
      <c r="A37" s="143">
        <v>1</v>
      </c>
      <c r="B37" s="205" t="s">
        <v>402</v>
      </c>
      <c r="C37" s="202"/>
      <c r="D37" s="202"/>
      <c r="E37" s="144">
        <v>19</v>
      </c>
      <c r="F37" s="145">
        <f>'JANURAY, 2021'!Y29</f>
        <v>6878696.0910000019</v>
      </c>
      <c r="G37" s="144">
        <v>20</v>
      </c>
      <c r="H37" s="145">
        <f>'JANURAY, 2021'!Z29</f>
        <v>7468193.6142500006</v>
      </c>
      <c r="I37" s="32"/>
      <c r="J37" s="32"/>
    </row>
    <row r="38" spans="1:10" ht="21.75" customHeight="1" x14ac:dyDescent="0.35">
      <c r="A38" s="143">
        <v>2</v>
      </c>
      <c r="B38" s="146" t="s">
        <v>403</v>
      </c>
      <c r="C38" s="130"/>
      <c r="D38" s="130"/>
      <c r="E38" s="144">
        <v>2</v>
      </c>
      <c r="F38" s="145">
        <f>'JANURAY, 2021'!Y34</f>
        <v>738282.45275000005</v>
      </c>
      <c r="G38" s="144">
        <v>2</v>
      </c>
      <c r="H38" s="145">
        <f>'JANURAY, 2021'!Z34</f>
        <v>484318.75950000004</v>
      </c>
      <c r="I38" s="32"/>
      <c r="J38" s="32"/>
    </row>
    <row r="39" spans="1:10" ht="24.75" customHeight="1" x14ac:dyDescent="0.35">
      <c r="A39" s="143">
        <v>3</v>
      </c>
      <c r="B39" s="202" t="s">
        <v>404</v>
      </c>
      <c r="C39" s="202"/>
      <c r="D39" s="202"/>
      <c r="E39" s="144">
        <v>11</v>
      </c>
      <c r="F39" s="145">
        <f>'JANURAY, 2021'!Y48</f>
        <v>3695472.6502499995</v>
      </c>
      <c r="G39" s="144">
        <v>11</v>
      </c>
      <c r="H39" s="145">
        <f>'JANURAY, 2021'!Z48</f>
        <v>4064444.4867500002</v>
      </c>
      <c r="I39" s="32"/>
      <c r="J39" s="32"/>
    </row>
    <row r="40" spans="1:10" ht="23.25" customHeight="1" x14ac:dyDescent="0.35">
      <c r="A40" s="143">
        <v>4</v>
      </c>
      <c r="B40" s="202" t="s">
        <v>405</v>
      </c>
      <c r="C40" s="202"/>
      <c r="D40" s="206"/>
      <c r="E40" s="144">
        <v>1</v>
      </c>
      <c r="F40" s="145">
        <f>'JANURAY, 2021'!Y52</f>
        <v>947432.43350000004</v>
      </c>
      <c r="G40" s="144">
        <v>1</v>
      </c>
      <c r="H40" s="145">
        <f>'JANURAY, 2021'!Z52</f>
        <v>947432.43350000004</v>
      </c>
      <c r="I40" s="32"/>
      <c r="J40" s="32"/>
    </row>
    <row r="41" spans="1:10" ht="24" customHeight="1" x14ac:dyDescent="0.35">
      <c r="A41" s="143">
        <v>5</v>
      </c>
      <c r="B41" s="202" t="s">
        <v>406</v>
      </c>
      <c r="C41" s="202"/>
      <c r="D41" s="206"/>
      <c r="E41" s="144">
        <v>6</v>
      </c>
      <c r="F41" s="145">
        <f>'JANURAY, 2021'!Y61</f>
        <v>1723754.0784999998</v>
      </c>
      <c r="G41" s="144">
        <v>6</v>
      </c>
      <c r="H41" s="145">
        <f>'JANURAY, 2021'!Z61</f>
        <v>2219959.7222499996</v>
      </c>
      <c r="I41" s="32"/>
      <c r="J41" s="32"/>
    </row>
    <row r="42" spans="1:10" ht="21" customHeight="1" x14ac:dyDescent="0.35">
      <c r="A42" s="143">
        <v>6</v>
      </c>
      <c r="B42" s="202" t="s">
        <v>407</v>
      </c>
      <c r="C42" s="202"/>
      <c r="D42" s="206"/>
      <c r="E42" s="144">
        <v>2</v>
      </c>
      <c r="F42" s="145">
        <f>'JANURAY, 2021'!Y66</f>
        <v>674078.41850000003</v>
      </c>
      <c r="G42" s="144">
        <v>2</v>
      </c>
      <c r="H42" s="145">
        <f>'JANURAY, 2021'!Z66</f>
        <v>1202499.6757500002</v>
      </c>
      <c r="I42" s="32"/>
      <c r="J42" s="32"/>
    </row>
    <row r="43" spans="1:10" ht="23.25" customHeight="1" x14ac:dyDescent="0.35">
      <c r="A43" s="143">
        <v>7</v>
      </c>
      <c r="B43" s="130" t="s">
        <v>408</v>
      </c>
      <c r="C43" s="130"/>
      <c r="D43" s="130"/>
      <c r="E43" s="144">
        <v>9</v>
      </c>
      <c r="F43" s="145">
        <f>'JANURAY, 2021'!Y77</f>
        <v>2644645.1315000001</v>
      </c>
      <c r="G43" s="144">
        <v>8</v>
      </c>
      <c r="H43" s="145">
        <f>'JANURAY, 2021'!Z77</f>
        <v>3619314.1484999992</v>
      </c>
      <c r="I43" s="32"/>
      <c r="J43" s="32"/>
    </row>
    <row r="44" spans="1:10" ht="25.5" customHeight="1" x14ac:dyDescent="0.35">
      <c r="A44" s="143">
        <v>8</v>
      </c>
      <c r="B44" s="130" t="s">
        <v>409</v>
      </c>
      <c r="C44" s="130"/>
      <c r="D44" s="130"/>
      <c r="E44" s="144">
        <v>4</v>
      </c>
      <c r="F44" s="145">
        <f>'JANURAY, 2021'!Y84</f>
        <v>1485045.44325</v>
      </c>
      <c r="G44" s="144">
        <v>4</v>
      </c>
      <c r="H44" s="145">
        <f>'JANURAY, 2021'!Z84</f>
        <v>1608008.3377499999</v>
      </c>
      <c r="I44" s="32"/>
      <c r="J44" s="32"/>
    </row>
    <row r="45" spans="1:10" ht="21.75" customHeight="1" x14ac:dyDescent="0.35">
      <c r="A45" s="143">
        <v>9</v>
      </c>
      <c r="B45" s="130" t="s">
        <v>410</v>
      </c>
      <c r="C45" s="130"/>
      <c r="D45" s="130"/>
      <c r="E45" s="144">
        <v>4</v>
      </c>
      <c r="F45" s="145">
        <f>'JANURAY, 2021'!Y91</f>
        <v>1742740.03</v>
      </c>
      <c r="G45" s="144">
        <v>4</v>
      </c>
      <c r="H45" s="145">
        <f>'JANURAY, 2021'!Z91</f>
        <v>2295751.8970000003</v>
      </c>
      <c r="I45" s="32"/>
      <c r="J45" s="32"/>
    </row>
    <row r="46" spans="1:10" ht="24.75" customHeight="1" x14ac:dyDescent="0.35">
      <c r="A46" s="143">
        <v>10</v>
      </c>
      <c r="B46" s="130" t="s">
        <v>411</v>
      </c>
      <c r="C46" s="130"/>
      <c r="D46" s="130"/>
      <c r="E46" s="144">
        <v>11</v>
      </c>
      <c r="F46" s="145">
        <f>'JANURAY, 2021'!Y104</f>
        <v>2700504.6222500005</v>
      </c>
      <c r="G46" s="144">
        <v>10</v>
      </c>
      <c r="H46" s="145">
        <f>'JANURAY, 2021'!Z104</f>
        <v>6000206.2672500005</v>
      </c>
      <c r="I46" s="32"/>
      <c r="J46" s="32"/>
    </row>
    <row r="47" spans="1:10" ht="24.75" customHeight="1" x14ac:dyDescent="0.35">
      <c r="A47" s="143">
        <v>11</v>
      </c>
      <c r="B47" s="202" t="s">
        <v>412</v>
      </c>
      <c r="C47" s="202"/>
      <c r="D47" s="202"/>
      <c r="E47" s="144">
        <v>50</v>
      </c>
      <c r="F47" s="145">
        <f>'JANURAY, 2021'!Y158</f>
        <v>7378160.8640000019</v>
      </c>
      <c r="G47" s="144">
        <v>51</v>
      </c>
      <c r="H47" s="145">
        <f>'JANURAY, 2021'!Z158</f>
        <v>11051566.365499999</v>
      </c>
      <c r="I47" s="32"/>
      <c r="J47" s="32"/>
    </row>
    <row r="48" spans="1:10" ht="24" customHeight="1" x14ac:dyDescent="0.35">
      <c r="A48" s="129"/>
      <c r="B48" s="129"/>
      <c r="C48" s="129"/>
      <c r="D48" s="129"/>
      <c r="E48" s="140">
        <f>SUM(E37:E47)</f>
        <v>119</v>
      </c>
      <c r="F48" s="147">
        <f>SUM(F37:F47)</f>
        <v>30608812.215500005</v>
      </c>
      <c r="G48" s="140">
        <f>SUM(G37:G47)</f>
        <v>119</v>
      </c>
      <c r="H48" s="147">
        <f>SUM(H37:H47)</f>
        <v>40961695.707999997</v>
      </c>
      <c r="I48" s="32"/>
      <c r="J48" s="32"/>
    </row>
    <row r="49" spans="1:14" ht="18.600000000000001" customHeight="1" x14ac:dyDescent="0.35">
      <c r="A49" s="130"/>
      <c r="B49" s="130"/>
      <c r="C49" s="130"/>
      <c r="D49" s="130"/>
      <c r="E49" s="130"/>
      <c r="F49" s="130"/>
      <c r="G49" s="129"/>
      <c r="H49" s="148"/>
      <c r="I49" s="32"/>
      <c r="J49" s="32"/>
    </row>
    <row r="50" spans="1:14" ht="95.25" customHeight="1" x14ac:dyDescent="0.35">
      <c r="A50" s="203" t="s">
        <v>413</v>
      </c>
      <c r="B50" s="203"/>
      <c r="C50" s="203"/>
      <c r="D50" s="203"/>
      <c r="E50" s="203"/>
      <c r="F50" s="203"/>
      <c r="G50" s="203"/>
      <c r="H50" s="203"/>
      <c r="I50" s="1"/>
      <c r="J50" s="34"/>
      <c r="K50" s="34"/>
      <c r="L50" s="1"/>
      <c r="M50" s="1"/>
      <c r="N50" s="1"/>
    </row>
    <row r="51" spans="1:14" ht="35.25" customHeight="1" x14ac:dyDescent="0.35">
      <c r="A51" s="149"/>
      <c r="B51" s="149"/>
      <c r="C51" s="149"/>
      <c r="D51" s="149"/>
      <c r="E51" s="149"/>
      <c r="F51" s="149"/>
      <c r="G51" s="149"/>
      <c r="H51" s="149"/>
      <c r="I51" s="1"/>
      <c r="J51" s="1"/>
      <c r="K51" s="1"/>
      <c r="L51" s="1"/>
      <c r="M51" s="1"/>
      <c r="N51" s="1"/>
    </row>
    <row r="52" spans="1:14" ht="39" customHeight="1" x14ac:dyDescent="0.35">
      <c r="A52" s="149"/>
      <c r="B52" s="149"/>
      <c r="C52" s="149"/>
      <c r="D52" s="149"/>
      <c r="E52" s="149"/>
      <c r="F52" s="149"/>
      <c r="G52" s="149"/>
      <c r="H52" s="149"/>
      <c r="I52" s="1"/>
      <c r="J52" s="1"/>
      <c r="K52" s="1"/>
      <c r="L52" s="1"/>
      <c r="M52" s="1"/>
      <c r="N52" s="1"/>
    </row>
    <row r="53" spans="1:14" ht="36.75" customHeight="1" x14ac:dyDescent="0.35">
      <c r="A53" s="204" t="s">
        <v>414</v>
      </c>
      <c r="B53" s="204"/>
      <c r="C53" s="204"/>
      <c r="D53" s="204"/>
      <c r="E53" s="204"/>
      <c r="F53" s="129"/>
      <c r="G53" s="129"/>
      <c r="H53" s="129"/>
    </row>
    <row r="54" spans="1:14" ht="23.25" customHeight="1" x14ac:dyDescent="0.35">
      <c r="A54" s="202" t="s">
        <v>415</v>
      </c>
      <c r="B54" s="202"/>
      <c r="C54" s="202"/>
      <c r="D54" s="202"/>
      <c r="E54" s="202"/>
      <c r="F54" s="129"/>
      <c r="G54" s="129"/>
      <c r="H54" s="129"/>
    </row>
    <row r="55" spans="1:14" x14ac:dyDescent="0.2">
      <c r="A55" s="9"/>
      <c r="B55" s="9"/>
      <c r="C55" s="9"/>
      <c r="D55" s="9" t="s">
        <v>416</v>
      </c>
      <c r="E55" s="9"/>
      <c r="F55" s="9"/>
      <c r="G55" s="9"/>
      <c r="H55" s="9"/>
    </row>
    <row r="60" spans="1:14" x14ac:dyDescent="0.2">
      <c r="C60" t="s">
        <v>417</v>
      </c>
    </row>
  </sheetData>
  <mergeCells count="30">
    <mergeCell ref="A15:F15"/>
    <mergeCell ref="A16:F16"/>
    <mergeCell ref="E34:F34"/>
    <mergeCell ref="G34:H34"/>
    <mergeCell ref="A2:H2"/>
    <mergeCell ref="A4:H4"/>
    <mergeCell ref="A8:F8"/>
    <mergeCell ref="A9:E9"/>
    <mergeCell ref="A7:F7"/>
    <mergeCell ref="A12:H12"/>
    <mergeCell ref="A11:F11"/>
    <mergeCell ref="A21:F21"/>
    <mergeCell ref="A23:F23"/>
    <mergeCell ref="A22:F22"/>
    <mergeCell ref="A14:G14"/>
    <mergeCell ref="A25:G25"/>
    <mergeCell ref="A18:F18"/>
    <mergeCell ref="A20:F20"/>
    <mergeCell ref="A17:F17"/>
    <mergeCell ref="A19:F19"/>
    <mergeCell ref="A54:E54"/>
    <mergeCell ref="A53:E53"/>
    <mergeCell ref="A50:H50"/>
    <mergeCell ref="A32:G32"/>
    <mergeCell ref="B47:D47"/>
    <mergeCell ref="B37:D37"/>
    <mergeCell ref="B39:D39"/>
    <mergeCell ref="B42:D42"/>
    <mergeCell ref="B41:D41"/>
    <mergeCell ref="B40:D40"/>
  </mergeCells>
  <phoneticPr fontId="10" type="noConversion"/>
  <pageMargins left="0.45" right="0" top="0" bottom="0" header="0" footer="0"/>
  <pageSetup paperSize="9" scale="72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>
      <selection activeCell="D14" sqref="D14"/>
    </sheetView>
  </sheetViews>
  <sheetFormatPr defaultRowHeight="12.75" x14ac:dyDescent="0.2"/>
  <cols>
    <col min="3" max="3" width="11.85546875" customWidth="1"/>
    <col min="4" max="5" width="28.140625" customWidth="1"/>
  </cols>
  <sheetData>
    <row r="1" spans="1:6" ht="18.75" x14ac:dyDescent="0.3">
      <c r="A1" s="213" t="s">
        <v>418</v>
      </c>
      <c r="B1" s="213"/>
      <c r="C1" s="213"/>
      <c r="D1" s="213"/>
      <c r="E1" s="213"/>
      <c r="F1" s="213"/>
    </row>
    <row r="2" spans="1:6" ht="18.75" x14ac:dyDescent="0.3">
      <c r="A2" s="214" t="s">
        <v>419</v>
      </c>
      <c r="B2" s="214"/>
      <c r="C2" s="214"/>
      <c r="D2" s="214"/>
      <c r="E2" s="214"/>
      <c r="F2" s="214"/>
    </row>
    <row r="3" spans="1:6" ht="18.75" x14ac:dyDescent="0.3">
      <c r="A3" s="194"/>
      <c r="B3" s="194"/>
      <c r="C3" s="194"/>
      <c r="D3" s="3" t="s">
        <v>420</v>
      </c>
      <c r="E3" s="3" t="s">
        <v>421</v>
      </c>
      <c r="F3" s="11"/>
    </row>
    <row r="4" spans="1:6" ht="18.75" x14ac:dyDescent="0.3">
      <c r="A4" s="194" t="s">
        <v>422</v>
      </c>
      <c r="B4" s="194"/>
      <c r="C4" s="194"/>
      <c r="D4" s="12">
        <f>E4*12</f>
        <v>948475.67999999993</v>
      </c>
      <c r="E4" s="12">
        <f>SUMMARY!F3</f>
        <v>79039.64</v>
      </c>
      <c r="F4" s="1"/>
    </row>
    <row r="5" spans="1:6" ht="18.75" x14ac:dyDescent="0.3">
      <c r="A5" s="194" t="s">
        <v>423</v>
      </c>
      <c r="B5" s="194"/>
      <c r="C5" s="194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 x14ac:dyDescent="0.3">
      <c r="A6" s="194" t="s">
        <v>424</v>
      </c>
      <c r="B6" s="194"/>
      <c r="C6" s="194"/>
      <c r="D6" s="12">
        <f t="shared" si="0"/>
        <v>71135.676000000007</v>
      </c>
      <c r="E6" s="12">
        <f>SUMMARY!I3</f>
        <v>5927.973</v>
      </c>
      <c r="F6" s="1"/>
    </row>
    <row r="7" spans="1:6" ht="18.75" x14ac:dyDescent="0.3">
      <c r="A7" s="194" t="s">
        <v>425</v>
      </c>
      <c r="B7" s="194"/>
      <c r="C7" s="194"/>
      <c r="D7" s="12">
        <f t="shared" si="0"/>
        <v>962932.56</v>
      </c>
      <c r="E7" s="12">
        <f>SUMMARY!J3</f>
        <v>80244.38</v>
      </c>
      <c r="F7" s="1"/>
    </row>
    <row r="8" spans="1:6" ht="18.75" x14ac:dyDescent="0.3">
      <c r="A8" s="194" t="s">
        <v>426</v>
      </c>
      <c r="B8" s="194"/>
      <c r="C8" s="194"/>
      <c r="D8" s="12">
        <f t="shared" si="0"/>
        <v>474237.83999999997</v>
      </c>
      <c r="E8" s="12">
        <f>SUMMARY!K3</f>
        <v>39519.82</v>
      </c>
      <c r="F8" s="1"/>
    </row>
    <row r="9" spans="1:6" ht="18.75" x14ac:dyDescent="0.3">
      <c r="A9" s="194" t="s">
        <v>427</v>
      </c>
      <c r="B9" s="194"/>
      <c r="C9" s="194"/>
      <c r="D9" s="12">
        <f t="shared" si="0"/>
        <v>3319664.88</v>
      </c>
      <c r="E9" s="12">
        <f>SUMMARY!L3</f>
        <v>276638.74</v>
      </c>
      <c r="F9" s="1"/>
    </row>
    <row r="10" spans="1:6" ht="18.75" x14ac:dyDescent="0.3">
      <c r="A10" s="171" t="s">
        <v>428</v>
      </c>
      <c r="B10" s="212"/>
      <c r="C10" s="172"/>
      <c r="D10" s="12">
        <f>E10*12</f>
        <v>0</v>
      </c>
      <c r="E10" s="12"/>
      <c r="F10" s="1"/>
    </row>
    <row r="11" spans="1:6" ht="18.75" x14ac:dyDescent="0.3">
      <c r="A11" s="194" t="s">
        <v>429</v>
      </c>
      <c r="B11" s="194"/>
      <c r="C11" s="194"/>
      <c r="D11" s="12">
        <f t="shared" si="0"/>
        <v>948475.67999999993</v>
      </c>
      <c r="E11" s="12">
        <f>SUMMARY!N3</f>
        <v>79039.64</v>
      </c>
      <c r="F11" s="1"/>
    </row>
    <row r="12" spans="1:6" ht="18.75" x14ac:dyDescent="0.3">
      <c r="A12" s="194" t="s">
        <v>430</v>
      </c>
      <c r="B12" s="194"/>
      <c r="C12" s="194"/>
      <c r="D12" s="12">
        <f t="shared" si="0"/>
        <v>94847.567999999999</v>
      </c>
      <c r="E12" s="12">
        <f>SUMMARY!O3</f>
        <v>7903.9639999999999</v>
      </c>
      <c r="F12" s="1"/>
    </row>
    <row r="13" spans="1:6" ht="18.75" x14ac:dyDescent="0.3">
      <c r="A13" s="194" t="s">
        <v>431</v>
      </c>
      <c r="B13" s="194"/>
      <c r="C13" s="194"/>
      <c r="D13" s="12">
        <f t="shared" si="0"/>
        <v>240000</v>
      </c>
      <c r="E13" s="12">
        <f>SUMMARY!P3</f>
        <v>20000</v>
      </c>
      <c r="F13" s="1"/>
    </row>
    <row r="14" spans="1:6" ht="18.75" x14ac:dyDescent="0.3">
      <c r="A14" s="175" t="s">
        <v>432</v>
      </c>
      <c r="B14" s="175"/>
      <c r="C14" s="175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selection activeCell="E4" sqref="E4"/>
    </sheetView>
  </sheetViews>
  <sheetFormatPr defaultRowHeight="12.75" x14ac:dyDescent="0.2"/>
  <cols>
    <col min="3" max="3" width="11.5703125" customWidth="1"/>
    <col min="4" max="4" width="25.42578125" customWidth="1"/>
    <col min="5" max="5" width="25.85546875" customWidth="1"/>
  </cols>
  <sheetData>
    <row r="1" spans="1:6" ht="18.75" x14ac:dyDescent="0.3">
      <c r="A1" s="215" t="s">
        <v>433</v>
      </c>
      <c r="B1" s="215"/>
      <c r="C1" s="215"/>
      <c r="D1" s="215"/>
      <c r="E1" s="215"/>
      <c r="F1" s="215"/>
    </row>
    <row r="2" spans="1:6" ht="18.75" x14ac:dyDescent="0.3">
      <c r="A2" s="214" t="s">
        <v>434</v>
      </c>
      <c r="B2" s="214"/>
      <c r="C2" s="214"/>
      <c r="D2" s="214"/>
      <c r="E2" s="214"/>
      <c r="F2" s="214"/>
    </row>
    <row r="3" spans="1:6" ht="18.75" x14ac:dyDescent="0.3">
      <c r="A3" s="194"/>
      <c r="B3" s="194"/>
      <c r="C3" s="194"/>
      <c r="D3" s="3" t="s">
        <v>420</v>
      </c>
      <c r="E3" s="3" t="s">
        <v>421</v>
      </c>
      <c r="F3" s="11"/>
    </row>
    <row r="4" spans="1:6" ht="18.75" x14ac:dyDescent="0.3">
      <c r="A4" s="194" t="s">
        <v>422</v>
      </c>
      <c r="B4" s="194"/>
      <c r="C4" s="194"/>
      <c r="D4" s="12" t="e">
        <f>E4*12</f>
        <v>#REF!</v>
      </c>
      <c r="E4" s="12" t="e">
        <f>'JANURAY, 2021'!#REF!</f>
        <v>#REF!</v>
      </c>
      <c r="F4" s="1"/>
    </row>
    <row r="5" spans="1:6" ht="18.75" x14ac:dyDescent="0.3">
      <c r="A5" s="194" t="s">
        <v>423</v>
      </c>
      <c r="B5" s="194"/>
      <c r="C5" s="194"/>
      <c r="D5" s="12" t="e">
        <f t="shared" ref="D5:D13" si="0">E5*12</f>
        <v>#REF!</v>
      </c>
      <c r="E5" s="12" t="e">
        <f>'JANURAY, 2021'!#REF!</f>
        <v>#REF!</v>
      </c>
      <c r="F5" s="1"/>
    </row>
    <row r="6" spans="1:6" ht="18.75" x14ac:dyDescent="0.3">
      <c r="A6" s="194" t="s">
        <v>424</v>
      </c>
      <c r="B6" s="194"/>
      <c r="C6" s="194"/>
      <c r="D6" s="12" t="e">
        <f t="shared" si="0"/>
        <v>#REF!</v>
      </c>
      <c r="E6" s="12" t="e">
        <f>'JANURAY, 2021'!#REF!</f>
        <v>#REF!</v>
      </c>
      <c r="F6" s="1"/>
    </row>
    <row r="7" spans="1:6" ht="18.75" x14ac:dyDescent="0.3">
      <c r="A7" s="194" t="s">
        <v>425</v>
      </c>
      <c r="B7" s="194"/>
      <c r="C7" s="194"/>
      <c r="D7" s="12" t="e">
        <f t="shared" si="0"/>
        <v>#REF!</v>
      </c>
      <c r="E7" s="12" t="e">
        <f>'JANURAY, 2021'!#REF!</f>
        <v>#REF!</v>
      </c>
      <c r="F7" s="1"/>
    </row>
    <row r="8" spans="1:6" ht="18.75" x14ac:dyDescent="0.3">
      <c r="A8" s="194" t="s">
        <v>426</v>
      </c>
      <c r="B8" s="194"/>
      <c r="C8" s="194"/>
      <c r="D8" s="12" t="e">
        <f t="shared" si="0"/>
        <v>#REF!</v>
      </c>
      <c r="E8" s="12" t="e">
        <f>'JANURAY, 2021'!#REF!</f>
        <v>#REF!</v>
      </c>
      <c r="F8" s="1"/>
    </row>
    <row r="9" spans="1:6" ht="18.75" x14ac:dyDescent="0.3">
      <c r="A9" s="194" t="s">
        <v>427</v>
      </c>
      <c r="B9" s="194"/>
      <c r="C9" s="194"/>
      <c r="D9" s="12" t="e">
        <f t="shared" si="0"/>
        <v>#REF!</v>
      </c>
      <c r="E9" s="12" t="e">
        <f>'JANURAY, 2021'!#REF!</f>
        <v>#REF!</v>
      </c>
      <c r="F9" s="1"/>
    </row>
    <row r="10" spans="1:6" ht="18.75" x14ac:dyDescent="0.3">
      <c r="A10" s="194" t="s">
        <v>429</v>
      </c>
      <c r="B10" s="194"/>
      <c r="C10" s="194"/>
      <c r="D10" s="12" t="e">
        <f t="shared" si="0"/>
        <v>#REF!</v>
      </c>
      <c r="E10" s="12" t="e">
        <f>'JANURAY, 2021'!#REF!</f>
        <v>#REF!</v>
      </c>
      <c r="F10" s="1"/>
    </row>
    <row r="11" spans="1:6" ht="18.75" x14ac:dyDescent="0.3">
      <c r="A11" s="171" t="s">
        <v>435</v>
      </c>
      <c r="B11" s="212"/>
      <c r="C11" s="172"/>
      <c r="D11" s="12">
        <f t="shared" si="0"/>
        <v>1200000</v>
      </c>
      <c r="E11" s="12">
        <v>100000</v>
      </c>
      <c r="F11" s="1"/>
    </row>
    <row r="12" spans="1:6" ht="18.75" x14ac:dyDescent="0.3">
      <c r="A12" s="194" t="s">
        <v>430</v>
      </c>
      <c r="B12" s="194"/>
      <c r="C12" s="194"/>
      <c r="D12" s="12" t="e">
        <f t="shared" si="0"/>
        <v>#REF!</v>
      </c>
      <c r="E12" s="12" t="e">
        <f>'JANURAY, 2021'!#REF!</f>
        <v>#REF!</v>
      </c>
      <c r="F12" s="1"/>
    </row>
    <row r="13" spans="1:6" ht="18.75" x14ac:dyDescent="0.3">
      <c r="A13" s="194" t="s">
        <v>431</v>
      </c>
      <c r="B13" s="194"/>
      <c r="C13" s="194"/>
      <c r="D13" s="12" t="e">
        <f t="shared" si="0"/>
        <v>#REF!</v>
      </c>
      <c r="E13" s="12" t="e">
        <f>'JANURAY, 2021'!#REF!</f>
        <v>#REF!</v>
      </c>
      <c r="F13" s="1"/>
    </row>
    <row r="14" spans="1:6" ht="18.75" x14ac:dyDescent="0.3">
      <c r="A14" s="175" t="s">
        <v>432</v>
      </c>
      <c r="B14" s="175"/>
      <c r="C14" s="175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0"/>
  <sheetViews>
    <sheetView workbookViewId="0">
      <selection activeCell="D74" sqref="D74"/>
    </sheetView>
  </sheetViews>
  <sheetFormatPr defaultRowHeight="12.75" x14ac:dyDescent="0.2"/>
  <cols>
    <col min="1" max="1" width="8" customWidth="1"/>
    <col min="3" max="3" width="33.7109375" customWidth="1"/>
    <col min="4" max="4" width="37.140625" customWidth="1"/>
    <col min="5" max="5" width="13.5703125" customWidth="1"/>
  </cols>
  <sheetData>
    <row r="1" spans="1:5" ht="18.75" x14ac:dyDescent="0.3">
      <c r="A1" s="21" t="s">
        <v>33</v>
      </c>
      <c r="B1" s="175" t="s">
        <v>436</v>
      </c>
      <c r="C1" s="175"/>
      <c r="D1" s="59" t="s">
        <v>5</v>
      </c>
      <c r="E1" s="59" t="s">
        <v>6</v>
      </c>
    </row>
    <row r="2" spans="1:5" ht="18.75" x14ac:dyDescent="0.3">
      <c r="A2" s="78"/>
      <c r="B2" s="177" t="s">
        <v>437</v>
      </c>
      <c r="C2" s="177"/>
      <c r="D2" s="49"/>
      <c r="E2" s="49"/>
    </row>
    <row r="3" spans="1:5" ht="18.75" x14ac:dyDescent="0.3">
      <c r="A3" s="3">
        <v>1</v>
      </c>
      <c r="B3" s="178" t="s">
        <v>438</v>
      </c>
      <c r="C3" s="178"/>
      <c r="D3" s="62" t="s">
        <v>37</v>
      </c>
      <c r="E3" s="62" t="s">
        <v>38</v>
      </c>
    </row>
    <row r="4" spans="1:5" ht="18.75" x14ac:dyDescent="0.3">
      <c r="A4" s="3">
        <v>2</v>
      </c>
      <c r="B4" s="195" t="s">
        <v>87</v>
      </c>
      <c r="C4" s="195"/>
      <c r="D4" s="62" t="s">
        <v>439</v>
      </c>
      <c r="E4" s="38" t="s">
        <v>44</v>
      </c>
    </row>
    <row r="5" spans="1:5" ht="18.75" x14ac:dyDescent="0.3">
      <c r="A5" s="3">
        <v>3</v>
      </c>
      <c r="B5" s="194" t="s">
        <v>42</v>
      </c>
      <c r="C5" s="194"/>
      <c r="D5" s="33" t="s">
        <v>43</v>
      </c>
      <c r="E5" s="38" t="s">
        <v>44</v>
      </c>
    </row>
    <row r="6" spans="1:5" ht="18.75" x14ac:dyDescent="0.3">
      <c r="A6" s="3">
        <v>4</v>
      </c>
      <c r="B6" s="194" t="s">
        <v>47</v>
      </c>
      <c r="C6" s="194"/>
      <c r="D6" s="33" t="s">
        <v>48</v>
      </c>
      <c r="E6" s="3" t="s">
        <v>138</v>
      </c>
    </row>
    <row r="7" spans="1:5" ht="18.75" x14ac:dyDescent="0.3">
      <c r="A7" s="3">
        <v>5</v>
      </c>
      <c r="B7" s="194" t="s">
        <v>55</v>
      </c>
      <c r="C7" s="194"/>
      <c r="D7" s="33" t="s">
        <v>56</v>
      </c>
      <c r="E7" s="38" t="s">
        <v>80</v>
      </c>
    </row>
    <row r="8" spans="1:5" ht="18.75" x14ac:dyDescent="0.3">
      <c r="A8" s="3">
        <v>6</v>
      </c>
      <c r="B8" s="194" t="s">
        <v>58</v>
      </c>
      <c r="C8" s="194"/>
      <c r="D8" s="33" t="s">
        <v>59</v>
      </c>
      <c r="E8" s="38" t="s">
        <v>80</v>
      </c>
    </row>
    <row r="9" spans="1:5" ht="18.75" x14ac:dyDescent="0.3">
      <c r="A9" s="3">
        <v>7</v>
      </c>
      <c r="B9" s="194" t="s">
        <v>60</v>
      </c>
      <c r="C9" s="194"/>
      <c r="D9" s="33" t="s">
        <v>61</v>
      </c>
      <c r="E9" s="3" t="s">
        <v>62</v>
      </c>
    </row>
    <row r="10" spans="1:5" ht="18.75" x14ac:dyDescent="0.3">
      <c r="A10" s="3">
        <v>8</v>
      </c>
      <c r="B10" s="195" t="s">
        <v>90</v>
      </c>
      <c r="C10" s="195"/>
      <c r="D10" s="62" t="s">
        <v>440</v>
      </c>
      <c r="E10" s="67" t="s">
        <v>68</v>
      </c>
    </row>
    <row r="11" spans="1:5" ht="18.75" x14ac:dyDescent="0.3">
      <c r="A11" s="3">
        <v>9</v>
      </c>
      <c r="B11" s="178" t="s">
        <v>65</v>
      </c>
      <c r="C11" s="178"/>
      <c r="D11" s="62" t="s">
        <v>441</v>
      </c>
      <c r="E11" s="67" t="s">
        <v>71</v>
      </c>
    </row>
    <row r="12" spans="1:5" ht="18.75" x14ac:dyDescent="0.3">
      <c r="A12" s="3">
        <v>10</v>
      </c>
      <c r="B12" s="178" t="s">
        <v>133</v>
      </c>
      <c r="C12" s="178"/>
      <c r="D12" s="62" t="s">
        <v>442</v>
      </c>
      <c r="E12" s="67" t="s">
        <v>68</v>
      </c>
    </row>
    <row r="13" spans="1:5" ht="18.75" x14ac:dyDescent="0.3">
      <c r="A13" s="3">
        <v>11</v>
      </c>
      <c r="B13" s="178" t="s">
        <v>69</v>
      </c>
      <c r="C13" s="178"/>
      <c r="D13" s="62" t="s">
        <v>70</v>
      </c>
      <c r="E13" s="67" t="s">
        <v>68</v>
      </c>
    </row>
    <row r="14" spans="1:5" ht="18.75" x14ac:dyDescent="0.3">
      <c r="A14" s="33"/>
      <c r="B14" s="175" t="s">
        <v>32</v>
      </c>
      <c r="C14" s="175"/>
      <c r="D14" s="7">
        <v>11</v>
      </c>
      <c r="E14" s="3"/>
    </row>
    <row r="15" spans="1:5" ht="18.75" x14ac:dyDescent="0.3">
      <c r="A15" s="33"/>
      <c r="B15" s="217"/>
      <c r="C15" s="217"/>
      <c r="D15" s="33"/>
      <c r="E15" s="3"/>
    </row>
    <row r="16" spans="1:5" ht="18.75" x14ac:dyDescent="0.3">
      <c r="A16" s="3"/>
      <c r="B16" s="223" t="s">
        <v>93</v>
      </c>
      <c r="C16" s="223"/>
      <c r="D16" s="51"/>
      <c r="E16" s="2"/>
    </row>
    <row r="17" spans="1:5" ht="18.75" x14ac:dyDescent="0.3">
      <c r="A17" s="3">
        <v>1</v>
      </c>
      <c r="B17" s="178" t="s">
        <v>443</v>
      </c>
      <c r="C17" s="178"/>
      <c r="D17" s="33" t="s">
        <v>444</v>
      </c>
      <c r="E17" s="3" t="s">
        <v>89</v>
      </c>
    </row>
    <row r="18" spans="1:5" ht="18.75" x14ac:dyDescent="0.3">
      <c r="A18" s="3">
        <v>2</v>
      </c>
      <c r="B18" s="178" t="s">
        <v>98</v>
      </c>
      <c r="C18" s="178"/>
      <c r="D18" s="33" t="s">
        <v>101</v>
      </c>
      <c r="E18" s="3" t="s">
        <v>445</v>
      </c>
    </row>
    <row r="19" spans="1:5" ht="18.75" x14ac:dyDescent="0.3">
      <c r="A19" s="3">
        <v>3</v>
      </c>
      <c r="B19" s="178" t="s">
        <v>103</v>
      </c>
      <c r="C19" s="178"/>
      <c r="D19" s="33" t="s">
        <v>112</v>
      </c>
      <c r="E19" s="3" t="s">
        <v>143</v>
      </c>
    </row>
    <row r="20" spans="1:5" ht="18.75" x14ac:dyDescent="0.3">
      <c r="A20" s="3">
        <v>4</v>
      </c>
      <c r="B20" s="178" t="s">
        <v>104</v>
      </c>
      <c r="C20" s="178"/>
      <c r="D20" s="33" t="s">
        <v>112</v>
      </c>
      <c r="E20" s="3" t="s">
        <v>80</v>
      </c>
    </row>
    <row r="21" spans="1:5" ht="18.75" x14ac:dyDescent="0.3">
      <c r="A21" s="3">
        <v>5</v>
      </c>
      <c r="B21" s="220" t="s">
        <v>106</v>
      </c>
      <c r="C21" s="220"/>
      <c r="D21" s="20" t="s">
        <v>107</v>
      </c>
      <c r="E21" s="25" t="s">
        <v>57</v>
      </c>
    </row>
    <row r="22" spans="1:5" ht="18.75" x14ac:dyDescent="0.3">
      <c r="A22" s="3">
        <v>6</v>
      </c>
      <c r="B22" s="178" t="s">
        <v>108</v>
      </c>
      <c r="C22" s="178"/>
      <c r="D22" s="33" t="s">
        <v>124</v>
      </c>
      <c r="E22" s="3" t="s">
        <v>71</v>
      </c>
    </row>
    <row r="23" spans="1:5" ht="18.75" x14ac:dyDescent="0.3">
      <c r="A23" s="3">
        <v>7</v>
      </c>
      <c r="B23" s="178" t="s">
        <v>111</v>
      </c>
      <c r="C23" s="178"/>
      <c r="D23" s="33" t="s">
        <v>112</v>
      </c>
      <c r="E23" s="3" t="s">
        <v>80</v>
      </c>
    </row>
    <row r="24" spans="1:5" ht="18.75" x14ac:dyDescent="0.3">
      <c r="A24" s="3">
        <v>8</v>
      </c>
      <c r="B24" s="178" t="s">
        <v>269</v>
      </c>
      <c r="C24" s="178"/>
      <c r="D24" s="33" t="s">
        <v>112</v>
      </c>
      <c r="E24" s="3" t="s">
        <v>80</v>
      </c>
    </row>
    <row r="25" spans="1:5" ht="18.75" x14ac:dyDescent="0.3">
      <c r="A25" s="3">
        <v>9</v>
      </c>
      <c r="B25" s="221" t="s">
        <v>114</v>
      </c>
      <c r="C25" s="221"/>
      <c r="D25" s="20" t="s">
        <v>124</v>
      </c>
      <c r="E25" s="29" t="s">
        <v>85</v>
      </c>
    </row>
    <row r="26" spans="1:5" ht="18.75" x14ac:dyDescent="0.3">
      <c r="A26" s="3">
        <v>10</v>
      </c>
      <c r="B26" s="221" t="s">
        <v>446</v>
      </c>
      <c r="C26" s="221"/>
      <c r="D26" s="20" t="s">
        <v>124</v>
      </c>
      <c r="E26" s="29" t="s">
        <v>85</v>
      </c>
    </row>
    <row r="27" spans="1:5" ht="18.75" x14ac:dyDescent="0.3">
      <c r="A27" s="20"/>
      <c r="B27" s="216" t="s">
        <v>32</v>
      </c>
      <c r="C27" s="216"/>
      <c r="D27" s="30">
        <v>10</v>
      </c>
      <c r="E27" s="30"/>
    </row>
    <row r="28" spans="1:5" ht="18.75" x14ac:dyDescent="0.3">
      <c r="A28" s="20"/>
      <c r="B28" s="216"/>
      <c r="C28" s="216"/>
      <c r="D28" s="30"/>
      <c r="E28" s="30"/>
    </row>
    <row r="29" spans="1:5" ht="18.75" x14ac:dyDescent="0.3">
      <c r="A29" s="29"/>
      <c r="B29" s="216" t="s">
        <v>115</v>
      </c>
      <c r="C29" s="216"/>
      <c r="D29" s="30"/>
      <c r="E29" s="30"/>
    </row>
    <row r="30" spans="1:5" ht="18.75" x14ac:dyDescent="0.3">
      <c r="A30" s="29">
        <v>1</v>
      </c>
      <c r="B30" s="178" t="s">
        <v>116</v>
      </c>
      <c r="C30" s="178"/>
      <c r="D30" s="62" t="s">
        <v>117</v>
      </c>
      <c r="E30" s="67" t="s">
        <v>89</v>
      </c>
    </row>
    <row r="31" spans="1:5" ht="18.75" x14ac:dyDescent="0.3">
      <c r="A31" s="20"/>
      <c r="B31" s="216" t="s">
        <v>32</v>
      </c>
      <c r="C31" s="216"/>
      <c r="D31" s="30">
        <v>1</v>
      </c>
      <c r="E31" s="30"/>
    </row>
    <row r="32" spans="1:5" ht="18.75" x14ac:dyDescent="0.3">
      <c r="A32" s="20"/>
      <c r="B32" s="216"/>
      <c r="C32" s="216"/>
      <c r="D32" s="30"/>
      <c r="E32" s="30"/>
    </row>
    <row r="33" spans="1:5" ht="18.75" x14ac:dyDescent="0.3">
      <c r="A33" s="33"/>
      <c r="B33" s="216" t="s">
        <v>118</v>
      </c>
      <c r="C33" s="216"/>
      <c r="D33" s="30"/>
      <c r="E33" s="30"/>
    </row>
    <row r="34" spans="1:5" ht="18.75" x14ac:dyDescent="0.3">
      <c r="A34" s="29">
        <v>1</v>
      </c>
      <c r="B34" s="221" t="s">
        <v>447</v>
      </c>
      <c r="C34" s="221"/>
      <c r="D34" s="48" t="s">
        <v>448</v>
      </c>
      <c r="E34" s="29" t="s">
        <v>89</v>
      </c>
    </row>
    <row r="35" spans="1:5" ht="18.75" x14ac:dyDescent="0.3">
      <c r="A35" s="29">
        <v>2</v>
      </c>
      <c r="B35" s="221" t="s">
        <v>45</v>
      </c>
      <c r="C35" s="221"/>
      <c r="D35" s="48" t="s">
        <v>46</v>
      </c>
      <c r="E35" s="29" t="s">
        <v>138</v>
      </c>
    </row>
    <row r="36" spans="1:5" ht="18.75" x14ac:dyDescent="0.3">
      <c r="A36" s="29">
        <v>3</v>
      </c>
      <c r="B36" s="77" t="s">
        <v>141</v>
      </c>
      <c r="C36" s="77"/>
      <c r="D36" s="33" t="s">
        <v>449</v>
      </c>
      <c r="E36" s="3" t="s">
        <v>110</v>
      </c>
    </row>
    <row r="37" spans="1:5" ht="18.75" x14ac:dyDescent="0.3">
      <c r="A37" s="29">
        <v>4</v>
      </c>
      <c r="B37" s="221" t="s">
        <v>122</v>
      </c>
      <c r="C37" s="221"/>
      <c r="D37" s="48" t="s">
        <v>124</v>
      </c>
      <c r="E37" s="29" t="s">
        <v>85</v>
      </c>
    </row>
    <row r="38" spans="1:5" ht="18.75" x14ac:dyDescent="0.3">
      <c r="A38" s="20"/>
      <c r="B38" s="216" t="s">
        <v>32</v>
      </c>
      <c r="C38" s="216"/>
      <c r="D38" s="30">
        <v>4</v>
      </c>
      <c r="E38" s="30"/>
    </row>
    <row r="39" spans="1:5" ht="18.75" x14ac:dyDescent="0.3">
      <c r="A39" s="20"/>
      <c r="B39" s="218"/>
      <c r="C39" s="219"/>
      <c r="D39" s="30"/>
      <c r="E39" s="30"/>
    </row>
    <row r="40" spans="1:5" ht="18.75" x14ac:dyDescent="0.3">
      <c r="A40" s="29"/>
      <c r="B40" s="216" t="s">
        <v>130</v>
      </c>
      <c r="C40" s="216"/>
      <c r="D40" s="30"/>
      <c r="E40" s="30"/>
    </row>
    <row r="41" spans="1:5" ht="18.75" x14ac:dyDescent="0.3">
      <c r="A41" s="29">
        <v>1</v>
      </c>
      <c r="B41" s="178" t="s">
        <v>131</v>
      </c>
      <c r="C41" s="178"/>
      <c r="D41" s="33" t="s">
        <v>132</v>
      </c>
      <c r="E41" s="3" t="s">
        <v>89</v>
      </c>
    </row>
    <row r="42" spans="1:5" ht="18.75" x14ac:dyDescent="0.3">
      <c r="A42" s="33"/>
      <c r="B42" s="216" t="s">
        <v>32</v>
      </c>
      <c r="C42" s="216"/>
      <c r="D42" s="30">
        <v>1</v>
      </c>
      <c r="E42" s="30"/>
    </row>
    <row r="43" spans="1:5" ht="18.75" x14ac:dyDescent="0.3">
      <c r="A43" s="33"/>
      <c r="B43" s="222"/>
      <c r="C43" s="222"/>
      <c r="D43" s="7"/>
      <c r="E43" s="7"/>
    </row>
    <row r="44" spans="1:5" ht="18.75" x14ac:dyDescent="0.3">
      <c r="A44" s="3"/>
      <c r="B44" s="179" t="s">
        <v>450</v>
      </c>
      <c r="C44" s="179"/>
      <c r="D44" s="72"/>
      <c r="E44" s="7"/>
    </row>
    <row r="45" spans="1:5" ht="18.75" x14ac:dyDescent="0.3">
      <c r="A45" s="3">
        <v>1</v>
      </c>
      <c r="B45" s="178" t="s">
        <v>39</v>
      </c>
      <c r="C45" s="178"/>
      <c r="D45" s="62" t="s">
        <v>451</v>
      </c>
      <c r="E45" s="67" t="s">
        <v>41</v>
      </c>
    </row>
    <row r="46" spans="1:5" ht="18.75" x14ac:dyDescent="0.3">
      <c r="A46" s="3">
        <v>2</v>
      </c>
      <c r="B46" s="178" t="s">
        <v>156</v>
      </c>
      <c r="C46" s="178"/>
      <c r="D46" s="62" t="s">
        <v>157</v>
      </c>
      <c r="E46" s="67" t="s">
        <v>284</v>
      </c>
    </row>
    <row r="47" spans="1:5" ht="18.75" x14ac:dyDescent="0.3">
      <c r="A47" s="3">
        <v>3</v>
      </c>
      <c r="B47" s="178" t="s">
        <v>452</v>
      </c>
      <c r="C47" s="178"/>
      <c r="D47" s="33" t="s">
        <v>453</v>
      </c>
      <c r="E47" s="3" t="s">
        <v>138</v>
      </c>
    </row>
    <row r="48" spans="1:5" ht="18.75" x14ac:dyDescent="0.3">
      <c r="A48" s="3">
        <v>4</v>
      </c>
      <c r="B48" s="195" t="s">
        <v>158</v>
      </c>
      <c r="C48" s="195"/>
      <c r="D48" s="33" t="s">
        <v>454</v>
      </c>
      <c r="E48" s="3" t="s">
        <v>138</v>
      </c>
    </row>
    <row r="49" spans="1:5" ht="18.75" x14ac:dyDescent="0.3">
      <c r="A49" s="3">
        <v>5</v>
      </c>
      <c r="B49" s="178" t="s">
        <v>96</v>
      </c>
      <c r="C49" s="178"/>
      <c r="D49" s="33" t="s">
        <v>97</v>
      </c>
      <c r="E49" s="3" t="s">
        <v>138</v>
      </c>
    </row>
    <row r="50" spans="1:5" ht="18.75" x14ac:dyDescent="0.3">
      <c r="A50" s="3">
        <v>6</v>
      </c>
      <c r="B50" s="178" t="s">
        <v>139</v>
      </c>
      <c r="C50" s="178"/>
      <c r="D50" s="33" t="s">
        <v>101</v>
      </c>
      <c r="E50" s="3" t="s">
        <v>105</v>
      </c>
    </row>
    <row r="51" spans="1:5" ht="18.75" x14ac:dyDescent="0.3">
      <c r="A51" s="3">
        <v>7</v>
      </c>
      <c r="B51" s="178" t="s">
        <v>100</v>
      </c>
      <c r="C51" s="178"/>
      <c r="D51" s="33" t="s">
        <v>112</v>
      </c>
      <c r="E51" s="3" t="s">
        <v>102</v>
      </c>
    </row>
    <row r="52" spans="1:5" ht="18.75" x14ac:dyDescent="0.3">
      <c r="A52" s="3">
        <v>8</v>
      </c>
      <c r="B52" s="178" t="s">
        <v>148</v>
      </c>
      <c r="C52" s="178"/>
      <c r="D52" s="33" t="s">
        <v>290</v>
      </c>
      <c r="E52" s="3" t="s">
        <v>138</v>
      </c>
    </row>
    <row r="53" spans="1:5" ht="18.75" x14ac:dyDescent="0.3">
      <c r="A53" s="3">
        <v>9</v>
      </c>
      <c r="B53" s="178" t="s">
        <v>137</v>
      </c>
      <c r="C53" s="178"/>
      <c r="D53" s="33" t="s">
        <v>101</v>
      </c>
      <c r="E53" s="3" t="s">
        <v>102</v>
      </c>
    </row>
    <row r="54" spans="1:5" ht="18.75" x14ac:dyDescent="0.3">
      <c r="A54" s="3">
        <v>10</v>
      </c>
      <c r="B54" s="178" t="s">
        <v>160</v>
      </c>
      <c r="C54" s="178"/>
      <c r="D54" s="33" t="s">
        <v>455</v>
      </c>
      <c r="E54" s="3" t="s">
        <v>57</v>
      </c>
    </row>
    <row r="55" spans="1:5" ht="18.75" x14ac:dyDescent="0.3">
      <c r="A55" s="3">
        <v>11</v>
      </c>
      <c r="B55" s="178" t="s">
        <v>140</v>
      </c>
      <c r="C55" s="178"/>
      <c r="D55" s="33" t="s">
        <v>112</v>
      </c>
      <c r="E55" s="3" t="s">
        <v>110</v>
      </c>
    </row>
    <row r="56" spans="1:5" ht="18.75" x14ac:dyDescent="0.3">
      <c r="A56" s="3">
        <v>12</v>
      </c>
      <c r="B56" s="221" t="s">
        <v>320</v>
      </c>
      <c r="C56" s="221"/>
      <c r="D56" s="20" t="s">
        <v>112</v>
      </c>
      <c r="E56" s="29" t="s">
        <v>80</v>
      </c>
    </row>
    <row r="57" spans="1:5" ht="18.75" x14ac:dyDescent="0.3">
      <c r="A57" s="3">
        <v>13</v>
      </c>
      <c r="B57" s="221" t="s">
        <v>150</v>
      </c>
      <c r="C57" s="221"/>
      <c r="D57" s="20" t="s">
        <v>151</v>
      </c>
      <c r="E57" s="29" t="s">
        <v>80</v>
      </c>
    </row>
    <row r="58" spans="1:5" ht="18.75" x14ac:dyDescent="0.3">
      <c r="A58" s="3">
        <v>14</v>
      </c>
      <c r="B58" s="194" t="s">
        <v>63</v>
      </c>
      <c r="C58" s="194"/>
      <c r="D58" s="33" t="s">
        <v>64</v>
      </c>
      <c r="E58" s="3" t="s">
        <v>80</v>
      </c>
    </row>
    <row r="59" spans="1:5" ht="18.75" x14ac:dyDescent="0.3">
      <c r="A59" s="3">
        <v>15</v>
      </c>
      <c r="B59" s="221" t="s">
        <v>144</v>
      </c>
      <c r="C59" s="221"/>
      <c r="D59" s="20" t="s">
        <v>112</v>
      </c>
      <c r="E59" s="29" t="s">
        <v>80</v>
      </c>
    </row>
    <row r="60" spans="1:5" ht="18.75" x14ac:dyDescent="0.3">
      <c r="A60" s="3">
        <v>16</v>
      </c>
      <c r="B60" s="221" t="s">
        <v>162</v>
      </c>
      <c r="C60" s="221"/>
      <c r="D60" s="20" t="s">
        <v>275</v>
      </c>
      <c r="E60" s="29" t="s">
        <v>285</v>
      </c>
    </row>
    <row r="61" spans="1:5" ht="18.75" x14ac:dyDescent="0.3">
      <c r="A61" s="3">
        <v>17</v>
      </c>
      <c r="B61" s="221" t="s">
        <v>123</v>
      </c>
      <c r="C61" s="221"/>
      <c r="D61" s="20" t="s">
        <v>124</v>
      </c>
      <c r="E61" s="29" t="s">
        <v>71</v>
      </c>
    </row>
    <row r="62" spans="1:5" ht="18.75" x14ac:dyDescent="0.3">
      <c r="A62" s="3">
        <v>18</v>
      </c>
      <c r="B62" s="221" t="s">
        <v>121</v>
      </c>
      <c r="C62" s="221"/>
      <c r="D62" s="20" t="s">
        <v>112</v>
      </c>
      <c r="E62" s="29" t="s">
        <v>80</v>
      </c>
    </row>
    <row r="63" spans="1:5" ht="18.75" x14ac:dyDescent="0.3">
      <c r="A63" s="3">
        <v>19</v>
      </c>
      <c r="B63" s="221" t="s">
        <v>145</v>
      </c>
      <c r="C63" s="221"/>
      <c r="D63" s="20" t="s">
        <v>289</v>
      </c>
      <c r="E63" s="29" t="s">
        <v>317</v>
      </c>
    </row>
    <row r="64" spans="1:5" ht="18.75" x14ac:dyDescent="0.3">
      <c r="A64" s="3">
        <v>20</v>
      </c>
      <c r="B64" s="178" t="s">
        <v>146</v>
      </c>
      <c r="C64" s="178"/>
      <c r="D64" s="33" t="s">
        <v>456</v>
      </c>
      <c r="E64" s="67" t="s">
        <v>85</v>
      </c>
    </row>
    <row r="65" spans="1:5" ht="18.75" x14ac:dyDescent="0.3">
      <c r="A65" s="3">
        <v>21</v>
      </c>
      <c r="B65" s="178" t="s">
        <v>78</v>
      </c>
      <c r="C65" s="178"/>
      <c r="D65" s="33" t="s">
        <v>82</v>
      </c>
      <c r="E65" s="67" t="s">
        <v>71</v>
      </c>
    </row>
    <row r="66" spans="1:5" ht="18.75" x14ac:dyDescent="0.3">
      <c r="A66" s="33"/>
      <c r="B66" s="179" t="s">
        <v>32</v>
      </c>
      <c r="C66" s="179"/>
      <c r="D66" s="7">
        <v>21</v>
      </c>
      <c r="E66" s="7"/>
    </row>
    <row r="67" spans="1:5" ht="18.75" x14ac:dyDescent="0.3">
      <c r="A67" s="33"/>
      <c r="B67" s="217"/>
      <c r="C67" s="217"/>
      <c r="D67" s="33"/>
      <c r="E67" s="33"/>
    </row>
    <row r="68" spans="1:5" ht="18.75" x14ac:dyDescent="0.3">
      <c r="A68" s="33"/>
      <c r="B68" s="179" t="s">
        <v>457</v>
      </c>
      <c r="C68" s="179"/>
      <c r="D68" s="7"/>
      <c r="E68" s="7"/>
    </row>
    <row r="69" spans="1:5" ht="18.75" x14ac:dyDescent="0.3">
      <c r="A69" s="3">
        <v>1</v>
      </c>
      <c r="B69" s="178" t="s">
        <v>186</v>
      </c>
      <c r="C69" s="178"/>
      <c r="D69" s="62" t="s">
        <v>187</v>
      </c>
      <c r="E69" s="67" t="s">
        <v>41</v>
      </c>
    </row>
    <row r="70" spans="1:5" ht="18.75" x14ac:dyDescent="0.3">
      <c r="A70" s="3">
        <v>2</v>
      </c>
      <c r="B70" s="178" t="s">
        <v>164</v>
      </c>
      <c r="C70" s="178"/>
      <c r="D70" s="62" t="s">
        <v>458</v>
      </c>
      <c r="E70" s="67" t="s">
        <v>51</v>
      </c>
    </row>
    <row r="71" spans="1:5" ht="18.75" x14ac:dyDescent="0.3">
      <c r="A71" s="3">
        <v>3</v>
      </c>
      <c r="B71" s="178" t="s">
        <v>188</v>
      </c>
      <c r="C71" s="178"/>
      <c r="D71" s="62" t="s">
        <v>459</v>
      </c>
      <c r="E71" s="67" t="s">
        <v>51</v>
      </c>
    </row>
    <row r="72" spans="1:5" ht="18.75" x14ac:dyDescent="0.3">
      <c r="A72" s="3">
        <v>4</v>
      </c>
      <c r="B72" s="178" t="s">
        <v>166</v>
      </c>
      <c r="C72" s="178"/>
      <c r="D72" s="62" t="s">
        <v>460</v>
      </c>
      <c r="E72" s="67" t="s">
        <v>44</v>
      </c>
    </row>
    <row r="73" spans="1:5" ht="18.75" x14ac:dyDescent="0.3">
      <c r="A73" s="3">
        <v>5</v>
      </c>
      <c r="B73" s="195" t="s">
        <v>190</v>
      </c>
      <c r="C73" s="195"/>
      <c r="D73" s="62" t="s">
        <v>461</v>
      </c>
      <c r="E73" s="67" t="s">
        <v>44</v>
      </c>
    </row>
    <row r="74" spans="1:5" ht="18.75" x14ac:dyDescent="0.3">
      <c r="A74" s="3">
        <v>6</v>
      </c>
      <c r="B74" s="220" t="s">
        <v>192</v>
      </c>
      <c r="C74" s="220"/>
      <c r="D74" s="20" t="s">
        <v>193</v>
      </c>
      <c r="E74" s="25" t="s">
        <v>138</v>
      </c>
    </row>
    <row r="75" spans="1:5" ht="18.75" x14ac:dyDescent="0.3">
      <c r="A75" s="3">
        <v>7</v>
      </c>
      <c r="B75" s="178" t="s">
        <v>168</v>
      </c>
      <c r="C75" s="178"/>
      <c r="D75" s="62" t="s">
        <v>175</v>
      </c>
      <c r="E75" s="67" t="s">
        <v>62</v>
      </c>
    </row>
    <row r="76" spans="1:5" ht="18.75" x14ac:dyDescent="0.3">
      <c r="A76" s="3">
        <v>8</v>
      </c>
      <c r="B76" s="178" t="s">
        <v>462</v>
      </c>
      <c r="C76" s="178"/>
      <c r="D76" s="62" t="s">
        <v>463</v>
      </c>
      <c r="E76" s="67" t="s">
        <v>110</v>
      </c>
    </row>
    <row r="77" spans="1:5" ht="18.75" x14ac:dyDescent="0.3">
      <c r="A77" s="3">
        <v>9</v>
      </c>
      <c r="B77" s="178" t="s">
        <v>170</v>
      </c>
      <c r="C77" s="178"/>
      <c r="D77" s="62" t="s">
        <v>464</v>
      </c>
      <c r="E77" s="67" t="s">
        <v>110</v>
      </c>
    </row>
    <row r="78" spans="1:5" ht="18.75" x14ac:dyDescent="0.3">
      <c r="A78" s="3">
        <v>10</v>
      </c>
      <c r="B78" s="194" t="s">
        <v>172</v>
      </c>
      <c r="C78" s="194"/>
      <c r="D78" s="33" t="s">
        <v>465</v>
      </c>
      <c r="E78" s="67" t="s">
        <v>110</v>
      </c>
    </row>
    <row r="79" spans="1:5" ht="18.75" x14ac:dyDescent="0.3">
      <c r="A79" s="3">
        <v>11</v>
      </c>
      <c r="B79" s="178" t="s">
        <v>126</v>
      </c>
      <c r="C79" s="178"/>
      <c r="D79" s="62" t="s">
        <v>466</v>
      </c>
      <c r="E79" s="67" t="s">
        <v>68</v>
      </c>
    </row>
    <row r="80" spans="1:5" ht="18.75" x14ac:dyDescent="0.3">
      <c r="A80" s="3">
        <v>12</v>
      </c>
      <c r="B80" s="178" t="s">
        <v>196</v>
      </c>
      <c r="C80" s="178"/>
      <c r="D80" s="62" t="s">
        <v>466</v>
      </c>
      <c r="E80" s="67" t="s">
        <v>68</v>
      </c>
    </row>
    <row r="81" spans="1:5" ht="18.75" x14ac:dyDescent="0.3">
      <c r="A81" s="3">
        <v>13</v>
      </c>
      <c r="B81" s="195" t="s">
        <v>174</v>
      </c>
      <c r="C81" s="195"/>
      <c r="D81" s="62" t="s">
        <v>467</v>
      </c>
      <c r="E81" s="67" t="s">
        <v>68</v>
      </c>
    </row>
    <row r="82" spans="1:5" ht="18.75" x14ac:dyDescent="0.3">
      <c r="A82" s="3">
        <v>14</v>
      </c>
      <c r="B82" s="178" t="s">
        <v>176</v>
      </c>
      <c r="C82" s="178"/>
      <c r="D82" s="62" t="s">
        <v>467</v>
      </c>
      <c r="E82" s="67" t="s">
        <v>68</v>
      </c>
    </row>
    <row r="83" spans="1:5" ht="18.75" x14ac:dyDescent="0.3">
      <c r="A83" s="3">
        <v>15</v>
      </c>
      <c r="B83" s="178" t="s">
        <v>178</v>
      </c>
      <c r="C83" s="178"/>
      <c r="D83" s="62" t="s">
        <v>467</v>
      </c>
      <c r="E83" s="67" t="s">
        <v>68</v>
      </c>
    </row>
    <row r="84" spans="1:5" ht="18.75" x14ac:dyDescent="0.3">
      <c r="A84" s="3">
        <v>16</v>
      </c>
      <c r="B84" s="178" t="s">
        <v>197</v>
      </c>
      <c r="C84" s="178"/>
      <c r="D84" s="62" t="s">
        <v>468</v>
      </c>
      <c r="E84" s="67" t="s">
        <v>71</v>
      </c>
    </row>
    <row r="85" spans="1:5" ht="18.75" x14ac:dyDescent="0.3">
      <c r="A85" s="3">
        <v>17</v>
      </c>
      <c r="B85" s="178" t="s">
        <v>201</v>
      </c>
      <c r="C85" s="178"/>
      <c r="D85" s="62" t="s">
        <v>469</v>
      </c>
      <c r="E85" s="67" t="s">
        <v>71</v>
      </c>
    </row>
    <row r="86" spans="1:5" ht="18.75" x14ac:dyDescent="0.3">
      <c r="A86" s="3">
        <v>18</v>
      </c>
      <c r="B86" s="178" t="s">
        <v>199</v>
      </c>
      <c r="C86" s="178"/>
      <c r="D86" s="33" t="s">
        <v>469</v>
      </c>
      <c r="E86" s="67" t="s">
        <v>71</v>
      </c>
    </row>
    <row r="87" spans="1:5" ht="18.75" x14ac:dyDescent="0.3">
      <c r="A87" s="3">
        <v>19</v>
      </c>
      <c r="B87" s="178" t="s">
        <v>202</v>
      </c>
      <c r="C87" s="178"/>
      <c r="D87" s="62" t="s">
        <v>221</v>
      </c>
      <c r="E87" s="67" t="s">
        <v>68</v>
      </c>
    </row>
    <row r="88" spans="1:5" ht="18.75" x14ac:dyDescent="0.3">
      <c r="A88" s="3">
        <v>20</v>
      </c>
      <c r="B88" s="178" t="s">
        <v>203</v>
      </c>
      <c r="C88" s="178"/>
      <c r="D88" s="33" t="s">
        <v>127</v>
      </c>
      <c r="E88" s="67" t="s">
        <v>85</v>
      </c>
    </row>
    <row r="89" spans="1:5" ht="18.75" x14ac:dyDescent="0.3">
      <c r="A89" s="3">
        <v>21</v>
      </c>
      <c r="B89" s="178" t="s">
        <v>206</v>
      </c>
      <c r="C89" s="178"/>
      <c r="D89" s="62" t="s">
        <v>297</v>
      </c>
      <c r="E89" s="67" t="s">
        <v>181</v>
      </c>
    </row>
    <row r="90" spans="1:5" ht="18.75" x14ac:dyDescent="0.3">
      <c r="A90" s="3">
        <v>22</v>
      </c>
      <c r="B90" s="178" t="s">
        <v>208</v>
      </c>
      <c r="C90" s="178"/>
      <c r="D90" s="62" t="s">
        <v>209</v>
      </c>
      <c r="E90" s="67" t="s">
        <v>295</v>
      </c>
    </row>
    <row r="91" spans="1:5" ht="18.75" x14ac:dyDescent="0.3">
      <c r="A91" s="3">
        <v>23</v>
      </c>
      <c r="B91" s="178" t="s">
        <v>211</v>
      </c>
      <c r="C91" s="178"/>
      <c r="D91" s="62" t="s">
        <v>209</v>
      </c>
      <c r="E91" s="67" t="s">
        <v>295</v>
      </c>
    </row>
    <row r="92" spans="1:5" ht="18.75" x14ac:dyDescent="0.3">
      <c r="A92" s="3">
        <v>24</v>
      </c>
      <c r="B92" s="178" t="s">
        <v>212</v>
      </c>
      <c r="C92" s="178"/>
      <c r="D92" s="62" t="s">
        <v>209</v>
      </c>
      <c r="E92" s="67" t="s">
        <v>295</v>
      </c>
    </row>
    <row r="93" spans="1:5" ht="18.75" x14ac:dyDescent="0.3">
      <c r="A93" s="3">
        <v>25</v>
      </c>
      <c r="B93" s="178" t="s">
        <v>220</v>
      </c>
      <c r="C93" s="178"/>
      <c r="D93" s="62" t="s">
        <v>221</v>
      </c>
      <c r="E93" s="67" t="s">
        <v>68</v>
      </c>
    </row>
    <row r="94" spans="1:5" ht="18.75" x14ac:dyDescent="0.3">
      <c r="A94" s="3">
        <v>26</v>
      </c>
      <c r="B94" s="178" t="s">
        <v>222</v>
      </c>
      <c r="C94" s="178"/>
      <c r="D94" s="62" t="s">
        <v>209</v>
      </c>
      <c r="E94" s="67"/>
    </row>
    <row r="95" spans="1:5" ht="18.75" x14ac:dyDescent="0.3">
      <c r="A95" s="3">
        <v>27</v>
      </c>
      <c r="B95" s="178" t="s">
        <v>225</v>
      </c>
      <c r="C95" s="178"/>
      <c r="D95" s="62" t="s">
        <v>235</v>
      </c>
      <c r="E95" s="67" t="s">
        <v>236</v>
      </c>
    </row>
    <row r="96" spans="1:5" ht="18.75" x14ac:dyDescent="0.3">
      <c r="A96" s="3">
        <v>28</v>
      </c>
      <c r="B96" s="178" t="s">
        <v>228</v>
      </c>
      <c r="C96" s="178"/>
      <c r="D96" s="62" t="s">
        <v>235</v>
      </c>
      <c r="E96" s="67" t="s">
        <v>236</v>
      </c>
    </row>
    <row r="97" spans="1:5" ht="18.75" x14ac:dyDescent="0.3">
      <c r="A97" s="3">
        <v>29</v>
      </c>
      <c r="B97" s="178" t="s">
        <v>229</v>
      </c>
      <c r="C97" s="178"/>
      <c r="D97" s="62" t="s">
        <v>235</v>
      </c>
      <c r="E97" s="67" t="s">
        <v>236</v>
      </c>
    </row>
    <row r="98" spans="1:5" ht="18.75" x14ac:dyDescent="0.3">
      <c r="A98" s="3">
        <v>30</v>
      </c>
      <c r="B98" s="178" t="s">
        <v>230</v>
      </c>
      <c r="C98" s="178"/>
      <c r="D98" s="62" t="s">
        <v>235</v>
      </c>
      <c r="E98" s="67" t="s">
        <v>236</v>
      </c>
    </row>
    <row r="99" spans="1:5" ht="18.75" x14ac:dyDescent="0.3">
      <c r="A99" s="3">
        <v>31</v>
      </c>
      <c r="B99" s="178" t="s">
        <v>470</v>
      </c>
      <c r="C99" s="178"/>
      <c r="D99" s="62" t="s">
        <v>235</v>
      </c>
      <c r="E99" s="67" t="s">
        <v>236</v>
      </c>
    </row>
    <row r="100" spans="1:5" ht="18.75" x14ac:dyDescent="0.3">
      <c r="A100" s="3">
        <v>32</v>
      </c>
      <c r="B100" s="178" t="s">
        <v>231</v>
      </c>
      <c r="C100" s="178"/>
      <c r="D100" s="62" t="s">
        <v>235</v>
      </c>
      <c r="E100" s="67" t="s">
        <v>236</v>
      </c>
    </row>
    <row r="101" spans="1:5" ht="18.75" x14ac:dyDescent="0.3">
      <c r="A101" s="3">
        <v>33</v>
      </c>
      <c r="B101" s="178" t="s">
        <v>232</v>
      </c>
      <c r="C101" s="178"/>
      <c r="D101" s="62" t="s">
        <v>235</v>
      </c>
      <c r="E101" s="67" t="s">
        <v>236</v>
      </c>
    </row>
    <row r="102" spans="1:5" ht="18.75" x14ac:dyDescent="0.3">
      <c r="A102" s="3">
        <v>34</v>
      </c>
      <c r="B102" s="178" t="s">
        <v>233</v>
      </c>
      <c r="C102" s="178"/>
      <c r="D102" s="62" t="s">
        <v>235</v>
      </c>
      <c r="E102" s="67" t="s">
        <v>236</v>
      </c>
    </row>
    <row r="103" spans="1:5" ht="18.75" x14ac:dyDescent="0.3">
      <c r="A103" s="3">
        <v>35</v>
      </c>
      <c r="B103" s="178" t="s">
        <v>234</v>
      </c>
      <c r="C103" s="178"/>
      <c r="D103" s="62" t="s">
        <v>251</v>
      </c>
      <c r="E103" s="67" t="s">
        <v>247</v>
      </c>
    </row>
    <row r="104" spans="1:5" ht="18.75" x14ac:dyDescent="0.3">
      <c r="A104" s="3">
        <v>36</v>
      </c>
      <c r="B104" s="178" t="s">
        <v>237</v>
      </c>
      <c r="C104" s="178"/>
      <c r="D104" s="62" t="s">
        <v>251</v>
      </c>
      <c r="E104" s="67" t="s">
        <v>247</v>
      </c>
    </row>
    <row r="105" spans="1:5" ht="18.75" x14ac:dyDescent="0.3">
      <c r="A105" s="3">
        <v>37</v>
      </c>
      <c r="B105" s="178" t="s">
        <v>238</v>
      </c>
      <c r="C105" s="178"/>
      <c r="D105" s="62" t="s">
        <v>251</v>
      </c>
      <c r="E105" s="67" t="s">
        <v>247</v>
      </c>
    </row>
    <row r="106" spans="1:5" ht="18.75" x14ac:dyDescent="0.3">
      <c r="A106" s="3">
        <v>38</v>
      </c>
      <c r="B106" s="33" t="s">
        <v>239</v>
      </c>
      <c r="C106" s="33"/>
      <c r="D106" s="62" t="s">
        <v>251</v>
      </c>
      <c r="E106" s="67" t="s">
        <v>247</v>
      </c>
    </row>
    <row r="107" spans="1:5" ht="18.75" x14ac:dyDescent="0.3">
      <c r="A107" s="3">
        <v>39</v>
      </c>
      <c r="B107" s="178" t="s">
        <v>240</v>
      </c>
      <c r="C107" s="178"/>
      <c r="D107" s="62" t="s">
        <v>251</v>
      </c>
      <c r="E107" s="67" t="s">
        <v>247</v>
      </c>
    </row>
    <row r="108" spans="1:5" ht="18.75" x14ac:dyDescent="0.3">
      <c r="A108" s="3">
        <v>40</v>
      </c>
      <c r="B108" s="62" t="s">
        <v>241</v>
      </c>
      <c r="C108" s="33"/>
      <c r="D108" s="62" t="s">
        <v>251</v>
      </c>
      <c r="E108" s="67" t="s">
        <v>247</v>
      </c>
    </row>
    <row r="109" spans="1:5" ht="18.75" x14ac:dyDescent="0.3">
      <c r="A109" s="3">
        <v>41</v>
      </c>
      <c r="B109" s="62" t="s">
        <v>242</v>
      </c>
      <c r="C109" s="33"/>
      <c r="D109" s="62" t="s">
        <v>251</v>
      </c>
      <c r="E109" s="67" t="s">
        <v>247</v>
      </c>
    </row>
    <row r="110" spans="1:5" ht="18.75" x14ac:dyDescent="0.3">
      <c r="A110" s="3">
        <v>42</v>
      </c>
      <c r="B110" s="62" t="s">
        <v>246</v>
      </c>
      <c r="C110" s="33"/>
      <c r="D110" s="62" t="s">
        <v>251</v>
      </c>
      <c r="E110" s="67" t="s">
        <v>471</v>
      </c>
    </row>
    <row r="111" spans="1:5" ht="18.75" x14ac:dyDescent="0.3">
      <c r="A111" s="3">
        <v>43</v>
      </c>
      <c r="B111" s="178" t="s">
        <v>248</v>
      </c>
      <c r="C111" s="178"/>
      <c r="D111" s="62" t="s">
        <v>251</v>
      </c>
      <c r="E111" s="67" t="s">
        <v>301</v>
      </c>
    </row>
    <row r="112" spans="1:5" ht="18.75" x14ac:dyDescent="0.3">
      <c r="A112" s="3">
        <v>44</v>
      </c>
      <c r="B112" s="178" t="s">
        <v>250</v>
      </c>
      <c r="C112" s="178"/>
      <c r="D112" s="62" t="s">
        <v>251</v>
      </c>
      <c r="E112" s="67" t="s">
        <v>301</v>
      </c>
    </row>
    <row r="113" spans="1:5" ht="18.75" x14ac:dyDescent="0.3">
      <c r="A113" s="3">
        <v>45</v>
      </c>
      <c r="B113" s="178" t="s">
        <v>253</v>
      </c>
      <c r="C113" s="178"/>
      <c r="D113" s="62" t="s">
        <v>251</v>
      </c>
      <c r="E113" s="67" t="s">
        <v>301</v>
      </c>
    </row>
    <row r="114" spans="1:5" ht="18.75" x14ac:dyDescent="0.3">
      <c r="A114" s="3">
        <v>46</v>
      </c>
      <c r="B114" s="178" t="s">
        <v>254</v>
      </c>
      <c r="C114" s="178"/>
      <c r="D114" s="62" t="s">
        <v>251</v>
      </c>
      <c r="E114" s="67" t="s">
        <v>301</v>
      </c>
    </row>
    <row r="115" spans="1:5" ht="18.75" x14ac:dyDescent="0.3">
      <c r="A115" s="3">
        <v>47</v>
      </c>
      <c r="B115" s="178" t="s">
        <v>255</v>
      </c>
      <c r="C115" s="178"/>
      <c r="D115" s="62" t="s">
        <v>251</v>
      </c>
      <c r="E115" s="67" t="s">
        <v>301</v>
      </c>
    </row>
    <row r="116" spans="1:5" ht="18.75" x14ac:dyDescent="0.3">
      <c r="A116" s="3">
        <v>48</v>
      </c>
      <c r="B116" s="178" t="s">
        <v>256</v>
      </c>
      <c r="C116" s="178"/>
      <c r="D116" s="62" t="s">
        <v>251</v>
      </c>
      <c r="E116" s="67" t="s">
        <v>301</v>
      </c>
    </row>
    <row r="117" spans="1:5" ht="18.75" x14ac:dyDescent="0.3">
      <c r="A117" s="3">
        <v>49</v>
      </c>
      <c r="B117" s="178" t="s">
        <v>257</v>
      </c>
      <c r="C117" s="178"/>
      <c r="D117" s="62" t="s">
        <v>251</v>
      </c>
      <c r="E117" s="67" t="s">
        <v>301</v>
      </c>
    </row>
    <row r="118" spans="1:5" ht="18.75" x14ac:dyDescent="0.3">
      <c r="A118" s="3"/>
      <c r="B118" s="49" t="s">
        <v>32</v>
      </c>
      <c r="C118" s="33"/>
      <c r="D118" s="50" t="s">
        <v>324</v>
      </c>
      <c r="E118" s="37"/>
    </row>
    <row r="119" spans="1:5" ht="18.75" x14ac:dyDescent="0.3">
      <c r="A119" s="33"/>
      <c r="B119" s="201" t="s">
        <v>263</v>
      </c>
      <c r="C119" s="201"/>
      <c r="D119" s="79">
        <f>D14+D27+D31+D38+D42+D66+D118</f>
        <v>97</v>
      </c>
      <c r="E119" s="41"/>
    </row>
    <row r="120" spans="1:5" ht="18.75" x14ac:dyDescent="0.3">
      <c r="A120" s="33"/>
      <c r="B120" s="196"/>
      <c r="C120" s="196"/>
      <c r="D120" s="47"/>
      <c r="E120" s="73"/>
    </row>
  </sheetData>
  <mergeCells count="114">
    <mergeCell ref="B1:C1"/>
    <mergeCell ref="B2:C2"/>
    <mergeCell ref="B3:C3"/>
    <mergeCell ref="B4:C4"/>
    <mergeCell ref="B5:C5"/>
    <mergeCell ref="B12:C12"/>
    <mergeCell ref="B13:C13"/>
    <mergeCell ref="B15:C15"/>
    <mergeCell ref="B16:C16"/>
    <mergeCell ref="B18:C18"/>
    <mergeCell ref="B17:C17"/>
    <mergeCell ref="B14:C14"/>
    <mergeCell ref="B6:C6"/>
    <mergeCell ref="B7:C7"/>
    <mergeCell ref="B8:C8"/>
    <mergeCell ref="B9:C9"/>
    <mergeCell ref="B10:C10"/>
    <mergeCell ref="B11:C11"/>
    <mergeCell ref="B26:C26"/>
    <mergeCell ref="B27:C27"/>
    <mergeCell ref="B29:C29"/>
    <mergeCell ref="B30:C30"/>
    <mergeCell ref="B21:C21"/>
    <mergeCell ref="B31:C31"/>
    <mergeCell ref="B19:C19"/>
    <mergeCell ref="B20:C20"/>
    <mergeCell ref="B22:C22"/>
    <mergeCell ref="B23:C23"/>
    <mergeCell ref="B24:C24"/>
    <mergeCell ref="B25:C25"/>
    <mergeCell ref="B40:C40"/>
    <mergeCell ref="B41:C41"/>
    <mergeCell ref="B42:C42"/>
    <mergeCell ref="B43:C43"/>
    <mergeCell ref="B44:C44"/>
    <mergeCell ref="B45:C45"/>
    <mergeCell ref="B33:C33"/>
    <mergeCell ref="B35:C35"/>
    <mergeCell ref="B34:C34"/>
    <mergeCell ref="B37:C37"/>
    <mergeCell ref="B38:C38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64:C64"/>
    <mergeCell ref="B65:C65"/>
    <mergeCell ref="B66:C66"/>
    <mergeCell ref="B68:C68"/>
    <mergeCell ref="B69:C69"/>
    <mergeCell ref="B70:C70"/>
    <mergeCell ref="B58:C58"/>
    <mergeCell ref="B59:C59"/>
    <mergeCell ref="B60:C60"/>
    <mergeCell ref="B61:C61"/>
    <mergeCell ref="B62:C62"/>
    <mergeCell ref="B63:C63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117:C117"/>
    <mergeCell ref="B119:C119"/>
    <mergeCell ref="B120:C120"/>
    <mergeCell ref="B28:C28"/>
    <mergeCell ref="B32:C32"/>
    <mergeCell ref="B67:C67"/>
    <mergeCell ref="B39:C39"/>
    <mergeCell ref="B111:C111"/>
    <mergeCell ref="B112:C112"/>
    <mergeCell ref="B113:C113"/>
    <mergeCell ref="B114:C114"/>
    <mergeCell ref="B115:C115"/>
    <mergeCell ref="B116:C116"/>
    <mergeCell ref="B101:C101"/>
    <mergeCell ref="B102:C102"/>
    <mergeCell ref="B103:C103"/>
    <mergeCell ref="B104:C104"/>
    <mergeCell ref="B105:C105"/>
    <mergeCell ref="B107:C107"/>
    <mergeCell ref="B95:C95"/>
    <mergeCell ref="B96:C96"/>
    <mergeCell ref="B97:C97"/>
    <mergeCell ref="B98:C98"/>
    <mergeCell ref="B99:C99"/>
  </mergeCells>
  <pageMargins left="0.7" right="0.45" top="0.75" bottom="0.75" header="0.3" footer="0.3"/>
  <pageSetup scale="9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workbookViewId="0">
      <selection activeCell="E12" sqref="E12"/>
    </sheetView>
  </sheetViews>
  <sheetFormatPr defaultRowHeight="12.75" x14ac:dyDescent="0.2"/>
  <cols>
    <col min="3" max="3" width="11.28515625" customWidth="1"/>
    <col min="4" max="4" width="19" customWidth="1"/>
    <col min="5" max="5" width="19.140625" customWidth="1"/>
  </cols>
  <sheetData>
    <row r="1" spans="1:6" ht="18.75" x14ac:dyDescent="0.3">
      <c r="A1" s="215" t="s">
        <v>472</v>
      </c>
      <c r="B1" s="215"/>
      <c r="C1" s="215"/>
      <c r="D1" s="215"/>
      <c r="E1" s="215"/>
      <c r="F1" s="215"/>
    </row>
    <row r="2" spans="1:6" ht="18.75" x14ac:dyDescent="0.3">
      <c r="A2" s="214" t="s">
        <v>473</v>
      </c>
      <c r="B2" s="214"/>
      <c r="C2" s="214"/>
      <c r="D2" s="214"/>
      <c r="E2" s="214"/>
      <c r="F2" s="214"/>
    </row>
    <row r="3" spans="1:6" ht="18.75" x14ac:dyDescent="0.3">
      <c r="A3" s="194"/>
      <c r="B3" s="194"/>
      <c r="C3" s="194"/>
      <c r="D3" s="3" t="s">
        <v>420</v>
      </c>
      <c r="E3" s="3" t="s">
        <v>421</v>
      </c>
      <c r="F3" s="11"/>
    </row>
    <row r="4" spans="1:6" ht="18.75" x14ac:dyDescent="0.3">
      <c r="A4" s="194" t="s">
        <v>422</v>
      </c>
      <c r="B4" s="194"/>
      <c r="C4" s="194"/>
      <c r="D4" s="12">
        <f>E4*12</f>
        <v>402090</v>
      </c>
      <c r="E4" s="12">
        <f>'JANURAY, 2021'!E11</f>
        <v>33507.5</v>
      </c>
      <c r="F4" s="1"/>
    </row>
    <row r="5" spans="1:6" ht="18.75" x14ac:dyDescent="0.3">
      <c r="A5" s="194" t="s">
        <v>423</v>
      </c>
      <c r="B5" s="194"/>
      <c r="C5" s="194"/>
      <c r="D5" s="12">
        <f t="shared" ref="D5:D14" si="0">E5*12</f>
        <v>1206270</v>
      </c>
      <c r="E5" s="12">
        <f>'JANURAY, 2021'!G11</f>
        <v>100522.5</v>
      </c>
      <c r="F5" s="1"/>
    </row>
    <row r="6" spans="1:6" ht="18.75" x14ac:dyDescent="0.3">
      <c r="A6" s="194" t="s">
        <v>424</v>
      </c>
      <c r="B6" s="194"/>
      <c r="C6" s="194"/>
      <c r="D6" s="12">
        <f t="shared" si="0"/>
        <v>30156.75</v>
      </c>
      <c r="E6" s="12">
        <f>'JANURAY, 2021'!H11</f>
        <v>2513.0625</v>
      </c>
      <c r="F6" s="1"/>
    </row>
    <row r="7" spans="1:6" ht="18.75" x14ac:dyDescent="0.3">
      <c r="A7" s="194" t="s">
        <v>425</v>
      </c>
      <c r="B7" s="194"/>
      <c r="C7" s="194"/>
      <c r="D7" s="12">
        <f t="shared" si="0"/>
        <v>481466.28</v>
      </c>
      <c r="E7" s="12">
        <f>'JANURAY, 2021'!I11</f>
        <v>40122.19</v>
      </c>
      <c r="F7" s="1"/>
    </row>
    <row r="8" spans="1:6" ht="18.75" x14ac:dyDescent="0.3">
      <c r="A8" s="194" t="s">
        <v>426</v>
      </c>
      <c r="B8" s="194"/>
      <c r="C8" s="194"/>
      <c r="D8" s="12">
        <f t="shared" si="0"/>
        <v>201045</v>
      </c>
      <c r="E8" s="12">
        <f>'JANURAY, 2021'!J11</f>
        <v>16753.75</v>
      </c>
      <c r="F8" s="1"/>
    </row>
    <row r="9" spans="1:6" ht="18.75" x14ac:dyDescent="0.3">
      <c r="A9" s="194" t="s">
        <v>427</v>
      </c>
      <c r="B9" s="194"/>
      <c r="C9" s="194"/>
      <c r="D9" s="12">
        <f t="shared" si="0"/>
        <v>1407315</v>
      </c>
      <c r="E9" s="12">
        <f>'JANURAY, 2021'!K11</f>
        <v>117276.25</v>
      </c>
      <c r="F9" s="1"/>
    </row>
    <row r="10" spans="1:6" ht="18.75" x14ac:dyDescent="0.3">
      <c r="A10" s="194" t="s">
        <v>429</v>
      </c>
      <c r="B10" s="194"/>
      <c r="C10" s="194"/>
      <c r="D10" s="12">
        <f t="shared" si="0"/>
        <v>402090</v>
      </c>
      <c r="E10" s="12">
        <f>'JANURAY, 2021'!L11</f>
        <v>33507.5</v>
      </c>
      <c r="F10" s="1"/>
    </row>
    <row r="11" spans="1:6" ht="18.75" x14ac:dyDescent="0.3">
      <c r="A11" s="171" t="s">
        <v>428</v>
      </c>
      <c r="B11" s="212"/>
      <c r="C11" s="172"/>
      <c r="D11" s="12">
        <f t="shared" si="0"/>
        <v>0</v>
      </c>
      <c r="E11" s="12">
        <v>0</v>
      </c>
      <c r="F11" s="1"/>
    </row>
    <row r="12" spans="1:6" ht="18.75" x14ac:dyDescent="0.3">
      <c r="A12" s="194" t="s">
        <v>430</v>
      </c>
      <c r="B12" s="194"/>
      <c r="C12" s="194"/>
      <c r="D12" s="12">
        <f t="shared" si="0"/>
        <v>40209</v>
      </c>
      <c r="E12" s="12">
        <f>'JANURAY, 2021'!O11</f>
        <v>3350.75</v>
      </c>
      <c r="F12" s="1"/>
    </row>
    <row r="13" spans="1:6" ht="18.75" x14ac:dyDescent="0.3">
      <c r="A13" s="194" t="s">
        <v>431</v>
      </c>
      <c r="B13" s="194"/>
      <c r="C13" s="194"/>
      <c r="D13" s="12">
        <f t="shared" si="0"/>
        <v>240000</v>
      </c>
      <c r="E13" s="12">
        <v>20000</v>
      </c>
      <c r="F13" s="1"/>
    </row>
    <row r="14" spans="1:6" ht="18.75" x14ac:dyDescent="0.3">
      <c r="A14" s="175" t="s">
        <v>432</v>
      </c>
      <c r="B14" s="175"/>
      <c r="C14" s="175"/>
      <c r="D14" s="13">
        <f t="shared" si="0"/>
        <v>4410642.03</v>
      </c>
      <c r="E14" s="13">
        <f>SUM(E4:E13)</f>
        <v>367553.5025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workbookViewId="0">
      <selection activeCell="A2" sqref="A2:F2"/>
    </sheetView>
  </sheetViews>
  <sheetFormatPr defaultRowHeight="12.75" x14ac:dyDescent="0.2"/>
  <cols>
    <col min="3" max="3" width="11.140625" customWidth="1"/>
    <col min="4" max="4" width="19.28515625" customWidth="1"/>
    <col min="5" max="5" width="19.140625" customWidth="1"/>
  </cols>
  <sheetData>
    <row r="1" spans="1:6" ht="18.75" x14ac:dyDescent="0.3">
      <c r="A1" s="215" t="s">
        <v>474</v>
      </c>
      <c r="B1" s="215"/>
      <c r="C1" s="215"/>
      <c r="D1" s="215"/>
      <c r="E1" s="215"/>
      <c r="F1" s="215"/>
    </row>
    <row r="2" spans="1:6" ht="18.75" x14ac:dyDescent="0.3">
      <c r="A2" s="214" t="s">
        <v>475</v>
      </c>
      <c r="B2" s="214"/>
      <c r="C2" s="214"/>
      <c r="D2" s="214"/>
      <c r="E2" s="214"/>
      <c r="F2" s="214"/>
    </row>
    <row r="3" spans="1:6" ht="18.75" x14ac:dyDescent="0.3">
      <c r="A3" s="194"/>
      <c r="B3" s="194"/>
      <c r="C3" s="194"/>
      <c r="D3" s="3" t="s">
        <v>420</v>
      </c>
      <c r="E3" s="3" t="s">
        <v>421</v>
      </c>
      <c r="F3" s="11"/>
    </row>
    <row r="4" spans="1:6" ht="18.75" x14ac:dyDescent="0.3">
      <c r="A4" s="194" t="s">
        <v>422</v>
      </c>
      <c r="B4" s="194"/>
      <c r="C4" s="194"/>
      <c r="D4" s="12">
        <f>E4*12</f>
        <v>306281.40000000002</v>
      </c>
      <c r="E4" s="12">
        <f>'JANURAY, 2021'!E16</f>
        <v>25523.45</v>
      </c>
      <c r="F4" s="1"/>
    </row>
    <row r="5" spans="1:6" ht="18.75" x14ac:dyDescent="0.3">
      <c r="A5" s="194" t="s">
        <v>423</v>
      </c>
      <c r="B5" s="194"/>
      <c r="C5" s="194"/>
      <c r="D5" s="12">
        <f t="shared" ref="D5:D14" si="0">E5*12</f>
        <v>918844.20000000007</v>
      </c>
      <c r="E5" s="12">
        <f>'JANURAY, 2021'!G16</f>
        <v>76570.350000000006</v>
      </c>
      <c r="F5" s="1"/>
    </row>
    <row r="6" spans="1:6" ht="18.75" x14ac:dyDescent="0.3">
      <c r="A6" s="194" t="s">
        <v>424</v>
      </c>
      <c r="B6" s="194"/>
      <c r="C6" s="194"/>
      <c r="D6" s="12">
        <f t="shared" si="0"/>
        <v>22971.105</v>
      </c>
      <c r="E6" s="12">
        <f>'JANURAY, 2021'!H16</f>
        <v>1914.25875</v>
      </c>
      <c r="F6" s="1"/>
    </row>
    <row r="7" spans="1:6" ht="18.75" x14ac:dyDescent="0.3">
      <c r="A7" s="194" t="s">
        <v>425</v>
      </c>
      <c r="B7" s="194"/>
      <c r="C7" s="194"/>
      <c r="D7" s="12">
        <f t="shared" si="0"/>
        <v>0</v>
      </c>
      <c r="E7" s="12">
        <f>SUMMARY!J6</f>
        <v>0</v>
      </c>
      <c r="F7" s="1"/>
    </row>
    <row r="8" spans="1:6" ht="18.75" x14ac:dyDescent="0.3">
      <c r="A8" s="194" t="s">
        <v>426</v>
      </c>
      <c r="B8" s="194"/>
      <c r="C8" s="194"/>
      <c r="D8" s="12" t="e">
        <f t="shared" si="0"/>
        <v>#REF!</v>
      </c>
      <c r="E8" s="12" t="e">
        <f>'JANURAY, 2021'!#REF!</f>
        <v>#REF!</v>
      </c>
      <c r="F8" s="1"/>
    </row>
    <row r="9" spans="1:6" ht="18.75" x14ac:dyDescent="0.3">
      <c r="A9" s="194" t="s">
        <v>427</v>
      </c>
      <c r="B9" s="194"/>
      <c r="C9" s="194"/>
      <c r="D9" s="12">
        <f t="shared" si="0"/>
        <v>1071984.8999999999</v>
      </c>
      <c r="E9" s="12">
        <f>'JANURAY, 2021'!K16</f>
        <v>89332.074999999997</v>
      </c>
      <c r="F9" s="1"/>
    </row>
    <row r="10" spans="1:6" ht="18.75" x14ac:dyDescent="0.3">
      <c r="A10" s="194" t="s">
        <v>429</v>
      </c>
      <c r="B10" s="194"/>
      <c r="C10" s="194"/>
      <c r="D10" s="12">
        <f t="shared" si="0"/>
        <v>306281.40000000002</v>
      </c>
      <c r="E10" s="12">
        <f>'JANURAY, 2021'!L16</f>
        <v>25523.45</v>
      </c>
      <c r="F10" s="1"/>
    </row>
    <row r="11" spans="1:6" ht="18.75" x14ac:dyDescent="0.3">
      <c r="A11" s="171" t="s">
        <v>428</v>
      </c>
      <c r="B11" s="212"/>
      <c r="C11" s="172"/>
      <c r="D11" s="12">
        <f t="shared" si="0"/>
        <v>0</v>
      </c>
      <c r="E11" s="12">
        <v>0</v>
      </c>
      <c r="F11" s="1"/>
    </row>
    <row r="12" spans="1:6" ht="18.75" x14ac:dyDescent="0.3">
      <c r="A12" s="194" t="s">
        <v>430</v>
      </c>
      <c r="B12" s="194"/>
      <c r="C12" s="194"/>
      <c r="D12" s="12">
        <f t="shared" si="0"/>
        <v>30628.140000000003</v>
      </c>
      <c r="E12" s="12">
        <f>'JANURAY, 2021'!O16</f>
        <v>2552.3450000000003</v>
      </c>
      <c r="F12" s="1"/>
    </row>
    <row r="13" spans="1:6" ht="18.75" x14ac:dyDescent="0.3">
      <c r="A13" s="194" t="s">
        <v>431</v>
      </c>
      <c r="B13" s="194"/>
      <c r="C13" s="194"/>
      <c r="D13" s="12">
        <f t="shared" si="0"/>
        <v>180000</v>
      </c>
      <c r="E13" s="12">
        <f>'JANURAY, 2021'!P16</f>
        <v>15000</v>
      </c>
      <c r="F13" s="1"/>
    </row>
    <row r="14" spans="1:6" ht="18.75" x14ac:dyDescent="0.3">
      <c r="A14" s="175" t="s">
        <v>432</v>
      </c>
      <c r="B14" s="175"/>
      <c r="C14" s="175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workbookViewId="0">
      <selection sqref="A1:F1"/>
    </sheetView>
  </sheetViews>
  <sheetFormatPr defaultRowHeight="12.75" x14ac:dyDescent="0.2"/>
  <cols>
    <col min="3" max="3" width="11.140625" customWidth="1"/>
    <col min="4" max="4" width="19.28515625" customWidth="1"/>
    <col min="5" max="5" width="18.7109375" customWidth="1"/>
  </cols>
  <sheetData>
    <row r="1" spans="1:6" ht="18.75" x14ac:dyDescent="0.3">
      <c r="A1" s="215"/>
      <c r="B1" s="215"/>
      <c r="C1" s="215"/>
      <c r="D1" s="215"/>
      <c r="E1" s="215"/>
      <c r="F1" s="215"/>
    </row>
    <row r="2" spans="1:6" ht="18.75" x14ac:dyDescent="0.3">
      <c r="A2" s="214"/>
      <c r="B2" s="214"/>
      <c r="C2" s="214"/>
      <c r="D2" s="214"/>
      <c r="E2" s="214"/>
      <c r="F2" s="214"/>
    </row>
    <row r="3" spans="1:6" ht="18.75" x14ac:dyDescent="0.3">
      <c r="A3" s="194"/>
      <c r="B3" s="194"/>
      <c r="C3" s="194"/>
      <c r="D3" s="3" t="s">
        <v>420</v>
      </c>
      <c r="E3" s="3" t="s">
        <v>421</v>
      </c>
      <c r="F3" s="11"/>
    </row>
    <row r="4" spans="1:6" ht="18.75" x14ac:dyDescent="0.3">
      <c r="A4" s="194" t="s">
        <v>422</v>
      </c>
      <c r="B4" s="194"/>
      <c r="C4" s="194"/>
      <c r="D4" s="12">
        <f>E4*12</f>
        <v>255527.52</v>
      </c>
      <c r="E4" s="12">
        <f>SUMMARY!F7</f>
        <v>21293.96</v>
      </c>
      <c r="F4" s="1"/>
    </row>
    <row r="5" spans="1:6" ht="18.75" x14ac:dyDescent="0.3">
      <c r="A5" s="194" t="s">
        <v>423</v>
      </c>
      <c r="B5" s="194"/>
      <c r="C5" s="194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 x14ac:dyDescent="0.3">
      <c r="A6" s="194" t="s">
        <v>424</v>
      </c>
      <c r="B6" s="194"/>
      <c r="C6" s="194"/>
      <c r="D6" s="12">
        <f t="shared" si="0"/>
        <v>19164.563999999998</v>
      </c>
      <c r="E6" s="12">
        <f>SUMMARY!I7</f>
        <v>1597.0469999999998</v>
      </c>
      <c r="F6" s="1"/>
    </row>
    <row r="7" spans="1:6" ht="18.75" x14ac:dyDescent="0.3">
      <c r="A7" s="194" t="s">
        <v>425</v>
      </c>
      <c r="B7" s="194"/>
      <c r="C7" s="194"/>
      <c r="D7" s="12">
        <f t="shared" si="0"/>
        <v>0</v>
      </c>
      <c r="E7" s="12">
        <f>SUMMARY!J6</f>
        <v>0</v>
      </c>
      <c r="F7" s="1"/>
    </row>
    <row r="8" spans="1:6" ht="18.75" x14ac:dyDescent="0.3">
      <c r="A8" s="194" t="s">
        <v>426</v>
      </c>
      <c r="B8" s="194"/>
      <c r="C8" s="194"/>
      <c r="D8" s="12">
        <f t="shared" si="0"/>
        <v>127763.76</v>
      </c>
      <c r="E8" s="12">
        <f>SUMMARY!K7</f>
        <v>10646.98</v>
      </c>
      <c r="F8" s="1"/>
    </row>
    <row r="9" spans="1:6" ht="18.75" x14ac:dyDescent="0.3">
      <c r="A9" s="194" t="s">
        <v>427</v>
      </c>
      <c r="B9" s="194"/>
      <c r="C9" s="194"/>
      <c r="D9" s="12">
        <f t="shared" si="0"/>
        <v>894346.32000000007</v>
      </c>
      <c r="E9" s="12">
        <f>SUMMARY!L7</f>
        <v>74528.86</v>
      </c>
      <c r="F9" s="1"/>
    </row>
    <row r="10" spans="1:6" ht="18.75" x14ac:dyDescent="0.3">
      <c r="A10" s="194" t="s">
        <v>429</v>
      </c>
      <c r="B10" s="194"/>
      <c r="C10" s="194"/>
      <c r="D10" s="12">
        <f t="shared" si="0"/>
        <v>255527.52</v>
      </c>
      <c r="E10" s="12">
        <f>SUMMARY!N7</f>
        <v>21293.96</v>
      </c>
      <c r="F10" s="1"/>
    </row>
    <row r="11" spans="1:6" ht="18.75" x14ac:dyDescent="0.3">
      <c r="A11" s="194" t="s">
        <v>430</v>
      </c>
      <c r="B11" s="194"/>
      <c r="C11" s="194"/>
      <c r="D11" s="12">
        <f t="shared" si="0"/>
        <v>25552.752</v>
      </c>
      <c r="E11" s="12">
        <f>SUMMARY!O7</f>
        <v>2129.3960000000002</v>
      </c>
      <c r="F11" s="1"/>
    </row>
    <row r="12" spans="1:6" ht="18.75" x14ac:dyDescent="0.3">
      <c r="A12" s="194" t="s">
        <v>431</v>
      </c>
      <c r="B12" s="194"/>
      <c r="C12" s="194"/>
      <c r="D12" s="12">
        <f t="shared" si="0"/>
        <v>120000</v>
      </c>
      <c r="E12" s="12">
        <f>SUMMARY!P7</f>
        <v>10000</v>
      </c>
      <c r="F12" s="1"/>
    </row>
    <row r="13" spans="1:6" ht="18.75" x14ac:dyDescent="0.3">
      <c r="A13" s="175" t="s">
        <v>432</v>
      </c>
      <c r="B13" s="175"/>
      <c r="C13" s="175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4"/>
  <sheetViews>
    <sheetView workbookViewId="0">
      <selection activeCell="D34" sqref="D34"/>
    </sheetView>
  </sheetViews>
  <sheetFormatPr defaultRowHeight="12.75" x14ac:dyDescent="0.2"/>
  <cols>
    <col min="3" max="3" width="11.7109375" customWidth="1"/>
    <col min="4" max="4" width="19.42578125" customWidth="1"/>
    <col min="5" max="5" width="18.85546875" customWidth="1"/>
  </cols>
  <sheetData>
    <row r="1" spans="1:6" ht="18.75" x14ac:dyDescent="0.3">
      <c r="A1" s="215" t="s">
        <v>476</v>
      </c>
      <c r="B1" s="215"/>
      <c r="C1" s="215"/>
      <c r="D1" s="215"/>
      <c r="E1" s="215"/>
      <c r="F1" s="215"/>
    </row>
    <row r="2" spans="1:6" ht="18.75" x14ac:dyDescent="0.3">
      <c r="A2" s="214" t="s">
        <v>477</v>
      </c>
      <c r="B2" s="214"/>
      <c r="C2" s="214"/>
      <c r="D2" s="214"/>
      <c r="E2" s="214"/>
      <c r="F2" s="214"/>
    </row>
    <row r="3" spans="1:6" ht="18.75" x14ac:dyDescent="0.3">
      <c r="A3" s="194"/>
      <c r="B3" s="194"/>
      <c r="C3" s="194"/>
      <c r="D3" s="3" t="s">
        <v>420</v>
      </c>
      <c r="E3" s="3" t="s">
        <v>421</v>
      </c>
      <c r="F3" s="11"/>
    </row>
    <row r="4" spans="1:6" ht="18.75" x14ac:dyDescent="0.3">
      <c r="A4" s="194" t="s">
        <v>422</v>
      </c>
      <c r="B4" s="194"/>
      <c r="C4" s="194"/>
      <c r="D4" s="12">
        <f>E4*12</f>
        <v>207435.96000000002</v>
      </c>
      <c r="E4" s="12">
        <f>SUMMARY!F8</f>
        <v>17286.330000000002</v>
      </c>
      <c r="F4" s="1"/>
    </row>
    <row r="5" spans="1:6" ht="18.75" x14ac:dyDescent="0.3">
      <c r="A5" s="194" t="s">
        <v>423</v>
      </c>
      <c r="B5" s="194"/>
      <c r="C5" s="194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 x14ac:dyDescent="0.3">
      <c r="A6" s="194" t="s">
        <v>424</v>
      </c>
      <c r="B6" s="194"/>
      <c r="C6" s="194"/>
      <c r="D6" s="12">
        <f t="shared" si="0"/>
        <v>15557.697</v>
      </c>
      <c r="E6" s="12">
        <f>SUMMARY!I8</f>
        <v>1296.4747500000001</v>
      </c>
      <c r="F6" s="1"/>
    </row>
    <row r="7" spans="1:6" ht="18.75" x14ac:dyDescent="0.3">
      <c r="A7" s="194" t="s">
        <v>425</v>
      </c>
      <c r="B7" s="194"/>
      <c r="C7" s="194"/>
      <c r="D7" s="12">
        <f t="shared" si="0"/>
        <v>0</v>
      </c>
      <c r="E7" s="12">
        <f>SUMMARY!J6</f>
        <v>0</v>
      </c>
      <c r="F7" s="1"/>
    </row>
    <row r="8" spans="1:6" ht="18.75" x14ac:dyDescent="0.3">
      <c r="A8" s="194" t="s">
        <v>426</v>
      </c>
      <c r="B8" s="194"/>
      <c r="C8" s="194"/>
      <c r="D8" s="12">
        <f t="shared" si="0"/>
        <v>103717.98000000001</v>
      </c>
      <c r="E8" s="12">
        <f>SUMMARY!K8</f>
        <v>8643.1650000000009</v>
      </c>
      <c r="F8" s="1"/>
    </row>
    <row r="9" spans="1:6" ht="18.75" x14ac:dyDescent="0.3">
      <c r="A9" s="194" t="s">
        <v>427</v>
      </c>
      <c r="B9" s="194"/>
      <c r="C9" s="194"/>
      <c r="D9" s="12">
        <f t="shared" si="0"/>
        <v>726025.8600000001</v>
      </c>
      <c r="E9" s="12">
        <f>SUMMARY!L8</f>
        <v>60502.155000000006</v>
      </c>
      <c r="F9" s="1"/>
    </row>
    <row r="10" spans="1:6" ht="18.75" x14ac:dyDescent="0.3">
      <c r="A10" s="194" t="s">
        <v>429</v>
      </c>
      <c r="B10" s="194"/>
      <c r="C10" s="194"/>
      <c r="D10" s="12">
        <f t="shared" si="0"/>
        <v>207435.96000000002</v>
      </c>
      <c r="E10" s="12">
        <f>SUMMARY!N8</f>
        <v>17286.330000000002</v>
      </c>
      <c r="F10" s="1"/>
    </row>
    <row r="11" spans="1:6" ht="18.75" x14ac:dyDescent="0.3">
      <c r="A11" s="171" t="s">
        <v>428</v>
      </c>
      <c r="B11" s="212"/>
      <c r="C11" s="172"/>
      <c r="D11" s="12">
        <f t="shared" si="0"/>
        <v>480000</v>
      </c>
      <c r="E11" s="12">
        <v>40000</v>
      </c>
      <c r="F11" s="1"/>
    </row>
    <row r="12" spans="1:6" ht="18.75" x14ac:dyDescent="0.3">
      <c r="A12" s="194" t="s">
        <v>430</v>
      </c>
      <c r="B12" s="194"/>
      <c r="C12" s="194"/>
      <c r="D12" s="12">
        <f t="shared" si="0"/>
        <v>20743.596000000005</v>
      </c>
      <c r="E12" s="12">
        <f>SUMMARY!O8</f>
        <v>1728.6330000000003</v>
      </c>
      <c r="F12" s="1"/>
    </row>
    <row r="13" spans="1:6" ht="18.75" x14ac:dyDescent="0.3">
      <c r="A13" s="194" t="s">
        <v>431</v>
      </c>
      <c r="B13" s="194"/>
      <c r="C13" s="194"/>
      <c r="D13" s="12">
        <f t="shared" si="0"/>
        <v>120000</v>
      </c>
      <c r="E13" s="12">
        <f>SUMMARY!P7</f>
        <v>10000</v>
      </c>
      <c r="F13" s="1"/>
    </row>
    <row r="14" spans="1:6" ht="18.75" x14ac:dyDescent="0.3">
      <c r="A14" s="175" t="s">
        <v>432</v>
      </c>
      <c r="B14" s="175"/>
      <c r="C14" s="175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4"/>
  <sheetViews>
    <sheetView workbookViewId="0">
      <selection activeCell="I11" sqref="I11"/>
    </sheetView>
  </sheetViews>
  <sheetFormatPr defaultRowHeight="12.75" x14ac:dyDescent="0.2"/>
  <cols>
    <col min="3" max="3" width="11.140625" customWidth="1"/>
    <col min="4" max="4" width="19" customWidth="1"/>
    <col min="5" max="5" width="18.85546875" customWidth="1"/>
  </cols>
  <sheetData>
    <row r="1" spans="1:6" ht="18.75" x14ac:dyDescent="0.3">
      <c r="A1" s="215" t="s">
        <v>478</v>
      </c>
      <c r="B1" s="215"/>
      <c r="C1" s="215"/>
      <c r="D1" s="215"/>
      <c r="E1" s="215"/>
      <c r="F1" s="215"/>
    </row>
    <row r="2" spans="1:6" ht="18.75" x14ac:dyDescent="0.3">
      <c r="A2" s="214" t="s">
        <v>479</v>
      </c>
      <c r="B2" s="214"/>
      <c r="C2" s="214"/>
      <c r="D2" s="214"/>
      <c r="E2" s="214"/>
      <c r="F2" s="214"/>
    </row>
    <row r="3" spans="1:6" ht="18.75" x14ac:dyDescent="0.3">
      <c r="A3" s="194"/>
      <c r="B3" s="194"/>
      <c r="C3" s="194"/>
      <c r="D3" s="3" t="s">
        <v>420</v>
      </c>
      <c r="E3" s="3" t="s">
        <v>421</v>
      </c>
      <c r="F3" s="11"/>
    </row>
    <row r="4" spans="1:6" ht="18.75" x14ac:dyDescent="0.3">
      <c r="A4" s="194" t="s">
        <v>422</v>
      </c>
      <c r="B4" s="194"/>
      <c r="C4" s="194"/>
      <c r="D4" s="12">
        <f>E4*12</f>
        <v>176833.68</v>
      </c>
      <c r="E4" s="12">
        <f>SUMMARY!F9</f>
        <v>14736.14</v>
      </c>
      <c r="F4" s="1"/>
    </row>
    <row r="5" spans="1:6" ht="18.75" x14ac:dyDescent="0.3">
      <c r="A5" s="194" t="s">
        <v>423</v>
      </c>
      <c r="B5" s="194"/>
      <c r="C5" s="194"/>
      <c r="D5" s="12">
        <f t="shared" ref="D5:D14" si="0">E5*12</f>
        <v>530501.04</v>
      </c>
      <c r="E5" s="12">
        <f>SUMMARY!H9</f>
        <v>44208.42</v>
      </c>
      <c r="F5" s="1"/>
    </row>
    <row r="6" spans="1:6" ht="18.75" x14ac:dyDescent="0.3">
      <c r="A6" s="194" t="s">
        <v>424</v>
      </c>
      <c r="B6" s="194"/>
      <c r="C6" s="194"/>
      <c r="D6" s="12">
        <f t="shared" si="0"/>
        <v>13262.525999999998</v>
      </c>
      <c r="E6" s="12">
        <f>SUMMARY!I9</f>
        <v>1105.2104999999999</v>
      </c>
      <c r="F6" s="1"/>
    </row>
    <row r="7" spans="1:6" ht="18.75" x14ac:dyDescent="0.3">
      <c r="A7" s="194" t="s">
        <v>425</v>
      </c>
      <c r="B7" s="194"/>
      <c r="C7" s="194"/>
      <c r="D7" s="12">
        <f t="shared" si="0"/>
        <v>0</v>
      </c>
      <c r="E7" s="12">
        <f>SUMMARY!J6</f>
        <v>0</v>
      </c>
      <c r="F7" s="1"/>
    </row>
    <row r="8" spans="1:6" ht="18.75" x14ac:dyDescent="0.3">
      <c r="A8" s="194" t="s">
        <v>426</v>
      </c>
      <c r="B8" s="194"/>
      <c r="C8" s="194"/>
      <c r="D8" s="12">
        <f t="shared" si="0"/>
        <v>88416.84</v>
      </c>
      <c r="E8" s="12">
        <f>SUMMARY!K9</f>
        <v>7368.07</v>
      </c>
      <c r="F8" s="1"/>
    </row>
    <row r="9" spans="1:6" ht="18.75" x14ac:dyDescent="0.3">
      <c r="A9" s="194" t="s">
        <v>427</v>
      </c>
      <c r="B9" s="194"/>
      <c r="C9" s="194"/>
      <c r="D9" s="12">
        <f t="shared" si="0"/>
        <v>618917.88</v>
      </c>
      <c r="E9" s="12">
        <f>SUMMARY!L9</f>
        <v>51576.49</v>
      </c>
      <c r="F9" s="1"/>
    </row>
    <row r="10" spans="1:6" ht="18.75" x14ac:dyDescent="0.3">
      <c r="A10" s="194" t="s">
        <v>429</v>
      </c>
      <c r="B10" s="194"/>
      <c r="C10" s="194"/>
      <c r="D10" s="12">
        <f t="shared" si="0"/>
        <v>176833.68</v>
      </c>
      <c r="E10" s="12">
        <f>SUMMARY!N9</f>
        <v>14736.14</v>
      </c>
      <c r="F10" s="1"/>
    </row>
    <row r="11" spans="1:6" ht="18.75" x14ac:dyDescent="0.3">
      <c r="A11" s="171" t="s">
        <v>480</v>
      </c>
      <c r="B11" s="212"/>
      <c r="C11" s="172"/>
      <c r="D11" s="12">
        <f t="shared" si="0"/>
        <v>480000</v>
      </c>
      <c r="E11" s="12">
        <v>40000</v>
      </c>
      <c r="F11" s="1"/>
    </row>
    <row r="12" spans="1:6" ht="18.75" x14ac:dyDescent="0.3">
      <c r="A12" s="194" t="s">
        <v>430</v>
      </c>
      <c r="B12" s="194"/>
      <c r="C12" s="194"/>
      <c r="D12" s="12">
        <f t="shared" si="0"/>
        <v>17683.368000000002</v>
      </c>
      <c r="E12" s="12">
        <f>SUMMARY!O9</f>
        <v>1473.614</v>
      </c>
      <c r="F12" s="1"/>
    </row>
    <row r="13" spans="1:6" ht="18.75" x14ac:dyDescent="0.3">
      <c r="A13" s="194" t="s">
        <v>431</v>
      </c>
      <c r="B13" s="194"/>
      <c r="C13" s="194"/>
      <c r="D13" s="12">
        <f t="shared" si="0"/>
        <v>120000</v>
      </c>
      <c r="E13" s="12">
        <f>SUMMARY!P7</f>
        <v>10000</v>
      </c>
      <c r="F13" s="1"/>
    </row>
    <row r="14" spans="1:6" ht="18.75" x14ac:dyDescent="0.3">
      <c r="A14" s="175" t="s">
        <v>432</v>
      </c>
      <c r="B14" s="175"/>
      <c r="C14" s="175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2"/>
  <sheetViews>
    <sheetView workbookViewId="0">
      <selection activeCell="O5" sqref="O5"/>
    </sheetView>
  </sheetViews>
  <sheetFormatPr defaultRowHeight="12.75" x14ac:dyDescent="0.2"/>
  <cols>
    <col min="3" max="3" width="11.42578125" customWidth="1"/>
    <col min="4" max="4" width="22.140625" customWidth="1"/>
    <col min="5" max="5" width="22.28515625" customWidth="1"/>
  </cols>
  <sheetData>
    <row r="1" spans="1:6" ht="18.75" x14ac:dyDescent="0.3">
      <c r="A1" s="215" t="s">
        <v>481</v>
      </c>
      <c r="B1" s="215"/>
      <c r="C1" s="215"/>
      <c r="D1" s="215"/>
      <c r="E1" s="215"/>
      <c r="F1" s="215"/>
    </row>
    <row r="2" spans="1:6" ht="18.75" x14ac:dyDescent="0.3">
      <c r="A2" s="214"/>
      <c r="B2" s="214"/>
      <c r="C2" s="214"/>
      <c r="D2" s="214"/>
      <c r="E2" s="214"/>
      <c r="F2" s="214"/>
    </row>
    <row r="3" spans="1:6" ht="18.75" x14ac:dyDescent="0.3">
      <c r="A3" s="194"/>
      <c r="B3" s="194"/>
      <c r="C3" s="194"/>
      <c r="D3" s="3" t="s">
        <v>420</v>
      </c>
      <c r="E3" s="3" t="s">
        <v>421</v>
      </c>
      <c r="F3" s="11"/>
    </row>
    <row r="4" spans="1:6" ht="18.75" x14ac:dyDescent="0.3">
      <c r="A4" s="194" t="s">
        <v>422</v>
      </c>
      <c r="B4" s="194"/>
      <c r="C4" s="194"/>
      <c r="D4" s="12">
        <f>E4*12</f>
        <v>286693.44</v>
      </c>
      <c r="E4" s="12">
        <f>'JANURAY, 2021'!E26</f>
        <v>23891.119999999999</v>
      </c>
      <c r="F4" s="1"/>
    </row>
    <row r="5" spans="1:6" ht="18.75" x14ac:dyDescent="0.3">
      <c r="A5" s="194" t="s">
        <v>423</v>
      </c>
      <c r="B5" s="194"/>
      <c r="C5" s="194"/>
      <c r="D5" s="12" t="e">
        <f t="shared" ref="D5:D12" si="0">E5*12</f>
        <v>#REF!</v>
      </c>
      <c r="E5" s="12" t="e">
        <f>'JANURAY, 2021'!#REF!</f>
        <v>#REF!</v>
      </c>
      <c r="F5" s="1"/>
    </row>
    <row r="6" spans="1:6" ht="18.75" x14ac:dyDescent="0.3">
      <c r="A6" s="194" t="s">
        <v>424</v>
      </c>
      <c r="B6" s="194"/>
      <c r="C6" s="194"/>
      <c r="D6" s="12" t="e">
        <f t="shared" si="0"/>
        <v>#REF!</v>
      </c>
      <c r="E6" s="12" t="e">
        <f>'JANURAY, 2021'!#REF!</f>
        <v>#REF!</v>
      </c>
      <c r="F6" s="1"/>
    </row>
    <row r="7" spans="1:6" ht="18.75" x14ac:dyDescent="0.3">
      <c r="A7" s="194" t="s">
        <v>426</v>
      </c>
      <c r="B7" s="194"/>
      <c r="C7" s="194"/>
      <c r="D7" s="12">
        <f t="shared" si="0"/>
        <v>148447.56</v>
      </c>
      <c r="E7" s="12">
        <f>'JANURAY, 2021'!J99</f>
        <v>12370.63</v>
      </c>
      <c r="F7" s="1"/>
    </row>
    <row r="8" spans="1:6" ht="18.75" x14ac:dyDescent="0.3">
      <c r="A8" s="194" t="s">
        <v>427</v>
      </c>
      <c r="B8" s="194"/>
      <c r="C8" s="194"/>
      <c r="D8" s="12" t="e">
        <f t="shared" si="0"/>
        <v>#REF!</v>
      </c>
      <c r="E8" s="12" t="e">
        <f>'JANURAY, 2021'!#REF!</f>
        <v>#REF!</v>
      </c>
      <c r="F8" s="1"/>
    </row>
    <row r="9" spans="1:6" ht="18.75" x14ac:dyDescent="0.3">
      <c r="A9" s="194" t="s">
        <v>429</v>
      </c>
      <c r="B9" s="194"/>
      <c r="C9" s="194"/>
      <c r="D9" s="12">
        <f t="shared" si="0"/>
        <v>296895.12</v>
      </c>
      <c r="E9" s="12">
        <f>'JANURAY, 2021'!L99</f>
        <v>24741.26</v>
      </c>
      <c r="F9" s="1"/>
    </row>
    <row r="10" spans="1:6" ht="18.75" x14ac:dyDescent="0.3">
      <c r="A10" s="194" t="s">
        <v>430</v>
      </c>
      <c r="B10" s="194"/>
      <c r="C10" s="194"/>
      <c r="D10" s="12" t="e">
        <f t="shared" si="0"/>
        <v>#REF!</v>
      </c>
      <c r="E10" s="12" t="e">
        <f>'JANURAY, 2021'!#REF!</f>
        <v>#REF!</v>
      </c>
      <c r="F10" s="1"/>
    </row>
    <row r="11" spans="1:6" ht="18.75" x14ac:dyDescent="0.3">
      <c r="A11" s="194" t="s">
        <v>431</v>
      </c>
      <c r="B11" s="194"/>
      <c r="C11" s="194"/>
      <c r="D11" s="12">
        <f t="shared" si="0"/>
        <v>180000</v>
      </c>
      <c r="E11" s="12">
        <f>'JANURAY, 2021'!P99</f>
        <v>15000</v>
      </c>
      <c r="F11" s="1"/>
    </row>
    <row r="12" spans="1:6" ht="18.75" x14ac:dyDescent="0.3">
      <c r="A12" s="175" t="s">
        <v>432</v>
      </c>
      <c r="B12" s="175"/>
      <c r="C12" s="175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10"/>
  <sheetViews>
    <sheetView workbookViewId="0">
      <selection activeCell="F21" sqref="F21"/>
    </sheetView>
  </sheetViews>
  <sheetFormatPr defaultRowHeight="12.75" x14ac:dyDescent="0.2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 x14ac:dyDescent="0.3">
      <c r="F1" s="2" t="s">
        <v>7</v>
      </c>
      <c r="G1" s="2" t="s">
        <v>482</v>
      </c>
      <c r="H1" s="2"/>
      <c r="I1" s="2"/>
      <c r="J1" s="2"/>
      <c r="K1" s="2"/>
      <c r="L1" s="2"/>
      <c r="M1" s="2" t="s">
        <v>483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7"/>
      <c r="U1" s="6" t="s">
        <v>484</v>
      </c>
      <c r="V1" s="5" t="s">
        <v>485</v>
      </c>
    </row>
    <row r="2" spans="1:22" ht="18.75" x14ac:dyDescent="0.3">
      <c r="F2" s="2" t="s">
        <v>17</v>
      </c>
      <c r="G2" s="2" t="s">
        <v>486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487</v>
      </c>
      <c r="N2" s="2" t="s">
        <v>24</v>
      </c>
      <c r="O2" s="2" t="s">
        <v>25</v>
      </c>
      <c r="P2" s="2" t="s">
        <v>26</v>
      </c>
      <c r="Q2" s="2" t="s">
        <v>26</v>
      </c>
      <c r="R2" s="2" t="s">
        <v>27</v>
      </c>
      <c r="S2" s="2" t="s">
        <v>17</v>
      </c>
      <c r="T2" s="2" t="s">
        <v>31</v>
      </c>
      <c r="U2" s="6"/>
      <c r="V2" s="5"/>
    </row>
    <row r="3" spans="1:22" ht="18.75" x14ac:dyDescent="0.3">
      <c r="A3" s="224" t="s">
        <v>488</v>
      </c>
      <c r="B3" s="225"/>
      <c r="C3" s="226"/>
      <c r="D3" s="14"/>
      <c r="E3" s="14" t="s">
        <v>489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 x14ac:dyDescent="0.3">
      <c r="A4" s="224" t="s">
        <v>490</v>
      </c>
      <c r="B4" s="225"/>
      <c r="C4" s="226"/>
      <c r="D4" s="14"/>
      <c r="E4" s="14" t="s">
        <v>491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 x14ac:dyDescent="0.3">
      <c r="A5" s="227" t="s">
        <v>101</v>
      </c>
      <c r="B5" s="228"/>
      <c r="C5" s="229"/>
      <c r="D5" s="16"/>
      <c r="E5" s="19" t="s">
        <v>272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 x14ac:dyDescent="0.3">
      <c r="A6" s="224" t="s">
        <v>112</v>
      </c>
      <c r="B6" s="225"/>
      <c r="C6" s="226"/>
      <c r="D6" s="14"/>
      <c r="E6" s="14" t="s">
        <v>492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 x14ac:dyDescent="0.3">
      <c r="A7" s="224" t="s">
        <v>493</v>
      </c>
      <c r="B7" s="225"/>
      <c r="C7" s="226"/>
      <c r="D7" s="14"/>
      <c r="E7" s="14" t="s">
        <v>494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 x14ac:dyDescent="0.3">
      <c r="A8" s="224" t="s">
        <v>124</v>
      </c>
      <c r="B8" s="225"/>
      <c r="C8" s="226"/>
      <c r="D8" s="14"/>
      <c r="E8" s="14" t="s">
        <v>495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 x14ac:dyDescent="0.3">
      <c r="A9" s="224" t="s">
        <v>496</v>
      </c>
      <c r="B9" s="225"/>
      <c r="C9" s="226"/>
      <c r="D9" s="14"/>
      <c r="E9" s="14" t="s">
        <v>497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 x14ac:dyDescent="0.3">
      <c r="A10" s="224"/>
      <c r="B10" s="225"/>
      <c r="C10" s="226"/>
      <c r="D10" s="14"/>
      <c r="E10" s="14" t="s">
        <v>498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4"/>
  <sheetViews>
    <sheetView workbookViewId="0">
      <selection activeCell="H20" sqref="H20"/>
    </sheetView>
  </sheetViews>
  <sheetFormatPr defaultRowHeight="12.75" x14ac:dyDescent="0.2"/>
  <cols>
    <col min="3" max="3" width="15.28515625" customWidth="1"/>
    <col min="4" max="4" width="18.7109375" customWidth="1"/>
    <col min="5" max="5" width="18.85546875" customWidth="1"/>
  </cols>
  <sheetData>
    <row r="1" spans="1:6" ht="18.75" x14ac:dyDescent="0.3">
      <c r="A1" s="215" t="s">
        <v>499</v>
      </c>
      <c r="B1" s="215"/>
      <c r="C1" s="215"/>
      <c r="D1" s="215"/>
      <c r="E1" s="215"/>
      <c r="F1" s="215"/>
    </row>
    <row r="2" spans="1:6" ht="18.75" x14ac:dyDescent="0.3">
      <c r="A2" s="214" t="s">
        <v>500</v>
      </c>
      <c r="B2" s="214"/>
      <c r="C2" s="214"/>
      <c r="D2" s="214"/>
      <c r="E2" s="214"/>
      <c r="F2" s="214"/>
    </row>
    <row r="3" spans="1:6" ht="18.75" x14ac:dyDescent="0.3">
      <c r="A3" s="194"/>
      <c r="B3" s="194"/>
      <c r="C3" s="194"/>
      <c r="D3" s="3" t="s">
        <v>420</v>
      </c>
      <c r="E3" s="3" t="s">
        <v>421</v>
      </c>
      <c r="F3" s="11"/>
    </row>
    <row r="4" spans="1:6" ht="18.75" x14ac:dyDescent="0.3">
      <c r="A4" s="194" t="s">
        <v>422</v>
      </c>
      <c r="B4" s="194"/>
      <c r="C4" s="194"/>
      <c r="D4" s="12">
        <f>E4*12</f>
        <v>299709.72000000003</v>
      </c>
      <c r="E4" s="12">
        <f>SUMMARY!F5</f>
        <v>24975.81</v>
      </c>
      <c r="F4" s="1"/>
    </row>
    <row r="5" spans="1:6" ht="18.75" x14ac:dyDescent="0.3">
      <c r="A5" s="194" t="s">
        <v>423</v>
      </c>
      <c r="B5" s="194"/>
      <c r="C5" s="194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 x14ac:dyDescent="0.3">
      <c r="A6" s="194" t="s">
        <v>424</v>
      </c>
      <c r="B6" s="194"/>
      <c r="C6" s="194"/>
      <c r="D6" s="12">
        <f t="shared" si="0"/>
        <v>22478.228999999999</v>
      </c>
      <c r="E6" s="12">
        <f>SUMMARY!I5</f>
        <v>1873.1857500000001</v>
      </c>
      <c r="F6" s="1"/>
    </row>
    <row r="7" spans="1:6" ht="18.75" x14ac:dyDescent="0.3">
      <c r="A7" s="194" t="s">
        <v>425</v>
      </c>
      <c r="B7" s="194"/>
      <c r="C7" s="194"/>
      <c r="D7" s="12">
        <f t="shared" si="0"/>
        <v>0</v>
      </c>
      <c r="E7" s="12">
        <f>SUMMARY!J6</f>
        <v>0</v>
      </c>
      <c r="F7" s="1"/>
    </row>
    <row r="8" spans="1:6" ht="18.75" x14ac:dyDescent="0.3">
      <c r="A8" s="194" t="s">
        <v>426</v>
      </c>
      <c r="B8" s="194"/>
      <c r="C8" s="194"/>
      <c r="D8" s="12">
        <f t="shared" si="0"/>
        <v>149854.86000000002</v>
      </c>
      <c r="E8" s="12">
        <f>SUMMARY!K5</f>
        <v>12487.905000000001</v>
      </c>
      <c r="F8" s="1"/>
    </row>
    <row r="9" spans="1:6" ht="18.75" x14ac:dyDescent="0.3">
      <c r="A9" s="194" t="s">
        <v>427</v>
      </c>
      <c r="B9" s="194"/>
      <c r="C9" s="194"/>
      <c r="D9" s="12">
        <f t="shared" si="0"/>
        <v>1048984.02</v>
      </c>
      <c r="E9" s="12">
        <f>SUMMARY!L5</f>
        <v>87415.335000000006</v>
      </c>
      <c r="F9" s="1"/>
    </row>
    <row r="10" spans="1:6" ht="18.75" x14ac:dyDescent="0.3">
      <c r="A10" s="194" t="s">
        <v>429</v>
      </c>
      <c r="B10" s="194"/>
      <c r="C10" s="194"/>
      <c r="D10" s="12">
        <f t="shared" si="0"/>
        <v>299709.72000000003</v>
      </c>
      <c r="E10" s="12">
        <f>SUMMARY!N5</f>
        <v>24975.81</v>
      </c>
      <c r="F10" s="1"/>
    </row>
    <row r="11" spans="1:6" ht="18.75" x14ac:dyDescent="0.3">
      <c r="A11" s="171" t="s">
        <v>428</v>
      </c>
      <c r="B11" s="212"/>
      <c r="C11" s="172"/>
      <c r="D11" s="12">
        <f t="shared" si="0"/>
        <v>0</v>
      </c>
      <c r="E11" s="12">
        <v>0</v>
      </c>
      <c r="F11" s="1"/>
    </row>
    <row r="12" spans="1:6" ht="18.75" x14ac:dyDescent="0.3">
      <c r="A12" s="194" t="s">
        <v>430</v>
      </c>
      <c r="B12" s="194"/>
      <c r="C12" s="194"/>
      <c r="D12" s="12">
        <f t="shared" si="0"/>
        <v>29970.972000000002</v>
      </c>
      <c r="E12" s="12">
        <f>SUMMARY!P5</f>
        <v>2497.5810000000001</v>
      </c>
      <c r="F12" s="1"/>
    </row>
    <row r="13" spans="1:6" ht="18.75" x14ac:dyDescent="0.3">
      <c r="A13" s="194" t="s">
        <v>431</v>
      </c>
      <c r="B13" s="194"/>
      <c r="C13" s="194"/>
      <c r="D13" s="12">
        <f t="shared" si="0"/>
        <v>240000</v>
      </c>
      <c r="E13" s="12">
        <f>SUMMARY!Q5</f>
        <v>20000</v>
      </c>
      <c r="F13" s="1"/>
    </row>
    <row r="14" spans="1:6" ht="18.75" x14ac:dyDescent="0.3">
      <c r="A14" s="175" t="s">
        <v>432</v>
      </c>
      <c r="B14" s="175"/>
      <c r="C14" s="175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5"/>
  <sheetViews>
    <sheetView workbookViewId="0">
      <selection activeCell="H14" sqref="H14"/>
    </sheetView>
  </sheetViews>
  <sheetFormatPr defaultRowHeight="12.75" x14ac:dyDescent="0.2"/>
  <cols>
    <col min="1" max="1" width="32.140625" customWidth="1"/>
    <col min="2" max="2" width="22.42578125" customWidth="1"/>
    <col min="3" max="3" width="25" customWidth="1"/>
  </cols>
  <sheetData>
    <row r="1" spans="1:3" ht="18.75" x14ac:dyDescent="0.3">
      <c r="A1" s="214" t="s">
        <v>501</v>
      </c>
      <c r="B1" s="214"/>
      <c r="C1" s="214"/>
    </row>
    <row r="2" spans="1:3" ht="18.75" x14ac:dyDescent="0.3">
      <c r="A2" s="214" t="s">
        <v>473</v>
      </c>
      <c r="B2" s="214"/>
      <c r="C2" s="214"/>
    </row>
    <row r="3" spans="1:3" ht="18.75" x14ac:dyDescent="0.3">
      <c r="A3" s="21"/>
      <c r="B3" s="21" t="s">
        <v>420</v>
      </c>
      <c r="C3" s="21" t="s">
        <v>421</v>
      </c>
    </row>
    <row r="4" spans="1:3" ht="18.75" x14ac:dyDescent="0.3">
      <c r="A4" s="33" t="s">
        <v>422</v>
      </c>
      <c r="B4" s="27">
        <f>C4*12</f>
        <v>475947</v>
      </c>
      <c r="C4" s="27">
        <v>39662.25</v>
      </c>
    </row>
    <row r="5" spans="1:3" ht="18.75" x14ac:dyDescent="0.3">
      <c r="A5" s="33" t="s">
        <v>423</v>
      </c>
      <c r="B5" s="27">
        <f t="shared" ref="B5:B13" si="0">C5*12</f>
        <v>1427841</v>
      </c>
      <c r="C5" s="27">
        <v>118986.75</v>
      </c>
    </row>
    <row r="6" spans="1:3" ht="18.75" x14ac:dyDescent="0.3">
      <c r="A6" s="33" t="s">
        <v>424</v>
      </c>
      <c r="B6" s="27">
        <f t="shared" si="0"/>
        <v>35696.04</v>
      </c>
      <c r="C6" s="27">
        <v>2974.67</v>
      </c>
    </row>
    <row r="7" spans="1:3" ht="18.75" x14ac:dyDescent="0.3">
      <c r="A7" s="33" t="s">
        <v>425</v>
      </c>
      <c r="B7" s="27" t="e">
        <f t="shared" si="0"/>
        <v>#REF!</v>
      </c>
      <c r="C7" s="27" t="e">
        <f>'JANURAY, 2021'!#REF!</f>
        <v>#REF!</v>
      </c>
    </row>
    <row r="8" spans="1:3" ht="18.75" x14ac:dyDescent="0.3">
      <c r="A8" s="33" t="s">
        <v>426</v>
      </c>
      <c r="B8" s="27">
        <f t="shared" si="0"/>
        <v>237973.56</v>
      </c>
      <c r="C8" s="27">
        <v>19831.13</v>
      </c>
    </row>
    <row r="9" spans="1:3" ht="18.75" x14ac:dyDescent="0.3">
      <c r="A9" s="33" t="s">
        <v>427</v>
      </c>
      <c r="B9" s="27">
        <f t="shared" si="0"/>
        <v>1665814.56</v>
      </c>
      <c r="C9" s="27">
        <v>138817.88</v>
      </c>
    </row>
    <row r="10" spans="1:3" ht="18.75" x14ac:dyDescent="0.3">
      <c r="A10" s="33" t="s">
        <v>429</v>
      </c>
      <c r="B10" s="27">
        <f t="shared" si="0"/>
        <v>475947</v>
      </c>
      <c r="C10" s="27">
        <v>39662.25</v>
      </c>
    </row>
    <row r="11" spans="1:3" ht="18.75" x14ac:dyDescent="0.3">
      <c r="A11" s="33" t="s">
        <v>428</v>
      </c>
      <c r="B11" s="27">
        <f t="shared" si="0"/>
        <v>0</v>
      </c>
      <c r="C11" s="27">
        <v>0</v>
      </c>
    </row>
    <row r="12" spans="1:3" ht="18.75" x14ac:dyDescent="0.3">
      <c r="A12" s="33" t="s">
        <v>430</v>
      </c>
      <c r="B12" s="27">
        <f t="shared" si="0"/>
        <v>47594.76</v>
      </c>
      <c r="C12" s="27">
        <v>3966.23</v>
      </c>
    </row>
    <row r="13" spans="1:3" ht="18.75" x14ac:dyDescent="0.3">
      <c r="A13" s="33" t="s">
        <v>431</v>
      </c>
      <c r="B13" s="27" t="e">
        <f t="shared" si="0"/>
        <v>#REF!</v>
      </c>
      <c r="C13" s="27" t="e">
        <f>'JANURAY, 2021'!#REF!</f>
        <v>#REF!</v>
      </c>
    </row>
    <row r="14" spans="1:3" ht="18.75" x14ac:dyDescent="0.3">
      <c r="A14" s="21" t="s">
        <v>432</v>
      </c>
      <c r="B14" s="28" t="e">
        <f>SUM(B4:B13)</f>
        <v>#REF!</v>
      </c>
      <c r="C14" s="28" t="e">
        <f>SUM(C4:C13)</f>
        <v>#REF!</v>
      </c>
    </row>
    <row r="15" spans="1:3" ht="18.75" x14ac:dyDescent="0.3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D44"/>
  <sheetViews>
    <sheetView topLeftCell="A4" workbookViewId="0">
      <selection activeCell="A45" sqref="A45"/>
    </sheetView>
  </sheetViews>
  <sheetFormatPr defaultRowHeight="12.75" x14ac:dyDescent="0.2"/>
  <cols>
    <col min="1" max="1" width="4.5703125" customWidth="1"/>
    <col min="2" max="2" width="15.85546875" customWidth="1"/>
    <col min="3" max="3" width="15" customWidth="1"/>
    <col min="4" max="4" width="12.7109375" customWidth="1"/>
  </cols>
  <sheetData>
    <row r="2" spans="1:4" x14ac:dyDescent="0.2">
      <c r="A2" s="95"/>
      <c r="B2" s="95" t="s">
        <v>502</v>
      </c>
      <c r="C2" s="95"/>
      <c r="D2" s="95"/>
    </row>
    <row r="3" spans="1:4" x14ac:dyDescent="0.2">
      <c r="A3" s="95" t="s">
        <v>33</v>
      </c>
      <c r="B3" s="95" t="s">
        <v>503</v>
      </c>
      <c r="C3" s="95" t="s">
        <v>504</v>
      </c>
      <c r="D3" s="127" t="s">
        <v>35</v>
      </c>
    </row>
    <row r="4" spans="1:4" x14ac:dyDescent="0.2">
      <c r="A4">
        <v>1</v>
      </c>
      <c r="B4">
        <v>17</v>
      </c>
      <c r="C4">
        <v>9</v>
      </c>
      <c r="D4" s="97">
        <v>81740.02</v>
      </c>
    </row>
    <row r="5" spans="1:4" x14ac:dyDescent="0.2">
      <c r="A5">
        <v>2</v>
      </c>
      <c r="B5">
        <v>17</v>
      </c>
      <c r="C5">
        <v>8</v>
      </c>
      <c r="D5" s="97">
        <f>79039.64</f>
        <v>79039.64</v>
      </c>
    </row>
    <row r="6" spans="1:4" x14ac:dyDescent="0.2">
      <c r="A6">
        <v>3</v>
      </c>
      <c r="B6">
        <v>17</v>
      </c>
      <c r="C6">
        <v>7</v>
      </c>
      <c r="D6" s="97">
        <f>76339.3</f>
        <v>76339.3</v>
      </c>
    </row>
    <row r="7" spans="1:4" x14ac:dyDescent="0.2">
      <c r="A7">
        <v>4</v>
      </c>
      <c r="B7">
        <v>16</v>
      </c>
      <c r="C7">
        <v>9</v>
      </c>
      <c r="D7" s="97">
        <f>42653.17</f>
        <v>42653.17</v>
      </c>
    </row>
    <row r="8" spans="1:4" x14ac:dyDescent="0.2">
      <c r="A8">
        <v>5</v>
      </c>
      <c r="B8">
        <f>16</f>
        <v>16</v>
      </c>
      <c r="C8">
        <v>8</v>
      </c>
      <c r="D8" s="97">
        <v>41157.69</v>
      </c>
    </row>
    <row r="9" spans="1:4" x14ac:dyDescent="0.2">
      <c r="A9">
        <v>6</v>
      </c>
      <c r="B9">
        <v>16</v>
      </c>
      <c r="C9">
        <v>7</v>
      </c>
      <c r="D9" s="97">
        <v>39662.25</v>
      </c>
    </row>
    <row r="10" spans="1:4" x14ac:dyDescent="0.2">
      <c r="A10">
        <v>7</v>
      </c>
      <c r="B10">
        <v>15</v>
      </c>
      <c r="C10">
        <v>9</v>
      </c>
      <c r="D10" s="97">
        <v>33507.5</v>
      </c>
    </row>
    <row r="11" spans="1:4" x14ac:dyDescent="0.2">
      <c r="A11">
        <v>8</v>
      </c>
      <c r="B11">
        <v>15</v>
      </c>
      <c r="C11">
        <v>8</v>
      </c>
      <c r="D11" s="97">
        <v>32263.200000000001</v>
      </c>
    </row>
    <row r="12" spans="1:4" x14ac:dyDescent="0.2">
      <c r="A12">
        <v>9</v>
      </c>
      <c r="B12">
        <v>15</v>
      </c>
      <c r="C12">
        <v>7</v>
      </c>
      <c r="D12" s="97">
        <v>31018.84</v>
      </c>
    </row>
    <row r="13" spans="1:4" x14ac:dyDescent="0.2">
      <c r="A13">
        <v>10</v>
      </c>
      <c r="B13">
        <v>14</v>
      </c>
      <c r="C13">
        <v>11</v>
      </c>
      <c r="D13" s="97">
        <v>28489.81</v>
      </c>
    </row>
    <row r="14" spans="1:4" x14ac:dyDescent="0.2">
      <c r="A14">
        <v>11</v>
      </c>
      <c r="B14">
        <v>14</v>
      </c>
      <c r="C14">
        <v>10</v>
      </c>
      <c r="D14" s="97">
        <v>27611.23</v>
      </c>
    </row>
    <row r="15" spans="1:4" x14ac:dyDescent="0.2">
      <c r="A15">
        <v>12</v>
      </c>
      <c r="B15">
        <v>14</v>
      </c>
      <c r="C15">
        <v>9</v>
      </c>
      <c r="D15" s="97">
        <v>26732.65</v>
      </c>
    </row>
    <row r="16" spans="1:4" x14ac:dyDescent="0.2">
      <c r="A16">
        <v>13</v>
      </c>
      <c r="B16">
        <v>14</v>
      </c>
      <c r="C16">
        <v>8</v>
      </c>
      <c r="D16" s="97">
        <v>25854.1</v>
      </c>
    </row>
    <row r="17" spans="1:4" x14ac:dyDescent="0.2">
      <c r="A17">
        <v>14</v>
      </c>
      <c r="B17">
        <v>14</v>
      </c>
      <c r="C17">
        <v>7</v>
      </c>
      <c r="D17" s="97">
        <v>24975.81</v>
      </c>
    </row>
    <row r="18" spans="1:4" x14ac:dyDescent="0.2">
      <c r="A18">
        <v>15</v>
      </c>
      <c r="B18">
        <v>13</v>
      </c>
      <c r="C18">
        <v>11</v>
      </c>
      <c r="D18" s="97">
        <v>26339.3</v>
      </c>
    </row>
    <row r="19" spans="1:4" x14ac:dyDescent="0.2">
      <c r="A19">
        <v>16</v>
      </c>
      <c r="B19">
        <v>13</v>
      </c>
      <c r="C19">
        <v>10</v>
      </c>
      <c r="D19" s="97">
        <v>25523.45</v>
      </c>
    </row>
    <row r="20" spans="1:4" x14ac:dyDescent="0.2">
      <c r="A20">
        <v>17</v>
      </c>
      <c r="B20">
        <v>13</v>
      </c>
      <c r="C20">
        <v>9</v>
      </c>
      <c r="D20" s="97">
        <v>24741.26</v>
      </c>
    </row>
    <row r="21" spans="1:4" x14ac:dyDescent="0.2">
      <c r="A21">
        <v>18</v>
      </c>
      <c r="B21">
        <v>13</v>
      </c>
      <c r="C21">
        <v>8</v>
      </c>
      <c r="D21" s="97">
        <v>23891.119999999999</v>
      </c>
    </row>
    <row r="22" spans="1:4" x14ac:dyDescent="0.2">
      <c r="A22">
        <v>19</v>
      </c>
      <c r="B22">
        <v>13</v>
      </c>
      <c r="C22">
        <v>7</v>
      </c>
      <c r="D22" s="97">
        <v>23074.99</v>
      </c>
    </row>
    <row r="23" spans="1:4" x14ac:dyDescent="0.2">
      <c r="A23">
        <v>20</v>
      </c>
      <c r="B23">
        <v>10</v>
      </c>
      <c r="C23">
        <v>13</v>
      </c>
      <c r="D23" s="97"/>
    </row>
    <row r="24" spans="1:4" x14ac:dyDescent="0.2">
      <c r="A24">
        <v>21</v>
      </c>
      <c r="B24">
        <v>10</v>
      </c>
      <c r="C24">
        <v>12</v>
      </c>
      <c r="D24" s="97">
        <v>19774.62</v>
      </c>
    </row>
    <row r="25" spans="1:4" x14ac:dyDescent="0.2">
      <c r="A25">
        <v>22</v>
      </c>
      <c r="B25">
        <v>10</v>
      </c>
      <c r="C25">
        <v>11</v>
      </c>
      <c r="D25" s="97">
        <v>19276.95</v>
      </c>
    </row>
    <row r="26" spans="1:4" x14ac:dyDescent="0.2">
      <c r="A26">
        <v>23</v>
      </c>
      <c r="B26">
        <v>10</v>
      </c>
      <c r="C26">
        <v>10</v>
      </c>
      <c r="D26" s="97">
        <v>18779.3</v>
      </c>
    </row>
    <row r="27" spans="1:4" x14ac:dyDescent="0.2">
      <c r="A27">
        <v>24</v>
      </c>
      <c r="B27">
        <v>10</v>
      </c>
      <c r="C27">
        <v>9</v>
      </c>
      <c r="D27" s="97">
        <v>18281.64</v>
      </c>
    </row>
    <row r="28" spans="1:4" x14ac:dyDescent="0.2">
      <c r="A28">
        <v>25</v>
      </c>
      <c r="B28">
        <v>10</v>
      </c>
      <c r="C28">
        <v>8</v>
      </c>
      <c r="D28" s="97">
        <v>17784.099999999999</v>
      </c>
    </row>
    <row r="29" spans="1:4" x14ac:dyDescent="0.2">
      <c r="A29">
        <v>26</v>
      </c>
      <c r="B29">
        <v>10</v>
      </c>
      <c r="C29">
        <v>7</v>
      </c>
      <c r="D29" s="97">
        <v>17286.330000000002</v>
      </c>
    </row>
    <row r="30" spans="1:4" x14ac:dyDescent="0.2">
      <c r="A30">
        <v>27</v>
      </c>
      <c r="B30">
        <v>8</v>
      </c>
      <c r="C30">
        <v>10</v>
      </c>
      <c r="D30" s="97">
        <v>13492.21</v>
      </c>
    </row>
    <row r="31" spans="1:4" x14ac:dyDescent="0.2">
      <c r="A31">
        <v>28</v>
      </c>
      <c r="B31">
        <v>8</v>
      </c>
      <c r="C31">
        <v>9</v>
      </c>
      <c r="D31" s="97">
        <v>13112.16</v>
      </c>
    </row>
    <row r="32" spans="1:4" x14ac:dyDescent="0.2">
      <c r="A32">
        <v>29</v>
      </c>
      <c r="B32">
        <v>8</v>
      </c>
      <c r="C32">
        <v>8</v>
      </c>
      <c r="D32" s="97">
        <v>12732</v>
      </c>
    </row>
    <row r="33" spans="1:4" x14ac:dyDescent="0.2">
      <c r="A33">
        <v>30</v>
      </c>
      <c r="B33">
        <v>8</v>
      </c>
      <c r="C33">
        <v>7</v>
      </c>
      <c r="D33" s="97">
        <v>12351.94</v>
      </c>
    </row>
    <row r="34" spans="1:4" x14ac:dyDescent="0.2">
      <c r="A34">
        <v>31</v>
      </c>
      <c r="B34">
        <v>7</v>
      </c>
      <c r="C34">
        <v>3</v>
      </c>
      <c r="D34">
        <f>8730.79</f>
        <v>8730.7900000000009</v>
      </c>
    </row>
    <row r="35" spans="1:4" x14ac:dyDescent="0.2">
      <c r="A35">
        <v>32</v>
      </c>
      <c r="B35">
        <v>5</v>
      </c>
      <c r="C35">
        <v>13</v>
      </c>
      <c r="D35" s="97">
        <v>5769.6</v>
      </c>
    </row>
    <row r="36" spans="1:4" x14ac:dyDescent="0.2">
      <c r="A36">
        <v>33</v>
      </c>
      <c r="B36">
        <v>5</v>
      </c>
      <c r="C36">
        <v>12</v>
      </c>
      <c r="D36" s="97">
        <v>5598.92</v>
      </c>
    </row>
    <row r="37" spans="1:4" x14ac:dyDescent="0.2">
      <c r="A37">
        <v>34</v>
      </c>
      <c r="B37">
        <v>5</v>
      </c>
      <c r="C37">
        <v>11</v>
      </c>
      <c r="D37" s="97">
        <v>5428.12</v>
      </c>
    </row>
    <row r="38" spans="1:4" x14ac:dyDescent="0.2">
      <c r="A38">
        <v>35</v>
      </c>
      <c r="B38">
        <v>5</v>
      </c>
      <c r="C38">
        <v>10</v>
      </c>
      <c r="D38" s="97">
        <v>5257.44</v>
      </c>
    </row>
    <row r="39" spans="1:4" x14ac:dyDescent="0.2">
      <c r="A39">
        <v>36</v>
      </c>
      <c r="B39">
        <v>5</v>
      </c>
      <c r="C39">
        <v>9</v>
      </c>
      <c r="D39" s="97">
        <v>5086.76</v>
      </c>
    </row>
    <row r="40" spans="1:4" x14ac:dyDescent="0.2">
      <c r="A40">
        <v>37</v>
      </c>
      <c r="B40">
        <v>5</v>
      </c>
      <c r="C40">
        <v>8</v>
      </c>
      <c r="D40" s="97">
        <v>4915.9399999999996</v>
      </c>
    </row>
    <row r="41" spans="1:4" x14ac:dyDescent="0.2">
      <c r="A41">
        <v>38</v>
      </c>
      <c r="B41">
        <v>5</v>
      </c>
      <c r="C41">
        <v>7</v>
      </c>
      <c r="D41" s="97">
        <v>4745.29</v>
      </c>
    </row>
    <row r="42" spans="1:4" x14ac:dyDescent="0.2">
      <c r="A42">
        <v>39</v>
      </c>
      <c r="B42">
        <v>4</v>
      </c>
      <c r="C42">
        <v>11</v>
      </c>
      <c r="D42" s="97">
        <v>4836.3</v>
      </c>
    </row>
    <row r="43" spans="1:4" x14ac:dyDescent="0.2">
      <c r="A43">
        <v>40</v>
      </c>
      <c r="B43">
        <v>4</v>
      </c>
      <c r="C43">
        <v>8</v>
      </c>
      <c r="D43" s="97">
        <v>4248.51</v>
      </c>
    </row>
    <row r="44" spans="1:4" x14ac:dyDescent="0.2">
      <c r="A44">
        <v>41</v>
      </c>
      <c r="B44">
        <v>4</v>
      </c>
      <c r="C44">
        <v>7</v>
      </c>
      <c r="D44" s="97">
        <v>4101.58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8"/>
  <sheetViews>
    <sheetView workbookViewId="0">
      <selection activeCell="D14" sqref="D14"/>
    </sheetView>
  </sheetViews>
  <sheetFormatPr defaultRowHeight="12.75" x14ac:dyDescent="0.2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 x14ac:dyDescent="0.3">
      <c r="A1" s="165" t="s">
        <v>0</v>
      </c>
      <c r="B1" s="165"/>
      <c r="C1" s="165"/>
      <c r="D1" s="165"/>
      <c r="E1" s="165"/>
    </row>
    <row r="2" spans="1:6" ht="18.75" x14ac:dyDescent="0.3">
      <c r="A2" s="214" t="s">
        <v>505</v>
      </c>
      <c r="B2" s="214"/>
      <c r="C2" s="214"/>
      <c r="D2" s="214"/>
      <c r="E2" s="214"/>
    </row>
    <row r="3" spans="1:6" ht="18.75" customHeight="1" x14ac:dyDescent="0.2">
      <c r="A3" s="233" t="s">
        <v>506</v>
      </c>
      <c r="B3" s="234" t="s">
        <v>5</v>
      </c>
      <c r="C3" s="231" t="s">
        <v>507</v>
      </c>
      <c r="D3" s="231" t="s">
        <v>508</v>
      </c>
      <c r="E3" s="231" t="s">
        <v>509</v>
      </c>
      <c r="F3" s="230" t="s">
        <v>32</v>
      </c>
    </row>
    <row r="4" spans="1:6" ht="16.5" customHeight="1" x14ac:dyDescent="0.2">
      <c r="A4" s="233"/>
      <c r="B4" s="235"/>
      <c r="C4" s="232"/>
      <c r="D4" s="232"/>
      <c r="E4" s="232"/>
      <c r="F4" s="230"/>
    </row>
    <row r="5" spans="1:6" ht="18.75" x14ac:dyDescent="0.3">
      <c r="A5" s="3">
        <v>1</v>
      </c>
      <c r="B5" s="22" t="s">
        <v>37</v>
      </c>
      <c r="C5" s="23" t="s">
        <v>510</v>
      </c>
      <c r="D5" s="23" t="s">
        <v>511</v>
      </c>
      <c r="E5" s="27">
        <f>1580439.5*12</f>
        <v>18965274</v>
      </c>
      <c r="F5" s="27">
        <f>E5*D5</f>
        <v>18965274</v>
      </c>
    </row>
    <row r="6" spans="1:6" ht="18.75" x14ac:dyDescent="0.3">
      <c r="A6" s="3">
        <v>2</v>
      </c>
      <c r="B6" s="22" t="s">
        <v>512</v>
      </c>
      <c r="C6" s="23" t="s">
        <v>287</v>
      </c>
      <c r="D6" s="23" t="s">
        <v>513</v>
      </c>
      <c r="E6" s="27">
        <v>9607889.5199999996</v>
      </c>
      <c r="F6" s="27">
        <f t="shared" ref="F6:F17" si="0">E6*D6</f>
        <v>38431558.079999998</v>
      </c>
    </row>
    <row r="7" spans="1:6" ht="18.75" x14ac:dyDescent="0.3">
      <c r="A7" s="3">
        <v>3</v>
      </c>
      <c r="B7" s="22" t="s">
        <v>514</v>
      </c>
      <c r="C7" s="23" t="s">
        <v>54</v>
      </c>
      <c r="D7" s="23" t="s">
        <v>511</v>
      </c>
      <c r="E7" s="24">
        <f>424023.33*12</f>
        <v>5088279.96</v>
      </c>
      <c r="F7" s="27">
        <f t="shared" si="0"/>
        <v>5088279.96</v>
      </c>
    </row>
    <row r="8" spans="1:6" ht="18.75" x14ac:dyDescent="0.3">
      <c r="A8" s="3">
        <v>4</v>
      </c>
      <c r="B8" s="22" t="s">
        <v>515</v>
      </c>
      <c r="C8" s="23" t="s">
        <v>54</v>
      </c>
      <c r="D8" s="23" t="s">
        <v>516</v>
      </c>
      <c r="E8" s="24">
        <f>424023.33*12</f>
        <v>5088279.96</v>
      </c>
      <c r="F8" s="27">
        <f t="shared" si="0"/>
        <v>10176559.92</v>
      </c>
    </row>
    <row r="9" spans="1:6" ht="18.75" x14ac:dyDescent="0.3">
      <c r="A9" s="3">
        <v>5</v>
      </c>
      <c r="B9" s="20" t="s">
        <v>517</v>
      </c>
      <c r="C9" s="25" t="s">
        <v>54</v>
      </c>
      <c r="D9" s="29">
        <v>10</v>
      </c>
      <c r="E9" s="26">
        <v>5088279.96</v>
      </c>
      <c r="F9" s="27">
        <f t="shared" si="0"/>
        <v>50882799.600000001</v>
      </c>
    </row>
    <row r="10" spans="1:6" ht="18.75" x14ac:dyDescent="0.3">
      <c r="A10" s="3">
        <v>6</v>
      </c>
      <c r="B10" s="20" t="s">
        <v>518</v>
      </c>
      <c r="C10" s="25" t="s">
        <v>54</v>
      </c>
      <c r="D10" s="29">
        <v>10</v>
      </c>
      <c r="E10" s="26">
        <v>4136647.2</v>
      </c>
      <c r="F10" s="27">
        <f t="shared" si="0"/>
        <v>41366472</v>
      </c>
    </row>
    <row r="11" spans="1:6" ht="18.75" x14ac:dyDescent="0.3">
      <c r="A11" s="3">
        <v>7</v>
      </c>
      <c r="B11" s="20" t="s">
        <v>519</v>
      </c>
      <c r="C11" s="25" t="s">
        <v>445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.75" x14ac:dyDescent="0.3">
      <c r="A12" s="3">
        <v>8</v>
      </c>
      <c r="B12" s="20" t="s">
        <v>101</v>
      </c>
      <c r="C12" s="25" t="s">
        <v>272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.75" x14ac:dyDescent="0.3">
      <c r="A13" s="3">
        <v>9</v>
      </c>
      <c r="B13" s="20" t="s">
        <v>520</v>
      </c>
      <c r="C13" s="25" t="s">
        <v>317</v>
      </c>
      <c r="D13" s="29">
        <v>8</v>
      </c>
      <c r="E13" s="26">
        <v>2810412.36</v>
      </c>
      <c r="F13" s="27">
        <f t="shared" si="0"/>
        <v>22483298.879999999</v>
      </c>
    </row>
    <row r="14" spans="1:6" ht="18.75" x14ac:dyDescent="0.3">
      <c r="A14" s="3">
        <v>10</v>
      </c>
      <c r="B14" s="20" t="s">
        <v>521</v>
      </c>
      <c r="C14" s="25" t="s">
        <v>286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.75" x14ac:dyDescent="0.3">
      <c r="A15" s="3">
        <v>11</v>
      </c>
      <c r="B15" s="22" t="s">
        <v>522</v>
      </c>
      <c r="C15" s="23" t="s">
        <v>76</v>
      </c>
      <c r="D15" s="23" t="s">
        <v>523</v>
      </c>
      <c r="E15" s="26">
        <f>123329.05*12</f>
        <v>1479948.6</v>
      </c>
      <c r="F15" s="27">
        <f t="shared" si="0"/>
        <v>29598972</v>
      </c>
    </row>
    <row r="16" spans="1:6" ht="18.75" x14ac:dyDescent="0.3">
      <c r="A16" s="3">
        <v>12</v>
      </c>
      <c r="B16" s="20" t="s">
        <v>524</v>
      </c>
      <c r="C16" s="25" t="s">
        <v>181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.75" x14ac:dyDescent="0.3">
      <c r="A17" s="3">
        <v>13</v>
      </c>
      <c r="B17" s="20" t="s">
        <v>525</v>
      </c>
      <c r="C17" s="25" t="s">
        <v>252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8.75" x14ac:dyDescent="0.3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6</vt:i4>
      </vt:variant>
    </vt:vector>
  </HeadingPairs>
  <TitlesOfParts>
    <vt:vector size="29" baseType="lpstr">
      <vt:lpstr>JANURAY, 2021</vt:lpstr>
      <vt:lpstr>TAX DIFFERENCES</vt:lpstr>
      <vt:lpstr>ANNUAL INCREMENT</vt:lpstr>
      <vt:lpstr>ARREARS</vt:lpstr>
      <vt:lpstr>Housing 2021</vt:lpstr>
      <vt:lpstr>HARDSHIP</vt:lpstr>
      <vt:lpstr>Welfare</vt:lpstr>
      <vt:lpstr>Sheet2</vt:lpstr>
      <vt:lpstr>MEMO</vt:lpstr>
      <vt:lpstr>17.9</vt:lpstr>
      <vt:lpstr>16.7</vt:lpstr>
      <vt:lpstr>Staff List for DG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Noninal roll</vt:lpstr>
      <vt:lpstr>'ANNUAL INCREMENT'!Print_Area</vt:lpstr>
      <vt:lpstr>ARREARS!Print_Area</vt:lpstr>
      <vt:lpstr>'Housing 2021'!Print_Area</vt:lpstr>
      <vt:lpstr>'JANURAY, 2021'!Print_Area</vt:lpstr>
      <vt:lpstr>MEMO!Print_Area</vt:lpstr>
      <vt:lpstr>'TAX DIFFERENCES'!Print_Area</vt:lpstr>
    </vt:vector>
  </TitlesOfParts>
  <Manager/>
  <Company>Private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2025-09-04T10:55:20Z</dcterms:modified>
  <cp:category/>
  <cp:contentStatus/>
</cp:coreProperties>
</file>