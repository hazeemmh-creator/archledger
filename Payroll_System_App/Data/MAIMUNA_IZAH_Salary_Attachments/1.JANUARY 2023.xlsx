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NILDS PAYSLIP DATA FILE\SALARY 2023\"/>
    </mc:Choice>
  </mc:AlternateContent>
  <xr:revisionPtr revIDLastSave="0" documentId="8_{76F7B22A-F3C8-47CB-AA68-8F5B0BA7A3E9}" xr6:coauthVersionLast="47" xr6:coauthVersionMax="47" xr10:uidLastSave="{00000000-0000-0000-0000-000000000000}"/>
  <bookViews>
    <workbookView xWindow="1170" yWindow="390" windowWidth="17190" windowHeight="15120" tabRatio="599" xr2:uid="{00000000-000D-0000-FFFF-FFFF00000000}"/>
  </bookViews>
  <sheets>
    <sheet name="January 2023" sheetId="1" r:id="rId1"/>
    <sheet name="MEMO 1" sheetId="68" r:id="rId2"/>
    <sheet name="January 2023 PAYE" sheetId="115" r:id="rId3"/>
    <sheet name="January 2023 NHF)" sheetId="116" r:id="rId4"/>
    <sheet name="PAYE Computation" sheetId="114" r:id="rId5"/>
    <sheet name="Tax adj August, 2022" sheetId="87" r:id="rId6"/>
    <sheet name="Annual Increement" sheetId="78" r:id="rId7"/>
    <sheet name="Enhanced Welfare 2023 (2)" sheetId="110" r:id="rId8"/>
    <sheet name="Enhanced Welfare 2023 (3)" sheetId="113" r:id="rId9"/>
    <sheet name="17.9" sheetId="4" r:id="rId10"/>
    <sheet name="16.7" sheetId="5" r:id="rId11"/>
    <sheet name="15.7.1" sheetId="6" r:id="rId12"/>
    <sheet name="13.7" sheetId="7" r:id="rId13"/>
    <sheet name="12.7" sheetId="8" r:id="rId14"/>
    <sheet name="10.7" sheetId="9" r:id="rId15"/>
    <sheet name="9.7" sheetId="10" r:id="rId16"/>
    <sheet name="8.7" sheetId="11" r:id="rId17"/>
    <sheet name="SUMMARY" sheetId="12" r:id="rId18"/>
    <sheet name="14.7" sheetId="13" r:id="rId19"/>
    <sheet name="15.7" sheetId="23" r:id="rId20"/>
    <sheet name="Basic Salary" sheetId="61" r:id="rId21"/>
  </sheets>
  <externalReferences>
    <externalReference r:id="rId22"/>
    <externalReference r:id="rId23"/>
    <externalReference r:id="rId24"/>
    <externalReference r:id="rId25"/>
  </externalReferences>
  <definedNames>
    <definedName name="_xlnm.Print_Area" localSheetId="6">'Annual Increement'!$A$1:$AB$191</definedName>
    <definedName name="_xlnm.Print_Area" localSheetId="7">'Enhanced Welfare 2023 (2)'!$A$1:$G$193</definedName>
    <definedName name="_xlnm.Print_Area" localSheetId="8">'Enhanced Welfare 2023 (3)'!$A$1:$G$193</definedName>
    <definedName name="_xlnm.Print_Area" localSheetId="0">'January 2023'!$A$1:$Z$192</definedName>
    <definedName name="_xlnm.Print_Area" localSheetId="3">'January 2023 NHF)'!$A$1:$H$191</definedName>
    <definedName name="_xlnm.Print_Area" localSheetId="2">'January 2023 PAYE'!$A$1:$H$191</definedName>
    <definedName name="_xlnm.Print_Area" localSheetId="1">'MEMO 1'!$A$1:$H$61</definedName>
    <definedName name="_xlnm.Print_Area" localSheetId="5">'Tax adj August, 2022'!$A$1:$G$202</definedName>
    <definedName name="_xlnm.Print_Titles" localSheetId="7">'Enhanced Welfare 2023 (2)'!$4:$5</definedName>
    <definedName name="_xlnm.Print_Titles" localSheetId="8">'Enhanced Welfare 2023 (3)'!$4:$5</definedName>
    <definedName name="_xlnm.Print_Titles" localSheetId="0">'January 2023'!$4:$5</definedName>
    <definedName name="_xlnm.Print_Titles" localSheetId="3">'January 2023 NHF)'!$4:$5</definedName>
    <definedName name="_xlnm.Print_Titles" localSheetId="2">'January 2023 PAYE'!$4:$5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68" l="1"/>
  <c r="W189" i="1"/>
  <c r="W99" i="1"/>
  <c r="W37" i="1"/>
  <c r="H35" i="68" l="1"/>
  <c r="V190" i="1"/>
  <c r="W190" i="1"/>
  <c r="F188" i="115"/>
  <c r="G134" i="115"/>
  <c r="G136" i="115"/>
  <c r="G137" i="115"/>
  <c r="G140" i="115"/>
  <c r="G141" i="115"/>
  <c r="G148" i="115"/>
  <c r="G151" i="115"/>
  <c r="G152" i="115"/>
  <c r="G153" i="115"/>
  <c r="G155" i="115"/>
  <c r="G157" i="115"/>
  <c r="G159" i="115"/>
  <c r="G161" i="115"/>
  <c r="G163" i="115"/>
  <c r="G165" i="115"/>
  <c r="G166" i="115"/>
  <c r="G167" i="115"/>
  <c r="G168" i="115"/>
  <c r="G169" i="115"/>
  <c r="G170" i="115"/>
  <c r="G171" i="115"/>
  <c r="G172" i="115"/>
  <c r="G173" i="115"/>
  <c r="G177" i="115"/>
  <c r="G181" i="115"/>
  <c r="G185" i="115"/>
  <c r="F130" i="115"/>
  <c r="G121" i="115"/>
  <c r="G123" i="115"/>
  <c r="G128" i="115"/>
  <c r="G112" i="115"/>
  <c r="G114" i="115"/>
  <c r="G109" i="115"/>
  <c r="F116" i="115"/>
  <c r="G103" i="115"/>
  <c r="G102" i="115"/>
  <c r="F106" i="115"/>
  <c r="F99" i="115"/>
  <c r="G89" i="115"/>
  <c r="G91" i="115"/>
  <c r="G93" i="115"/>
  <c r="G95" i="115"/>
  <c r="G97" i="115"/>
  <c r="F85" i="115"/>
  <c r="G83" i="115"/>
  <c r="G84" i="115"/>
  <c r="F73" i="115"/>
  <c r="F77" i="115" s="1"/>
  <c r="H38" i="68"/>
  <c r="M73" i="1"/>
  <c r="G65" i="115"/>
  <c r="G67" i="115"/>
  <c r="G68" i="115"/>
  <c r="G69" i="115"/>
  <c r="G70" i="115"/>
  <c r="G71" i="115"/>
  <c r="G75" i="115"/>
  <c r="G76" i="115"/>
  <c r="F60" i="115"/>
  <c r="F61" i="115" s="1"/>
  <c r="F57" i="115"/>
  <c r="G46" i="115"/>
  <c r="G53" i="115"/>
  <c r="G54" i="115"/>
  <c r="G45" i="115"/>
  <c r="F42" i="115"/>
  <c r="F37" i="115"/>
  <c r="G9" i="115"/>
  <c r="G17" i="115"/>
  <c r="G21" i="115"/>
  <c r="G25" i="115"/>
  <c r="G27" i="115"/>
  <c r="G29" i="115"/>
  <c r="G31" i="115"/>
  <c r="G33" i="115"/>
  <c r="G36" i="115"/>
  <c r="H37" i="68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3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99" i="116" s="1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H122" i="116" s="1"/>
  <c r="F119" i="116"/>
  <c r="H119" i="116" s="1"/>
  <c r="F111" i="116"/>
  <c r="H111" i="116" s="1"/>
  <c r="F110" i="116"/>
  <c r="F103" i="116"/>
  <c r="F106" i="116" s="1"/>
  <c r="H106" i="116" s="1"/>
  <c r="F90" i="116"/>
  <c r="H90" i="116" s="1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H91" i="116" s="1"/>
  <c r="E85" i="116"/>
  <c r="E76" i="116"/>
  <c r="E75" i="116"/>
  <c r="E70" i="116"/>
  <c r="F70" i="116" s="1"/>
  <c r="H70" i="116" s="1"/>
  <c r="E69" i="116"/>
  <c r="F67" i="116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E184" i="115"/>
  <c r="G184" i="115" s="1"/>
  <c r="E183" i="115"/>
  <c r="G183" i="115" s="1"/>
  <c r="E182" i="115"/>
  <c r="G182" i="115" s="1"/>
  <c r="E181" i="115"/>
  <c r="E180" i="115"/>
  <c r="G180" i="115" s="1"/>
  <c r="E179" i="115"/>
  <c r="G179" i="115" s="1"/>
  <c r="E178" i="115"/>
  <c r="G178" i="115" s="1"/>
  <c r="E177" i="115"/>
  <c r="E176" i="115"/>
  <c r="G176" i="115" s="1"/>
  <c r="E175" i="115"/>
  <c r="G175" i="115" s="1"/>
  <c r="E174" i="115"/>
  <c r="G174" i="115" s="1"/>
  <c r="E173" i="115"/>
  <c r="E165" i="115"/>
  <c r="E164" i="115"/>
  <c r="G164" i="115" s="1"/>
  <c r="E163" i="115"/>
  <c r="E162" i="115"/>
  <c r="G162" i="115" s="1"/>
  <c r="E161" i="115"/>
  <c r="E160" i="115"/>
  <c r="G160" i="115" s="1"/>
  <c r="E159" i="115"/>
  <c r="E158" i="115"/>
  <c r="G158" i="115" s="1"/>
  <c r="E157" i="115"/>
  <c r="E156" i="115"/>
  <c r="G156" i="115" s="1"/>
  <c r="E155" i="115"/>
  <c r="E154" i="115"/>
  <c r="G154" i="115" s="1"/>
  <c r="E153" i="115"/>
  <c r="E150" i="115"/>
  <c r="G150" i="115" s="1"/>
  <c r="E149" i="115"/>
  <c r="G149" i="115" s="1"/>
  <c r="E148" i="115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E140" i="115"/>
  <c r="E139" i="115"/>
  <c r="G139" i="115" s="1"/>
  <c r="E138" i="115"/>
  <c r="G138" i="115" s="1"/>
  <c r="E137" i="115"/>
  <c r="E136" i="115"/>
  <c r="E135" i="115"/>
  <c r="G135" i="115" s="1"/>
  <c r="E133" i="115"/>
  <c r="G133" i="115" s="1"/>
  <c r="E129" i="115"/>
  <c r="G129" i="115" s="1"/>
  <c r="E128" i="115"/>
  <c r="E127" i="115"/>
  <c r="G127" i="115" s="1"/>
  <c r="E126" i="115"/>
  <c r="G126" i="115" s="1"/>
  <c r="E125" i="115"/>
  <c r="G125" i="115" s="1"/>
  <c r="E124" i="115"/>
  <c r="G124" i="115" s="1"/>
  <c r="E123" i="115"/>
  <c r="E122" i="115"/>
  <c r="G122" i="115" s="1"/>
  <c r="E121" i="115"/>
  <c r="E120" i="115"/>
  <c r="G120" i="115" s="1"/>
  <c r="E119" i="115"/>
  <c r="G119" i="115" s="1"/>
  <c r="E115" i="115"/>
  <c r="G115" i="115" s="1"/>
  <c r="E114" i="115"/>
  <c r="E113" i="115"/>
  <c r="G113" i="115" s="1"/>
  <c r="E112" i="115"/>
  <c r="E111" i="115"/>
  <c r="G111" i="115" s="1"/>
  <c r="E110" i="115"/>
  <c r="G110" i="115" s="1"/>
  <c r="E109" i="115"/>
  <c r="E105" i="115"/>
  <c r="G105" i="115" s="1"/>
  <c r="E104" i="115"/>
  <c r="G104" i="115" s="1"/>
  <c r="E103" i="115"/>
  <c r="E102" i="115"/>
  <c r="E98" i="115"/>
  <c r="G98" i="115" s="1"/>
  <c r="E96" i="115"/>
  <c r="G96" i="115" s="1"/>
  <c r="E95" i="115"/>
  <c r="E94" i="115"/>
  <c r="G94" i="115" s="1"/>
  <c r="E93" i="115"/>
  <c r="E92" i="115"/>
  <c r="G92" i="115" s="1"/>
  <c r="E91" i="115"/>
  <c r="E90" i="115"/>
  <c r="G90" i="115" s="1"/>
  <c r="E89" i="115"/>
  <c r="E88" i="115"/>
  <c r="G88" i="115" s="1"/>
  <c r="E84" i="115"/>
  <c r="E82" i="115"/>
  <c r="G82" i="115" s="1"/>
  <c r="E81" i="115"/>
  <c r="G81" i="115" s="1"/>
  <c r="E80" i="115"/>
  <c r="G80" i="115" s="1"/>
  <c r="E76" i="115"/>
  <c r="E75" i="115"/>
  <c r="E74" i="115"/>
  <c r="G74" i="115" s="1"/>
  <c r="E73" i="115"/>
  <c r="E72" i="115"/>
  <c r="G72" i="115" s="1"/>
  <c r="E71" i="115"/>
  <c r="E67" i="115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E45" i="115"/>
  <c r="E41" i="115"/>
  <c r="G41" i="115" s="1"/>
  <c r="E40" i="115"/>
  <c r="G40" i="115" s="1"/>
  <c r="E36" i="115"/>
  <c r="E35" i="115"/>
  <c r="G35" i="115" s="1"/>
  <c r="E34" i="115"/>
  <c r="G34" i="115" s="1"/>
  <c r="E32" i="115"/>
  <c r="G32" i="115" s="1"/>
  <c r="E31" i="115"/>
  <c r="E30" i="115"/>
  <c r="G30" i="115" s="1"/>
  <c r="E28" i="115"/>
  <c r="G28" i="115" s="1"/>
  <c r="E26" i="115"/>
  <c r="G26" i="115" s="1"/>
  <c r="E25" i="115"/>
  <c r="E24" i="115"/>
  <c r="G24" i="115" s="1"/>
  <c r="E23" i="115"/>
  <c r="G23" i="115" s="1"/>
  <c r="E22" i="115"/>
  <c r="G22" i="115" s="1"/>
  <c r="E21" i="115"/>
  <c r="E20" i="115"/>
  <c r="G20" i="115" s="1"/>
  <c r="E19" i="115"/>
  <c r="G19" i="115" s="1"/>
  <c r="E18" i="115"/>
  <c r="G18" i="115" s="1"/>
  <c r="E17" i="115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E8" i="115"/>
  <c r="G8" i="115" s="1"/>
  <c r="E7" i="115"/>
  <c r="G7" i="115" s="1"/>
  <c r="G37" i="115" s="1"/>
  <c r="E6" i="115"/>
  <c r="H34" i="68"/>
  <c r="E162" i="1"/>
  <c r="E163" i="1"/>
  <c r="E164" i="1"/>
  <c r="E165" i="1"/>
  <c r="E166" i="1"/>
  <c r="E161" i="1"/>
  <c r="E188" i="1"/>
  <c r="E176" i="1"/>
  <c r="E156" i="1"/>
  <c r="E129" i="1"/>
  <c r="E115" i="1"/>
  <c r="E98" i="1"/>
  <c r="E76" i="1"/>
  <c r="E35" i="1"/>
  <c r="E36" i="1"/>
  <c r="E34" i="1"/>
  <c r="G42" i="115" l="1"/>
  <c r="G85" i="115"/>
  <c r="G99" i="115"/>
  <c r="G188" i="115"/>
  <c r="G130" i="115"/>
  <c r="H67" i="116"/>
  <c r="H157" i="116"/>
  <c r="H12" i="116"/>
  <c r="H33" i="116"/>
  <c r="E130" i="116"/>
  <c r="H152" i="116"/>
  <c r="G57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H188" i="116" s="1"/>
  <c r="G11" i="116"/>
  <c r="H11" i="116" s="1"/>
  <c r="H158" i="116"/>
  <c r="E37" i="116"/>
  <c r="F57" i="116"/>
  <c r="H57" i="116" s="1"/>
  <c r="E116" i="116"/>
  <c r="H135" i="116"/>
  <c r="F77" i="116"/>
  <c r="H77" i="116" s="1"/>
  <c r="H121" i="116"/>
  <c r="H41" i="116"/>
  <c r="G77" i="116"/>
  <c r="G130" i="116"/>
  <c r="H144" i="116"/>
  <c r="H136" i="116"/>
  <c r="G37" i="116"/>
  <c r="G110" i="116"/>
  <c r="G116" i="116" s="1"/>
  <c r="E57" i="116"/>
  <c r="F130" i="116"/>
  <c r="F85" i="116"/>
  <c r="F99" i="116"/>
  <c r="H99" i="116" s="1"/>
  <c r="F116" i="116"/>
  <c r="E99" i="116"/>
  <c r="E188" i="116"/>
  <c r="E77" i="116"/>
  <c r="E42" i="115"/>
  <c r="E85" i="115"/>
  <c r="E99" i="115"/>
  <c r="E77" i="115"/>
  <c r="E116" i="115"/>
  <c r="E188" i="115"/>
  <c r="G189" i="115" l="1"/>
  <c r="E189" i="115"/>
  <c r="G189" i="116"/>
  <c r="H116" i="116"/>
  <c r="H110" i="116"/>
  <c r="F189" i="116"/>
  <c r="H85" i="116"/>
  <c r="H130" i="116"/>
  <c r="H37" i="116"/>
  <c r="H189" i="116" l="1"/>
  <c r="E187" i="1" l="1"/>
  <c r="E152" i="1"/>
  <c r="E140" i="1"/>
  <c r="E141" i="1"/>
  <c r="E139" i="1"/>
  <c r="E128" i="1"/>
  <c r="E113" i="1"/>
  <c r="E91" i="1"/>
  <c r="E70" i="1"/>
  <c r="E23" i="1"/>
  <c r="E28" i="1"/>
  <c r="E29" i="1"/>
  <c r="E69" i="1"/>
  <c r="E75" i="1"/>
  <c r="E145" i="1" l="1"/>
  <c r="E22" i="1" l="1"/>
  <c r="E9" i="1"/>
  <c r="E10" i="1"/>
  <c r="E14" i="1"/>
  <c r="E13" i="1"/>
  <c r="E12" i="1"/>
  <c r="H33" i="68" l="1"/>
  <c r="H32" i="68" l="1"/>
  <c r="H40" i="68" s="1"/>
  <c r="U147" i="1"/>
  <c r="U168" i="1"/>
  <c r="U181" i="1"/>
  <c r="U180" i="1"/>
  <c r="U165" i="1"/>
  <c r="C191" i="113" l="1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F191" i="113"/>
  <c r="G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38" i="110" s="1"/>
  <c r="E8" i="110"/>
  <c r="G190" i="110" l="1"/>
  <c r="E191" i="110"/>
  <c r="G38" i="110"/>
  <c r="G78" i="110"/>
  <c r="F191" i="110"/>
  <c r="G158" i="1"/>
  <c r="H158" i="1"/>
  <c r="J158" i="1"/>
  <c r="K158" i="1"/>
  <c r="L158" i="1"/>
  <c r="N158" i="1"/>
  <c r="O158" i="1"/>
  <c r="G159" i="1"/>
  <c r="H159" i="1"/>
  <c r="J159" i="1"/>
  <c r="K159" i="1"/>
  <c r="L159" i="1"/>
  <c r="N159" i="1"/>
  <c r="O159" i="1"/>
  <c r="X159" i="1"/>
  <c r="X27" i="1"/>
  <c r="Z27" i="1" s="1"/>
  <c r="X134" i="1"/>
  <c r="R134" i="1"/>
  <c r="G35" i="1"/>
  <c r="H35" i="1"/>
  <c r="J35" i="1"/>
  <c r="K35" i="1"/>
  <c r="L35" i="1"/>
  <c r="N35" i="1"/>
  <c r="O35" i="1"/>
  <c r="T35" i="1"/>
  <c r="U35" i="1"/>
  <c r="G36" i="1"/>
  <c r="H36" i="1"/>
  <c r="J36" i="1"/>
  <c r="K36" i="1"/>
  <c r="L36" i="1"/>
  <c r="N36" i="1"/>
  <c r="O36" i="1"/>
  <c r="T36" i="1"/>
  <c r="U36" i="1"/>
  <c r="E56" i="1"/>
  <c r="O56" i="1" s="1"/>
  <c r="K56" i="1"/>
  <c r="M56" i="1"/>
  <c r="X56" i="1"/>
  <c r="J56" i="1" l="1"/>
  <c r="H56" i="1"/>
  <c r="G56" i="1"/>
  <c r="R56" i="1" s="1"/>
  <c r="Z56" i="1" s="1"/>
  <c r="G191" i="110"/>
  <c r="R158" i="1"/>
  <c r="X35" i="1"/>
  <c r="R35" i="1"/>
  <c r="X36" i="1"/>
  <c r="R36" i="1"/>
  <c r="L56" i="1"/>
  <c r="R159" i="1"/>
  <c r="Z159" i="1" s="1"/>
  <c r="X158" i="1"/>
  <c r="U114" i="1"/>
  <c r="U93" i="1"/>
  <c r="U127" i="1"/>
  <c r="T178" i="1"/>
  <c r="T184" i="1"/>
  <c r="T187" i="1"/>
  <c r="T174" i="1"/>
  <c r="T175" i="1"/>
  <c r="T185" i="1"/>
  <c r="T186" i="1"/>
  <c r="T179" i="1"/>
  <c r="T181" i="1"/>
  <c r="T180" i="1"/>
  <c r="T172" i="1"/>
  <c r="T171" i="1"/>
  <c r="T162" i="1"/>
  <c r="T169" i="1"/>
  <c r="T176" i="1"/>
  <c r="T168" i="1"/>
  <c r="T166" i="1"/>
  <c r="T167" i="1"/>
  <c r="T163" i="1"/>
  <c r="T160" i="1"/>
  <c r="T165" i="1"/>
  <c r="T173" i="1"/>
  <c r="T170" i="1"/>
  <c r="T161" i="1"/>
  <c r="T127" i="1"/>
  <c r="Z35" i="1" l="1"/>
  <c r="Z158" i="1"/>
  <c r="Z36" i="1"/>
  <c r="G54" i="68" l="1"/>
  <c r="G53" i="68"/>
  <c r="G52" i="68"/>
  <c r="G51" i="68"/>
  <c r="G50" i="68"/>
  <c r="G49" i="68"/>
  <c r="G48" i="68"/>
  <c r="G47" i="68"/>
  <c r="G46" i="68"/>
  <c r="G44" i="68"/>
  <c r="U50" i="1"/>
  <c r="U170" i="1"/>
  <c r="U15" i="1"/>
  <c r="U163" i="1"/>
  <c r="T15" i="1"/>
  <c r="T122" i="1"/>
  <c r="N173" i="1" l="1"/>
  <c r="N172" i="1"/>
  <c r="N171" i="1"/>
  <c r="N170" i="1"/>
  <c r="N169" i="1"/>
  <c r="N168" i="1"/>
  <c r="N167" i="1"/>
  <c r="N29" i="1"/>
  <c r="N28" i="1"/>
  <c r="N152" i="1"/>
  <c r="N153" i="1"/>
  <c r="N151" i="1"/>
  <c r="N154" i="1" l="1"/>
  <c r="F99" i="1" l="1"/>
  <c r="F50" i="68" l="1"/>
  <c r="F54" i="68"/>
  <c r="F53" i="68"/>
  <c r="F52" i="68"/>
  <c r="F51" i="68"/>
  <c r="F49" i="68"/>
  <c r="F48" i="68"/>
  <c r="F47" i="68"/>
  <c r="F46" i="68"/>
  <c r="F45" i="68"/>
  <c r="F44" i="68"/>
  <c r="N135" i="1"/>
  <c r="M110" i="1"/>
  <c r="N13" i="1"/>
  <c r="N12" i="1"/>
  <c r="N14" i="1"/>
  <c r="M52" i="1"/>
  <c r="M49" i="1"/>
  <c r="E8" i="1" l="1"/>
  <c r="T22" i="1"/>
  <c r="U25" i="1" l="1"/>
  <c r="U154" i="1"/>
  <c r="U40" i="1"/>
  <c r="U42" i="1" s="1"/>
  <c r="T67" i="1"/>
  <c r="T148" i="1" l="1"/>
  <c r="H29" i="68"/>
  <c r="C190" i="1" l="1"/>
  <c r="M83" i="1" l="1"/>
  <c r="N33" i="1"/>
  <c r="U69" i="1"/>
  <c r="U112" i="1"/>
  <c r="T126" i="1"/>
  <c r="U119" i="1"/>
  <c r="T119" i="1"/>
  <c r="T53" i="1"/>
  <c r="U70" i="1"/>
  <c r="T70" i="1"/>
  <c r="T74" i="1"/>
  <c r="T96" i="1"/>
  <c r="F106" i="1" l="1"/>
  <c r="X20" i="1"/>
  <c r="H3" i="1" l="1"/>
  <c r="E3" i="1"/>
  <c r="H1" i="1"/>
  <c r="F57" i="1" l="1"/>
  <c r="E43" i="87"/>
  <c r="F42" i="87"/>
  <c r="G42" i="87" s="1"/>
  <c r="F37" i="1"/>
  <c r="P37" i="1"/>
  <c r="S37" i="1"/>
  <c r="E63" i="87"/>
  <c r="F62" i="87"/>
  <c r="G62" i="87" s="1"/>
  <c r="I57" i="1"/>
  <c r="N57" i="1"/>
  <c r="P57" i="1"/>
  <c r="Q57" i="1"/>
  <c r="S57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8" i="1" l="1"/>
  <c r="U172" i="1"/>
  <c r="U167" i="1"/>
  <c r="U166" i="1"/>
  <c r="U160" i="1"/>
  <c r="U152" i="1"/>
  <c r="U138" i="1"/>
  <c r="T129" i="1"/>
  <c r="U128" i="1"/>
  <c r="T124" i="1"/>
  <c r="U123" i="1"/>
  <c r="U102" i="1"/>
  <c r="T102" i="1"/>
  <c r="U45" i="1"/>
  <c r="U22" i="1"/>
  <c r="T21" i="1"/>
  <c r="X19" i="1" l="1"/>
  <c r="X11" i="1"/>
  <c r="X9" i="1"/>
  <c r="E116" i="1" l="1"/>
  <c r="I116" i="1"/>
  <c r="P116" i="1"/>
  <c r="U65" i="1" l="1"/>
  <c r="T65" i="1"/>
  <c r="X65" i="1" l="1"/>
  <c r="F189" i="1" l="1"/>
  <c r="P189" i="1"/>
  <c r="O160" i="1"/>
  <c r="N160" i="1"/>
  <c r="L160" i="1"/>
  <c r="K160" i="1"/>
  <c r="J160" i="1"/>
  <c r="H160" i="1"/>
  <c r="G160" i="1"/>
  <c r="X160" i="1" l="1"/>
  <c r="R160" i="1"/>
  <c r="Z160" i="1" l="1"/>
  <c r="P130" i="1" l="1"/>
  <c r="X128" i="1" l="1"/>
  <c r="N128" i="1"/>
  <c r="L128" i="1" l="1"/>
  <c r="E130" i="1"/>
  <c r="G128" i="1"/>
  <c r="O128" i="1"/>
  <c r="H128" i="1"/>
  <c r="J128" i="1"/>
  <c r="K128" i="1"/>
  <c r="R128" i="1" l="1"/>
  <c r="Z128" i="1" s="1"/>
  <c r="U153" i="1"/>
  <c r="U126" i="1"/>
  <c r="T41" i="1"/>
  <c r="U30" i="1"/>
  <c r="U145" i="1"/>
  <c r="F130" i="1" l="1"/>
  <c r="S40" i="1" l="1"/>
  <c r="X129" i="1"/>
  <c r="O129" i="1"/>
  <c r="N129" i="1"/>
  <c r="L129" i="1"/>
  <c r="K129" i="1"/>
  <c r="J129" i="1"/>
  <c r="H129" i="1"/>
  <c r="G129" i="1"/>
  <c r="R129" i="1" l="1"/>
  <c r="Z129" i="1" s="1"/>
  <c r="I106" i="1" l="1"/>
  <c r="P106" i="1"/>
  <c r="Q106" i="1"/>
  <c r="P99" i="1"/>
  <c r="Q99" i="1"/>
  <c r="E85" i="1"/>
  <c r="I85" i="1"/>
  <c r="P85" i="1"/>
  <c r="Q85" i="1"/>
  <c r="P77" i="1"/>
  <c r="Q77" i="1"/>
  <c r="E61" i="1"/>
  <c r="I61" i="1"/>
  <c r="P61" i="1"/>
  <c r="Q61" i="1"/>
  <c r="E42" i="1"/>
  <c r="I42" i="1"/>
  <c r="P42" i="1"/>
  <c r="N150" i="1"/>
  <c r="X150" i="1"/>
  <c r="E150" i="1"/>
  <c r="K150" i="1" s="1"/>
  <c r="X97" i="1"/>
  <c r="J97" i="1"/>
  <c r="X55" i="1"/>
  <c r="M55" i="1"/>
  <c r="E55" i="1"/>
  <c r="J55" i="1" s="1"/>
  <c r="J150" i="1" l="1"/>
  <c r="L150" i="1"/>
  <c r="G150" i="1"/>
  <c r="O150" i="1"/>
  <c r="H150" i="1"/>
  <c r="K97" i="1"/>
  <c r="L97" i="1"/>
  <c r="G97" i="1"/>
  <c r="O97" i="1"/>
  <c r="H97" i="1"/>
  <c r="G55" i="1"/>
  <c r="O55" i="1"/>
  <c r="H55" i="1"/>
  <c r="K55" i="1"/>
  <c r="L55" i="1"/>
  <c r="E55" i="68"/>
  <c r="U177" i="1"/>
  <c r="U161" i="1"/>
  <c r="U143" i="1"/>
  <c r="X21" i="1"/>
  <c r="T73" i="1"/>
  <c r="R150" i="1" l="1"/>
  <c r="Z150" i="1" s="1"/>
  <c r="R97" i="1"/>
  <c r="Z97" i="1" s="1"/>
  <c r="R55" i="1"/>
  <c r="Z55" i="1" s="1"/>
  <c r="N32" i="1" l="1"/>
  <c r="N34" i="1"/>
  <c r="U121" i="1" l="1"/>
  <c r="T121" i="1"/>
  <c r="U61" i="1"/>
  <c r="T10" i="1"/>
  <c r="X10" i="1" s="1"/>
  <c r="X98" i="1" l="1"/>
  <c r="M22" i="1"/>
  <c r="M98" i="1"/>
  <c r="R98" i="1" s="1"/>
  <c r="Z98" i="1" l="1"/>
  <c r="D39" i="61" l="1"/>
  <c r="D38" i="61"/>
  <c r="D37" i="61"/>
  <c r="E54" i="1"/>
  <c r="E57" i="1" s="1"/>
  <c r="X149" i="1"/>
  <c r="E149" i="1"/>
  <c r="E189" i="1" s="1"/>
  <c r="N149" i="1"/>
  <c r="X96" i="1"/>
  <c r="M96" i="1"/>
  <c r="E96" i="1"/>
  <c r="H96" i="1" s="1"/>
  <c r="J72" i="1"/>
  <c r="L71" i="1"/>
  <c r="X72" i="1"/>
  <c r="M72" i="1"/>
  <c r="X71" i="1"/>
  <c r="M71" i="1"/>
  <c r="M54" i="1"/>
  <c r="X54" i="1"/>
  <c r="O41" i="1"/>
  <c r="N41" i="1"/>
  <c r="L41" i="1"/>
  <c r="K41" i="1"/>
  <c r="J41" i="1"/>
  <c r="H41" i="1"/>
  <c r="G41" i="1"/>
  <c r="E99" i="1" l="1"/>
  <c r="X41" i="1"/>
  <c r="O54" i="1"/>
  <c r="G54" i="1"/>
  <c r="R41" i="1"/>
  <c r="H54" i="1"/>
  <c r="K54" i="1"/>
  <c r="L54" i="1"/>
  <c r="J54" i="1"/>
  <c r="K149" i="1"/>
  <c r="L149" i="1"/>
  <c r="G149" i="1"/>
  <c r="O149" i="1"/>
  <c r="H149" i="1"/>
  <c r="J149" i="1"/>
  <c r="L96" i="1"/>
  <c r="G96" i="1"/>
  <c r="O96" i="1"/>
  <c r="J96" i="1"/>
  <c r="K96" i="1"/>
  <c r="K72" i="1"/>
  <c r="L72" i="1"/>
  <c r="G71" i="1"/>
  <c r="O71" i="1"/>
  <c r="H71" i="1"/>
  <c r="J71" i="1"/>
  <c r="K71" i="1"/>
  <c r="G72" i="1"/>
  <c r="O72" i="1"/>
  <c r="H72" i="1"/>
  <c r="Z41" i="1" l="1"/>
  <c r="R54" i="1"/>
  <c r="Z54" i="1" s="1"/>
  <c r="R96" i="1"/>
  <c r="Z96" i="1" s="1"/>
  <c r="R71" i="1"/>
  <c r="Z71" i="1" s="1"/>
  <c r="R72" i="1"/>
  <c r="Z72" i="1" s="1"/>
  <c r="N11" i="1" l="1"/>
  <c r="T142" i="1" l="1"/>
  <c r="U141" i="1"/>
  <c r="U136" i="1"/>
  <c r="T93" i="1"/>
  <c r="X22" i="1" l="1"/>
  <c r="X23" i="1"/>
  <c r="X18" i="1"/>
  <c r="X15" i="1"/>
  <c r="X8" i="1"/>
  <c r="U110" i="1" l="1"/>
  <c r="U111" i="1"/>
  <c r="X110" i="1" l="1"/>
  <c r="U90" i="1"/>
  <c r="U92" i="1"/>
  <c r="T90" i="1"/>
  <c r="U75" i="1"/>
  <c r="T75" i="1"/>
  <c r="U182" i="1" l="1"/>
  <c r="T152" i="1"/>
  <c r="U187" i="1"/>
  <c r="U16" i="1"/>
  <c r="T40" i="1"/>
  <c r="T42" i="1" s="1"/>
  <c r="T188" i="78" l="1"/>
  <c r="E37" i="1" l="1"/>
  <c r="E77" i="1"/>
  <c r="F27" i="78"/>
  <c r="F71" i="78"/>
  <c r="T32" i="1"/>
  <c r="T157" i="1"/>
  <c r="T141" i="1"/>
  <c r="T16" i="1"/>
  <c r="X16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M186" i="78" s="1"/>
  <c r="F184" i="78"/>
  <c r="M184" i="78" s="1"/>
  <c r="F183" i="78"/>
  <c r="H183" i="78" s="1"/>
  <c r="F182" i="78"/>
  <c r="K182" i="78" s="1"/>
  <c r="F181" i="78"/>
  <c r="P181" i="78" s="1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L169" i="78" s="1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O186" i="78"/>
  <c r="H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K156" i="78"/>
  <c r="I156" i="78"/>
  <c r="F156" i="78"/>
  <c r="L156" i="78" s="1"/>
  <c r="P155" i="78"/>
  <c r="O155" i="78"/>
  <c r="K155" i="78"/>
  <c r="I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P120" i="78"/>
  <c r="O120" i="78"/>
  <c r="J120" i="78"/>
  <c r="J129" i="78" s="1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L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M85" i="78"/>
  <c r="K85" i="78"/>
  <c r="H85" i="78"/>
  <c r="F85" i="78"/>
  <c r="I85" i="78" s="1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P75" i="78" s="1"/>
  <c r="N74" i="78"/>
  <c r="F74" i="78"/>
  <c r="M74" i="78" s="1"/>
  <c r="N73" i="78"/>
  <c r="M73" i="78"/>
  <c r="H73" i="78"/>
  <c r="F73" i="78"/>
  <c r="P73" i="78" s="1"/>
  <c r="N72" i="78"/>
  <c r="M72" i="78"/>
  <c r="P72" i="78"/>
  <c r="N71" i="78"/>
  <c r="K71" i="78"/>
  <c r="L71" i="78"/>
  <c r="P70" i="78"/>
  <c r="N70" i="78"/>
  <c r="M70" i="78"/>
  <c r="K70" i="78"/>
  <c r="H70" i="78"/>
  <c r="F70" i="78"/>
  <c r="I70" i="78" s="1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N61" i="78"/>
  <c r="J61" i="78"/>
  <c r="P60" i="78"/>
  <c r="O60" i="78"/>
  <c r="O61" i="78" s="1"/>
  <c r="M60" i="78"/>
  <c r="L60" i="78"/>
  <c r="K60" i="78"/>
  <c r="I60" i="78"/>
  <c r="H60" i="78"/>
  <c r="H61" i="78" s="1"/>
  <c r="N59" i="78"/>
  <c r="K59" i="78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K54" i="78"/>
  <c r="I54" i="78"/>
  <c r="H54" i="78"/>
  <c r="F54" i="78"/>
  <c r="P54" i="78" s="1"/>
  <c r="N53" i="78"/>
  <c r="P52" i="78"/>
  <c r="N52" i="78"/>
  <c r="M52" i="78"/>
  <c r="K52" i="78"/>
  <c r="I52" i="78"/>
  <c r="H52" i="78"/>
  <c r="S52" i="78" s="1"/>
  <c r="U52" i="78" s="1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I46" i="78"/>
  <c r="F46" i="78"/>
  <c r="L46" i="78" s="1"/>
  <c r="R43" i="78"/>
  <c r="Q43" i="78"/>
  <c r="J43" i="78"/>
  <c r="G43" i="78"/>
  <c r="O42" i="78"/>
  <c r="O43" i="78" s="1"/>
  <c r="Q39" i="78"/>
  <c r="G39" i="78"/>
  <c r="O38" i="78"/>
  <c r="F38" i="78"/>
  <c r="I38" i="78" s="1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L24" i="78"/>
  <c r="K24" i="78"/>
  <c r="H24" i="78"/>
  <c r="F24" i="78"/>
  <c r="I24" i="78" s="1"/>
  <c r="R23" i="78"/>
  <c r="O23" i="78"/>
  <c r="M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K16" i="78"/>
  <c r="I16" i="78"/>
  <c r="H16" i="78"/>
  <c r="F16" i="78"/>
  <c r="L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F11" i="78"/>
  <c r="M11" i="78" s="1"/>
  <c r="P10" i="78"/>
  <c r="N10" i="78"/>
  <c r="N39" i="78" s="1"/>
  <c r="M10" i="78"/>
  <c r="L10" i="78"/>
  <c r="K10" i="78"/>
  <c r="I10" i="78"/>
  <c r="H10" i="78"/>
  <c r="S9" i="78"/>
  <c r="U9" i="78" s="1"/>
  <c r="N9" i="78"/>
  <c r="I4" i="78"/>
  <c r="F4" i="78"/>
  <c r="W39" i="78" l="1"/>
  <c r="Y13" i="78"/>
  <c r="S10" i="78"/>
  <c r="U10" i="78" s="1"/>
  <c r="R39" i="78"/>
  <c r="S15" i="78"/>
  <c r="U15" i="78" s="1"/>
  <c r="S29" i="78"/>
  <c r="U29" i="78" s="1"/>
  <c r="P38" i="78"/>
  <c r="K46" i="78"/>
  <c r="M59" i="78"/>
  <c r="S68" i="78"/>
  <c r="U68" i="78" s="1"/>
  <c r="L70" i="78"/>
  <c r="H74" i="78"/>
  <c r="P74" i="78"/>
  <c r="L85" i="78"/>
  <c r="K120" i="78"/>
  <c r="S135" i="78"/>
  <c r="U135" i="78" s="1"/>
  <c r="K186" i="78"/>
  <c r="P186" i="78"/>
  <c r="W76" i="78"/>
  <c r="Y76" i="78" s="1"/>
  <c r="W106" i="78"/>
  <c r="Y106" i="78" s="1"/>
  <c r="Y104" i="78"/>
  <c r="W129" i="78"/>
  <c r="Y129" i="78" s="1"/>
  <c r="Y120" i="78"/>
  <c r="S16" i="78"/>
  <c r="U16" i="78" s="1"/>
  <c r="S19" i="78"/>
  <c r="U19" i="78" s="1"/>
  <c r="M46" i="78"/>
  <c r="N56" i="78"/>
  <c r="N188" i="78" s="1"/>
  <c r="S70" i="78"/>
  <c r="U70" i="78" s="1"/>
  <c r="K74" i="78"/>
  <c r="N86" i="78"/>
  <c r="S81" i="78"/>
  <c r="U81" i="78" s="1"/>
  <c r="N99" i="78"/>
  <c r="N117" i="78"/>
  <c r="H120" i="78"/>
  <c r="L120" i="78"/>
  <c r="L155" i="78"/>
  <c r="M156" i="78"/>
  <c r="L157" i="78"/>
  <c r="L173" i="78"/>
  <c r="L177" i="78"/>
  <c r="P177" i="78"/>
  <c r="L186" i="78"/>
  <c r="W86" i="78"/>
  <c r="Y86" i="78" s="1"/>
  <c r="Y80" i="78"/>
  <c r="W99" i="78"/>
  <c r="Y99" i="78" s="1"/>
  <c r="Y90" i="78"/>
  <c r="W187" i="78"/>
  <c r="Y134" i="78"/>
  <c r="Y187" i="78" s="1"/>
  <c r="K11" i="78"/>
  <c r="L23" i="78"/>
  <c r="M24" i="78"/>
  <c r="Q188" i="78"/>
  <c r="H46" i="78"/>
  <c r="S46" i="78" s="1"/>
  <c r="U46" i="78" s="1"/>
  <c r="L54" i="78"/>
  <c r="S54" i="78" s="1"/>
  <c r="U54" i="78" s="1"/>
  <c r="I59" i="78"/>
  <c r="I61" i="78" s="1"/>
  <c r="P59" i="78"/>
  <c r="P61" i="78" s="1"/>
  <c r="N76" i="78"/>
  <c r="M75" i="78"/>
  <c r="M110" i="78"/>
  <c r="I120" i="78"/>
  <c r="H155" i="78"/>
  <c r="H156" i="78"/>
  <c r="H177" i="78"/>
  <c r="I186" i="78"/>
  <c r="S186" i="78" s="1"/>
  <c r="U186" i="78" s="1"/>
  <c r="W56" i="78"/>
  <c r="Y56" i="78" s="1"/>
  <c r="Y46" i="78"/>
  <c r="W61" i="78"/>
  <c r="Y61" i="78" s="1"/>
  <c r="W117" i="78"/>
  <c r="Y117" i="78" s="1"/>
  <c r="Y111" i="78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U23" i="78" s="1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S55" i="78" s="1"/>
  <c r="U55" i="78" s="1"/>
  <c r="H69" i="78"/>
  <c r="K73" i="78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S90" i="78"/>
  <c r="U90" i="78" s="1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S122" i="78" s="1"/>
  <c r="U122" i="78" s="1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I117" i="78" s="1"/>
  <c r="L124" i="78"/>
  <c r="I124" i="78"/>
  <c r="P124" i="78"/>
  <c r="H124" i="78"/>
  <c r="S124" i="78" s="1"/>
  <c r="U124" i="78" s="1"/>
  <c r="M124" i="78"/>
  <c r="L116" i="78"/>
  <c r="K116" i="78"/>
  <c r="P116" i="78"/>
  <c r="H116" i="78"/>
  <c r="S116" i="78" s="1"/>
  <c r="U116" i="78" s="1"/>
  <c r="P134" i="78"/>
  <c r="H134" i="78"/>
  <c r="M134" i="78"/>
  <c r="K134" i="78"/>
  <c r="I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H114" i="78"/>
  <c r="S114" i="78" s="1"/>
  <c r="U114" i="78" s="1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67" i="78" l="1"/>
  <c r="U167" i="78" s="1"/>
  <c r="S173" i="78"/>
  <c r="U173" i="78" s="1"/>
  <c r="S164" i="78"/>
  <c r="U164" i="78" s="1"/>
  <c r="S157" i="78"/>
  <c r="U157" i="78" s="1"/>
  <c r="S172" i="78"/>
  <c r="U172" i="78" s="1"/>
  <c r="S145" i="78"/>
  <c r="U145" i="78" s="1"/>
  <c r="M129" i="78"/>
  <c r="S103" i="78"/>
  <c r="U103" i="78" s="1"/>
  <c r="M106" i="78"/>
  <c r="I86" i="78"/>
  <c r="K56" i="78"/>
  <c r="K76" i="78"/>
  <c r="S50" i="78"/>
  <c r="U50" i="78" s="1"/>
  <c r="S38" i="78"/>
  <c r="U38" i="78" s="1"/>
  <c r="S174" i="78"/>
  <c r="U174" i="78" s="1"/>
  <c r="S138" i="78"/>
  <c r="U138" i="78" s="1"/>
  <c r="S126" i="78"/>
  <c r="U126" i="78" s="1"/>
  <c r="S72" i="78"/>
  <c r="U72" i="78" s="1"/>
  <c r="L56" i="78"/>
  <c r="S47" i="78"/>
  <c r="U47" i="78" s="1"/>
  <c r="L86" i="78"/>
  <c r="S160" i="78"/>
  <c r="U160" i="78" s="1"/>
  <c r="S69" i="78"/>
  <c r="U69" i="78" s="1"/>
  <c r="S156" i="78"/>
  <c r="U156" i="78" s="1"/>
  <c r="S170" i="78"/>
  <c r="U170" i="78" s="1"/>
  <c r="S151" i="78"/>
  <c r="U151" i="78" s="1"/>
  <c r="S133" i="78"/>
  <c r="U133" i="78" s="1"/>
  <c r="S98" i="78"/>
  <c r="U98" i="78" s="1"/>
  <c r="S166" i="78"/>
  <c r="U166" i="78" s="1"/>
  <c r="S112" i="78"/>
  <c r="U112" i="78" s="1"/>
  <c r="S111" i="78"/>
  <c r="U111" i="78" s="1"/>
  <c r="M86" i="78"/>
  <c r="S67" i="78"/>
  <c r="U67" i="78" s="1"/>
  <c r="S73" i="78"/>
  <c r="U73" i="78" s="1"/>
  <c r="W188" i="78"/>
  <c r="Y39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U187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P188" i="78" l="1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U188" i="78" s="1"/>
  <c r="S61" i="78"/>
  <c r="U61" i="78" s="1"/>
  <c r="S187" i="78"/>
  <c r="S39" i="78"/>
  <c r="S56" i="78"/>
  <c r="U56" i="78" s="1"/>
  <c r="S86" i="78"/>
  <c r="U86" i="78" s="1"/>
  <c r="S188" i="78" l="1"/>
  <c r="T188" i="1"/>
  <c r="T177" i="1"/>
  <c r="U133" i="1"/>
  <c r="X157" i="1" l="1"/>
  <c r="N157" i="1"/>
  <c r="L157" i="1"/>
  <c r="J157" i="1"/>
  <c r="T33" i="1"/>
  <c r="U105" i="1"/>
  <c r="U137" i="1"/>
  <c r="T123" i="1"/>
  <c r="T115" i="1"/>
  <c r="U83" i="1"/>
  <c r="U26" i="1"/>
  <c r="U13" i="1"/>
  <c r="K157" i="1" l="1"/>
  <c r="G157" i="1"/>
  <c r="O157" i="1"/>
  <c r="H157" i="1"/>
  <c r="R157" i="1" l="1"/>
  <c r="Z157" i="1" s="1"/>
  <c r="U176" i="1" l="1"/>
  <c r="Q188" i="1"/>
  <c r="Q184" i="1"/>
  <c r="U184" i="1"/>
  <c r="X184" i="1" s="1"/>
  <c r="N184" i="1"/>
  <c r="L184" i="1"/>
  <c r="K184" i="1"/>
  <c r="J184" i="1"/>
  <c r="H184" i="1"/>
  <c r="G184" i="1" l="1"/>
  <c r="O184" i="1"/>
  <c r="R184" i="1" l="1"/>
  <c r="Z184" i="1" s="1"/>
  <c r="T61" i="1"/>
  <c r="N183" i="1" l="1"/>
  <c r="X188" i="1"/>
  <c r="N188" i="1"/>
  <c r="L188" i="1"/>
  <c r="K188" i="1"/>
  <c r="J188" i="1"/>
  <c r="H188" i="1"/>
  <c r="O188" i="1"/>
  <c r="G188" i="1" l="1"/>
  <c r="R188" i="1" l="1"/>
  <c r="Z188" i="1" s="1"/>
  <c r="Q116" i="1" l="1"/>
  <c r="U84" i="1" l="1"/>
  <c r="U34" i="1"/>
  <c r="U186" i="1"/>
  <c r="U146" i="1"/>
  <c r="U140" i="1"/>
  <c r="U48" i="1"/>
  <c r="T147" i="1"/>
  <c r="N182" i="1" l="1"/>
  <c r="N181" i="1"/>
  <c r="N180" i="1"/>
  <c r="N179" i="1"/>
  <c r="N178" i="1"/>
  <c r="N148" i="1"/>
  <c r="N147" i="1"/>
  <c r="N146" i="1"/>
  <c r="M70" i="1"/>
  <c r="M68" i="1"/>
  <c r="M51" i="1"/>
  <c r="M48" i="1"/>
  <c r="M19" i="1"/>
  <c r="N156" i="1" l="1"/>
  <c r="K156" i="1"/>
  <c r="L127" i="1"/>
  <c r="X127" i="1"/>
  <c r="N127" i="1"/>
  <c r="X123" i="1"/>
  <c r="O123" i="1"/>
  <c r="N123" i="1"/>
  <c r="T30" i="1"/>
  <c r="N30" i="1"/>
  <c r="O30" i="1"/>
  <c r="T29" i="1"/>
  <c r="X29" i="1" s="1"/>
  <c r="O29" i="1"/>
  <c r="L115" i="1"/>
  <c r="X115" i="1"/>
  <c r="M115" i="1"/>
  <c r="K104" i="1"/>
  <c r="X104" i="1"/>
  <c r="K102" i="1"/>
  <c r="U106" i="1"/>
  <c r="N102" i="1"/>
  <c r="N40" i="1"/>
  <c r="N42" i="1" s="1"/>
  <c r="O33" i="1"/>
  <c r="X156" i="1" l="1"/>
  <c r="G102" i="1"/>
  <c r="H102" i="1"/>
  <c r="J102" i="1"/>
  <c r="L123" i="1"/>
  <c r="O40" i="1"/>
  <c r="O42" i="1" s="1"/>
  <c r="L30" i="1"/>
  <c r="G156" i="1"/>
  <c r="H30" i="1"/>
  <c r="O156" i="1"/>
  <c r="H156" i="1"/>
  <c r="X30" i="1"/>
  <c r="J156" i="1"/>
  <c r="L156" i="1"/>
  <c r="X102" i="1"/>
  <c r="H29" i="1"/>
  <c r="J127" i="1"/>
  <c r="J29" i="1"/>
  <c r="K127" i="1"/>
  <c r="X33" i="1"/>
  <c r="L102" i="1"/>
  <c r="J104" i="1"/>
  <c r="K29" i="1"/>
  <c r="J30" i="1"/>
  <c r="L104" i="1"/>
  <c r="L29" i="1"/>
  <c r="K30" i="1"/>
  <c r="G127" i="1"/>
  <c r="O127" i="1"/>
  <c r="H127" i="1"/>
  <c r="J123" i="1"/>
  <c r="H123" i="1"/>
  <c r="K123" i="1"/>
  <c r="G123" i="1"/>
  <c r="G29" i="1"/>
  <c r="G30" i="1"/>
  <c r="J40" i="1"/>
  <c r="J42" i="1" s="1"/>
  <c r="K115" i="1"/>
  <c r="K40" i="1"/>
  <c r="K42" i="1" s="1"/>
  <c r="X40" i="1"/>
  <c r="X42" i="1" s="1"/>
  <c r="O102" i="1"/>
  <c r="O115" i="1"/>
  <c r="G115" i="1"/>
  <c r="H40" i="1"/>
  <c r="H42" i="1" s="1"/>
  <c r="H115" i="1"/>
  <c r="J115" i="1"/>
  <c r="O104" i="1"/>
  <c r="G104" i="1"/>
  <c r="H104" i="1"/>
  <c r="L40" i="1"/>
  <c r="L42" i="1" s="1"/>
  <c r="G40" i="1"/>
  <c r="G42" i="1" s="1"/>
  <c r="G33" i="1"/>
  <c r="H33" i="1"/>
  <c r="J33" i="1"/>
  <c r="K33" i="1"/>
  <c r="L33" i="1"/>
  <c r="R102" i="1" l="1"/>
  <c r="Z102" i="1" s="1"/>
  <c r="R123" i="1"/>
  <c r="Z123" i="1" s="1"/>
  <c r="R40" i="1"/>
  <c r="R42" i="1" s="1"/>
  <c r="R156" i="1"/>
  <c r="Z156" i="1" s="1"/>
  <c r="R127" i="1"/>
  <c r="Z127" i="1" s="1"/>
  <c r="R30" i="1"/>
  <c r="Z30" i="1" s="1"/>
  <c r="R104" i="1"/>
  <c r="Z104" i="1" s="1"/>
  <c r="R29" i="1"/>
  <c r="Z29" i="1" s="1"/>
  <c r="R115" i="1"/>
  <c r="R33" i="1"/>
  <c r="Z33" i="1" s="1"/>
  <c r="Z115" i="1" l="1"/>
  <c r="Z40" i="1"/>
  <c r="Z42" i="1" l="1"/>
  <c r="N26" i="1" l="1"/>
  <c r="M21" i="1"/>
  <c r="Q11" i="1"/>
  <c r="C165" i="68"/>
  <c r="F55" i="68" l="1"/>
  <c r="X52" i="1" l="1"/>
  <c r="X148" i="1"/>
  <c r="X151" i="1"/>
  <c r="X60" i="1"/>
  <c r="X51" i="1"/>
  <c r="X28" i="1"/>
  <c r="X7" i="1"/>
  <c r="U185" i="1" l="1"/>
  <c r="U173" i="1"/>
  <c r="U171" i="1"/>
  <c r="X185" i="1" l="1"/>
  <c r="X152" i="1"/>
  <c r="T45" i="1"/>
  <c r="U24" i="1"/>
  <c r="T13" i="1"/>
  <c r="X13" i="1" s="1"/>
  <c r="X46" i="1" l="1"/>
  <c r="Q183" i="1" l="1"/>
  <c r="N187" i="1"/>
  <c r="Q187" i="1"/>
  <c r="Q186" i="1"/>
  <c r="Q185" i="1"/>
  <c r="Q182" i="1"/>
  <c r="Q181" i="1"/>
  <c r="Q180" i="1"/>
  <c r="Q179" i="1"/>
  <c r="Q178" i="1"/>
  <c r="N177" i="1"/>
  <c r="Q177" i="1"/>
  <c r="N176" i="1"/>
  <c r="Q176" i="1"/>
  <c r="N175" i="1"/>
  <c r="Q175" i="1"/>
  <c r="N174" i="1"/>
  <c r="Q174" i="1"/>
  <c r="Q173" i="1"/>
  <c r="Q172" i="1"/>
  <c r="Q171" i="1"/>
  <c r="Q170" i="1"/>
  <c r="Q169" i="1"/>
  <c r="Q168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55" i="1"/>
  <c r="N144" i="1"/>
  <c r="N141" i="1"/>
  <c r="N143" i="1"/>
  <c r="N142" i="1"/>
  <c r="N140" i="1"/>
  <c r="N139" i="1"/>
  <c r="N133" i="1"/>
  <c r="N126" i="1"/>
  <c r="N125" i="1"/>
  <c r="N124" i="1"/>
  <c r="N122" i="1"/>
  <c r="N15" i="1"/>
  <c r="N121" i="1"/>
  <c r="N120" i="1"/>
  <c r="N119" i="1"/>
  <c r="N105" i="1"/>
  <c r="N103" i="1"/>
  <c r="N61" i="1"/>
  <c r="N25" i="1"/>
  <c r="N23" i="1"/>
  <c r="N24" i="1"/>
  <c r="N20" i="1"/>
  <c r="N18" i="1"/>
  <c r="N17" i="1"/>
  <c r="N16" i="1"/>
  <c r="N10" i="1"/>
  <c r="N37" i="1" l="1"/>
  <c r="N130" i="1"/>
  <c r="N189" i="1"/>
  <c r="N106" i="1"/>
  <c r="N190" i="1" l="1"/>
  <c r="T14" i="1"/>
  <c r="T95" i="1" l="1"/>
  <c r="U174" i="1" l="1"/>
  <c r="U144" i="1"/>
  <c r="T125" i="1"/>
  <c r="Q22" i="1"/>
  <c r="T64" i="1"/>
  <c r="T47" i="1"/>
  <c r="U17" i="1"/>
  <c r="X17" i="1" s="1"/>
  <c r="M113" i="1" l="1"/>
  <c r="M114" i="1"/>
  <c r="M112" i="1"/>
  <c r="M111" i="1"/>
  <c r="M109" i="1"/>
  <c r="M95" i="1"/>
  <c r="M94" i="1"/>
  <c r="M93" i="1"/>
  <c r="M90" i="1"/>
  <c r="M89" i="1"/>
  <c r="M84" i="1"/>
  <c r="M82" i="1"/>
  <c r="M81" i="1"/>
  <c r="M80" i="1"/>
  <c r="M76" i="1"/>
  <c r="M75" i="1"/>
  <c r="M74" i="1"/>
  <c r="M69" i="1"/>
  <c r="M67" i="1"/>
  <c r="M66" i="1"/>
  <c r="M65" i="1"/>
  <c r="M64" i="1"/>
  <c r="M60" i="1"/>
  <c r="M61" i="1" s="1"/>
  <c r="M53" i="1"/>
  <c r="M50" i="1"/>
  <c r="M47" i="1"/>
  <c r="M46" i="1"/>
  <c r="M45" i="1"/>
  <c r="M9" i="1"/>
  <c r="M8" i="1"/>
  <c r="M7" i="1"/>
  <c r="M37" i="1" l="1"/>
  <c r="M85" i="1"/>
  <c r="M57" i="1"/>
  <c r="M99" i="1"/>
  <c r="M116" i="1"/>
  <c r="M77" i="1"/>
  <c r="R7" i="1"/>
  <c r="U113" i="1" l="1"/>
  <c r="U116" i="1" s="1"/>
  <c r="U68" i="1"/>
  <c r="T68" i="1"/>
  <c r="T145" i="1"/>
  <c r="X113" i="1" l="1"/>
  <c r="U179" i="1" l="1"/>
  <c r="U80" i="1"/>
  <c r="U85" i="1" s="1"/>
  <c r="X80" i="1" l="1"/>
  <c r="T138" i="1"/>
  <c r="T24" i="1"/>
  <c r="X24" i="1" s="1"/>
  <c r="U124" i="1" l="1"/>
  <c r="U175" i="1"/>
  <c r="X175" i="1" l="1"/>
  <c r="X88" i="1" l="1"/>
  <c r="X141" i="1"/>
  <c r="X180" i="1"/>
  <c r="X187" i="1"/>
  <c r="X178" i="1"/>
  <c r="X181" i="1"/>
  <c r="X166" i="1"/>
  <c r="X163" i="1"/>
  <c r="U162" i="1"/>
  <c r="T135" i="1"/>
  <c r="T114" i="1"/>
  <c r="T84" i="1"/>
  <c r="X74" i="1"/>
  <c r="T183" i="1"/>
  <c r="L183" i="1"/>
  <c r="X84" i="1" l="1"/>
  <c r="T85" i="1"/>
  <c r="X183" i="1"/>
  <c r="H183" i="1"/>
  <c r="G183" i="1"/>
  <c r="O183" i="1"/>
  <c r="K183" i="1"/>
  <c r="J183" i="1"/>
  <c r="R183" i="1" l="1"/>
  <c r="Z183" i="1" l="1"/>
  <c r="X76" i="1"/>
  <c r="X75" i="1"/>
  <c r="X114" i="1" l="1"/>
  <c r="J114" i="1"/>
  <c r="L95" i="1"/>
  <c r="L94" i="1"/>
  <c r="O21" i="1"/>
  <c r="X95" i="1"/>
  <c r="X94" i="1"/>
  <c r="X32" i="1"/>
  <c r="L34" i="1"/>
  <c r="L32" i="1"/>
  <c r="T34" i="1"/>
  <c r="H84" i="1"/>
  <c r="X82" i="1"/>
  <c r="O82" i="1"/>
  <c r="L82" i="1"/>
  <c r="K82" i="1"/>
  <c r="J82" i="1"/>
  <c r="H82" i="1"/>
  <c r="G82" i="1"/>
  <c r="O81" i="1"/>
  <c r="L81" i="1"/>
  <c r="K81" i="1"/>
  <c r="J81" i="1"/>
  <c r="H81" i="1"/>
  <c r="G81" i="1"/>
  <c r="X81" i="1" l="1"/>
  <c r="X34" i="1"/>
  <c r="K114" i="1"/>
  <c r="L114" i="1"/>
  <c r="G114" i="1"/>
  <c r="O114" i="1"/>
  <c r="K34" i="1"/>
  <c r="H114" i="1"/>
  <c r="K95" i="1"/>
  <c r="H21" i="1"/>
  <c r="J21" i="1"/>
  <c r="L21" i="1"/>
  <c r="G94" i="1"/>
  <c r="O94" i="1"/>
  <c r="K21" i="1"/>
  <c r="H94" i="1"/>
  <c r="G95" i="1"/>
  <c r="O95" i="1"/>
  <c r="J94" i="1"/>
  <c r="K94" i="1"/>
  <c r="J95" i="1"/>
  <c r="H95" i="1"/>
  <c r="G21" i="1"/>
  <c r="J84" i="1"/>
  <c r="K84" i="1"/>
  <c r="R81" i="1"/>
  <c r="Z81" i="1" s="1"/>
  <c r="L84" i="1"/>
  <c r="R82" i="1"/>
  <c r="Z82" i="1" s="1"/>
  <c r="G84" i="1"/>
  <c r="O84" i="1"/>
  <c r="O32" i="1"/>
  <c r="H32" i="1"/>
  <c r="G34" i="1"/>
  <c r="O34" i="1"/>
  <c r="H34" i="1"/>
  <c r="K32" i="1"/>
  <c r="J34" i="1"/>
  <c r="G32" i="1"/>
  <c r="J32" i="1"/>
  <c r="R21" i="1" l="1"/>
  <c r="Z21" i="1" s="1"/>
  <c r="R114" i="1"/>
  <c r="Z114" i="1" s="1"/>
  <c r="R94" i="1"/>
  <c r="Z94" i="1" s="1"/>
  <c r="R95" i="1"/>
  <c r="Z95" i="1" s="1"/>
  <c r="R84" i="1"/>
  <c r="Z84" i="1" s="1"/>
  <c r="R34" i="1"/>
  <c r="Z34" i="1" s="1"/>
  <c r="R32" i="1"/>
  <c r="Z32" i="1" s="1"/>
  <c r="O76" i="1"/>
  <c r="K76" i="1"/>
  <c r="G76" i="1"/>
  <c r="L76" i="1"/>
  <c r="L75" i="1"/>
  <c r="H75" i="1"/>
  <c r="G75" i="1"/>
  <c r="O75" i="1"/>
  <c r="J67" i="1"/>
  <c r="O65" i="1"/>
  <c r="L65" i="1"/>
  <c r="K65" i="1"/>
  <c r="J65" i="1"/>
  <c r="H65" i="1"/>
  <c r="G65" i="1"/>
  <c r="O10" i="1"/>
  <c r="L16" i="1"/>
  <c r="K16" i="1"/>
  <c r="J16" i="1"/>
  <c r="O16" i="1"/>
  <c r="J11" i="1"/>
  <c r="H31" i="1"/>
  <c r="R65" i="1" l="1"/>
  <c r="Z65" i="1" s="1"/>
  <c r="X67" i="1"/>
  <c r="X61" i="1"/>
  <c r="X31" i="1"/>
  <c r="O11" i="1"/>
  <c r="K10" i="1"/>
  <c r="J10" i="1"/>
  <c r="K11" i="1"/>
  <c r="K67" i="1"/>
  <c r="H10" i="1"/>
  <c r="L10" i="1"/>
  <c r="G11" i="1"/>
  <c r="G31" i="1"/>
  <c r="J74" i="1"/>
  <c r="K74" i="1"/>
  <c r="J75" i="1"/>
  <c r="H76" i="1"/>
  <c r="L74" i="1"/>
  <c r="K75" i="1"/>
  <c r="J76" i="1"/>
  <c r="G74" i="1"/>
  <c r="O74" i="1"/>
  <c r="H74" i="1"/>
  <c r="L67" i="1"/>
  <c r="O67" i="1"/>
  <c r="G67" i="1"/>
  <c r="H67" i="1"/>
  <c r="G10" i="1"/>
  <c r="H16" i="1"/>
  <c r="G16" i="1"/>
  <c r="L11" i="1"/>
  <c r="H11" i="1"/>
  <c r="J31" i="1"/>
  <c r="L31" i="1"/>
  <c r="K31" i="1"/>
  <c r="O31" i="1"/>
  <c r="R31" i="1" l="1"/>
  <c r="Z31" i="1" s="1"/>
  <c r="R10" i="1"/>
  <c r="Z10" i="1" s="1"/>
  <c r="R11" i="1"/>
  <c r="Z11" i="1" s="1"/>
  <c r="R16" i="1"/>
  <c r="Z16" i="1" s="1"/>
  <c r="R67" i="1"/>
  <c r="Z67" i="1" s="1"/>
  <c r="R76" i="1"/>
  <c r="Z76" i="1" s="1"/>
  <c r="R75" i="1"/>
  <c r="R74" i="1"/>
  <c r="Z74" i="1" s="1"/>
  <c r="Z75" i="1" l="1"/>
  <c r="X138" i="1" l="1"/>
  <c r="X89" i="1" l="1"/>
  <c r="X165" i="1" l="1"/>
  <c r="X144" i="1"/>
  <c r="X136" i="1"/>
  <c r="X126" i="1"/>
  <c r="X125" i="1"/>
  <c r="X122" i="1"/>
  <c r="X53" i="1"/>
  <c r="X83" i="1"/>
  <c r="X85" i="1" s="1"/>
  <c r="X49" i="1" l="1"/>
  <c r="X135" i="1"/>
  <c r="D50" i="61"/>
  <c r="B8" i="61"/>
  <c r="D7" i="61"/>
  <c r="D6" i="61"/>
  <c r="D5" i="61"/>
  <c r="X162" i="1" l="1"/>
  <c r="X167" i="1"/>
  <c r="X168" i="1"/>
  <c r="X171" i="1"/>
  <c r="X172" i="1"/>
  <c r="X173" i="1"/>
  <c r="X174" i="1"/>
  <c r="X176" i="1"/>
  <c r="X179" i="1"/>
  <c r="X186" i="1"/>
  <c r="X177" i="1"/>
  <c r="X161" i="1"/>
  <c r="X154" i="1"/>
  <c r="X124" i="1"/>
  <c r="X93" i="1"/>
  <c r="U77" i="1"/>
  <c r="X170" i="1" l="1"/>
  <c r="I122" i="1"/>
  <c r="I15" i="1"/>
  <c r="I37" i="1" s="1"/>
  <c r="I89" i="1"/>
  <c r="I90" i="1"/>
  <c r="I99" i="1" l="1"/>
  <c r="K145" i="1" l="1"/>
  <c r="O145" i="1" l="1"/>
  <c r="J145" i="1"/>
  <c r="H145" i="1"/>
  <c r="L145" i="1"/>
  <c r="G145" i="1"/>
  <c r="R145" i="1" l="1"/>
  <c r="U120" i="1" l="1"/>
  <c r="X73" i="1"/>
  <c r="T26" i="1"/>
  <c r="X26" i="1" s="1"/>
  <c r="U142" i="1" l="1"/>
  <c r="T50" i="1"/>
  <c r="X50" i="1" s="1"/>
  <c r="U14" i="1"/>
  <c r="X14" i="1" s="1"/>
  <c r="U37" i="1" l="1"/>
  <c r="X145" i="1" l="1"/>
  <c r="Z145" i="1" s="1"/>
  <c r="T153" i="1" l="1"/>
  <c r="X153" i="1" s="1"/>
  <c r="X147" i="1"/>
  <c r="T120" i="1"/>
  <c r="T130" i="1" s="1"/>
  <c r="T66" i="1" l="1"/>
  <c r="U91" i="1"/>
  <c r="U99" i="1" s="1"/>
  <c r="X66" i="1" l="1"/>
  <c r="T155" i="1"/>
  <c r="X155" i="1" s="1"/>
  <c r="T133" i="1" l="1"/>
  <c r="T12" i="1"/>
  <c r="X12" i="1" s="1"/>
  <c r="O155" i="1" l="1"/>
  <c r="L155" i="1"/>
  <c r="K155" i="1"/>
  <c r="J155" i="1"/>
  <c r="H155" i="1"/>
  <c r="G155" i="1"/>
  <c r="R155" i="1" l="1"/>
  <c r="Z155" i="1" s="1"/>
  <c r="Q19" i="1" l="1"/>
  <c r="Q9" i="1"/>
  <c r="U47" i="1" l="1"/>
  <c r="U57" i="1" s="1"/>
  <c r="X47" i="1" l="1"/>
  <c r="U164" i="1"/>
  <c r="T137" i="1"/>
  <c r="T112" i="1"/>
  <c r="X112" i="1" s="1"/>
  <c r="X164" i="1" l="1"/>
  <c r="X137" i="1"/>
  <c r="X121" i="1" l="1"/>
  <c r="Q120" i="1" l="1"/>
  <c r="Q12" i="1"/>
  <c r="O187" i="1" l="1"/>
  <c r="J187" i="1"/>
  <c r="H187" i="1"/>
  <c r="L187" i="1"/>
  <c r="K187" i="1" l="1"/>
  <c r="G187" i="1"/>
  <c r="R187" i="1" l="1"/>
  <c r="I64" i="1"/>
  <c r="I77" i="1" s="1"/>
  <c r="X64" i="1" l="1"/>
  <c r="L64" i="1"/>
  <c r="O64" i="1"/>
  <c r="K64" i="1"/>
  <c r="G64" i="1"/>
  <c r="H64" i="1"/>
  <c r="J64" i="1"/>
  <c r="Q125" i="1"/>
  <c r="Q130" i="1" s="1"/>
  <c r="R64" i="1" l="1"/>
  <c r="Z64" i="1" l="1"/>
  <c r="U130" i="1" l="1"/>
  <c r="L109" i="1" l="1"/>
  <c r="G109" i="1" l="1"/>
  <c r="O109" i="1"/>
  <c r="H109" i="1"/>
  <c r="K109" i="1"/>
  <c r="J109" i="1"/>
  <c r="O26" i="1"/>
  <c r="L22" i="1"/>
  <c r="R109" i="1" l="1"/>
  <c r="H22" i="1"/>
  <c r="O22" i="1"/>
  <c r="J26" i="1"/>
  <c r="K26" i="1"/>
  <c r="G26" i="1"/>
  <c r="L26" i="1"/>
  <c r="H26" i="1"/>
  <c r="J22" i="1"/>
  <c r="K22" i="1"/>
  <c r="G22" i="1"/>
  <c r="R22" i="1" l="1"/>
  <c r="Z22" i="1" s="1"/>
  <c r="R26" i="1"/>
  <c r="Z26" i="1" s="1"/>
  <c r="U169" i="1" l="1"/>
  <c r="U189" i="1" s="1"/>
  <c r="U190" i="1" s="1"/>
  <c r="X169" i="1" l="1"/>
  <c r="Q20" i="1"/>
  <c r="Q37" i="1" s="1"/>
  <c r="X120" i="1" l="1"/>
  <c r="I133" i="1"/>
  <c r="I189" i="1" s="1"/>
  <c r="I119" i="1"/>
  <c r="I130" i="1" s="1"/>
  <c r="X133" i="1" l="1"/>
  <c r="X119" i="1"/>
  <c r="X130" i="1" s="1"/>
  <c r="X45" i="1" l="1"/>
  <c r="Z187" i="1"/>
  <c r="T25" i="1" l="1"/>
  <c r="T37" i="1" l="1"/>
  <c r="X25" i="1"/>
  <c r="X37" i="1" s="1"/>
  <c r="X140" i="1"/>
  <c r="G45" i="1"/>
  <c r="H45" i="1"/>
  <c r="J45" i="1"/>
  <c r="K45" i="1"/>
  <c r="L45" i="1"/>
  <c r="O45" i="1"/>
  <c r="R45" i="1" l="1"/>
  <c r="Z45" i="1" l="1"/>
  <c r="X70" i="1"/>
  <c r="X68" i="1" l="1"/>
  <c r="X139" i="1"/>
  <c r="O28" i="1" l="1"/>
  <c r="L28" i="1"/>
  <c r="K28" i="1"/>
  <c r="J28" i="1"/>
  <c r="H28" i="1"/>
  <c r="G28" i="1"/>
  <c r="R28" i="1" l="1"/>
  <c r="Z28" i="1" s="1"/>
  <c r="T105" i="1" l="1"/>
  <c r="T106" i="1" s="1"/>
  <c r="X90" i="1" l="1"/>
  <c r="X105" i="1"/>
  <c r="X111" i="1"/>
  <c r="X103" i="1"/>
  <c r="L180" i="1"/>
  <c r="X106" i="1" l="1"/>
  <c r="X142" i="1"/>
  <c r="G24" i="1" l="1"/>
  <c r="H24" i="1"/>
  <c r="J24" i="1"/>
  <c r="K24" i="1"/>
  <c r="L24" i="1"/>
  <c r="O24" i="1"/>
  <c r="G153" i="1"/>
  <c r="H153" i="1"/>
  <c r="J153" i="1"/>
  <c r="K153" i="1"/>
  <c r="L153" i="1"/>
  <c r="O153" i="1"/>
  <c r="R24" i="1" l="1"/>
  <c r="Z24" i="1" s="1"/>
  <c r="R153" i="1"/>
  <c r="G25" i="1" l="1"/>
  <c r="H25" i="1"/>
  <c r="J25" i="1"/>
  <c r="K25" i="1"/>
  <c r="L25" i="1"/>
  <c r="O25" i="1"/>
  <c r="R25" i="1" l="1"/>
  <c r="Z25" i="1" s="1"/>
  <c r="G175" i="1"/>
  <c r="H175" i="1"/>
  <c r="J175" i="1"/>
  <c r="K175" i="1"/>
  <c r="L175" i="1"/>
  <c r="O175" i="1"/>
  <c r="G88" i="1"/>
  <c r="H88" i="1"/>
  <c r="J88" i="1"/>
  <c r="K88" i="1"/>
  <c r="L88" i="1"/>
  <c r="O88" i="1"/>
  <c r="R88" i="1" l="1"/>
  <c r="R175" i="1"/>
  <c r="Z175" i="1" s="1"/>
  <c r="Z88" i="1" l="1"/>
  <c r="Z153" i="1"/>
  <c r="O73" i="1"/>
  <c r="L73" i="1"/>
  <c r="K73" i="1"/>
  <c r="J73" i="1"/>
  <c r="H73" i="1"/>
  <c r="G73" i="1"/>
  <c r="G154" i="1"/>
  <c r="H154" i="1"/>
  <c r="J154" i="1"/>
  <c r="K154" i="1"/>
  <c r="L154" i="1"/>
  <c r="O154" i="1"/>
  <c r="G144" i="1"/>
  <c r="H144" i="1"/>
  <c r="J144" i="1"/>
  <c r="K144" i="1"/>
  <c r="L144" i="1"/>
  <c r="O144" i="1"/>
  <c r="R154" i="1" l="1"/>
  <c r="R144" i="1"/>
  <c r="R73" i="1"/>
  <c r="O113" i="1"/>
  <c r="L113" i="1"/>
  <c r="K113" i="1"/>
  <c r="J113" i="1"/>
  <c r="H113" i="1"/>
  <c r="G113" i="1"/>
  <c r="O142" i="1"/>
  <c r="L142" i="1"/>
  <c r="K142" i="1"/>
  <c r="J142" i="1"/>
  <c r="H142" i="1"/>
  <c r="G142" i="1"/>
  <c r="Z154" i="1" l="1"/>
  <c r="Z73" i="1"/>
  <c r="R113" i="1"/>
  <c r="Z113" i="1" s="1"/>
  <c r="R142" i="1"/>
  <c r="Z142" i="1" s="1"/>
  <c r="G152" i="1"/>
  <c r="H152" i="1"/>
  <c r="J152" i="1"/>
  <c r="K152" i="1"/>
  <c r="L152" i="1"/>
  <c r="O152" i="1"/>
  <c r="R152" i="1" l="1"/>
  <c r="Z152" i="1" s="1"/>
  <c r="G186" i="1" l="1"/>
  <c r="H186" i="1"/>
  <c r="J186" i="1"/>
  <c r="K186" i="1"/>
  <c r="L186" i="1"/>
  <c r="O186" i="1"/>
  <c r="G185" i="1"/>
  <c r="H185" i="1"/>
  <c r="J185" i="1"/>
  <c r="K185" i="1"/>
  <c r="L185" i="1"/>
  <c r="O185" i="1"/>
  <c r="R185" i="1" l="1"/>
  <c r="R186" i="1"/>
  <c r="Z186" i="1" s="1"/>
  <c r="G174" i="1"/>
  <c r="H174" i="1"/>
  <c r="J174" i="1"/>
  <c r="K174" i="1"/>
  <c r="L174" i="1"/>
  <c r="O174" i="1"/>
  <c r="R174" i="1" l="1"/>
  <c r="G151" i="1"/>
  <c r="H151" i="1"/>
  <c r="J151" i="1"/>
  <c r="K151" i="1"/>
  <c r="L151" i="1"/>
  <c r="O151" i="1"/>
  <c r="R151" i="1" l="1"/>
  <c r="Z151" i="1" s="1"/>
  <c r="G68" i="1"/>
  <c r="H68" i="1"/>
  <c r="J68" i="1"/>
  <c r="K68" i="1"/>
  <c r="L68" i="1"/>
  <c r="O68" i="1"/>
  <c r="R68" i="1" l="1"/>
  <c r="Z68" i="1" l="1"/>
  <c r="O9" i="1"/>
  <c r="L9" i="1"/>
  <c r="K9" i="1"/>
  <c r="J9" i="1"/>
  <c r="H9" i="1"/>
  <c r="G9" i="1"/>
  <c r="R9" i="1" l="1"/>
  <c r="Z9" i="1" s="1"/>
  <c r="Z7" i="1" l="1"/>
  <c r="Z174" i="1" l="1"/>
  <c r="T109" i="1" l="1"/>
  <c r="T116" i="1" s="1"/>
  <c r="X109" i="1" l="1"/>
  <c r="X116" i="1" s="1"/>
  <c r="T146" i="1" l="1"/>
  <c r="X146" i="1" s="1"/>
  <c r="T182" i="1" l="1"/>
  <c r="X182" i="1" l="1"/>
  <c r="Z185" i="1"/>
  <c r="G19" i="1" l="1"/>
  <c r="H19" i="1"/>
  <c r="J19" i="1"/>
  <c r="K19" i="1"/>
  <c r="L19" i="1"/>
  <c r="O19" i="1"/>
  <c r="O17" i="1"/>
  <c r="L17" i="1"/>
  <c r="K17" i="1"/>
  <c r="J17" i="1"/>
  <c r="H17" i="1"/>
  <c r="G17" i="1"/>
  <c r="R19" i="1" l="1"/>
  <c r="Z19" i="1" s="1"/>
  <c r="R17" i="1"/>
  <c r="Z17" i="1" s="1"/>
  <c r="O180" i="1" l="1"/>
  <c r="K180" i="1"/>
  <c r="J180" i="1"/>
  <c r="H180" i="1"/>
  <c r="G180" i="1"/>
  <c r="R180" i="1" l="1"/>
  <c r="Z180" i="1" s="1"/>
  <c r="L181" i="1" l="1"/>
  <c r="O179" i="1"/>
  <c r="L179" i="1"/>
  <c r="K179" i="1"/>
  <c r="J179" i="1"/>
  <c r="H179" i="1"/>
  <c r="G179" i="1"/>
  <c r="R179" i="1" l="1"/>
  <c r="Z179" i="1" s="1"/>
  <c r="Z109" i="1"/>
  <c r="T92" i="1" l="1"/>
  <c r="X92" i="1" s="1"/>
  <c r="G182" i="1" l="1"/>
  <c r="H182" i="1"/>
  <c r="J182" i="1"/>
  <c r="K182" i="1"/>
  <c r="L182" i="1"/>
  <c r="O182" i="1"/>
  <c r="G148" i="1"/>
  <c r="H148" i="1"/>
  <c r="J148" i="1"/>
  <c r="K148" i="1"/>
  <c r="L148" i="1"/>
  <c r="O148" i="1"/>
  <c r="R148" i="1" l="1"/>
  <c r="Z148" i="1" s="1"/>
  <c r="R182" i="1"/>
  <c r="Z182" i="1" s="1"/>
  <c r="O14" i="1" l="1"/>
  <c r="L14" i="1"/>
  <c r="K14" i="1"/>
  <c r="J14" i="1"/>
  <c r="H14" i="1"/>
  <c r="G14" i="1"/>
  <c r="R14" i="1" l="1"/>
  <c r="G181" i="1"/>
  <c r="H181" i="1"/>
  <c r="J181" i="1"/>
  <c r="K181" i="1"/>
  <c r="O181" i="1"/>
  <c r="G147" i="1"/>
  <c r="H147" i="1"/>
  <c r="J147" i="1"/>
  <c r="K147" i="1"/>
  <c r="L147" i="1"/>
  <c r="O147" i="1"/>
  <c r="Z14" i="1" l="1"/>
  <c r="R181" i="1"/>
  <c r="Z181" i="1" s="1"/>
  <c r="R147" i="1"/>
  <c r="Z147" i="1" s="1"/>
  <c r="G178" i="1" l="1"/>
  <c r="H178" i="1"/>
  <c r="J178" i="1"/>
  <c r="K178" i="1"/>
  <c r="L178" i="1"/>
  <c r="O178" i="1"/>
  <c r="G146" i="1"/>
  <c r="H146" i="1"/>
  <c r="J146" i="1"/>
  <c r="K146" i="1"/>
  <c r="L146" i="1"/>
  <c r="O146" i="1"/>
  <c r="R146" i="1" l="1"/>
  <c r="R178" i="1"/>
  <c r="Z178" i="1" l="1"/>
  <c r="G177" i="1"/>
  <c r="H177" i="1"/>
  <c r="J177" i="1"/>
  <c r="K177" i="1"/>
  <c r="L177" i="1"/>
  <c r="O177" i="1"/>
  <c r="R177" i="1" l="1"/>
  <c r="Z177" i="1" s="1"/>
  <c r="O50" i="1" l="1"/>
  <c r="L50" i="1"/>
  <c r="K50" i="1"/>
  <c r="J50" i="1"/>
  <c r="H50" i="1"/>
  <c r="G50" i="1"/>
  <c r="R50" i="1" l="1"/>
  <c r="Z50" i="1" s="1"/>
  <c r="T69" i="1"/>
  <c r="T77" i="1" s="1"/>
  <c r="T48" i="1"/>
  <c r="T57" i="1" s="1"/>
  <c r="X48" i="1" l="1"/>
  <c r="X57" i="1" s="1"/>
  <c r="X69" i="1"/>
  <c r="X77" i="1" s="1"/>
  <c r="Z144" i="1"/>
  <c r="G135" i="1" l="1"/>
  <c r="H135" i="1"/>
  <c r="J135" i="1"/>
  <c r="K135" i="1"/>
  <c r="L135" i="1"/>
  <c r="O135" i="1"/>
  <c r="R135" i="1" l="1"/>
  <c r="Z135" i="1" l="1"/>
  <c r="L140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 s="1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 s="1"/>
  <c r="O176" i="1"/>
  <c r="L176" i="1"/>
  <c r="K176" i="1"/>
  <c r="J176" i="1"/>
  <c r="H176" i="1"/>
  <c r="G176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41" i="1"/>
  <c r="L141" i="1"/>
  <c r="K141" i="1"/>
  <c r="J141" i="1"/>
  <c r="H141" i="1"/>
  <c r="G141" i="1"/>
  <c r="T143" i="1"/>
  <c r="T189" i="1" s="1"/>
  <c r="O143" i="1"/>
  <c r="L143" i="1"/>
  <c r="K143" i="1"/>
  <c r="J143" i="1"/>
  <c r="H143" i="1"/>
  <c r="G143" i="1"/>
  <c r="O138" i="1"/>
  <c r="L138" i="1"/>
  <c r="K138" i="1"/>
  <c r="J138" i="1"/>
  <c r="H138" i="1"/>
  <c r="G138" i="1"/>
  <c r="O137" i="1"/>
  <c r="L137" i="1"/>
  <c r="K137" i="1"/>
  <c r="J137" i="1"/>
  <c r="H137" i="1"/>
  <c r="G137" i="1"/>
  <c r="O136" i="1"/>
  <c r="L136" i="1"/>
  <c r="K136" i="1"/>
  <c r="J136" i="1"/>
  <c r="H136" i="1"/>
  <c r="G136" i="1"/>
  <c r="O126" i="1"/>
  <c r="L126" i="1"/>
  <c r="K126" i="1"/>
  <c r="J126" i="1"/>
  <c r="H126" i="1"/>
  <c r="G126" i="1"/>
  <c r="O125" i="1"/>
  <c r="L125" i="1"/>
  <c r="K125" i="1"/>
  <c r="J125" i="1"/>
  <c r="H125" i="1"/>
  <c r="G125" i="1"/>
  <c r="O124" i="1"/>
  <c r="L124" i="1"/>
  <c r="E9" i="11" s="1"/>
  <c r="D9" i="11" s="1"/>
  <c r="K124" i="1"/>
  <c r="J124" i="1"/>
  <c r="E7" i="11" s="1"/>
  <c r="D7" i="11" s="1"/>
  <c r="H124" i="1"/>
  <c r="G124" i="1"/>
  <c r="O139" i="1"/>
  <c r="L139" i="1"/>
  <c r="K139" i="1"/>
  <c r="J139" i="1"/>
  <c r="H139" i="1"/>
  <c r="G139" i="1"/>
  <c r="O70" i="1"/>
  <c r="L70" i="1"/>
  <c r="K70" i="1"/>
  <c r="J70" i="1"/>
  <c r="H70" i="1"/>
  <c r="G70" i="1"/>
  <c r="O121" i="1"/>
  <c r="L121" i="1"/>
  <c r="K121" i="1"/>
  <c r="J121" i="1"/>
  <c r="H121" i="1"/>
  <c r="G121" i="1"/>
  <c r="O120" i="1"/>
  <c r="L120" i="1"/>
  <c r="K120" i="1"/>
  <c r="J120" i="1"/>
  <c r="H120" i="1"/>
  <c r="G120" i="1"/>
  <c r="O133" i="1"/>
  <c r="L133" i="1"/>
  <c r="K133" i="1"/>
  <c r="J133" i="1"/>
  <c r="H133" i="1"/>
  <c r="G133" i="1"/>
  <c r="O119" i="1"/>
  <c r="L119" i="1"/>
  <c r="K119" i="1"/>
  <c r="J119" i="1"/>
  <c r="H119" i="1"/>
  <c r="G119" i="1"/>
  <c r="O83" i="1"/>
  <c r="L83" i="1"/>
  <c r="K83" i="1"/>
  <c r="J83" i="1"/>
  <c r="H83" i="1"/>
  <c r="G83" i="1"/>
  <c r="O93" i="1"/>
  <c r="L93" i="1"/>
  <c r="K93" i="1"/>
  <c r="J93" i="1"/>
  <c r="H93" i="1"/>
  <c r="G93" i="1"/>
  <c r="O140" i="1"/>
  <c r="K140" i="1"/>
  <c r="J140" i="1"/>
  <c r="H140" i="1"/>
  <c r="G140" i="1"/>
  <c r="O69" i="1"/>
  <c r="L69" i="1"/>
  <c r="K69" i="1"/>
  <c r="J69" i="1"/>
  <c r="H69" i="1"/>
  <c r="G69" i="1"/>
  <c r="O112" i="1"/>
  <c r="L112" i="1"/>
  <c r="K112" i="1"/>
  <c r="J112" i="1"/>
  <c r="H112" i="1"/>
  <c r="G112" i="1"/>
  <c r="O92" i="1"/>
  <c r="L92" i="1"/>
  <c r="K92" i="1"/>
  <c r="J92" i="1"/>
  <c r="H92" i="1"/>
  <c r="G92" i="1"/>
  <c r="O103" i="1"/>
  <c r="L103" i="1"/>
  <c r="K103" i="1"/>
  <c r="J103" i="1"/>
  <c r="H103" i="1"/>
  <c r="G103" i="1"/>
  <c r="T91" i="1"/>
  <c r="T99" i="1" s="1"/>
  <c r="O91" i="1"/>
  <c r="L91" i="1"/>
  <c r="K91" i="1"/>
  <c r="J91" i="1"/>
  <c r="H91" i="1"/>
  <c r="G91" i="1"/>
  <c r="O111" i="1"/>
  <c r="L111" i="1"/>
  <c r="K111" i="1"/>
  <c r="J111" i="1"/>
  <c r="H111" i="1"/>
  <c r="G111" i="1"/>
  <c r="O89" i="1"/>
  <c r="L89" i="1"/>
  <c r="K89" i="1"/>
  <c r="J89" i="1"/>
  <c r="H89" i="1"/>
  <c r="G89" i="1"/>
  <c r="O8" i="1"/>
  <c r="L8" i="1"/>
  <c r="K8" i="1"/>
  <c r="J8" i="1"/>
  <c r="H8" i="1"/>
  <c r="G8" i="1"/>
  <c r="O48" i="1"/>
  <c r="L48" i="1"/>
  <c r="K48" i="1"/>
  <c r="J48" i="1"/>
  <c r="H48" i="1"/>
  <c r="G48" i="1"/>
  <c r="O90" i="1"/>
  <c r="L90" i="1"/>
  <c r="K90" i="1"/>
  <c r="J90" i="1"/>
  <c r="H90" i="1"/>
  <c r="G90" i="1"/>
  <c r="O46" i="1"/>
  <c r="L46" i="1"/>
  <c r="K46" i="1"/>
  <c r="J46" i="1"/>
  <c r="H46" i="1"/>
  <c r="G46" i="1"/>
  <c r="O110" i="1"/>
  <c r="L110" i="1"/>
  <c r="K110" i="1"/>
  <c r="J110" i="1"/>
  <c r="H110" i="1"/>
  <c r="G110" i="1"/>
  <c r="E8" i="7"/>
  <c r="D8" i="7" s="1"/>
  <c r="O80" i="1"/>
  <c r="O85" i="1" s="1"/>
  <c r="L80" i="1"/>
  <c r="K80" i="1"/>
  <c r="K85" i="1" s="1"/>
  <c r="J80" i="1"/>
  <c r="H80" i="1"/>
  <c r="H85" i="1" s="1"/>
  <c r="G80" i="1"/>
  <c r="O66" i="1"/>
  <c r="L66" i="1"/>
  <c r="K66" i="1"/>
  <c r="J66" i="1"/>
  <c r="H66" i="1"/>
  <c r="G66" i="1"/>
  <c r="O13" i="1"/>
  <c r="L13" i="1"/>
  <c r="K13" i="1"/>
  <c r="J13" i="1"/>
  <c r="H13" i="1"/>
  <c r="G13" i="1"/>
  <c r="O51" i="1"/>
  <c r="L51" i="1"/>
  <c r="K51" i="1"/>
  <c r="J51" i="1"/>
  <c r="H51" i="1"/>
  <c r="G51" i="1"/>
  <c r="O60" i="1"/>
  <c r="O61" i="1" s="1"/>
  <c r="L60" i="1"/>
  <c r="L61" i="1" s="1"/>
  <c r="K60" i="1"/>
  <c r="K61" i="1" s="1"/>
  <c r="J60" i="1"/>
  <c r="J61" i="1" s="1"/>
  <c r="H60" i="1"/>
  <c r="H61" i="1" s="1"/>
  <c r="G60" i="1"/>
  <c r="G61" i="1" s="1"/>
  <c r="O53" i="1"/>
  <c r="L53" i="1"/>
  <c r="K53" i="1"/>
  <c r="J53" i="1"/>
  <c r="H53" i="1"/>
  <c r="G53" i="1"/>
  <c r="O52" i="1"/>
  <c r="L52" i="1"/>
  <c r="K52" i="1"/>
  <c r="J52" i="1"/>
  <c r="H52" i="1"/>
  <c r="G52" i="1"/>
  <c r="O49" i="1"/>
  <c r="L49" i="1"/>
  <c r="K49" i="1"/>
  <c r="J49" i="1"/>
  <c r="H49" i="1"/>
  <c r="G49" i="1"/>
  <c r="O47" i="1"/>
  <c r="L47" i="1"/>
  <c r="K47" i="1"/>
  <c r="J47" i="1"/>
  <c r="H47" i="1"/>
  <c r="G47" i="1"/>
  <c r="O23" i="1"/>
  <c r="L23" i="1"/>
  <c r="K23" i="1"/>
  <c r="J23" i="1"/>
  <c r="H23" i="1"/>
  <c r="G23" i="1"/>
  <c r="O20" i="1"/>
  <c r="L20" i="1"/>
  <c r="K20" i="1"/>
  <c r="J20" i="1"/>
  <c r="H20" i="1"/>
  <c r="G20" i="1"/>
  <c r="O18" i="1"/>
  <c r="L18" i="1"/>
  <c r="K18" i="1"/>
  <c r="J18" i="1"/>
  <c r="H18" i="1"/>
  <c r="G18" i="1"/>
  <c r="O12" i="1"/>
  <c r="L12" i="1"/>
  <c r="K12" i="1"/>
  <c r="J12" i="1"/>
  <c r="H12" i="1"/>
  <c r="G12" i="1"/>
  <c r="E12" i="5"/>
  <c r="D12" i="5" s="1"/>
  <c r="E10" i="5"/>
  <c r="D10" i="5" s="1"/>
  <c r="E9" i="5"/>
  <c r="D9" i="5" s="1"/>
  <c r="E8" i="5"/>
  <c r="D8" i="5" s="1"/>
  <c r="E6" i="5"/>
  <c r="D6" i="5" s="1"/>
  <c r="L85" i="1" l="1"/>
  <c r="L116" i="1"/>
  <c r="R12" i="1"/>
  <c r="Z12" i="1" s="1"/>
  <c r="R13" i="1"/>
  <c r="Z13" i="1" s="1"/>
  <c r="G77" i="1"/>
  <c r="J85" i="1"/>
  <c r="G85" i="1"/>
  <c r="H116" i="1"/>
  <c r="J116" i="1"/>
  <c r="J189" i="1"/>
  <c r="O116" i="1"/>
  <c r="G57" i="1"/>
  <c r="H57" i="1"/>
  <c r="G116" i="1"/>
  <c r="J57" i="1"/>
  <c r="K57" i="1"/>
  <c r="L57" i="1"/>
  <c r="O57" i="1"/>
  <c r="G189" i="1"/>
  <c r="L189" i="1"/>
  <c r="K116" i="1"/>
  <c r="G99" i="1"/>
  <c r="H189" i="1"/>
  <c r="K77" i="1"/>
  <c r="J99" i="1"/>
  <c r="K189" i="1"/>
  <c r="O189" i="1"/>
  <c r="K99" i="1"/>
  <c r="H77" i="1"/>
  <c r="J77" i="1"/>
  <c r="L77" i="1"/>
  <c r="L99" i="1"/>
  <c r="H99" i="1"/>
  <c r="O77" i="1"/>
  <c r="O99" i="1"/>
  <c r="R176" i="1"/>
  <c r="Z176" i="1" s="1"/>
  <c r="X91" i="1"/>
  <c r="X99" i="1" s="1"/>
  <c r="X143" i="1"/>
  <c r="X189" i="1" s="1"/>
  <c r="R23" i="1"/>
  <c r="Z23" i="1" s="1"/>
  <c r="R18" i="1"/>
  <c r="Z18" i="1" s="1"/>
  <c r="R20" i="1"/>
  <c r="Z20" i="1" s="1"/>
  <c r="R8" i="1"/>
  <c r="Z8" i="1" s="1"/>
  <c r="R83" i="1"/>
  <c r="Z83" i="1" s="1"/>
  <c r="E12" i="7"/>
  <c r="D12" i="7" s="1"/>
  <c r="E9" i="7"/>
  <c r="D9" i="7" s="1"/>
  <c r="E10" i="7"/>
  <c r="D10" i="7" s="1"/>
  <c r="E6" i="7"/>
  <c r="D6" i="7" s="1"/>
  <c r="Z146" i="1"/>
  <c r="E8" i="6"/>
  <c r="D8" i="6" s="1"/>
  <c r="E12" i="6"/>
  <c r="D12" i="6" s="1"/>
  <c r="E9" i="6"/>
  <c r="D9" i="6" s="1"/>
  <c r="E6" i="6"/>
  <c r="D6" i="6" s="1"/>
  <c r="R90" i="1"/>
  <c r="R4" i="12"/>
  <c r="R7" i="12"/>
  <c r="R8" i="12"/>
  <c r="R141" i="1"/>
  <c r="Z141" i="1" s="1"/>
  <c r="R162" i="1"/>
  <c r="Z162" i="1" s="1"/>
  <c r="R92" i="1"/>
  <c r="Z92" i="1" s="1"/>
  <c r="R51" i="1"/>
  <c r="Z51" i="1" s="1"/>
  <c r="R110" i="1"/>
  <c r="R167" i="1"/>
  <c r="Z167" i="1" s="1"/>
  <c r="R169" i="1"/>
  <c r="Z169" i="1" s="1"/>
  <c r="R66" i="1"/>
  <c r="R52" i="1"/>
  <c r="Z52" i="1" s="1"/>
  <c r="R69" i="1"/>
  <c r="Z69" i="1" s="1"/>
  <c r="R119" i="1"/>
  <c r="R140" i="1"/>
  <c r="Z140" i="1" s="1"/>
  <c r="R49" i="1"/>
  <c r="R111" i="1"/>
  <c r="R91" i="1"/>
  <c r="R93" i="1"/>
  <c r="Z93" i="1" s="1"/>
  <c r="R120" i="1"/>
  <c r="Z120" i="1" s="1"/>
  <c r="R121" i="1"/>
  <c r="R125" i="1"/>
  <c r="Z125" i="1" s="1"/>
  <c r="R136" i="1"/>
  <c r="R137" i="1"/>
  <c r="Z137" i="1" s="1"/>
  <c r="R143" i="1"/>
  <c r="R164" i="1"/>
  <c r="Z164" i="1" s="1"/>
  <c r="R171" i="1"/>
  <c r="Z171" i="1" s="1"/>
  <c r="R173" i="1"/>
  <c r="Z173" i="1" s="1"/>
  <c r="R46" i="1"/>
  <c r="R103" i="1"/>
  <c r="R112" i="1"/>
  <c r="Z112" i="1" s="1"/>
  <c r="R161" i="1"/>
  <c r="Z161" i="1" s="1"/>
  <c r="R166" i="1"/>
  <c r="R168" i="1"/>
  <c r="Z168" i="1" s="1"/>
  <c r="R139" i="1"/>
  <c r="Z139" i="1" s="1"/>
  <c r="R53" i="1"/>
  <c r="Z53" i="1" s="1"/>
  <c r="R48" i="1"/>
  <c r="R89" i="1"/>
  <c r="R133" i="1"/>
  <c r="R124" i="1"/>
  <c r="Z124" i="1" s="1"/>
  <c r="R126" i="1"/>
  <c r="Z126" i="1" s="1"/>
  <c r="R138" i="1"/>
  <c r="Z138" i="1" s="1"/>
  <c r="R163" i="1"/>
  <c r="Z163" i="1" s="1"/>
  <c r="R165" i="1"/>
  <c r="R170" i="1"/>
  <c r="R172" i="1"/>
  <c r="Z172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47" i="1"/>
  <c r="R80" i="1"/>
  <c r="R60" i="1"/>
  <c r="R61" i="1" s="1"/>
  <c r="C14" i="23"/>
  <c r="E10" i="6"/>
  <c r="D10" i="6" s="1"/>
  <c r="E12" i="11"/>
  <c r="D12" i="11" s="1"/>
  <c r="D4" i="5"/>
  <c r="R85" i="1" l="1"/>
  <c r="R57" i="1"/>
  <c r="R116" i="1"/>
  <c r="R99" i="1"/>
  <c r="Z134" i="1"/>
  <c r="Z48" i="1"/>
  <c r="Z136" i="1"/>
  <c r="Z166" i="1"/>
  <c r="Z103" i="1"/>
  <c r="Z46" i="1"/>
  <c r="E14" i="7"/>
  <c r="D14" i="7" s="1"/>
  <c r="Z66" i="1"/>
  <c r="Z133" i="1"/>
  <c r="Z111" i="1"/>
  <c r="Z89" i="1"/>
  <c r="Z90" i="1"/>
  <c r="Z110" i="1"/>
  <c r="Z119" i="1"/>
  <c r="Z143" i="1"/>
  <c r="Z165" i="1"/>
  <c r="Z49" i="1"/>
  <c r="Z170" i="1"/>
  <c r="Z121" i="1"/>
  <c r="Z91" i="1"/>
  <c r="E14" i="4"/>
  <c r="D14" i="4" s="1"/>
  <c r="D5" i="7"/>
  <c r="D14" i="5"/>
  <c r="E14" i="5"/>
  <c r="Z47" i="1"/>
  <c r="L15" i="1"/>
  <c r="L37" i="1" s="1"/>
  <c r="E14" i="13"/>
  <c r="D14" i="13" s="1"/>
  <c r="K15" i="1"/>
  <c r="K37" i="1" s="1"/>
  <c r="E13" i="8"/>
  <c r="D13" i="8" s="1"/>
  <c r="G15" i="1"/>
  <c r="G37" i="1" s="1"/>
  <c r="O15" i="1"/>
  <c r="O37" i="1" s="1"/>
  <c r="J15" i="1"/>
  <c r="J37" i="1" s="1"/>
  <c r="H15" i="1"/>
  <c r="H37" i="1" s="1"/>
  <c r="L122" i="1"/>
  <c r="L130" i="1" s="1"/>
  <c r="Z80" i="1"/>
  <c r="Z60" i="1"/>
  <c r="E14" i="6"/>
  <c r="D14" i="6" s="1"/>
  <c r="Z99" i="1" l="1"/>
  <c r="Z57" i="1"/>
  <c r="Z116" i="1"/>
  <c r="Z61" i="1"/>
  <c r="H47" i="68" s="1"/>
  <c r="Z85" i="1"/>
  <c r="H45" i="68"/>
  <c r="R15" i="1"/>
  <c r="J122" i="1"/>
  <c r="J130" i="1" s="1"/>
  <c r="O122" i="1"/>
  <c r="O130" i="1" s="1"/>
  <c r="K122" i="1"/>
  <c r="K130" i="1" s="1"/>
  <c r="G122" i="1"/>
  <c r="G130" i="1" s="1"/>
  <c r="H122" i="1"/>
  <c r="H130" i="1" s="1"/>
  <c r="R37" i="1" l="1"/>
  <c r="Z15" i="1"/>
  <c r="H52" i="68"/>
  <c r="H49" i="68"/>
  <c r="H46" i="68"/>
  <c r="H50" i="68"/>
  <c r="R122" i="1"/>
  <c r="R130" i="1" s="1"/>
  <c r="Z37" i="1" l="1"/>
  <c r="Z122" i="1"/>
  <c r="Z130" i="1" l="1"/>
  <c r="H44" i="68"/>
  <c r="H53" i="68" l="1"/>
  <c r="P190" i="1"/>
  <c r="I190" i="1"/>
  <c r="M190" i="1"/>
  <c r="X190" i="1"/>
  <c r="T190" i="1"/>
  <c r="G24" i="68" l="1"/>
  <c r="G26" i="68"/>
  <c r="G25" i="68"/>
  <c r="G23" i="68"/>
  <c r="H27" i="68" l="1"/>
  <c r="J105" i="1"/>
  <c r="J106" i="1" s="1"/>
  <c r="J190" i="1" s="1"/>
  <c r="L105" i="1"/>
  <c r="L106" i="1" s="1"/>
  <c r="L190" i="1" s="1"/>
  <c r="K105" i="1"/>
  <c r="K106" i="1" s="1"/>
  <c r="K190" i="1" s="1"/>
  <c r="O105" i="1"/>
  <c r="O106" i="1" s="1"/>
  <c r="O190" i="1" s="1"/>
  <c r="G105" i="1"/>
  <c r="E106" i="1"/>
  <c r="H105" i="1"/>
  <c r="H106" i="1" s="1"/>
  <c r="H190" i="1" s="1"/>
  <c r="R105" i="1" l="1"/>
  <c r="Z105" i="1"/>
  <c r="R106" i="1"/>
  <c r="G106" i="1"/>
  <c r="G190" i="1" s="1"/>
  <c r="Z106" i="1" l="1"/>
  <c r="H51" i="68" l="1"/>
  <c r="Q189" i="1"/>
  <c r="Q190" i="1" s="1"/>
  <c r="R149" i="1"/>
  <c r="R189" i="1" s="1"/>
  <c r="Z149" i="1" l="1"/>
  <c r="Z189" i="1" s="1"/>
  <c r="H54" i="68" l="1"/>
  <c r="F77" i="1"/>
  <c r="F190" i="1" s="1"/>
  <c r="R70" i="1"/>
  <c r="R77" i="1" s="1"/>
  <c r="R190" i="1" l="1"/>
  <c r="H20" i="68" s="1"/>
  <c r="H28" i="68" s="1"/>
  <c r="H30" i="68" s="1"/>
  <c r="Z70" i="1"/>
  <c r="Z77" i="1" s="1"/>
  <c r="Z190" i="1" s="1"/>
  <c r="H48" i="68" l="1"/>
  <c r="H55" i="68" s="1"/>
</calcChain>
</file>

<file path=xl/sharedStrings.xml><?xml version="1.0" encoding="utf-8"?>
<sst xmlns="http://schemas.openxmlformats.org/spreadsheetml/2006/main" count="3977" uniqueCount="557">
  <si>
    <t>NATIONAL INSTITUTE FOR LEGISLATIVE AND DEMOCRATIC STUDIES</t>
  </si>
  <si>
    <t>STAFF PAYROLL FOR THE MONTH OF JANUARY 2023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</si>
  <si>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</si>
  <si>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</si>
  <si>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</si>
  <si>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</si>
  <si>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</si>
  <si>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</si>
  <si>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</si>
  <si>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</si>
  <si>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</si>
  <si>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</si>
  <si>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</si>
  <si>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</si>
  <si>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</si>
  <si>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</si>
  <si>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</si>
  <si>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</si>
  <si>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</si>
  <si>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</si>
  <si>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</si>
  <si>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</si>
  <si>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</si>
  <si>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DECEMBER, 2022</t>
  </si>
  <si>
    <t>JANUARY,   2023</t>
  </si>
  <si>
    <t>N</t>
  </si>
  <si>
    <t>S/N</t>
  </si>
  <si>
    <t>DG'S OFFICE</t>
  </si>
  <si>
    <t xml:space="preserve">PROF. ABUBAKAR O. SULAIMAN </t>
  </si>
  <si>
    <t>DIRECTOR GENERAL</t>
  </si>
  <si>
    <t>CONSOL</t>
  </si>
  <si>
    <t>DR JAKE DABANG DAN AZUMI</t>
  </si>
  <si>
    <t>DEPUTY DIR.  TTECHNICAL</t>
  </si>
  <si>
    <t>16(9)</t>
  </si>
  <si>
    <t>DR ABDULSALAM NASIRU NAEEM</t>
  </si>
  <si>
    <t>SA ACADEMICS</t>
  </si>
  <si>
    <t>RAHEEM USMAN AYIGORO</t>
  </si>
  <si>
    <t>SA-INFRASTRUCTURE</t>
  </si>
  <si>
    <t>16 (9)</t>
  </si>
  <si>
    <t>MARIAM MOHAMMED BELLO</t>
  </si>
  <si>
    <t>SA- SPECIAL DUTIES</t>
  </si>
  <si>
    <t>16(8)</t>
  </si>
  <si>
    <t>AKINSANMI ADEJOKE OLUKEMI</t>
  </si>
  <si>
    <t>DEPUTY DIR. INFO/PROTOCOL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</si>
  <si>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</si>
  <si>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</si>
  <si>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</si>
  <si>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</si>
  <si>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</si>
  <si>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</si>
  <si>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</si>
  <si>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AYOBOLU OLAJIDE OLUFUNSHO</t>
  </si>
  <si>
    <t>ASST.DIR., INFORMATION</t>
  </si>
  <si>
    <t>15 (8)</t>
  </si>
  <si>
    <t>HUSSEIN EGYE MUSA</t>
  </si>
  <si>
    <t>CHIEF PROTOCOL OFFICER</t>
  </si>
  <si>
    <t>14(10)</t>
  </si>
  <si>
    <t>DONALD E. MKPANAM</t>
  </si>
  <si>
    <t>CHIEF ICT OFFICER</t>
  </si>
  <si>
    <t>JOY HARUNA MAKERI</t>
  </si>
  <si>
    <t>RESEARCH FELLOW 1 TRAINING</t>
  </si>
  <si>
    <t>ALI ABDULLAHI</t>
  </si>
  <si>
    <t>PERCY TERFA GBAHABO</t>
  </si>
  <si>
    <t>HEAD, NILDS LIAISON OFFICE</t>
  </si>
  <si>
    <t>13(9)</t>
  </si>
  <si>
    <t>HASSANA AHMED IBRAHIM</t>
  </si>
  <si>
    <t>PA- TO DG</t>
  </si>
  <si>
    <t>13 (8)</t>
  </si>
  <si>
    <t>CHRISTIAN MADUABUCHI ODO</t>
  </si>
  <si>
    <t>PRINCIPAL ICT OFFICER</t>
  </si>
  <si>
    <t>12(9)</t>
  </si>
  <si>
    <t>ADUGBA RICHARD TERSEER</t>
  </si>
  <si>
    <t>PRINCIPAL INFO. OFFICER</t>
  </si>
  <si>
    <t>12(8)</t>
  </si>
  <si>
    <t>EGUATU U. ONYEJELEM</t>
  </si>
  <si>
    <t xml:space="preserve">PRINCIPAL M&amp;E OFFICER </t>
  </si>
  <si>
    <t>YAKUB OLUWATOYIN USMAN</t>
  </si>
  <si>
    <t>ASST. ADMIN. OFFICER</t>
  </si>
  <si>
    <t>10(9)</t>
  </si>
  <si>
    <t>ELIZABETH OGECHUKWU ONYEAKU</t>
  </si>
  <si>
    <t>ICT OFFICER</t>
  </si>
  <si>
    <t>9(8)</t>
  </si>
  <si>
    <t>VICTOR ASUKWO</t>
  </si>
  <si>
    <t>IJEOMA NKOLIKWA</t>
  </si>
  <si>
    <t>STORES OFFICER</t>
  </si>
  <si>
    <t>ABDULRAHMAN A SULAIMAN</t>
  </si>
  <si>
    <t>ASSISTANT STORES OFFICER</t>
  </si>
  <si>
    <t>8 (10)</t>
  </si>
  <si>
    <t>TASSNEEM IBRAHIM</t>
  </si>
  <si>
    <t>ASSIST. INFORMATION</t>
  </si>
  <si>
    <t>8(10)</t>
  </si>
  <si>
    <t>DARE SHEU MAGBON</t>
  </si>
  <si>
    <t>ASSIST. PG</t>
  </si>
  <si>
    <t>JIMOH ADEBAYO ZAKA</t>
  </si>
  <si>
    <t>ASST. OFFICER/COMM</t>
  </si>
  <si>
    <t>MOHAMMED BELLO</t>
  </si>
  <si>
    <t xml:space="preserve">PROTOCOL ASSISTANT </t>
  </si>
  <si>
    <t>8(8)</t>
  </si>
  <si>
    <t>SULEIMAN ABUBAKAR SODEEQ</t>
  </si>
  <si>
    <t>HARUNA JIBRIL A.</t>
  </si>
  <si>
    <t>TOTAL</t>
  </si>
  <si>
    <t>INTERNAL AUDIT</t>
  </si>
  <si>
    <t>OSANAIYE DAVID AKINYEMI</t>
  </si>
  <si>
    <t>DIRECTOR INTERNAL AUDIT</t>
  </si>
  <si>
    <t>17(9)</t>
  </si>
  <si>
    <t>JAMILA ABDUL</t>
  </si>
  <si>
    <t>AUDITOR II</t>
  </si>
  <si>
    <t>8(7)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</si>
  <si>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</si>
  <si>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</si>
  <si>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</si>
  <si>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</si>
  <si>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</si>
  <si>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</si>
  <si>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</si>
  <si>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</si>
  <si>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IBRAHIM USMAN</t>
  </si>
  <si>
    <t>15(8)</t>
  </si>
  <si>
    <t>DR MOHAMMED O. AMALI</t>
  </si>
  <si>
    <t>RESEARCH FELLOW I</t>
  </si>
  <si>
    <t>YAHAYA SHAMSU</t>
  </si>
  <si>
    <t>RESEARCH FELLOW 1</t>
  </si>
  <si>
    <t>OFORDEME ADAOBI JULIA</t>
  </si>
  <si>
    <t>14(9)</t>
  </si>
  <si>
    <t>DORIS DAKDA AARON</t>
  </si>
  <si>
    <t>RESEARCH FELLOW II</t>
  </si>
  <si>
    <t>13(10)</t>
  </si>
  <si>
    <t>ZAINAB AKINDE</t>
  </si>
  <si>
    <t>RESEARCH OFFICER</t>
  </si>
  <si>
    <t>9(7)</t>
  </si>
  <si>
    <t>ABDULLAHI AHMAD USMAN</t>
  </si>
  <si>
    <t>GUNAT NANSAK MARK</t>
  </si>
  <si>
    <t>LEGAL SERVICES</t>
  </si>
  <si>
    <t>DR SHUIBU DANWANKA</t>
  </si>
  <si>
    <t>DIRECTOR LEGAL SERVICES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</si>
  <si>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</si>
  <si>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</si>
  <si>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</si>
  <si>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</si>
  <si>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</si>
  <si>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 (7)</t>
  </si>
  <si>
    <t>EJALONIBU GANIYU LAYI</t>
  </si>
  <si>
    <t>RESEARCH FELLOW 11</t>
  </si>
  <si>
    <t>LOHNA BONKAT JONATHAN</t>
  </si>
  <si>
    <t>YUNUSA ABDULLAHI</t>
  </si>
  <si>
    <t>UDEFUNA NNADOZIE PATRICK</t>
  </si>
  <si>
    <t>10(14)</t>
  </si>
  <si>
    <t>OSOLAFIA MUHAMMAD EGYE</t>
  </si>
  <si>
    <t>PRINCIPAL RESEARCH OFFICER</t>
  </si>
  <si>
    <t>SHAFIU YAHYA MIKAIL</t>
  </si>
  <si>
    <t>12(7)</t>
  </si>
  <si>
    <t>HASSAN YERIMA</t>
  </si>
  <si>
    <t>HAUWA PATE SADIQ</t>
  </si>
  <si>
    <t>PRINCIPAL PROGRAMME OFFICER</t>
  </si>
  <si>
    <t>ABAYOMI KAYODE QUADRI</t>
  </si>
  <si>
    <t>10(8)</t>
  </si>
  <si>
    <t>NNANDI LIVINUS ATURE</t>
  </si>
  <si>
    <t>RESEARCH ASSISTANT</t>
  </si>
  <si>
    <t>LUCKY AGWOM</t>
  </si>
  <si>
    <t>DEPARTMENT OF 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</si>
  <si>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</si>
  <si>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</si>
  <si>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</si>
  <si>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</si>
  <si>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</si>
  <si>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</si>
  <si>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ANTHONY EDET</t>
  </si>
  <si>
    <t>ASST. MGR  M&amp;E</t>
  </si>
  <si>
    <t>IGWE STACY</t>
  </si>
  <si>
    <t>PROGRAMME OFFICER</t>
  </si>
  <si>
    <t>ECON. DEV. &amp; SOC. RESEARCH</t>
  </si>
  <si>
    <t>ASEMOTA OMOROGBE JOSEPH</t>
  </si>
  <si>
    <t>Ag. DEPUTY DIRECTOR, ECO &amp; SOC DEV DEPT</t>
  </si>
  <si>
    <t>TERFA WILLIAMS ABRAHAM</t>
  </si>
  <si>
    <t>DR AUGUSTINE C. OSIGWE</t>
  </si>
  <si>
    <t>NGARA CHRISTOPHER OCHANJA</t>
  </si>
  <si>
    <t>14(11)</t>
  </si>
  <si>
    <t>OMOJU OLUWASOLA EMMANUEL</t>
  </si>
  <si>
    <t>IBE EZECHI CYRIACUS</t>
  </si>
  <si>
    <t>OSIKHEN LEO IGBANOI</t>
  </si>
  <si>
    <t>OKUNGBOWA OSARETIN GODSPOWER</t>
  </si>
  <si>
    <t>YUSUF IBRAHIM</t>
  </si>
  <si>
    <t>MARYAM MUSA SADA</t>
  </si>
  <si>
    <t>ASSIT. RESEARCH OFFICER</t>
  </si>
  <si>
    <t>10(7)</t>
  </si>
  <si>
    <t>CHARITY EZENWAJIOBI</t>
  </si>
  <si>
    <t>REASEARCH. ASST.</t>
  </si>
  <si>
    <t>TRAINING  &amp;  INT''L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</si>
  <si>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</si>
  <si>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</si>
  <si>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</si>
  <si>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</si>
  <si>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</si>
  <si>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</si>
  <si>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</si>
  <si>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PRINCIPALTRAINING OFFICER 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</si>
  <si>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</si>
  <si>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</si>
  <si>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</si>
  <si>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</si>
  <si>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</si>
  <si>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</si>
  <si>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</si>
  <si>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</si>
  <si>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</si>
  <si>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</si>
  <si>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</si>
  <si>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8(11)</t>
  </si>
  <si>
    <t>TITILAYO DANIEL MARVELLOUS</t>
  </si>
  <si>
    <t>ENENCHE JEREMIAH AGADA</t>
  </si>
  <si>
    <t>FINANCE &amp; ACCOUNTS</t>
  </si>
  <si>
    <t>IBRAHIM M. MSHELIA</t>
  </si>
  <si>
    <t>DIR. FINANCE &amp; ACCOUNTS</t>
  </si>
  <si>
    <t>j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</si>
  <si>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</si>
  <si>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</si>
  <si>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</si>
  <si>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</si>
  <si>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</si>
  <si>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</si>
  <si>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</si>
  <si>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</si>
  <si>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</si>
  <si>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</si>
  <si>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</si>
  <si>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</si>
  <si>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</si>
  <si>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</si>
  <si>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ASST. CHIEF ACCOUNT OFFICER</t>
  </si>
  <si>
    <t>13 (9)</t>
  </si>
  <si>
    <t>HUSSAIN HAZEEM</t>
  </si>
  <si>
    <t>ACCOUNT. OFFICER</t>
  </si>
  <si>
    <t>MUNIRAT JIMOH</t>
  </si>
  <si>
    <t>ACCOUNT ASSISTANT</t>
  </si>
  <si>
    <t>11</t>
  </si>
  <si>
    <t>ADMIN &amp; HUMAN RESOURCE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</si>
  <si>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</si>
  <si>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</si>
  <si>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</si>
  <si>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</si>
  <si>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</si>
  <si>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</si>
  <si>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</si>
  <si>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</si>
  <si>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</si>
  <si>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</si>
  <si>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</si>
  <si>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</si>
  <si>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</si>
  <si>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</si>
  <si>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</si>
  <si>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</si>
  <si>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</si>
  <si>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PRINC.CONFIDENTIAL SECRETARY II</t>
  </si>
  <si>
    <t>ABDULWAHAB DAHIRU</t>
  </si>
  <si>
    <t>ADMIN OFFICER</t>
  </si>
  <si>
    <t>10(10)</t>
  </si>
  <si>
    <t>BASSEY NSONGURUA UDOFIA</t>
  </si>
  <si>
    <t>ODEH SUZIE</t>
  </si>
  <si>
    <t>ADMIN. OFFICER</t>
  </si>
  <si>
    <t>YUSUF SADIQ SANI</t>
  </si>
  <si>
    <t>SENIOR CONFIDENTIAL SECR</t>
  </si>
  <si>
    <t>STELLA NGIZI PAUL</t>
  </si>
  <si>
    <t>OWOEYE TOSIN KAYODE</t>
  </si>
  <si>
    <t>ISERE RICHARD KANTEE</t>
  </si>
  <si>
    <t>SNR ADMIN OFFICER</t>
  </si>
  <si>
    <t>FAROOQ ONOKIJIPA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</si>
  <si>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</si>
  <si>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</si>
  <si>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</si>
  <si>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</si>
  <si>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</si>
  <si>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</si>
  <si>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</si>
  <si>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</si>
  <si>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</si>
  <si>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ASST.</t>
  </si>
  <si>
    <t>OLOLADE ABRU IDOWU</t>
  </si>
  <si>
    <t>CONFIDENTIAL SECRETARY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</si>
  <si>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</si>
  <si>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</si>
  <si>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</si>
  <si>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</si>
  <si>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</si>
  <si>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</si>
  <si>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</si>
  <si>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</si>
  <si>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7(5)</t>
  </si>
  <si>
    <t>TASIU MOHAMMED</t>
  </si>
  <si>
    <t>NAMADI IDRIS UMAR</t>
  </si>
  <si>
    <t>ALFRED ISABU</t>
  </si>
  <si>
    <t>ALIYU YAKUBU</t>
  </si>
  <si>
    <t>ABDULLAHI HARUNA</t>
  </si>
  <si>
    <t>OGABO OGAH USMAN</t>
  </si>
  <si>
    <t>7(4)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</si>
  <si>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</si>
  <si>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</si>
  <si>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</si>
  <si>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</si>
  <si>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</si>
  <si>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</si>
  <si>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</si>
  <si>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SENIOR DRIVER</t>
  </si>
  <si>
    <t>5(11)</t>
  </si>
  <si>
    <t>JOHN GIMAH</t>
  </si>
  <si>
    <t>ABUBAKAR MUSA DANLAMI</t>
  </si>
  <si>
    <t>5(12)</t>
  </si>
  <si>
    <t>OYINLOLA ISMAHEEL TAIWO</t>
  </si>
  <si>
    <t>5(10)</t>
  </si>
  <si>
    <t>IBRAHIM ZAKARI AHMAD</t>
  </si>
  <si>
    <t>DRIVER</t>
  </si>
  <si>
    <t>5 (9)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</si>
  <si>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</si>
  <si>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</si>
  <si>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</si>
  <si>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</si>
  <si>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</si>
  <si>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</si>
  <si>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</si>
  <si>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</si>
  <si>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</si>
  <si>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4(11)</t>
  </si>
  <si>
    <t>LAWAL TANIMU</t>
  </si>
  <si>
    <t>4(9)</t>
  </si>
  <si>
    <t>56</t>
  </si>
  <si>
    <t>GRAND TOTAL</t>
  </si>
  <si>
    <t>PREPARED BY:  Rahila N. Habu                                        SIGNATURE………………..                                  DATE:  30TH JANUARY, 2023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</si>
  <si>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</si>
  <si>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</si>
  <si>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</si>
  <si>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</si>
  <si>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</si>
  <si>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</si>
  <si>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</si>
  <si>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</si>
  <si>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</si>
  <si>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</si>
  <si>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</si>
  <si>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</si>
  <si>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</si>
  <si>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</si>
  <si>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30TH  JANUARY, 2023</t>
  </si>
  <si>
    <t>SUBJECT: PAYROLL FOR THE MONTH OF JANUARY, 2023</t>
  </si>
  <si>
    <t>Find below the details of NILDS Staff Payroll for the Month of  January 2023:</t>
  </si>
  <si>
    <t>NGN</t>
  </si>
  <si>
    <t>GROSS SALARY FOR  JANUARY, 2023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</si>
  <si>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</si>
  <si>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</si>
  <si>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</si>
  <si>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</si>
  <si>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</si>
  <si>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JANUARY, 2023</t>
  </si>
  <si>
    <t>NET PAY AS PER  JANUARY, 2023 PAYROLL</t>
  </si>
  <si>
    <t>NET PAY AS PER  DECEMBER, 2022 PAYROLL</t>
  </si>
  <si>
    <t>NET INCREASE/ (DECREASE)  IN PAY FOR  JANUARY, 2023</t>
  </si>
  <si>
    <t>ANALYSED AS FOLLOWS:</t>
  </si>
  <si>
    <t>Effect of Cooperative adjustment for January 2023</t>
  </si>
  <si>
    <t>Net Effect of Removal of Promotion Arrears of Akinsanmi Adejoke &amp; 4 others</t>
  </si>
  <si>
    <t>Effect of  Yearly Increment of Grade Level Steps to Permanent Staff</t>
  </si>
  <si>
    <t>Effect of PAYE Tax due to yearly increment of Steps</t>
  </si>
  <si>
    <t>Net Effect of payment of Full Salary to Asemota Joseph</t>
  </si>
  <si>
    <t>Net Effect of National Housing Fund (NHF) Deduction due on yearly increment</t>
  </si>
  <si>
    <t>Effect of Regularisation of Hauwa Pate's Allowances</t>
  </si>
  <si>
    <t>Net Effect of Stepping down Asemota Joseph &amp; Tasneem Ibrahim</t>
  </si>
  <si>
    <t>JANUARY, 2023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</si>
  <si>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</si>
  <si>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</si>
  <si>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</si>
  <si>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</si>
  <si>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</si>
  <si>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</si>
  <si>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</si>
  <si>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</si>
  <si>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</si>
  <si>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</si>
  <si>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</si>
  <si>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</si>
  <si>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N32,451,457.00 </t>
    </r>
    <r>
      <rPr>
        <sz val="14"/>
        <rFont val="Times New Roman"/>
        <family val="1"/>
      </rPr>
      <t xml:space="preserve">to Guaranty Trust Bank  being  January 2023 Salary, </t>
    </r>
    <r>
      <rPr>
        <b/>
        <sz val="14"/>
        <rFont val="Times New Roman"/>
        <family val="1"/>
      </rPr>
      <t xml:space="preserve">N11,520,092.59  </t>
    </r>
    <r>
      <rPr>
        <sz val="14"/>
        <rFont val="Times New Roman"/>
        <family val="1"/>
      </rPr>
      <t>being NILDS Coop Society deductions for January 2023,</t>
    </r>
    <r>
      <rPr>
        <b/>
        <sz val="14"/>
        <rFont val="Times New Roman"/>
        <family val="1"/>
      </rPr>
      <t xml:space="preserve"> N7,017,963.70   </t>
    </r>
    <r>
      <rPr>
        <sz val="14"/>
        <rFont val="Times New Roman"/>
        <family val="1"/>
      </rPr>
      <t xml:space="preserve">being PAYE Tax Deductions from Staff Salary for the month  of January 2023 and </t>
    </r>
    <r>
      <rPr>
        <b/>
        <sz val="14"/>
        <rFont val="Times New Roman"/>
        <family val="1"/>
      </rPr>
      <t xml:space="preserve">N23,887.07 </t>
    </r>
    <r>
      <rPr>
        <sz val="14"/>
        <rFont val="Times New Roman"/>
        <family val="1"/>
      </rPr>
      <t xml:space="preserve"> being NHF deductions from staff for January 2023 </t>
    </r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</si>
  <si>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</si>
  <si>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</si>
  <si>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</si>
  <si>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OLD PAYE</t>
  </si>
  <si>
    <t>NEW PAYE</t>
  </si>
  <si>
    <t>DIFFRENCE</t>
  </si>
  <si>
    <t>ADMIN. OFFICER, LIASION OFFICE</t>
  </si>
  <si>
    <t>RESEARCH ASSITANT PG</t>
  </si>
  <si>
    <t>55</t>
  </si>
  <si>
    <t>NEW NHF DED.</t>
  </si>
  <si>
    <t>OLD NHF DED.</t>
  </si>
  <si>
    <t>DIFFERENCE</t>
  </si>
  <si>
    <t>NATIONAL ASSEMBLY ABUJA</t>
  </si>
  <si>
    <t>TAX COMPUTATION FOR 2023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</si>
  <si>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</si>
  <si>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</si>
  <si>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</si>
  <si>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</si>
  <si>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</si>
  <si>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</si>
  <si>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</si>
  <si>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</si>
  <si>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</si>
  <si>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</si>
  <si>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</si>
  <si>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</si>
  <si>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</si>
  <si>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</si>
  <si>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</si>
  <si>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</si>
  <si>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</si>
  <si>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</si>
  <si>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</si>
  <si>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</si>
  <si>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</si>
  <si>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</si>
  <si>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</si>
  <si>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</si>
  <si>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ABDULSALAM BAKO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</si>
  <si>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</si>
  <si>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</si>
  <si>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</si>
  <si>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</si>
  <si>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</si>
  <si>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</si>
  <si>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</si>
  <si>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</si>
  <si>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</si>
  <si>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</si>
  <si>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</si>
  <si>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</si>
  <si>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</si>
  <si>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</si>
  <si>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</si>
  <si>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</si>
  <si>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</si>
  <si>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</si>
  <si>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</si>
  <si>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8(9)</t>
  </si>
  <si>
    <t>HABEEBA K MUHAMMAD SALIHU</t>
  </si>
  <si>
    <t>17(8)</t>
  </si>
  <si>
    <t>MANAGER, LEGAL SERVICES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</si>
  <si>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</si>
  <si>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</si>
  <si>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</si>
  <si>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</si>
  <si>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</si>
  <si>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</si>
  <si>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14(7)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</si>
  <si>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</si>
  <si>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</si>
  <si>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</si>
  <si>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</si>
  <si>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</si>
  <si>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</si>
  <si>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</si>
  <si>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</si>
  <si>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</si>
  <si>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</si>
  <si>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</si>
  <si>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</si>
  <si>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</si>
  <si>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</si>
  <si>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DANJUMA KAGADAMA</t>
  </si>
  <si>
    <t>5(13)</t>
  </si>
  <si>
    <t>5(9)</t>
  </si>
  <si>
    <t>5 (8)</t>
  </si>
  <si>
    <t>5(8)</t>
  </si>
  <si>
    <t>4(10)</t>
  </si>
  <si>
    <t>4(8)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</si>
  <si>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</si>
  <si>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</si>
  <si>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</si>
  <si>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</si>
  <si>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</si>
  <si>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</si>
  <si>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</si>
  <si>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</si>
  <si>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</si>
  <si>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</si>
  <si>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</si>
  <si>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</si>
  <si>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</si>
  <si>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</si>
  <si>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</si>
  <si>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</si>
  <si>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</si>
  <si>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</si>
  <si>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</si>
  <si>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14(8)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</si>
  <si>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</si>
  <si>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</si>
  <si>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</si>
  <si>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</si>
  <si>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</si>
  <si>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</si>
  <si>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</si>
  <si>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9</t>
  </si>
  <si>
    <t>USMAN WAZIRI</t>
  </si>
  <si>
    <t>SIGNATURE</t>
  </si>
  <si>
    <t>DATE</t>
  </si>
  <si>
    <t>STAFF ENHANCED WELFARE SCHEDULE 2023</t>
  </si>
  <si>
    <t>AMOUNT</t>
  </si>
  <si>
    <t>Grade Level       01 - 13</t>
  </si>
  <si>
    <t>Grade Level         14 - 17</t>
  </si>
  <si>
    <t>16(7)</t>
  </si>
  <si>
    <t>HABEEBA K MUH'D SALIHU</t>
  </si>
  <si>
    <t>TRAINING  &amp;  INT'L COOP</t>
  </si>
  <si>
    <t>AG DIR ADMIN &amp; HR</t>
  </si>
  <si>
    <t>7(3)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</si>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</sst>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5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43" fontId="25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6" fillId="0" borderId="0" xfId="0" applyNumberFormat="1" applyFont="1"/>
    <xf numFmtId="0" fontId="27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3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3" fontId="28" fillId="0" borderId="0" xfId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0" fontId="3" fillId="6" borderId="1" xfId="0" applyFont="1" applyFill="1" applyBorder="1" applyAlignment="1">
      <alignment horizontal="center" wrapText="1"/>
    </xf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17" fillId="7" borderId="1" xfId="1" quotePrefix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17" fillId="6" borderId="1" xfId="0" applyNumberFormat="1" applyFont="1" applyFill="1" applyBorder="1"/>
    <xf numFmtId="43" fontId="17" fillId="6" borderId="1" xfId="1" applyFont="1" applyFill="1" applyBorder="1" applyAlignment="1">
      <alignment horizontal="right"/>
    </xf>
    <xf numFmtId="43" fontId="4" fillId="6" borderId="1" xfId="1" applyFont="1" applyFill="1" applyBorder="1" applyAlignment="1">
      <alignment horizontal="right"/>
    </xf>
    <xf numFmtId="43" fontId="6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9" fillId="4" borderId="0" xfId="0" applyFont="1" applyFill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2/August%202022%20Payroll/NILDS%20Tax%20Schedule%202022%20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 refreshError="1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5"/>
  <sheetViews>
    <sheetView tabSelected="1" view="pageBreakPreview" zoomScaleNormal="100" zoomScaleSheetLayoutView="100" workbookViewId="0">
      <pane xSplit="3" ySplit="7" topLeftCell="R134" activePane="bottomRight" state="frozen"/>
      <selection pane="bottomRight" activeCell="B192" sqref="B19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6" width="15.28515625" style="164" customWidth="1"/>
    <col min="7" max="7" width="19.42578125" style="164" customWidth="1"/>
    <col min="8" max="8" width="16" style="164" customWidth="1"/>
    <col min="9" max="9" width="18.140625" style="164" customWidth="1"/>
    <col min="10" max="10" width="18" style="164" customWidth="1"/>
    <col min="11" max="11" width="20" style="164" customWidth="1"/>
    <col min="12" max="12" width="18.140625" style="164" customWidth="1"/>
    <col min="13" max="13" width="18.28515625" style="164" customWidth="1"/>
    <col min="14" max="14" width="18.140625" style="164" customWidth="1"/>
    <col min="15" max="15" width="15.7109375" style="164" customWidth="1"/>
    <col min="16" max="16" width="18.28515625" style="164" customWidth="1"/>
    <col min="17" max="17" width="17.85546875" style="164" customWidth="1"/>
    <col min="18" max="18" width="19.28515625" style="164" customWidth="1"/>
    <col min="19" max="19" width="17.5703125" style="164" customWidth="1"/>
    <col min="20" max="20" width="18.42578125" style="164" customWidth="1"/>
    <col min="21" max="21" width="17.85546875" style="164" customWidth="1"/>
    <col min="22" max="22" width="14.85546875" style="164" customWidth="1"/>
    <col min="23" max="23" width="17.7109375" style="164" customWidth="1"/>
    <col min="24" max="24" width="20.42578125" style="164" customWidth="1"/>
    <col min="25" max="25" width="19.5703125" style="164" customWidth="1"/>
    <col min="26" max="26" width="21.85546875" style="164" customWidth="1"/>
    <col min="27" max="27" width="21.7109375" style="164" customWidth="1"/>
    <col min="28" max="16384" width="9.140625" style="164"/>
  </cols>
  <sheetData>
    <row r="1" spans="1:27" ht="27" customHeight="1">
      <c r="A1" s="321" t="s">
        <v>0</v>
      </c>
      <c r="B1" s="321"/>
      <c r="C1" s="321"/>
      <c r="D1" s="321"/>
      <c r="E1" s="321"/>
      <c r="F1" s="321"/>
      <c r="G1" s="321"/>
      <c r="H1" s="163">
        <f>'[1]FEB 08'!F8/'[1]FEB 08'!Q8</f>
        <v>0.3</v>
      </c>
      <c r="I1" s="163"/>
      <c r="J1" s="163"/>
      <c r="K1" s="163"/>
      <c r="L1" s="163"/>
      <c r="M1" s="163"/>
      <c r="N1" s="163"/>
      <c r="O1" s="163"/>
      <c r="P1" s="163"/>
      <c r="Q1" s="163"/>
    </row>
    <row r="2" spans="1:27" ht="33.75" customHeight="1">
      <c r="A2" s="165" t="s">
        <v>1</v>
      </c>
      <c r="B2" s="166"/>
      <c r="C2" s="165"/>
      <c r="D2" s="165"/>
      <c r="E2" s="167"/>
      <c r="F2" s="167"/>
      <c r="G2" s="167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9"/>
      <c r="S2" s="169"/>
      <c r="T2" s="169"/>
      <c r="U2" s="169"/>
      <c r="V2" s="169"/>
      <c r="W2" s="169"/>
      <c r="X2" s="169"/>
      <c r="Y2" s="169"/>
      <c r="Z2" s="169"/>
    </row>
    <row r="3" spans="1:27" ht="9.75" customHeight="1">
      <c r="E3" s="163" t="e">
        <f>'[1]FEB 08'!E11/'[1]FEB 08'!M11</f>
        <v>#REF!</v>
      </c>
      <c r="F3" s="163"/>
      <c r="G3" s="163"/>
      <c r="H3" s="163" t="e">
        <f>'[1]FEB 08'!F11/'[1]FEB 08'!Q11</f>
        <v>#REF!</v>
      </c>
      <c r="I3" s="163"/>
      <c r="J3" s="163"/>
      <c r="K3" s="163"/>
      <c r="L3" s="163"/>
      <c r="M3" s="163"/>
      <c r="N3" s="163"/>
      <c r="O3" s="163"/>
      <c r="P3" s="163"/>
      <c r="Q3" s="163"/>
    </row>
    <row r="4" spans="1:27" ht="45" customHeight="1">
      <c r="A4" s="20"/>
      <c r="B4" s="170" t="s">
        <v>2</v>
      </c>
      <c r="C4" s="171" t="s">
        <v>3</v>
      </c>
      <c r="D4" s="172" t="s">
        <v>4</v>
      </c>
      <c r="E4" s="173" t="s">
        <v>5</v>
      </c>
      <c r="F4" s="173" t="s">
        <v>6</v>
      </c>
      <c r="G4" s="174" t="s">
        <v>7</v>
      </c>
      <c r="H4" s="174" t="s">
        <v>8</v>
      </c>
      <c r="I4" s="173" t="s">
        <v>9</v>
      </c>
      <c r="J4" s="174" t="s">
        <v>10</v>
      </c>
      <c r="K4" s="174" t="s">
        <v>11</v>
      </c>
      <c r="L4" s="174" t="s">
        <v>12</v>
      </c>
      <c r="M4" s="173" t="s">
        <v>13</v>
      </c>
      <c r="N4" s="173" t="s">
        <v>13</v>
      </c>
      <c r="O4" s="174" t="s">
        <v>14</v>
      </c>
      <c r="P4" s="174" t="s">
        <v>14</v>
      </c>
      <c r="Q4" s="173" t="s">
        <v>15</v>
      </c>
      <c r="R4" s="203" t="s">
        <v>16</v>
      </c>
      <c r="S4" s="173" t="s">
        <v>17</v>
      </c>
      <c r="T4" s="173" t="s">
        <v>18</v>
      </c>
      <c r="U4" s="173" t="s">
        <v>19</v>
      </c>
      <c r="V4" s="173" t="s">
        <v>20</v>
      </c>
      <c r="W4" s="174" t="s">
        <v>21</v>
      </c>
      <c r="X4" s="207" t="s">
        <v>22</v>
      </c>
      <c r="Y4" s="175" t="s">
        <v>23</v>
      </c>
      <c r="Z4" s="228" t="s">
        <v>24</v>
      </c>
    </row>
    <row r="5" spans="1:27" ht="17.25" customHeight="1">
      <c r="C5" s="177"/>
      <c r="D5" s="177"/>
      <c r="E5" s="178" t="s">
        <v>25</v>
      </c>
      <c r="F5" s="29"/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178" t="s">
        <v>25</v>
      </c>
      <c r="R5" s="211" t="s">
        <v>25</v>
      </c>
      <c r="S5" s="178" t="s">
        <v>25</v>
      </c>
      <c r="T5" s="178" t="s">
        <v>25</v>
      </c>
      <c r="U5" s="178" t="s">
        <v>25</v>
      </c>
      <c r="V5" s="178" t="s">
        <v>25</v>
      </c>
      <c r="W5" s="178" t="s">
        <v>25</v>
      </c>
      <c r="X5" s="219" t="s">
        <v>25</v>
      </c>
      <c r="Y5" s="178" t="s">
        <v>25</v>
      </c>
      <c r="Z5" s="219" t="s">
        <v>25</v>
      </c>
    </row>
    <row r="6" spans="1:27" ht="20.100000000000001" customHeight="1">
      <c r="A6" s="176" t="s">
        <v>26</v>
      </c>
      <c r="B6" s="177" t="s">
        <v>27</v>
      </c>
      <c r="C6" s="177"/>
      <c r="D6" s="177"/>
      <c r="E6" s="178"/>
      <c r="F6" s="29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211"/>
      <c r="S6" s="178"/>
      <c r="T6" s="178"/>
      <c r="U6" s="178"/>
      <c r="V6" s="178"/>
      <c r="W6" s="178"/>
      <c r="X6" s="219"/>
      <c r="Y6" s="178"/>
      <c r="Z6" s="219"/>
    </row>
    <row r="7" spans="1:27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3">
        <v>160488.75</v>
      </c>
      <c r="F7" s="23"/>
      <c r="G7" s="23">
        <v>320977.5</v>
      </c>
      <c r="H7" s="23">
        <v>48146.63</v>
      </c>
      <c r="I7" s="23">
        <v>120366.57</v>
      </c>
      <c r="J7" s="23">
        <v>72219.94</v>
      </c>
      <c r="K7" s="23">
        <v>0</v>
      </c>
      <c r="L7" s="23">
        <v>120366.57</v>
      </c>
      <c r="M7" s="179">
        <f>250000</f>
        <v>250000</v>
      </c>
      <c r="N7" s="179"/>
      <c r="O7" s="23">
        <v>16048.88</v>
      </c>
      <c r="P7" s="23">
        <v>25000</v>
      </c>
      <c r="Q7" s="23">
        <v>25235</v>
      </c>
      <c r="R7" s="204">
        <f>Q7+P7+O7+N7+M7+L7+K7+J7+I7+H7+G7+F7+E7</f>
        <v>1158849.8399999999</v>
      </c>
      <c r="S7" s="23"/>
      <c r="T7" s="23"/>
      <c r="U7" s="23"/>
      <c r="V7" s="23"/>
      <c r="W7" s="23">
        <v>201165.83594666663</v>
      </c>
      <c r="X7" s="208">
        <f t="shared" ref="X7:X34" si="0">W7+V7+U7+T7+S7</f>
        <v>201165.83594666663</v>
      </c>
      <c r="Y7" s="23">
        <v>957683.99999999988</v>
      </c>
      <c r="Z7" s="208">
        <f t="shared" ref="Z7:Z34" si="1">R7-X7</f>
        <v>957684.00405333319</v>
      </c>
      <c r="AA7" s="180"/>
    </row>
    <row r="8" spans="1:27" ht="20.100000000000001" customHeight="1">
      <c r="A8" s="28">
        <v>2</v>
      </c>
      <c r="B8" s="156" t="s">
        <v>31</v>
      </c>
      <c r="C8" s="20" t="s">
        <v>32</v>
      </c>
      <c r="D8" s="28" t="s">
        <v>33</v>
      </c>
      <c r="E8" s="25">
        <f>42653.17</f>
        <v>42653.17</v>
      </c>
      <c r="F8" s="25"/>
      <c r="G8" s="25">
        <f>E8*300%</f>
        <v>127959.51</v>
      </c>
      <c r="H8" s="25">
        <f>E8*7.5%</f>
        <v>3198.9877499999998</v>
      </c>
      <c r="I8" s="25">
        <v>40122.19</v>
      </c>
      <c r="J8" s="25">
        <f>E8*50%</f>
        <v>21326.584999999999</v>
      </c>
      <c r="K8" s="25">
        <f>E8*350%</f>
        <v>149286.095</v>
      </c>
      <c r="L8" s="25">
        <f>E8*100%</f>
        <v>42653.17</v>
      </c>
      <c r="M8" s="179">
        <f>180000</f>
        <v>180000</v>
      </c>
      <c r="N8" s="179"/>
      <c r="O8" s="25">
        <f>E8*10%</f>
        <v>4265.317</v>
      </c>
      <c r="P8" s="25">
        <v>20000</v>
      </c>
      <c r="Q8" s="25">
        <v>150000</v>
      </c>
      <c r="R8" s="204">
        <f t="shared" ref="R8:R21" si="2">Q8+P8+O8+N8+M8+L8+K8+J8+I8+H8+G8+F8+E8</f>
        <v>781465.0247500001</v>
      </c>
      <c r="S8" s="23"/>
      <c r="T8" s="23"/>
      <c r="U8" s="23"/>
      <c r="V8" s="23">
        <v>1066.32925</v>
      </c>
      <c r="W8" s="25">
        <v>128510.39445866668</v>
      </c>
      <c r="X8" s="208">
        <f t="shared" si="0"/>
        <v>129576.72370866667</v>
      </c>
      <c r="Y8" s="23">
        <v>651927.69424933335</v>
      </c>
      <c r="Z8" s="208">
        <f t="shared" si="1"/>
        <v>651888.30104133347</v>
      </c>
      <c r="AA8" s="180"/>
    </row>
    <row r="9" spans="1:27" ht="20.100000000000001" customHeight="1">
      <c r="A9" s="28">
        <v>3</v>
      </c>
      <c r="B9" s="158" t="s">
        <v>34</v>
      </c>
      <c r="C9" s="20" t="s">
        <v>35</v>
      </c>
      <c r="D9" s="28" t="s">
        <v>33</v>
      </c>
      <c r="E9" s="23">
        <f>42653.17</f>
        <v>42653.17</v>
      </c>
      <c r="F9" s="25"/>
      <c r="G9" s="25">
        <f>E9*300%</f>
        <v>127959.51</v>
      </c>
      <c r="H9" s="25">
        <f>E9*7.5%</f>
        <v>3198.9877499999998</v>
      </c>
      <c r="I9" s="25">
        <v>40122.19</v>
      </c>
      <c r="J9" s="25">
        <f>E9*50%</f>
        <v>21326.584999999999</v>
      </c>
      <c r="K9" s="25">
        <f>E9*350%</f>
        <v>149286.095</v>
      </c>
      <c r="L9" s="25">
        <f>E9*100%</f>
        <v>42653.17</v>
      </c>
      <c r="M9" s="179">
        <f>180000</f>
        <v>180000</v>
      </c>
      <c r="N9" s="179"/>
      <c r="O9" s="25">
        <f>E9*10%</f>
        <v>4265.317</v>
      </c>
      <c r="P9" s="25">
        <v>20000</v>
      </c>
      <c r="Q9" s="23">
        <f>100000</f>
        <v>100000</v>
      </c>
      <c r="R9" s="204">
        <f t="shared" si="2"/>
        <v>731465.02474999998</v>
      </c>
      <c r="S9" s="23"/>
      <c r="T9" s="23"/>
      <c r="U9" s="23"/>
      <c r="V9" s="23"/>
      <c r="W9" s="23">
        <v>119107.95141866668</v>
      </c>
      <c r="X9" s="208">
        <f t="shared" si="0"/>
        <v>119107.95141866668</v>
      </c>
      <c r="Y9" s="23">
        <v>601270.48574999999</v>
      </c>
      <c r="Z9" s="208">
        <f t="shared" si="1"/>
        <v>612357.07333133335</v>
      </c>
      <c r="AA9" s="180"/>
    </row>
    <row r="10" spans="1:27" ht="20.100000000000001" customHeight="1">
      <c r="A10" s="28">
        <v>4</v>
      </c>
      <c r="B10" s="156" t="s">
        <v>36</v>
      </c>
      <c r="C10" s="161" t="s">
        <v>37</v>
      </c>
      <c r="D10" s="28" t="s">
        <v>38</v>
      </c>
      <c r="E10" s="23">
        <f>42653.17</f>
        <v>42653.17</v>
      </c>
      <c r="F10" s="25"/>
      <c r="G10" s="25">
        <f>E10*300%</f>
        <v>127959.51</v>
      </c>
      <c r="H10" s="25">
        <f>E10*7.5%</f>
        <v>3198.9877499999998</v>
      </c>
      <c r="I10" s="25">
        <v>40122.19</v>
      </c>
      <c r="J10" s="25">
        <f>E10*50%</f>
        <v>21326.584999999999</v>
      </c>
      <c r="K10" s="25">
        <f>E10*350%</f>
        <v>149286.095</v>
      </c>
      <c r="L10" s="25">
        <f>E10*100%</f>
        <v>42653.17</v>
      </c>
      <c r="M10" s="179"/>
      <c r="N10" s="179">
        <f>90000</f>
        <v>90000</v>
      </c>
      <c r="O10" s="25">
        <f>E10*10%</f>
        <v>4265.317</v>
      </c>
      <c r="P10" s="25">
        <v>20000</v>
      </c>
      <c r="Q10" s="23">
        <v>0</v>
      </c>
      <c r="R10" s="204">
        <f t="shared" si="2"/>
        <v>541465.02474999998</v>
      </c>
      <c r="S10" s="23"/>
      <c r="T10" s="23">
        <f>100000</f>
        <v>100000</v>
      </c>
      <c r="U10" s="23"/>
      <c r="V10" s="23"/>
      <c r="W10" s="23">
        <v>82627.951418666678</v>
      </c>
      <c r="X10" s="208">
        <f t="shared" si="0"/>
        <v>182627.95141866669</v>
      </c>
      <c r="Y10" s="23">
        <v>347750.48574999999</v>
      </c>
      <c r="Z10" s="208">
        <f t="shared" si="1"/>
        <v>358837.07333133329</v>
      </c>
      <c r="AA10" s="180"/>
    </row>
    <row r="11" spans="1:27" ht="20.100000000000001" customHeight="1">
      <c r="A11" s="28">
        <v>5</v>
      </c>
      <c r="B11" s="158" t="s">
        <v>39</v>
      </c>
      <c r="C11" s="20" t="s">
        <v>40</v>
      </c>
      <c r="D11" s="181" t="s">
        <v>41</v>
      </c>
      <c r="E11" s="25">
        <v>41157.69</v>
      </c>
      <c r="F11" s="25"/>
      <c r="G11" s="25">
        <f t="shared" ref="G11" si="3">E11*300%</f>
        <v>123473.07</v>
      </c>
      <c r="H11" s="25">
        <f t="shared" ref="H11" si="4">E11*7.5%</f>
        <v>3086.8267500000002</v>
      </c>
      <c r="I11" s="23">
        <v>0</v>
      </c>
      <c r="J11" s="25">
        <f>E11*50%</f>
        <v>20578.845000000001</v>
      </c>
      <c r="K11" s="23">
        <f t="shared" ref="K11" si="5">E11*350%</f>
        <v>144051.91500000001</v>
      </c>
      <c r="L11" s="25">
        <f t="shared" ref="L11" si="6">E11*100%</f>
        <v>41157.69</v>
      </c>
      <c r="M11" s="179"/>
      <c r="N11" s="179">
        <f>90000</f>
        <v>90000</v>
      </c>
      <c r="O11" s="25">
        <f t="shared" ref="O11" si="7">E11*10%</f>
        <v>4115.7690000000002</v>
      </c>
      <c r="P11" s="25">
        <v>15000</v>
      </c>
      <c r="Q11" s="25">
        <f>100000+100000</f>
        <v>200000</v>
      </c>
      <c r="R11" s="204">
        <f>Q11+P11+O11+N11+M11+L11+K11+J11+I11+H11+G11+F11+E11</f>
        <v>682621.80574999982</v>
      </c>
      <c r="S11" s="23"/>
      <c r="T11" s="23"/>
      <c r="U11" s="23"/>
      <c r="V11" s="23"/>
      <c r="W11" s="25">
        <v>109730.05337066665</v>
      </c>
      <c r="X11" s="208">
        <f t="shared" si="0"/>
        <v>109730.05337066665</v>
      </c>
      <c r="Y11" s="23">
        <v>561805.4537500001</v>
      </c>
      <c r="Z11" s="208">
        <f t="shared" si="1"/>
        <v>572891.75237933313</v>
      </c>
      <c r="AA11" s="180"/>
    </row>
    <row r="12" spans="1:27" ht="20.100000000000001" customHeight="1">
      <c r="A12" s="28">
        <v>6</v>
      </c>
      <c r="B12" s="158" t="s">
        <v>42</v>
      </c>
      <c r="C12" s="20" t="s">
        <v>43</v>
      </c>
      <c r="D12" s="24" t="s">
        <v>41</v>
      </c>
      <c r="E12" s="25">
        <f>41157.69</f>
        <v>41157.69</v>
      </c>
      <c r="F12" s="25"/>
      <c r="G12" s="25">
        <f t="shared" ref="G12:G20" si="8">E12*300%</f>
        <v>123473.07</v>
      </c>
      <c r="H12" s="25">
        <f t="shared" ref="H12:H20" si="9">E12*7.5%</f>
        <v>3086.8267500000002</v>
      </c>
      <c r="I12" s="25">
        <v>40122.19</v>
      </c>
      <c r="J12" s="25">
        <f t="shared" ref="J12:J18" si="10">E12*50%</f>
        <v>20578.845000000001</v>
      </c>
      <c r="K12" s="25">
        <f t="shared" ref="K12:K20" si="11">E12*350%</f>
        <v>144051.91500000001</v>
      </c>
      <c r="L12" s="25">
        <f t="shared" ref="L12:L20" si="12">E12*100%</f>
        <v>41157.69</v>
      </c>
      <c r="M12" s="179"/>
      <c r="N12" s="179">
        <f>80000+10000</f>
        <v>90000</v>
      </c>
      <c r="O12" s="25">
        <f t="shared" ref="O12:O20" si="13">E12*10%</f>
        <v>4115.7690000000002</v>
      </c>
      <c r="P12" s="25">
        <v>20000</v>
      </c>
      <c r="Q12" s="25">
        <f>100000</f>
        <v>100000</v>
      </c>
      <c r="R12" s="204">
        <f>Q12+P12+O12+N12+M12+L12+K12+J12+I12+H12+G12+F12+E12</f>
        <v>627743.99575</v>
      </c>
      <c r="S12" s="23"/>
      <c r="T12" s="23">
        <f>0</f>
        <v>0</v>
      </c>
      <c r="U12" s="23">
        <v>0</v>
      </c>
      <c r="V12" s="23">
        <v>1028.9422500000001</v>
      </c>
      <c r="W12" s="23">
        <v>99032.677850666674</v>
      </c>
      <c r="X12" s="208">
        <f t="shared" si="0"/>
        <v>100061.62010066668</v>
      </c>
      <c r="Y12" s="23">
        <v>864937.14172222256</v>
      </c>
      <c r="Z12" s="208">
        <f t="shared" si="1"/>
        <v>527682.37564933335</v>
      </c>
      <c r="AA12" s="180"/>
    </row>
    <row r="13" spans="1:27" ht="20.100000000000001" customHeight="1">
      <c r="A13" s="28">
        <v>7</v>
      </c>
      <c r="B13" s="156" t="s">
        <v>44</v>
      </c>
      <c r="C13" s="112" t="s">
        <v>45</v>
      </c>
      <c r="D13" s="24" t="s">
        <v>41</v>
      </c>
      <c r="E13" s="25">
        <f t="shared" ref="E13:E14" si="14">41157.69</f>
        <v>41157.69</v>
      </c>
      <c r="F13" s="25"/>
      <c r="G13" s="25">
        <f>E13*300%</f>
        <v>123473.07</v>
      </c>
      <c r="H13" s="25">
        <f>E13*7.5%</f>
        <v>3086.8267500000002</v>
      </c>
      <c r="I13" s="25">
        <v>40122.19</v>
      </c>
      <c r="J13" s="25">
        <f>E13*50%</f>
        <v>20578.845000000001</v>
      </c>
      <c r="K13" s="25">
        <f>E13*350%</f>
        <v>144051.91500000001</v>
      </c>
      <c r="L13" s="25">
        <f>E13*100%</f>
        <v>41157.69</v>
      </c>
      <c r="M13" s="179"/>
      <c r="N13" s="179">
        <f>80000+10000</f>
        <v>90000</v>
      </c>
      <c r="O13" s="25">
        <f>E13*10%</f>
        <v>4115.7690000000002</v>
      </c>
      <c r="P13" s="25">
        <v>20000</v>
      </c>
      <c r="Q13" s="25">
        <v>0</v>
      </c>
      <c r="R13" s="204">
        <f>Q13+P13+O13+N13+M13+L13+K13+J13+I13+H13+G13+F13+E13</f>
        <v>527743.99575</v>
      </c>
      <c r="S13" s="23"/>
      <c r="T13" s="25">
        <f>50000</f>
        <v>50000</v>
      </c>
      <c r="U13" s="25">
        <f>160416.67</f>
        <v>160416.67000000001</v>
      </c>
      <c r="V13" s="25">
        <v>1028.9422500000001</v>
      </c>
      <c r="W13" s="25">
        <v>79832.677850666674</v>
      </c>
      <c r="X13" s="208">
        <f t="shared" si="0"/>
        <v>291278.29010066669</v>
      </c>
      <c r="Y13" s="25">
        <v>472919.67397222237</v>
      </c>
      <c r="Z13" s="208">
        <f t="shared" si="1"/>
        <v>236465.70564933331</v>
      </c>
      <c r="AA13" s="180"/>
    </row>
    <row r="14" spans="1:27" ht="20.100000000000001" customHeight="1">
      <c r="A14" s="28">
        <v>8</v>
      </c>
      <c r="B14" s="158" t="s">
        <v>46</v>
      </c>
      <c r="C14" s="20" t="s">
        <v>47</v>
      </c>
      <c r="D14" s="24" t="s">
        <v>41</v>
      </c>
      <c r="E14" s="25">
        <f t="shared" si="14"/>
        <v>41157.69</v>
      </c>
      <c r="F14" s="25"/>
      <c r="G14" s="25">
        <f t="shared" si="8"/>
        <v>123473.07</v>
      </c>
      <c r="H14" s="25">
        <f t="shared" si="9"/>
        <v>3086.8267500000002</v>
      </c>
      <c r="I14" s="25">
        <v>40122.19</v>
      </c>
      <c r="J14" s="25">
        <f t="shared" si="10"/>
        <v>20578.845000000001</v>
      </c>
      <c r="K14" s="25">
        <f t="shared" si="11"/>
        <v>144051.91500000001</v>
      </c>
      <c r="L14" s="25">
        <f t="shared" si="12"/>
        <v>41157.69</v>
      </c>
      <c r="M14" s="179"/>
      <c r="N14" s="179">
        <f>80000+10000</f>
        <v>90000</v>
      </c>
      <c r="O14" s="25">
        <f t="shared" si="13"/>
        <v>4115.7690000000002</v>
      </c>
      <c r="P14" s="25">
        <v>20000</v>
      </c>
      <c r="Q14" s="182">
        <v>0</v>
      </c>
      <c r="R14" s="204">
        <f>Q14+P14+O14+N14+M14+L14+K14+J14+I14+H14+G14+F14+E14</f>
        <v>527743.99575</v>
      </c>
      <c r="S14" s="23"/>
      <c r="T14" s="23">
        <f>20000</f>
        <v>20000</v>
      </c>
      <c r="U14" s="23">
        <f>179017.51</f>
        <v>179017.51</v>
      </c>
      <c r="V14" s="23">
        <v>1028.9422500000001</v>
      </c>
      <c r="W14" s="23">
        <v>79832.677850666674</v>
      </c>
      <c r="X14" s="208">
        <f t="shared" si="0"/>
        <v>279879.13010066666</v>
      </c>
      <c r="Y14" s="23">
        <v>408718.23397222237</v>
      </c>
      <c r="Z14" s="208">
        <f t="shared" si="1"/>
        <v>247864.86564933334</v>
      </c>
      <c r="AA14" s="180"/>
    </row>
    <row r="15" spans="1:27" ht="20.100000000000001" customHeight="1">
      <c r="A15" s="28">
        <v>9</v>
      </c>
      <c r="B15" s="156" t="s">
        <v>48</v>
      </c>
      <c r="C15" s="161" t="s">
        <v>49</v>
      </c>
      <c r="D15" s="181" t="s">
        <v>50</v>
      </c>
      <c r="E15" s="25">
        <v>33507.5</v>
      </c>
      <c r="F15" s="25"/>
      <c r="G15" s="25">
        <f>E15*300%</f>
        <v>100522.5</v>
      </c>
      <c r="H15" s="25">
        <f>E15*7.5%</f>
        <v>2513.0625</v>
      </c>
      <c r="I15" s="25">
        <f>40122.19</f>
        <v>40122.19</v>
      </c>
      <c r="J15" s="25">
        <f>E15*50%</f>
        <v>16753.75</v>
      </c>
      <c r="K15" s="23">
        <f>E15*350%</f>
        <v>117276.25</v>
      </c>
      <c r="L15" s="25">
        <f>E15*100%</f>
        <v>33507.5</v>
      </c>
      <c r="M15" s="179"/>
      <c r="N15" s="179">
        <f t="shared" ref="N15:N122" si="15">80000</f>
        <v>80000</v>
      </c>
      <c r="O15" s="25">
        <f>E15*10%</f>
        <v>3350.75</v>
      </c>
      <c r="P15" s="25">
        <v>20000</v>
      </c>
      <c r="Q15" s="25">
        <v>0</v>
      </c>
      <c r="R15" s="204">
        <f>SUM(E15:Q15)</f>
        <v>447553.5025</v>
      </c>
      <c r="S15" s="23"/>
      <c r="T15" s="23">
        <f>50000-40000</f>
        <v>10000</v>
      </c>
      <c r="U15" s="23">
        <f>90000+110000</f>
        <v>200000</v>
      </c>
      <c r="V15" s="23">
        <v>837.6875</v>
      </c>
      <c r="W15" s="25">
        <v>64436.103146666661</v>
      </c>
      <c r="X15" s="208">
        <f t="shared" si="0"/>
        <v>275273.79064666666</v>
      </c>
      <c r="Y15" s="23">
        <v>172279.71500000003</v>
      </c>
      <c r="Z15" s="208">
        <f t="shared" si="1"/>
        <v>172279.71185333334</v>
      </c>
      <c r="AA15" s="180"/>
    </row>
    <row r="16" spans="1:27" ht="20.100000000000001" customHeight="1">
      <c r="A16" s="28">
        <v>10</v>
      </c>
      <c r="B16" s="157" t="s">
        <v>51</v>
      </c>
      <c r="C16" s="161" t="s">
        <v>52</v>
      </c>
      <c r="D16" s="28" t="s">
        <v>53</v>
      </c>
      <c r="E16" s="23">
        <v>32263.200000000001</v>
      </c>
      <c r="F16" s="25"/>
      <c r="G16" s="25">
        <f t="shared" ref="G16" si="16">E16*300%</f>
        <v>96789.6</v>
      </c>
      <c r="H16" s="25">
        <f t="shared" ref="H16" si="17">E16*7.5%</f>
        <v>2419.7399999999998</v>
      </c>
      <c r="I16" s="25">
        <v>40122.19</v>
      </c>
      <c r="J16" s="25">
        <f t="shared" ref="J16" si="18">E16*50%</f>
        <v>16131.6</v>
      </c>
      <c r="K16" s="25">
        <f t="shared" ref="K16" si="19">E16*350%</f>
        <v>112921.2</v>
      </c>
      <c r="L16" s="25">
        <f t="shared" ref="L16" si="20">E16*100%</f>
        <v>32263.200000000001</v>
      </c>
      <c r="M16" s="179"/>
      <c r="N16" s="179">
        <f>80000</f>
        <v>80000</v>
      </c>
      <c r="O16" s="25">
        <f t="shared" ref="O16" si="21">E16*10%</f>
        <v>3226.32</v>
      </c>
      <c r="P16" s="25">
        <v>20000</v>
      </c>
      <c r="Q16" s="182">
        <v>0</v>
      </c>
      <c r="R16" s="204">
        <f t="shared" si="2"/>
        <v>436137.05</v>
      </c>
      <c r="S16" s="23"/>
      <c r="T16" s="23">
        <f>50000</f>
        <v>50000</v>
      </c>
      <c r="U16" s="23">
        <f>59583.33</f>
        <v>59583.33</v>
      </c>
      <c r="V16" s="23"/>
      <c r="W16" s="23">
        <v>62404.980266666658</v>
      </c>
      <c r="X16" s="208">
        <f t="shared" si="0"/>
        <v>171988.31026666667</v>
      </c>
      <c r="Y16" s="23">
        <v>254923.79700000002</v>
      </c>
      <c r="Z16" s="208">
        <f t="shared" si="1"/>
        <v>264148.73973333335</v>
      </c>
      <c r="AA16" s="180"/>
    </row>
    <row r="17" spans="1:27" ht="20.100000000000001" customHeight="1">
      <c r="A17" s="28">
        <v>11</v>
      </c>
      <c r="B17" s="160" t="s">
        <v>54</v>
      </c>
      <c r="C17" s="20" t="s">
        <v>55</v>
      </c>
      <c r="D17" s="24" t="s">
        <v>56</v>
      </c>
      <c r="E17" s="25">
        <v>27611.23</v>
      </c>
      <c r="F17" s="25"/>
      <c r="G17" s="25">
        <f t="shared" si="8"/>
        <v>82833.69</v>
      </c>
      <c r="H17" s="25">
        <f t="shared" si="9"/>
        <v>2070.8422499999997</v>
      </c>
      <c r="I17" s="25"/>
      <c r="J17" s="25">
        <f t="shared" si="10"/>
        <v>13805.615</v>
      </c>
      <c r="K17" s="25">
        <f t="shared" si="11"/>
        <v>96639.304999999993</v>
      </c>
      <c r="L17" s="25">
        <f t="shared" si="12"/>
        <v>27611.23</v>
      </c>
      <c r="M17" s="179"/>
      <c r="N17" s="179">
        <f t="shared" ref="N17:N20" si="22">70000</f>
        <v>70000</v>
      </c>
      <c r="O17" s="25">
        <f t="shared" si="13"/>
        <v>2761.123</v>
      </c>
      <c r="P17" s="25">
        <v>20000</v>
      </c>
      <c r="Q17" s="25">
        <v>50000</v>
      </c>
      <c r="R17" s="204">
        <f t="shared" si="2"/>
        <v>393333.03525000002</v>
      </c>
      <c r="S17" s="23"/>
      <c r="T17" s="23">
        <v>50000</v>
      </c>
      <c r="U17" s="23">
        <f>150000</f>
        <v>150000</v>
      </c>
      <c r="V17" s="23">
        <v>0</v>
      </c>
      <c r="W17" s="23">
        <v>54186.609434666672</v>
      </c>
      <c r="X17" s="208">
        <f t="shared" si="0"/>
        <v>254186.60943466667</v>
      </c>
      <c r="Y17" s="23">
        <v>132633.16375000004</v>
      </c>
      <c r="Z17" s="208">
        <f t="shared" si="1"/>
        <v>139146.42581533335</v>
      </c>
      <c r="AA17" s="180"/>
    </row>
    <row r="18" spans="1:27" ht="19.5" customHeight="1">
      <c r="A18" s="28">
        <v>12</v>
      </c>
      <c r="B18" s="158" t="s">
        <v>57</v>
      </c>
      <c r="C18" s="20" t="s">
        <v>58</v>
      </c>
      <c r="D18" s="28" t="s">
        <v>56</v>
      </c>
      <c r="E18" s="25">
        <v>27611.23</v>
      </c>
      <c r="F18" s="25"/>
      <c r="G18" s="25">
        <f t="shared" si="8"/>
        <v>82833.69</v>
      </c>
      <c r="H18" s="25">
        <f t="shared" si="9"/>
        <v>2070.8422499999997</v>
      </c>
      <c r="I18" s="25"/>
      <c r="J18" s="25">
        <f t="shared" si="10"/>
        <v>13805.615</v>
      </c>
      <c r="K18" s="23">
        <f t="shared" si="11"/>
        <v>96639.304999999993</v>
      </c>
      <c r="L18" s="25">
        <f t="shared" si="12"/>
        <v>27611.23</v>
      </c>
      <c r="M18" s="179"/>
      <c r="N18" s="179">
        <f t="shared" si="22"/>
        <v>70000</v>
      </c>
      <c r="O18" s="25">
        <f t="shared" si="13"/>
        <v>2761.123</v>
      </c>
      <c r="P18" s="25">
        <v>20000</v>
      </c>
      <c r="Q18" s="25">
        <v>0</v>
      </c>
      <c r="R18" s="204">
        <f t="shared" si="2"/>
        <v>343333.03524999996</v>
      </c>
      <c r="S18" s="23"/>
      <c r="T18" s="23"/>
      <c r="U18" s="23"/>
      <c r="V18" s="23">
        <v>690.28075000000001</v>
      </c>
      <c r="W18" s="23">
        <v>44734.339388666653</v>
      </c>
      <c r="X18" s="208">
        <f t="shared" si="0"/>
        <v>45424.620138666651</v>
      </c>
      <c r="Y18" s="23">
        <v>291223.74750000006</v>
      </c>
      <c r="Z18" s="208">
        <f t="shared" si="1"/>
        <v>297908.41511133331</v>
      </c>
      <c r="AA18" s="180"/>
    </row>
    <row r="19" spans="1:27" ht="19.5" customHeight="1">
      <c r="A19" s="28">
        <v>13</v>
      </c>
      <c r="B19" s="158" t="s">
        <v>59</v>
      </c>
      <c r="C19" s="20" t="s">
        <v>60</v>
      </c>
      <c r="D19" s="28" t="s">
        <v>56</v>
      </c>
      <c r="E19" s="25">
        <v>27611.23</v>
      </c>
      <c r="F19" s="25"/>
      <c r="G19" s="25">
        <f>E19*300%</f>
        <v>82833.69</v>
      </c>
      <c r="H19" s="25">
        <f>E19*7.5%</f>
        <v>2070.8422499999997</v>
      </c>
      <c r="I19" s="25"/>
      <c r="J19" s="25">
        <f t="shared" ref="J19:J21" si="23">E19*50%</f>
        <v>13805.615</v>
      </c>
      <c r="K19" s="23">
        <f>E19*350%</f>
        <v>96639.304999999993</v>
      </c>
      <c r="L19" s="25">
        <f>E19*100%</f>
        <v>27611.23</v>
      </c>
      <c r="M19" s="179">
        <f>140000</f>
        <v>140000</v>
      </c>
      <c r="N19" s="179"/>
      <c r="O19" s="25">
        <f>E19*10%</f>
        <v>2761.123</v>
      </c>
      <c r="P19" s="25">
        <v>20000</v>
      </c>
      <c r="Q19" s="25">
        <f>50000+100000</f>
        <v>150000</v>
      </c>
      <c r="R19" s="204">
        <f t="shared" si="2"/>
        <v>563333.03524999996</v>
      </c>
      <c r="S19" s="23"/>
      <c r="T19" s="23"/>
      <c r="U19" s="23"/>
      <c r="V19" s="23"/>
      <c r="W19" s="23">
        <v>86826.60943466665</v>
      </c>
      <c r="X19" s="208">
        <f t="shared" si="0"/>
        <v>86826.60943466665</v>
      </c>
      <c r="Y19" s="23">
        <v>469993.16375000007</v>
      </c>
      <c r="Z19" s="208">
        <f t="shared" si="1"/>
        <v>476506.42581533332</v>
      </c>
      <c r="AA19" s="180"/>
    </row>
    <row r="20" spans="1:27" ht="20.100000000000001" customHeight="1">
      <c r="A20" s="28">
        <v>14</v>
      </c>
      <c r="B20" s="156" t="s">
        <v>61</v>
      </c>
      <c r="C20" s="20" t="s">
        <v>58</v>
      </c>
      <c r="D20" s="181" t="s">
        <v>56</v>
      </c>
      <c r="E20" s="25">
        <v>27611.23</v>
      </c>
      <c r="F20" s="25"/>
      <c r="G20" s="25">
        <f t="shared" si="8"/>
        <v>82833.69</v>
      </c>
      <c r="H20" s="25">
        <f t="shared" si="9"/>
        <v>2070.8422499999997</v>
      </c>
      <c r="I20" s="23">
        <v>0</v>
      </c>
      <c r="J20" s="25">
        <f t="shared" si="23"/>
        <v>13805.615</v>
      </c>
      <c r="K20" s="23">
        <f t="shared" si="11"/>
        <v>96639.304999999993</v>
      </c>
      <c r="L20" s="25">
        <f t="shared" si="12"/>
        <v>27611.23</v>
      </c>
      <c r="M20" s="179"/>
      <c r="N20" s="179">
        <f t="shared" si="22"/>
        <v>70000</v>
      </c>
      <c r="O20" s="25">
        <f t="shared" si="13"/>
        <v>2761.123</v>
      </c>
      <c r="P20" s="25">
        <v>15000</v>
      </c>
      <c r="Q20" s="25">
        <f>0</f>
        <v>0</v>
      </c>
      <c r="R20" s="204">
        <f t="shared" si="2"/>
        <v>338333.03524999996</v>
      </c>
      <c r="S20" s="23"/>
      <c r="T20" s="23"/>
      <c r="U20" s="23"/>
      <c r="V20" s="23"/>
      <c r="W20" s="25">
        <v>44006.616588666657</v>
      </c>
      <c r="X20" s="208">
        <f t="shared" si="0"/>
        <v>44006.616588666657</v>
      </c>
      <c r="Y20" s="23">
        <v>286780.0240633334</v>
      </c>
      <c r="Z20" s="208">
        <f t="shared" si="1"/>
        <v>294326.41866133327</v>
      </c>
      <c r="AA20" s="180"/>
    </row>
    <row r="21" spans="1:27" ht="20.100000000000001" customHeight="1">
      <c r="A21" s="28">
        <v>15</v>
      </c>
      <c r="B21" s="156" t="s">
        <v>62</v>
      </c>
      <c r="C21" s="161" t="s">
        <v>63</v>
      </c>
      <c r="D21" s="181" t="s">
        <v>64</v>
      </c>
      <c r="E21" s="25">
        <v>24741.26</v>
      </c>
      <c r="F21" s="25"/>
      <c r="G21" s="25">
        <f t="shared" ref="G21:G25" si="24">E21*300%</f>
        <v>74223.78</v>
      </c>
      <c r="H21" s="25">
        <f t="shared" ref="H21:H25" si="25">E21*7.5%</f>
        <v>1855.5944999999997</v>
      </c>
      <c r="I21" s="25">
        <v>0</v>
      </c>
      <c r="J21" s="25">
        <f t="shared" si="23"/>
        <v>12370.63</v>
      </c>
      <c r="K21" s="23">
        <f t="shared" ref="K21:K25" si="26">E21*350%</f>
        <v>86594.409999999989</v>
      </c>
      <c r="L21" s="25">
        <f t="shared" ref="L21:L25" si="27">E21*100%</f>
        <v>24741.26</v>
      </c>
      <c r="M21" s="179">
        <f>120000</f>
        <v>120000</v>
      </c>
      <c r="N21" s="179"/>
      <c r="O21" s="25">
        <f t="shared" ref="O21:O25" si="28">E21*10%</f>
        <v>2474.1260000000002</v>
      </c>
      <c r="P21" s="25">
        <v>15000</v>
      </c>
      <c r="Q21" s="25">
        <v>0</v>
      </c>
      <c r="R21" s="204">
        <f t="shared" si="2"/>
        <v>362001.06050000002</v>
      </c>
      <c r="S21" s="23"/>
      <c r="T21" s="23">
        <f>10000</f>
        <v>10000</v>
      </c>
      <c r="U21" s="23">
        <v>0</v>
      </c>
      <c r="V21" s="23"/>
      <c r="W21" s="25">
        <v>46666.666666666664</v>
      </c>
      <c r="X21" s="208">
        <f t="shared" si="0"/>
        <v>56666.666666666664</v>
      </c>
      <c r="Y21" s="23">
        <v>158164.766</v>
      </c>
      <c r="Z21" s="208">
        <f t="shared" si="1"/>
        <v>305334.39383333334</v>
      </c>
      <c r="AA21" s="180"/>
    </row>
    <row r="22" spans="1:27" ht="20.100000000000001" customHeight="1">
      <c r="A22" s="28">
        <v>16</v>
      </c>
      <c r="B22" s="157" t="s">
        <v>65</v>
      </c>
      <c r="C22" s="20" t="s">
        <v>66</v>
      </c>
      <c r="D22" s="181" t="s">
        <v>67</v>
      </c>
      <c r="E22" s="25">
        <f>23891.12</f>
        <v>23891.119999999999</v>
      </c>
      <c r="F22" s="25"/>
      <c r="G22" s="25">
        <f t="shared" si="24"/>
        <v>71673.36</v>
      </c>
      <c r="H22" s="25">
        <f t="shared" si="25"/>
        <v>1791.8339999999998</v>
      </c>
      <c r="I22" s="25"/>
      <c r="J22" s="25">
        <f>E22*50%</f>
        <v>11945.56</v>
      </c>
      <c r="K22" s="25">
        <f t="shared" si="26"/>
        <v>83618.92</v>
      </c>
      <c r="L22" s="25">
        <f t="shared" si="27"/>
        <v>23891.119999999999</v>
      </c>
      <c r="M22" s="179">
        <f>120000</f>
        <v>120000</v>
      </c>
      <c r="N22" s="179"/>
      <c r="O22" s="25">
        <f t="shared" si="28"/>
        <v>2389.1120000000001</v>
      </c>
      <c r="P22" s="25">
        <v>10000</v>
      </c>
      <c r="Q22" s="25">
        <f>100000</f>
        <v>100000</v>
      </c>
      <c r="R22" s="204">
        <f t="shared" ref="R22:R26" si="29">Q22+P22+O22+N22+M22+L22+K22+J22+I22+H22+G22+F22+E22</f>
        <v>449201.02599999995</v>
      </c>
      <c r="S22" s="23"/>
      <c r="T22" s="25">
        <f>30000-20000</f>
        <v>10000</v>
      </c>
      <c r="U22" s="25">
        <f>95833.33</f>
        <v>95833.33</v>
      </c>
      <c r="V22" s="25">
        <v>597.27800000000002</v>
      </c>
      <c r="W22" s="25">
        <v>64913.263658666656</v>
      </c>
      <c r="X22" s="208">
        <f t="shared" si="0"/>
        <v>171343.87165866664</v>
      </c>
      <c r="Y22" s="25">
        <v>271938.01850000001</v>
      </c>
      <c r="Z22" s="208">
        <f t="shared" si="1"/>
        <v>277857.15434133331</v>
      </c>
      <c r="AA22" s="180"/>
    </row>
    <row r="23" spans="1:27" ht="20.100000000000001" customHeight="1">
      <c r="A23" s="28">
        <v>17</v>
      </c>
      <c r="B23" s="156" t="s">
        <v>68</v>
      </c>
      <c r="C23" s="161" t="s">
        <v>69</v>
      </c>
      <c r="D23" s="181" t="s">
        <v>70</v>
      </c>
      <c r="E23" s="25">
        <f>22837.82</f>
        <v>22837.82</v>
      </c>
      <c r="F23" s="25"/>
      <c r="G23" s="25">
        <f t="shared" si="24"/>
        <v>68513.459999999992</v>
      </c>
      <c r="H23" s="25">
        <f t="shared" si="25"/>
        <v>1712.8364999999999</v>
      </c>
      <c r="I23" s="23"/>
      <c r="J23" s="25">
        <f>E23*50%</f>
        <v>11418.91</v>
      </c>
      <c r="K23" s="23">
        <f t="shared" si="26"/>
        <v>79932.37</v>
      </c>
      <c r="L23" s="25">
        <f t="shared" si="27"/>
        <v>22837.82</v>
      </c>
      <c r="M23" s="179"/>
      <c r="N23" s="179">
        <f>60000</f>
        <v>60000</v>
      </c>
      <c r="O23" s="25">
        <f t="shared" si="28"/>
        <v>2283.7820000000002</v>
      </c>
      <c r="P23" s="25">
        <v>15000</v>
      </c>
      <c r="Q23" s="25"/>
      <c r="R23" s="204">
        <f t="shared" si="29"/>
        <v>284536.99849999999</v>
      </c>
      <c r="S23" s="23"/>
      <c r="T23" s="23"/>
      <c r="U23" s="23"/>
      <c r="V23" s="23">
        <v>570.94550000000004</v>
      </c>
      <c r="W23" s="25">
        <v>34871.967414666666</v>
      </c>
      <c r="X23" s="208">
        <f t="shared" si="0"/>
        <v>35442.912914666667</v>
      </c>
      <c r="Y23" s="23">
        <v>240067.49200000003</v>
      </c>
      <c r="Z23" s="208">
        <f t="shared" si="1"/>
        <v>249094.08558533332</v>
      </c>
      <c r="AA23" s="180"/>
    </row>
    <row r="24" spans="1:27" ht="18.75" customHeight="1">
      <c r="A24" s="28">
        <v>18</v>
      </c>
      <c r="B24" s="156" t="s">
        <v>71</v>
      </c>
      <c r="C24" s="161" t="s">
        <v>72</v>
      </c>
      <c r="D24" s="181" t="s">
        <v>73</v>
      </c>
      <c r="E24" s="25">
        <v>21520.880000000001</v>
      </c>
      <c r="F24" s="25"/>
      <c r="G24" s="25">
        <f t="shared" si="24"/>
        <v>64562.64</v>
      </c>
      <c r="H24" s="25">
        <f t="shared" si="25"/>
        <v>1614.066</v>
      </c>
      <c r="I24" s="23"/>
      <c r="J24" s="25">
        <f>E24*50%</f>
        <v>10760.44</v>
      </c>
      <c r="K24" s="23">
        <f t="shared" si="26"/>
        <v>75323.08</v>
      </c>
      <c r="L24" s="25">
        <f t="shared" si="27"/>
        <v>21520.880000000001</v>
      </c>
      <c r="M24" s="179"/>
      <c r="N24" s="179">
        <f>60000</f>
        <v>60000</v>
      </c>
      <c r="O24" s="25">
        <f t="shared" si="28"/>
        <v>2152.0880000000002</v>
      </c>
      <c r="P24" s="25">
        <v>10000</v>
      </c>
      <c r="Q24" s="25"/>
      <c r="R24" s="204">
        <f t="shared" si="29"/>
        <v>267454.07400000002</v>
      </c>
      <c r="S24" s="23"/>
      <c r="T24" s="23">
        <f>20000</f>
        <v>20000</v>
      </c>
      <c r="U24" s="23">
        <f>111833.33</f>
        <v>111833.33</v>
      </c>
      <c r="V24" s="23"/>
      <c r="W24" s="25">
        <v>32008.563458666671</v>
      </c>
      <c r="X24" s="208">
        <f t="shared" si="0"/>
        <v>163841.89345866669</v>
      </c>
      <c r="Y24" s="23">
        <v>96789.555873333331</v>
      </c>
      <c r="Z24" s="208">
        <f t="shared" si="1"/>
        <v>103612.18054133333</v>
      </c>
      <c r="AA24" s="180"/>
    </row>
    <row r="25" spans="1:27" ht="18.75" customHeight="1">
      <c r="A25" s="28">
        <v>19</v>
      </c>
      <c r="B25" s="156" t="s">
        <v>74</v>
      </c>
      <c r="C25" s="20" t="s">
        <v>75</v>
      </c>
      <c r="D25" s="181" t="s">
        <v>73</v>
      </c>
      <c r="E25" s="25">
        <v>21520.880000000001</v>
      </c>
      <c r="F25" s="25"/>
      <c r="G25" s="25">
        <f t="shared" si="24"/>
        <v>64562.64</v>
      </c>
      <c r="H25" s="25">
        <f t="shared" si="25"/>
        <v>1614.066</v>
      </c>
      <c r="I25" s="25"/>
      <c r="J25" s="25">
        <f>E25*50%</f>
        <v>10760.44</v>
      </c>
      <c r="K25" s="23">
        <f t="shared" si="26"/>
        <v>75323.08</v>
      </c>
      <c r="L25" s="25">
        <f t="shared" si="27"/>
        <v>21520.880000000001</v>
      </c>
      <c r="M25" s="179"/>
      <c r="N25" s="179">
        <f>60000</f>
        <v>60000</v>
      </c>
      <c r="O25" s="25">
        <f t="shared" si="28"/>
        <v>2152.0880000000002</v>
      </c>
      <c r="P25" s="25">
        <v>10000</v>
      </c>
      <c r="Q25" s="25"/>
      <c r="R25" s="204">
        <f t="shared" si="29"/>
        <v>267454.07400000002</v>
      </c>
      <c r="S25" s="23"/>
      <c r="T25" s="23">
        <f>20000</f>
        <v>20000</v>
      </c>
      <c r="U25" s="23">
        <f>'[2]OCT 2022 '!$D$184</f>
        <v>43750</v>
      </c>
      <c r="V25" s="23"/>
      <c r="W25" s="25">
        <v>32098.951098666672</v>
      </c>
      <c r="X25" s="208">
        <f t="shared" si="0"/>
        <v>95848.951098666672</v>
      </c>
      <c r="Y25" s="23">
        <v>164872.88587333332</v>
      </c>
      <c r="Z25" s="208">
        <f t="shared" si="1"/>
        <v>171605.12290133335</v>
      </c>
      <c r="AA25" s="180"/>
    </row>
    <row r="26" spans="1:27" ht="18.75" customHeight="1">
      <c r="A26" s="28">
        <v>20</v>
      </c>
      <c r="B26" s="157" t="s">
        <v>76</v>
      </c>
      <c r="C26" s="161" t="s">
        <v>77</v>
      </c>
      <c r="D26" s="181" t="s">
        <v>78</v>
      </c>
      <c r="E26" s="25">
        <v>18281.64</v>
      </c>
      <c r="F26" s="25"/>
      <c r="G26" s="25">
        <f t="shared" ref="G26" si="30">E26*300%</f>
        <v>54844.92</v>
      </c>
      <c r="H26" s="25">
        <f t="shared" ref="H26" si="31">E26*7.5%</f>
        <v>1371.1229999999998</v>
      </c>
      <c r="I26" s="25"/>
      <c r="J26" s="25">
        <f t="shared" ref="J26" si="32">E26*50%</f>
        <v>9140.82</v>
      </c>
      <c r="K26" s="25">
        <f t="shared" ref="K26" si="33">E26*350%</f>
        <v>63985.74</v>
      </c>
      <c r="L26" s="25">
        <f t="shared" ref="L26" si="34">E26*100%</f>
        <v>18281.64</v>
      </c>
      <c r="M26" s="179"/>
      <c r="N26" s="179">
        <f>60000</f>
        <v>60000</v>
      </c>
      <c r="O26" s="25">
        <f t="shared" ref="O26" si="35">E26*10%</f>
        <v>1828.164</v>
      </c>
      <c r="P26" s="25">
        <v>10000</v>
      </c>
      <c r="Q26" s="25"/>
      <c r="R26" s="204">
        <f t="shared" si="29"/>
        <v>237734.04700000002</v>
      </c>
      <c r="S26" s="23"/>
      <c r="T26" s="25">
        <f>10000</f>
        <v>10000</v>
      </c>
      <c r="U26" s="25">
        <f>34333.33</f>
        <v>34333.33</v>
      </c>
      <c r="V26" s="25"/>
      <c r="W26" s="179">
        <v>27105.986562666669</v>
      </c>
      <c r="X26" s="208">
        <f t="shared" si="0"/>
        <v>71439.316562666674</v>
      </c>
      <c r="Y26" s="25">
        <v>162496.70749999996</v>
      </c>
      <c r="Z26" s="208">
        <f t="shared" si="1"/>
        <v>166294.73043733335</v>
      </c>
      <c r="AA26" s="180"/>
    </row>
    <row r="27" spans="1:27" ht="18.75" customHeight="1">
      <c r="A27" s="28">
        <v>21</v>
      </c>
      <c r="B27" s="20" t="s">
        <v>79</v>
      </c>
      <c r="C27" s="20" t="s">
        <v>80</v>
      </c>
      <c r="D27" s="28" t="s">
        <v>81</v>
      </c>
      <c r="E27" s="205">
        <v>14736.14</v>
      </c>
      <c r="F27" s="25"/>
      <c r="G27" s="25">
        <v>44208.42</v>
      </c>
      <c r="H27" s="25">
        <v>1105.2104999999999</v>
      </c>
      <c r="I27" s="25"/>
      <c r="J27" s="25">
        <v>7368.07</v>
      </c>
      <c r="K27" s="25">
        <v>51576.49</v>
      </c>
      <c r="L27" s="25">
        <v>14736.14</v>
      </c>
      <c r="M27" s="179"/>
      <c r="N27" s="179">
        <v>60000</v>
      </c>
      <c r="O27" s="25">
        <v>1473.614</v>
      </c>
      <c r="P27" s="25">
        <v>10000</v>
      </c>
      <c r="Q27" s="25"/>
      <c r="R27" s="204">
        <v>205204.0845</v>
      </c>
      <c r="S27" s="23"/>
      <c r="T27" s="23">
        <v>10000</v>
      </c>
      <c r="U27" s="23">
        <v>0</v>
      </c>
      <c r="V27" s="23"/>
      <c r="W27" s="25">
        <v>21640.952862666669</v>
      </c>
      <c r="X27" s="208">
        <f t="shared" si="0"/>
        <v>31640.952862666669</v>
      </c>
      <c r="Y27" s="23">
        <v>126563.1345</v>
      </c>
      <c r="Z27" s="208">
        <f t="shared" si="1"/>
        <v>173563.13163733334</v>
      </c>
      <c r="AA27" s="180"/>
    </row>
    <row r="28" spans="1:27" ht="18.75" customHeight="1">
      <c r="A28" s="28">
        <v>22</v>
      </c>
      <c r="B28" s="157" t="s">
        <v>82</v>
      </c>
      <c r="C28" s="161" t="s">
        <v>80</v>
      </c>
      <c r="D28" s="181" t="s">
        <v>81</v>
      </c>
      <c r="E28" s="25">
        <f t="shared" ref="E28:E29" si="36">15188.67</f>
        <v>15188.67</v>
      </c>
      <c r="F28" s="25"/>
      <c r="G28" s="25">
        <f>E28*300%</f>
        <v>45566.01</v>
      </c>
      <c r="H28" s="25">
        <f>E28*7.5%</f>
        <v>1139.1502499999999</v>
      </c>
      <c r="I28" s="25"/>
      <c r="J28" s="25">
        <f>E28*50%</f>
        <v>7594.335</v>
      </c>
      <c r="K28" s="23">
        <f>E28*350%</f>
        <v>53160.345000000001</v>
      </c>
      <c r="L28" s="25">
        <f>E28*100%</f>
        <v>15188.67</v>
      </c>
      <c r="M28" s="179"/>
      <c r="N28" s="179">
        <f>50000+10000</f>
        <v>60000</v>
      </c>
      <c r="O28" s="25">
        <f>E28*10%</f>
        <v>1518.8670000000002</v>
      </c>
      <c r="P28" s="25">
        <v>10000</v>
      </c>
      <c r="Q28" s="25"/>
      <c r="R28" s="204">
        <f>Q28+P28+O28+N28+M28+L28+K28+J28+I28+H28+G28+F28+E28</f>
        <v>209356.04725</v>
      </c>
      <c r="S28" s="23"/>
      <c r="T28" s="23"/>
      <c r="U28" s="23"/>
      <c r="V28" s="23"/>
      <c r="W28" s="25">
        <v>22338.48260466666</v>
      </c>
      <c r="X28" s="208">
        <f t="shared" si="0"/>
        <v>22338.48260466666</v>
      </c>
      <c r="Y28" s="23">
        <v>183563.13449999999</v>
      </c>
      <c r="Z28" s="208">
        <f t="shared" si="1"/>
        <v>187017.56464533333</v>
      </c>
      <c r="AA28" s="180"/>
    </row>
    <row r="29" spans="1:27" ht="18.75" customHeight="1">
      <c r="A29" s="28">
        <v>23</v>
      </c>
      <c r="B29" s="156" t="s">
        <v>83</v>
      </c>
      <c r="C29" s="161" t="s">
        <v>84</v>
      </c>
      <c r="D29" s="181" t="s">
        <v>81</v>
      </c>
      <c r="E29" s="25">
        <f t="shared" si="36"/>
        <v>15188.67</v>
      </c>
      <c r="F29" s="25"/>
      <c r="G29" s="25">
        <f t="shared" ref="G29:G30" si="37">E29*300%</f>
        <v>45566.01</v>
      </c>
      <c r="H29" s="25">
        <f t="shared" ref="H29:H30" si="38">E29*7.5%</f>
        <v>1139.1502499999999</v>
      </c>
      <c r="I29" s="25"/>
      <c r="J29" s="25">
        <f t="shared" ref="J29:J30" si="39">E29*50%</f>
        <v>7594.335</v>
      </c>
      <c r="K29" s="23">
        <f t="shared" ref="K29:K30" si="40">E29*350%</f>
        <v>53160.345000000001</v>
      </c>
      <c r="L29" s="25">
        <f t="shared" ref="L29" si="41">E29*100%</f>
        <v>15188.67</v>
      </c>
      <c r="M29" s="179"/>
      <c r="N29" s="179">
        <f>50000+10000</f>
        <v>60000</v>
      </c>
      <c r="O29" s="25">
        <f t="shared" ref="O29" si="42">E29*10%</f>
        <v>1518.8670000000002</v>
      </c>
      <c r="P29" s="25">
        <v>10000</v>
      </c>
      <c r="Q29" s="25"/>
      <c r="R29" s="204">
        <f t="shared" ref="R29:R31" si="43">SUM(E29:Q29)</f>
        <v>209356.04725</v>
      </c>
      <c r="S29" s="23"/>
      <c r="T29" s="23">
        <f>10000</f>
        <v>10000</v>
      </c>
      <c r="U29" s="23"/>
      <c r="V29" s="23"/>
      <c r="W29" s="25">
        <v>22338.48260466666</v>
      </c>
      <c r="X29" s="208">
        <f t="shared" si="0"/>
        <v>32338.48260466666</v>
      </c>
      <c r="Y29" s="23">
        <v>173563.13449999999</v>
      </c>
      <c r="Z29" s="208">
        <f t="shared" si="1"/>
        <v>177017.56464533333</v>
      </c>
      <c r="AA29" s="180"/>
    </row>
    <row r="30" spans="1:27" ht="18.75" customHeight="1">
      <c r="A30" s="28">
        <v>24</v>
      </c>
      <c r="B30" s="157" t="s">
        <v>85</v>
      </c>
      <c r="C30" s="161" t="s">
        <v>86</v>
      </c>
      <c r="D30" s="181" t="s">
        <v>87</v>
      </c>
      <c r="E30" s="179">
        <v>13492.21</v>
      </c>
      <c r="F30" s="25"/>
      <c r="G30" s="25">
        <f t="shared" si="37"/>
        <v>40476.629999999997</v>
      </c>
      <c r="H30" s="25">
        <f t="shared" si="38"/>
        <v>1011.9157499999999</v>
      </c>
      <c r="I30" s="25"/>
      <c r="J30" s="25">
        <f t="shared" si="39"/>
        <v>6746.1049999999996</v>
      </c>
      <c r="K30" s="23">
        <f t="shared" si="40"/>
        <v>47222.735000000001</v>
      </c>
      <c r="L30" s="25">
        <f t="shared" ref="L30:L34" si="44">E30*100%</f>
        <v>13492.21</v>
      </c>
      <c r="M30" s="179"/>
      <c r="N30" s="179">
        <f>50000</f>
        <v>50000</v>
      </c>
      <c r="O30" s="25">
        <f t="shared" ref="O30:O34" si="45">E30*10%</f>
        <v>1349.221</v>
      </c>
      <c r="P30" s="25">
        <v>10000</v>
      </c>
      <c r="Q30" s="20"/>
      <c r="R30" s="205">
        <f t="shared" si="43"/>
        <v>183791.02674999999</v>
      </c>
      <c r="S30" s="25"/>
      <c r="T30" s="23">
        <f>20000</f>
        <v>20000</v>
      </c>
      <c r="U30" s="23">
        <f>17500</f>
        <v>17500</v>
      </c>
      <c r="V30" s="23"/>
      <c r="W30" s="25">
        <v>18102.902732666666</v>
      </c>
      <c r="X30" s="208">
        <f t="shared" si="0"/>
        <v>55602.902732666669</v>
      </c>
      <c r="Y30" s="23">
        <v>125231.178</v>
      </c>
      <c r="Z30" s="208">
        <f t="shared" si="1"/>
        <v>128188.12401733332</v>
      </c>
      <c r="AA30" s="180"/>
    </row>
    <row r="31" spans="1:27" ht="18.75" customHeight="1">
      <c r="A31" s="28">
        <v>25</v>
      </c>
      <c r="B31" s="156" t="s">
        <v>88</v>
      </c>
      <c r="C31" s="112" t="s">
        <v>89</v>
      </c>
      <c r="D31" s="181" t="s">
        <v>90</v>
      </c>
      <c r="E31" s="25">
        <v>0</v>
      </c>
      <c r="F31" s="25"/>
      <c r="G31" s="25">
        <f t="shared" ref="G31:G34" si="46">E31*300%</f>
        <v>0</v>
      </c>
      <c r="H31" s="25">
        <f t="shared" ref="H31:H34" si="47">E31*7.5%</f>
        <v>0</v>
      </c>
      <c r="I31" s="25"/>
      <c r="J31" s="25">
        <f>E31*50%</f>
        <v>0</v>
      </c>
      <c r="K31" s="25">
        <f t="shared" ref="K31:K34" si="48">E31*350%</f>
        <v>0</v>
      </c>
      <c r="L31" s="25">
        <f t="shared" si="44"/>
        <v>0</v>
      </c>
      <c r="M31" s="179"/>
      <c r="N31" s="179">
        <v>0</v>
      </c>
      <c r="O31" s="25">
        <f t="shared" si="45"/>
        <v>0</v>
      </c>
      <c r="P31" s="25">
        <v>0</v>
      </c>
      <c r="Q31" s="25"/>
      <c r="R31" s="205">
        <f t="shared" si="43"/>
        <v>0</v>
      </c>
      <c r="S31" s="23"/>
      <c r="T31" s="23"/>
      <c r="U31" s="23"/>
      <c r="V31" s="23"/>
      <c r="W31" s="179">
        <v>0</v>
      </c>
      <c r="X31" s="208">
        <f t="shared" si="0"/>
        <v>0</v>
      </c>
      <c r="Y31" s="23">
        <v>162731.17800000001</v>
      </c>
      <c r="Z31" s="208">
        <f t="shared" si="1"/>
        <v>0</v>
      </c>
      <c r="AA31" s="180"/>
    </row>
    <row r="32" spans="1:27" ht="18.75" customHeight="1">
      <c r="A32" s="28">
        <v>26</v>
      </c>
      <c r="B32" s="157" t="s">
        <v>91</v>
      </c>
      <c r="C32" s="20" t="s">
        <v>92</v>
      </c>
      <c r="D32" s="28" t="s">
        <v>90</v>
      </c>
      <c r="E32" s="25">
        <v>13492.21</v>
      </c>
      <c r="F32" s="25"/>
      <c r="G32" s="25">
        <f t="shared" si="46"/>
        <v>40476.629999999997</v>
      </c>
      <c r="H32" s="25">
        <f t="shared" si="47"/>
        <v>1011.9157499999999</v>
      </c>
      <c r="I32" s="25"/>
      <c r="J32" s="25">
        <f>E32*50%</f>
        <v>6746.1049999999996</v>
      </c>
      <c r="K32" s="25">
        <f t="shared" si="48"/>
        <v>47222.735000000001</v>
      </c>
      <c r="L32" s="25">
        <f>E32*100%</f>
        <v>13492.21</v>
      </c>
      <c r="M32" s="179"/>
      <c r="N32" s="179">
        <f>50000</f>
        <v>50000</v>
      </c>
      <c r="O32" s="25">
        <f>E32*10%</f>
        <v>1349.221</v>
      </c>
      <c r="P32" s="25">
        <v>10000</v>
      </c>
      <c r="Q32" s="25"/>
      <c r="R32" s="204">
        <f>SUM(E32:Q32)</f>
        <v>183791.02674999999</v>
      </c>
      <c r="S32" s="23"/>
      <c r="T32" s="23">
        <f>30000+20000</f>
        <v>50000</v>
      </c>
      <c r="U32" s="23">
        <v>0</v>
      </c>
      <c r="V32" s="23"/>
      <c r="W32" s="25">
        <v>18102.902732666666</v>
      </c>
      <c r="X32" s="208">
        <f t="shared" si="0"/>
        <v>68102.902732666669</v>
      </c>
      <c r="Y32" s="23">
        <v>112731.178</v>
      </c>
      <c r="Z32" s="208">
        <f t="shared" si="1"/>
        <v>115688.12401733332</v>
      </c>
      <c r="AA32" s="180"/>
    </row>
    <row r="33" spans="1:27" ht="18.75" customHeight="1">
      <c r="A33" s="28">
        <v>27</v>
      </c>
      <c r="B33" s="157" t="s">
        <v>93</v>
      </c>
      <c r="C33" s="112" t="s">
        <v>94</v>
      </c>
      <c r="D33" s="181" t="s">
        <v>81</v>
      </c>
      <c r="E33" s="25">
        <v>15188.67</v>
      </c>
      <c r="F33" s="25"/>
      <c r="G33" s="25">
        <f t="shared" si="46"/>
        <v>45566.01</v>
      </c>
      <c r="H33" s="25">
        <f t="shared" si="47"/>
        <v>1139.1502499999999</v>
      </c>
      <c r="I33" s="25"/>
      <c r="J33" s="25">
        <f>E33*50%</f>
        <v>7594.335</v>
      </c>
      <c r="K33" s="25">
        <f t="shared" si="48"/>
        <v>53160.345000000001</v>
      </c>
      <c r="L33" s="25">
        <f t="shared" si="44"/>
        <v>15188.67</v>
      </c>
      <c r="M33" s="179"/>
      <c r="N33" s="179">
        <f>60000</f>
        <v>60000</v>
      </c>
      <c r="O33" s="25">
        <f t="shared" si="45"/>
        <v>1518.8670000000002</v>
      </c>
      <c r="P33" s="25">
        <v>10000</v>
      </c>
      <c r="Q33" s="25"/>
      <c r="R33" s="204">
        <f t="shared" ref="R33" si="49">Q33+P33+O33+N33+M33+L33+K33+J33+I33+H33+G33+F33+E33</f>
        <v>209356.04725</v>
      </c>
      <c r="S33" s="23"/>
      <c r="T33" s="23">
        <f>50000</f>
        <v>50000</v>
      </c>
      <c r="U33" s="23"/>
      <c r="V33" s="23">
        <v>0</v>
      </c>
      <c r="W33" s="179">
        <v>22338.48260466666</v>
      </c>
      <c r="X33" s="208">
        <f t="shared" si="0"/>
        <v>72338.482604666657</v>
      </c>
      <c r="Y33" s="23">
        <v>133563.13449999999</v>
      </c>
      <c r="Z33" s="208">
        <f t="shared" si="1"/>
        <v>137017.56464533333</v>
      </c>
      <c r="AA33" s="180"/>
    </row>
    <row r="34" spans="1:27" ht="18.75" customHeight="1">
      <c r="A34" s="28">
        <v>28</v>
      </c>
      <c r="B34" s="157" t="s">
        <v>95</v>
      </c>
      <c r="C34" s="20" t="s">
        <v>96</v>
      </c>
      <c r="D34" s="28" t="s">
        <v>97</v>
      </c>
      <c r="E34" s="25">
        <f>12732</f>
        <v>12732</v>
      </c>
      <c r="F34" s="25"/>
      <c r="G34" s="25">
        <f t="shared" si="46"/>
        <v>38196</v>
      </c>
      <c r="H34" s="25">
        <f t="shared" si="47"/>
        <v>954.9</v>
      </c>
      <c r="I34" s="25"/>
      <c r="J34" s="25">
        <f>E34*50%</f>
        <v>6366</v>
      </c>
      <c r="K34" s="25">
        <f t="shared" si="48"/>
        <v>44562</v>
      </c>
      <c r="L34" s="25">
        <f t="shared" si="44"/>
        <v>12732</v>
      </c>
      <c r="M34" s="179"/>
      <c r="N34" s="179">
        <f>50000</f>
        <v>50000</v>
      </c>
      <c r="O34" s="25">
        <f t="shared" si="45"/>
        <v>1273.2</v>
      </c>
      <c r="P34" s="25">
        <v>10000</v>
      </c>
      <c r="Q34" s="25"/>
      <c r="R34" s="204">
        <f>SUM(E34:Q34)</f>
        <v>176816.1</v>
      </c>
      <c r="S34" s="23"/>
      <c r="T34" s="23">
        <f>0</f>
        <v>0</v>
      </c>
      <c r="U34" s="23">
        <f>26666.67</f>
        <v>26666.67</v>
      </c>
      <c r="V34" s="23"/>
      <c r="W34" s="25">
        <v>17042.713866666669</v>
      </c>
      <c r="X34" s="208">
        <f t="shared" si="0"/>
        <v>43709.383866666671</v>
      </c>
      <c r="Y34" s="23">
        <v>130149.69949999999</v>
      </c>
      <c r="Z34" s="208">
        <f t="shared" si="1"/>
        <v>133106.71613333334</v>
      </c>
      <c r="AA34" s="180"/>
    </row>
    <row r="35" spans="1:27" ht="18.75" customHeight="1">
      <c r="A35" s="28">
        <v>29</v>
      </c>
      <c r="B35" s="157" t="s">
        <v>98</v>
      </c>
      <c r="C35" s="161" t="s">
        <v>77</v>
      </c>
      <c r="D35" s="181" t="s">
        <v>97</v>
      </c>
      <c r="E35" s="25">
        <f>12732</f>
        <v>12732</v>
      </c>
      <c r="F35" s="25"/>
      <c r="G35" s="25">
        <f t="shared" ref="G35:G36" si="50">E35*300%</f>
        <v>38196</v>
      </c>
      <c r="H35" s="25">
        <f t="shared" ref="H35:H36" si="51">E35*7.5%</f>
        <v>954.9</v>
      </c>
      <c r="I35" s="25"/>
      <c r="J35" s="25">
        <f t="shared" ref="J35:J36" si="52">E35*50%</f>
        <v>6366</v>
      </c>
      <c r="K35" s="25">
        <f t="shared" ref="K35:K36" si="53">E35*350%</f>
        <v>44562</v>
      </c>
      <c r="L35" s="25">
        <f t="shared" ref="L35:L36" si="54">E35*100%</f>
        <v>12732</v>
      </c>
      <c r="M35" s="179"/>
      <c r="N35" s="179">
        <f>50000</f>
        <v>50000</v>
      </c>
      <c r="O35" s="25">
        <f t="shared" ref="O35:O36" si="55">E35*10%</f>
        <v>1273.2</v>
      </c>
      <c r="P35" s="25">
        <v>10001</v>
      </c>
      <c r="Q35" s="25"/>
      <c r="R35" s="204">
        <f t="shared" ref="R35:R36" si="56">SUM(E35:Q35)</f>
        <v>176817.1</v>
      </c>
      <c r="S35" s="23"/>
      <c r="T35" s="23">
        <f>0</f>
        <v>0</v>
      </c>
      <c r="U35" s="15">
        <f t="shared" ref="U35:U36" si="57">26666.67</f>
        <v>26666.67</v>
      </c>
      <c r="V35" s="23"/>
      <c r="W35" s="25">
        <v>17042.865866666671</v>
      </c>
      <c r="X35" s="208">
        <f t="shared" ref="X35:X36" si="58">W35+V35+U35+T35+S35</f>
        <v>43709.535866666673</v>
      </c>
      <c r="Y35" s="23">
        <v>130159.87450000001</v>
      </c>
      <c r="Z35" s="208">
        <f t="shared" ref="Z35" si="59">R35-X35</f>
        <v>133107.56413333333</v>
      </c>
      <c r="AA35" s="180"/>
    </row>
    <row r="36" spans="1:27" ht="18.75" customHeight="1">
      <c r="A36" s="28">
        <v>30</v>
      </c>
      <c r="B36" s="157" t="s">
        <v>99</v>
      </c>
      <c r="C36" s="161" t="s">
        <v>77</v>
      </c>
      <c r="D36" s="181" t="s">
        <v>97</v>
      </c>
      <c r="E36" s="25">
        <f>12732</f>
        <v>12732</v>
      </c>
      <c r="F36" s="25"/>
      <c r="G36" s="25">
        <f t="shared" si="50"/>
        <v>38196</v>
      </c>
      <c r="H36" s="25">
        <f t="shared" si="51"/>
        <v>954.9</v>
      </c>
      <c r="I36" s="25"/>
      <c r="J36" s="25">
        <f t="shared" si="52"/>
        <v>6366</v>
      </c>
      <c r="K36" s="25">
        <f t="shared" si="53"/>
        <v>44562</v>
      </c>
      <c r="L36" s="25">
        <f t="shared" si="54"/>
        <v>12732</v>
      </c>
      <c r="M36" s="179"/>
      <c r="N36" s="179">
        <f>50000</f>
        <v>50000</v>
      </c>
      <c r="O36" s="25">
        <f t="shared" si="55"/>
        <v>1273.2</v>
      </c>
      <c r="P36" s="25">
        <v>10002</v>
      </c>
      <c r="Q36" s="25"/>
      <c r="R36" s="204">
        <f t="shared" si="56"/>
        <v>176818.1</v>
      </c>
      <c r="S36" s="23"/>
      <c r="T36" s="23">
        <f>0</f>
        <v>0</v>
      </c>
      <c r="U36" s="15">
        <f t="shared" si="57"/>
        <v>26666.67</v>
      </c>
      <c r="V36" s="23"/>
      <c r="W36" s="25">
        <v>17043.017866666672</v>
      </c>
      <c r="X36" s="208">
        <f t="shared" si="58"/>
        <v>43709.687866666674</v>
      </c>
      <c r="Y36" s="23">
        <v>130170.04949999999</v>
      </c>
      <c r="Z36" s="208">
        <f>R36-X36</f>
        <v>133108.41213333333</v>
      </c>
      <c r="AA36" s="180"/>
    </row>
    <row r="37" spans="1:27" ht="26.25" customHeight="1">
      <c r="A37" s="28"/>
      <c r="B37" s="159" t="s">
        <v>100</v>
      </c>
      <c r="C37" s="29">
        <v>30</v>
      </c>
      <c r="D37" s="181"/>
      <c r="E37" s="183">
        <f t="shared" ref="E37:U37" si="60">SUM(E7:E36)</f>
        <v>887570.80999999994</v>
      </c>
      <c r="F37" s="183">
        <f t="shared" si="60"/>
        <v>0</v>
      </c>
      <c r="G37" s="183">
        <f t="shared" si="60"/>
        <v>2502223.6799999992</v>
      </c>
      <c r="H37" s="183">
        <f t="shared" si="60"/>
        <v>102677.78450000005</v>
      </c>
      <c r="I37" s="183">
        <f t="shared" si="60"/>
        <v>441344.09</v>
      </c>
      <c r="J37" s="183">
        <f t="shared" si="60"/>
        <v>435760.97</v>
      </c>
      <c r="K37" s="183">
        <f t="shared" si="60"/>
        <v>2544787.2100000009</v>
      </c>
      <c r="L37" s="183">
        <f t="shared" si="60"/>
        <v>847448.63</v>
      </c>
      <c r="M37" s="183">
        <f t="shared" si="60"/>
        <v>990000</v>
      </c>
      <c r="N37" s="183">
        <f t="shared" si="60"/>
        <v>1550000</v>
      </c>
      <c r="O37" s="183">
        <f t="shared" si="60"/>
        <v>88757.08600000001</v>
      </c>
      <c r="P37" s="183">
        <f t="shared" si="60"/>
        <v>435003</v>
      </c>
      <c r="Q37" s="183">
        <f t="shared" si="60"/>
        <v>875235</v>
      </c>
      <c r="R37" s="212">
        <f t="shared" si="60"/>
        <v>11700808.260500001</v>
      </c>
      <c r="S37" s="183">
        <f t="shared" si="60"/>
        <v>0</v>
      </c>
      <c r="T37" s="183">
        <f t="shared" si="60"/>
        <v>490000</v>
      </c>
      <c r="U37" s="183">
        <f t="shared" si="60"/>
        <v>1132267.5099999998</v>
      </c>
      <c r="V37" s="183">
        <v>6849.3477499999999</v>
      </c>
      <c r="W37" s="183">
        <f>SUM(W7:W36)</f>
        <v>1670091.6810273333</v>
      </c>
      <c r="X37" s="220">
        <f>SUM(X7:X36)</f>
        <v>3299208.5387773323</v>
      </c>
      <c r="Y37" s="183">
        <v>9105729.9584760014</v>
      </c>
      <c r="Z37" s="220">
        <f>SUM(Z7:Z36)</f>
        <v>8401599.7217226699</v>
      </c>
      <c r="AA37" s="180"/>
    </row>
    <row r="38" spans="1:27" ht="18.75" customHeight="1">
      <c r="A38" s="28"/>
      <c r="B38" s="123"/>
      <c r="C38" s="20"/>
      <c r="D38" s="181"/>
      <c r="E38" s="183"/>
      <c r="F38" s="183"/>
      <c r="G38" s="183"/>
      <c r="H38" s="183"/>
      <c r="I38" s="183"/>
      <c r="J38" s="183"/>
      <c r="K38" s="183"/>
      <c r="L38" s="183"/>
      <c r="M38" s="179"/>
      <c r="N38" s="179"/>
      <c r="O38" s="183"/>
      <c r="P38" s="183"/>
      <c r="Q38" s="183"/>
      <c r="R38" s="212"/>
      <c r="S38" s="183"/>
      <c r="T38" s="183"/>
      <c r="U38" s="183"/>
      <c r="V38" s="183"/>
      <c r="W38" s="183"/>
      <c r="X38" s="220"/>
      <c r="Y38" s="183"/>
      <c r="Z38" s="220"/>
      <c r="AA38" s="180"/>
    </row>
    <row r="39" spans="1:27" ht="18.75" customHeight="1">
      <c r="A39" s="28"/>
      <c r="B39" s="159" t="s">
        <v>101</v>
      </c>
      <c r="C39" s="20"/>
      <c r="D39" s="181"/>
      <c r="E39" s="25"/>
      <c r="F39" s="25"/>
      <c r="G39" s="25"/>
      <c r="H39" s="25"/>
      <c r="I39" s="25"/>
      <c r="J39" s="25"/>
      <c r="K39" s="23"/>
      <c r="L39" s="25"/>
      <c r="M39" s="179"/>
      <c r="N39" s="179"/>
      <c r="O39" s="25"/>
      <c r="P39" s="25"/>
      <c r="Q39" s="25"/>
      <c r="R39" s="204"/>
      <c r="S39" s="23"/>
      <c r="T39" s="23"/>
      <c r="U39" s="23"/>
      <c r="V39" s="23"/>
      <c r="W39" s="25"/>
      <c r="X39" s="208"/>
      <c r="Y39" s="23"/>
      <c r="Z39" s="208"/>
      <c r="AA39" s="180"/>
    </row>
    <row r="40" spans="1:27" ht="18.75" customHeight="1">
      <c r="A40" s="28">
        <v>1</v>
      </c>
      <c r="B40" s="157" t="s">
        <v>102</v>
      </c>
      <c r="C40" s="20" t="s">
        <v>103</v>
      </c>
      <c r="D40" s="28" t="s">
        <v>104</v>
      </c>
      <c r="E40" s="25">
        <v>81740.02</v>
      </c>
      <c r="F40" s="25"/>
      <c r="G40" s="25">
        <f>E40*300%</f>
        <v>245220.06</v>
      </c>
      <c r="H40" s="25">
        <f>E40*7.5%</f>
        <v>6130.5015000000003</v>
      </c>
      <c r="I40" s="25">
        <v>80244.38</v>
      </c>
      <c r="J40" s="25">
        <f>E40*50%</f>
        <v>40870.01</v>
      </c>
      <c r="K40" s="25">
        <f>E40*350%</f>
        <v>286090.07</v>
      </c>
      <c r="L40" s="25">
        <f t="shared" ref="L40:L41" si="61">E40*100%</f>
        <v>81740.02</v>
      </c>
      <c r="M40" s="179"/>
      <c r="N40" s="179">
        <f>100000</f>
        <v>100000</v>
      </c>
      <c r="O40" s="25">
        <f t="shared" ref="O40:O41" si="62">E40*10%</f>
        <v>8174.0020000000004</v>
      </c>
      <c r="P40" s="25">
        <v>20000</v>
      </c>
      <c r="Q40" s="25"/>
      <c r="R40" s="204">
        <f>SUM(E40:Q40)</f>
        <v>950209.06350000005</v>
      </c>
      <c r="S40" s="23">
        <f>'January 2023'!F192</f>
        <v>0</v>
      </c>
      <c r="T40" s="23">
        <f>100000</f>
        <v>100000</v>
      </c>
      <c r="U40" s="23">
        <f>'[2]OCT 2022 '!$D$182</f>
        <v>175000</v>
      </c>
      <c r="V40" s="23"/>
      <c r="W40" s="25">
        <v>161106.80685866668</v>
      </c>
      <c r="X40" s="208">
        <f>W40+V40+U40+T40+S40</f>
        <v>436106.80685866671</v>
      </c>
      <c r="Y40" s="23">
        <v>494083.25700000004</v>
      </c>
      <c r="Z40" s="208">
        <f>R40-X40</f>
        <v>514102.25664133334</v>
      </c>
      <c r="AA40" s="180"/>
    </row>
    <row r="41" spans="1:27" ht="18.75" customHeight="1">
      <c r="A41" s="28">
        <v>2</v>
      </c>
      <c r="B41" s="157" t="s">
        <v>105</v>
      </c>
      <c r="C41" s="20" t="s">
        <v>106</v>
      </c>
      <c r="D41" s="28" t="s">
        <v>107</v>
      </c>
      <c r="E41" s="205">
        <v>12351.94</v>
      </c>
      <c r="F41" s="25"/>
      <c r="G41" s="25">
        <f t="shared" ref="G41" si="63">E41*300%</f>
        <v>37055.82</v>
      </c>
      <c r="H41" s="25">
        <f t="shared" ref="H41" si="64">E41*7.5%</f>
        <v>926.39549999999997</v>
      </c>
      <c r="I41" s="25"/>
      <c r="J41" s="25">
        <f t="shared" ref="J41" si="65">E41*50%</f>
        <v>6175.97</v>
      </c>
      <c r="K41" s="25">
        <f t="shared" ref="K41" si="66">E41*350%</f>
        <v>43231.79</v>
      </c>
      <c r="L41" s="25">
        <f t="shared" si="61"/>
        <v>12351.94</v>
      </c>
      <c r="M41" s="179"/>
      <c r="N41" s="179">
        <f>50000</f>
        <v>50000</v>
      </c>
      <c r="O41" s="25">
        <f t="shared" si="62"/>
        <v>1235.1940000000002</v>
      </c>
      <c r="P41" s="25">
        <v>10000</v>
      </c>
      <c r="Q41" s="25"/>
      <c r="R41" s="204">
        <f>(Q41+P41+O41+N41+M41+L41+K41+J41+I41+H41+G41+F41+E41)</f>
        <v>173329.04949999999</v>
      </c>
      <c r="S41" s="23"/>
      <c r="T41" s="23">
        <f>20000</f>
        <v>20000</v>
      </c>
      <c r="U41" s="23"/>
      <c r="V41" s="23">
        <v>0</v>
      </c>
      <c r="W41" s="25">
        <v>16512.68219066667</v>
      </c>
      <c r="X41" s="208">
        <f>W41+V41+U41+T41+S41</f>
        <v>36512.682190666674</v>
      </c>
      <c r="Y41" s="23">
        <v>136816.3695</v>
      </c>
      <c r="Z41" s="208">
        <f>R41-X41</f>
        <v>136816.36730933332</v>
      </c>
      <c r="AA41" s="180"/>
    </row>
    <row r="42" spans="1:27" ht="19.5" customHeight="1">
      <c r="A42" s="28"/>
      <c r="B42" s="158"/>
      <c r="C42" s="29">
        <v>2</v>
      </c>
      <c r="D42" s="28"/>
      <c r="E42" s="183">
        <f>SUM(E40:E41)</f>
        <v>94091.96</v>
      </c>
      <c r="F42" s="183"/>
      <c r="G42" s="183">
        <f t="shared" ref="G42:L42" si="67">SUM(G40:G41)</f>
        <v>282275.88</v>
      </c>
      <c r="H42" s="183">
        <f t="shared" si="67"/>
        <v>7056.8969999999999</v>
      </c>
      <c r="I42" s="183">
        <f t="shared" si="67"/>
        <v>80244.38</v>
      </c>
      <c r="J42" s="183">
        <f t="shared" si="67"/>
        <v>47045.98</v>
      </c>
      <c r="K42" s="183">
        <f t="shared" si="67"/>
        <v>329321.86</v>
      </c>
      <c r="L42" s="183">
        <f t="shared" si="67"/>
        <v>94091.96</v>
      </c>
      <c r="M42" s="184"/>
      <c r="N42" s="184">
        <f>SUM(N40:N41)</f>
        <v>150000</v>
      </c>
      <c r="O42" s="183">
        <f>SUM(O40:O41)</f>
        <v>9409.1959999999999</v>
      </c>
      <c r="P42" s="183">
        <f>SUM(P40:P41)</f>
        <v>30000</v>
      </c>
      <c r="Q42" s="183"/>
      <c r="R42" s="212">
        <f>SUM(R40:R41)</f>
        <v>1123538.1130000001</v>
      </c>
      <c r="S42" s="183"/>
      <c r="T42" s="183">
        <f>SUM(T40:T41)</f>
        <v>120000</v>
      </c>
      <c r="U42" s="183">
        <f>SUM(U40:U41)</f>
        <v>175000</v>
      </c>
      <c r="V42" s="183">
        <v>0</v>
      </c>
      <c r="W42" s="183">
        <v>177619.48904933335</v>
      </c>
      <c r="X42" s="220">
        <f>SUM(X40:X41)</f>
        <v>472619.48904933338</v>
      </c>
      <c r="Y42" s="183">
        <v>630899.62650000001</v>
      </c>
      <c r="Z42" s="220">
        <f>SUM(Z40:Z41)</f>
        <v>650918.62395066663</v>
      </c>
      <c r="AA42" s="180"/>
    </row>
    <row r="43" spans="1:27" ht="20.100000000000001" customHeight="1">
      <c r="A43" s="28"/>
      <c r="B43" s="158"/>
      <c r="C43" s="20"/>
      <c r="D43" s="28"/>
      <c r="E43" s="183"/>
      <c r="F43" s="183"/>
      <c r="G43" s="183"/>
      <c r="H43" s="183"/>
      <c r="I43" s="183"/>
      <c r="J43" s="183"/>
      <c r="K43" s="183"/>
      <c r="L43" s="183"/>
      <c r="M43" s="179"/>
      <c r="N43" s="179"/>
      <c r="O43" s="183"/>
      <c r="P43" s="183"/>
      <c r="Q43" s="183"/>
      <c r="R43" s="212"/>
      <c r="S43" s="183"/>
      <c r="T43" s="183"/>
      <c r="U43" s="183"/>
      <c r="V43" s="183"/>
      <c r="W43" s="183"/>
      <c r="X43" s="208"/>
      <c r="Y43" s="23"/>
      <c r="Z43" s="208"/>
      <c r="AA43" s="180"/>
    </row>
    <row r="44" spans="1:27" ht="20.100000000000001" customHeight="1">
      <c r="A44" s="28"/>
      <c r="B44" s="185" t="s">
        <v>108</v>
      </c>
      <c r="C44" s="170"/>
      <c r="D44" s="174"/>
      <c r="E44" s="183"/>
      <c r="F44" s="183"/>
      <c r="G44" s="183"/>
      <c r="H44" s="23"/>
      <c r="I44" s="23"/>
      <c r="J44" s="23"/>
      <c r="K44" s="23"/>
      <c r="L44" s="23"/>
      <c r="M44" s="179"/>
      <c r="N44" s="179"/>
      <c r="O44" s="23"/>
      <c r="P44" s="23"/>
      <c r="Q44" s="23"/>
      <c r="R44" s="204"/>
      <c r="S44" s="23"/>
      <c r="T44" s="23"/>
      <c r="U44" s="23"/>
      <c r="V44" s="23"/>
      <c r="W44" s="23"/>
      <c r="X44" s="208"/>
      <c r="Y44" s="23"/>
      <c r="Z44" s="208"/>
      <c r="AA44" s="180"/>
    </row>
    <row r="45" spans="1:27" ht="20.100000000000001" customHeight="1">
      <c r="A45" s="28">
        <v>1</v>
      </c>
      <c r="B45" s="156" t="s">
        <v>109</v>
      </c>
      <c r="C45" s="20" t="s">
        <v>110</v>
      </c>
      <c r="D45" s="28" t="s">
        <v>104</v>
      </c>
      <c r="E45" s="25">
        <v>81740.02</v>
      </c>
      <c r="F45" s="25"/>
      <c r="G45" s="25">
        <f>E45*300%</f>
        <v>245220.06</v>
      </c>
      <c r="H45" s="25">
        <f>E45*7.5%</f>
        <v>6130.5015000000003</v>
      </c>
      <c r="I45" s="25">
        <v>80244.38</v>
      </c>
      <c r="J45" s="25">
        <f>E45*50%</f>
        <v>40870.01</v>
      </c>
      <c r="K45" s="25">
        <f>E45*350%</f>
        <v>286090.07</v>
      </c>
      <c r="L45" s="25">
        <f t="shared" ref="L45:L54" si="68">E45*100%</f>
        <v>81740.02</v>
      </c>
      <c r="M45" s="179">
        <f>200000</f>
        <v>200000</v>
      </c>
      <c r="N45" s="179"/>
      <c r="O45" s="25">
        <f t="shared" ref="O45:O54" si="69">E45*10%</f>
        <v>8174.0020000000004</v>
      </c>
      <c r="P45" s="25">
        <v>20000</v>
      </c>
      <c r="Q45" s="25"/>
      <c r="R45" s="204">
        <f t="shared" ref="R45:R53" si="70">SUM(E45:Q45)</f>
        <v>1050209.0635000002</v>
      </c>
      <c r="S45" s="23"/>
      <c r="T45" s="23">
        <f>200000</f>
        <v>200000</v>
      </c>
      <c r="U45" s="23">
        <f>380000</f>
        <v>380000</v>
      </c>
      <c r="V45" s="23"/>
      <c r="W45" s="25">
        <v>180306.80685866671</v>
      </c>
      <c r="X45" s="208">
        <f t="shared" ref="X45:X53" si="71">W45+V45+U45+T45+S45</f>
        <v>760306.80685866671</v>
      </c>
      <c r="Y45" s="23">
        <v>289902.25350000011</v>
      </c>
      <c r="Z45" s="208">
        <f t="shared" ref="Z45:Z55" si="72">R45-X45</f>
        <v>289902.25664133346</v>
      </c>
      <c r="AA45" s="180"/>
    </row>
    <row r="46" spans="1:27" ht="20.100000000000001" customHeight="1">
      <c r="A46" s="28">
        <v>2</v>
      </c>
      <c r="B46" s="156" t="s">
        <v>111</v>
      </c>
      <c r="C46" s="20" t="s">
        <v>112</v>
      </c>
      <c r="D46" s="28" t="s">
        <v>50</v>
      </c>
      <c r="E46" s="25">
        <v>33507.5</v>
      </c>
      <c r="F46" s="25"/>
      <c r="G46" s="25">
        <f>E46*300%</f>
        <v>100522.5</v>
      </c>
      <c r="H46" s="25">
        <f>E46*7.5%</f>
        <v>2513.0625</v>
      </c>
      <c r="I46" s="25">
        <v>40122.19</v>
      </c>
      <c r="J46" s="25">
        <f>E46*50%</f>
        <v>16753.75</v>
      </c>
      <c r="K46" s="25">
        <f>E46*350%</f>
        <v>117276.25</v>
      </c>
      <c r="L46" s="25">
        <f>E46*100%</f>
        <v>33507.5</v>
      </c>
      <c r="M46" s="179">
        <f>160000</f>
        <v>160000</v>
      </c>
      <c r="N46" s="179"/>
      <c r="O46" s="25">
        <f>E46*10%</f>
        <v>3350.75</v>
      </c>
      <c r="P46" s="25">
        <v>20000</v>
      </c>
      <c r="Q46" s="25">
        <v>0</v>
      </c>
      <c r="R46" s="204">
        <f>SUM(E46:Q46)</f>
        <v>527553.50249999994</v>
      </c>
      <c r="S46" s="23"/>
      <c r="T46" s="23">
        <v>50000</v>
      </c>
      <c r="U46" s="23">
        <v>385000</v>
      </c>
      <c r="V46" s="23"/>
      <c r="W46" s="25">
        <v>79956.939146666657</v>
      </c>
      <c r="X46" s="208">
        <f t="shared" si="71"/>
        <v>514956.93914666667</v>
      </c>
      <c r="Y46" s="23">
        <v>12596.562499999942</v>
      </c>
      <c r="Z46" s="208">
        <f t="shared" si="72"/>
        <v>12596.563353333273</v>
      </c>
      <c r="AA46" s="180"/>
    </row>
    <row r="47" spans="1:27" ht="20.100000000000001" customHeight="1">
      <c r="A47" s="28">
        <v>3</v>
      </c>
      <c r="B47" s="156" t="s">
        <v>113</v>
      </c>
      <c r="C47" s="20" t="s">
        <v>114</v>
      </c>
      <c r="D47" s="28" t="s">
        <v>50</v>
      </c>
      <c r="E47" s="25">
        <v>33507.5</v>
      </c>
      <c r="F47" s="25"/>
      <c r="G47" s="25">
        <f>E47*300%</f>
        <v>100522.5</v>
      </c>
      <c r="H47" s="25">
        <f>E47*7.5%</f>
        <v>2513.0625</v>
      </c>
      <c r="I47" s="25">
        <v>40122.19</v>
      </c>
      <c r="J47" s="25">
        <f>E47*50%</f>
        <v>16753.75</v>
      </c>
      <c r="K47" s="25">
        <f>E47*350%</f>
        <v>117276.25</v>
      </c>
      <c r="L47" s="25">
        <f>E47*100%</f>
        <v>33507.5</v>
      </c>
      <c r="M47" s="179">
        <f>160000</f>
        <v>160000</v>
      </c>
      <c r="N47" s="179"/>
      <c r="O47" s="25">
        <f>E47*10%</f>
        <v>3350.75</v>
      </c>
      <c r="P47" s="25">
        <v>20000</v>
      </c>
      <c r="Q47" s="25"/>
      <c r="R47" s="204">
        <f>SUM(E47:Q47)</f>
        <v>527553.50249999994</v>
      </c>
      <c r="S47" s="23"/>
      <c r="T47" s="23">
        <f>80000+23000</f>
        <v>103000</v>
      </c>
      <c r="U47" s="23">
        <f>246905.96</f>
        <v>246905.96</v>
      </c>
      <c r="V47" s="23"/>
      <c r="W47" s="25">
        <v>79956.939146666657</v>
      </c>
      <c r="X47" s="208">
        <f t="shared" si="71"/>
        <v>429862.89914666663</v>
      </c>
      <c r="Y47" s="23">
        <v>97690.602499999921</v>
      </c>
      <c r="Z47" s="208">
        <f t="shared" si="72"/>
        <v>97690.60335333331</v>
      </c>
      <c r="AA47" s="180"/>
    </row>
    <row r="48" spans="1:27" ht="20.100000000000001" customHeight="1">
      <c r="A48" s="28">
        <v>4</v>
      </c>
      <c r="B48" s="156" t="s">
        <v>115</v>
      </c>
      <c r="C48" s="20" t="s">
        <v>114</v>
      </c>
      <c r="D48" s="28" t="s">
        <v>50</v>
      </c>
      <c r="E48" s="25">
        <v>33507.5</v>
      </c>
      <c r="F48" s="25"/>
      <c r="G48" s="25">
        <f>E48*300%</f>
        <v>100522.5</v>
      </c>
      <c r="H48" s="25">
        <f>E48*7.5%</f>
        <v>2513.0625</v>
      </c>
      <c r="I48" s="25">
        <v>40122.19</v>
      </c>
      <c r="J48" s="25">
        <f>E48*50%</f>
        <v>16753.75</v>
      </c>
      <c r="K48" s="25">
        <f>E48*350%</f>
        <v>117276.25</v>
      </c>
      <c r="L48" s="25">
        <f>E48*100%</f>
        <v>33507.5</v>
      </c>
      <c r="M48" s="179">
        <f>160000</f>
        <v>160000</v>
      </c>
      <c r="N48" s="179"/>
      <c r="O48" s="25">
        <f>E48*10%</f>
        <v>3350.75</v>
      </c>
      <c r="P48" s="25">
        <v>20000</v>
      </c>
      <c r="Q48" s="25"/>
      <c r="R48" s="204">
        <f>SUM(E48:Q48)</f>
        <v>527553.50249999994</v>
      </c>
      <c r="S48" s="23"/>
      <c r="T48" s="23">
        <f>30000</f>
        <v>30000</v>
      </c>
      <c r="U48" s="23">
        <f>176288.88</f>
        <v>176288.88</v>
      </c>
      <c r="V48" s="23"/>
      <c r="W48" s="25">
        <v>79956.939146666657</v>
      </c>
      <c r="X48" s="208">
        <f t="shared" si="71"/>
        <v>286245.81914666668</v>
      </c>
      <c r="Y48" s="23">
        <v>232083.19000000006</v>
      </c>
      <c r="Z48" s="208">
        <f t="shared" si="72"/>
        <v>241307.68335333327</v>
      </c>
      <c r="AA48" s="180"/>
    </row>
    <row r="49" spans="1:27" ht="20.100000000000001" customHeight="1">
      <c r="A49" s="28">
        <v>5</v>
      </c>
      <c r="B49" s="156" t="s">
        <v>116</v>
      </c>
      <c r="C49" s="20" t="s">
        <v>114</v>
      </c>
      <c r="D49" s="28" t="s">
        <v>117</v>
      </c>
      <c r="E49" s="25">
        <v>32263.200000000001</v>
      </c>
      <c r="F49" s="25"/>
      <c r="G49" s="25">
        <f t="shared" ref="G49:G54" si="73">E49*300%</f>
        <v>96789.6</v>
      </c>
      <c r="H49" s="25">
        <f t="shared" ref="H49:H54" si="74">E49*7.5%</f>
        <v>2419.7399999999998</v>
      </c>
      <c r="I49" s="25">
        <v>0</v>
      </c>
      <c r="J49" s="25">
        <f t="shared" ref="J49:J54" si="75">E49*50%</f>
        <v>16131.6</v>
      </c>
      <c r="K49" s="25">
        <f t="shared" ref="K49:K54" si="76">E49*350%</f>
        <v>112921.2</v>
      </c>
      <c r="L49" s="25">
        <f t="shared" si="68"/>
        <v>32263.200000000001</v>
      </c>
      <c r="M49" s="179">
        <f>140000+20000</f>
        <v>160000</v>
      </c>
      <c r="N49" s="179"/>
      <c r="O49" s="25">
        <f t="shared" si="69"/>
        <v>3226.32</v>
      </c>
      <c r="P49" s="25">
        <v>20000</v>
      </c>
      <c r="Q49" s="25">
        <v>0</v>
      </c>
      <c r="R49" s="204">
        <f t="shared" si="70"/>
        <v>476014.86000000004</v>
      </c>
      <c r="S49" s="23"/>
      <c r="T49" s="23"/>
      <c r="U49" s="23"/>
      <c r="V49" s="23">
        <v>806.58</v>
      </c>
      <c r="W49" s="25">
        <v>70061.519786666671</v>
      </c>
      <c r="X49" s="208">
        <f t="shared" si="71"/>
        <v>70868.099786666673</v>
      </c>
      <c r="Y49" s="23">
        <v>504599.56803641573</v>
      </c>
      <c r="Z49" s="208">
        <f t="shared" si="72"/>
        <v>405146.76021333336</v>
      </c>
      <c r="AA49" s="180"/>
    </row>
    <row r="50" spans="1:27" ht="20.100000000000001" customHeight="1">
      <c r="A50" s="28">
        <v>6</v>
      </c>
      <c r="B50" s="156" t="s">
        <v>118</v>
      </c>
      <c r="C50" s="20" t="s">
        <v>119</v>
      </c>
      <c r="D50" s="28" t="s">
        <v>56</v>
      </c>
      <c r="E50" s="25">
        <v>27611.23</v>
      </c>
      <c r="F50" s="25"/>
      <c r="G50" s="25">
        <f t="shared" si="73"/>
        <v>82833.69</v>
      </c>
      <c r="H50" s="25">
        <f t="shared" si="74"/>
        <v>2070.8422499999997</v>
      </c>
      <c r="I50" s="25"/>
      <c r="J50" s="25">
        <f t="shared" si="75"/>
        <v>13805.615</v>
      </c>
      <c r="K50" s="25">
        <f t="shared" si="76"/>
        <v>96639.304999999993</v>
      </c>
      <c r="L50" s="25">
        <f t="shared" si="68"/>
        <v>27611.23</v>
      </c>
      <c r="M50" s="179">
        <f t="shared" ref="M50" si="77">140000</f>
        <v>140000</v>
      </c>
      <c r="N50" s="179"/>
      <c r="O50" s="25">
        <f t="shared" si="69"/>
        <v>2761.123</v>
      </c>
      <c r="P50" s="25">
        <v>20000</v>
      </c>
      <c r="Q50" s="25"/>
      <c r="R50" s="204">
        <f t="shared" si="70"/>
        <v>413333.03525000007</v>
      </c>
      <c r="S50" s="23"/>
      <c r="T50" s="23">
        <f>15000</f>
        <v>15000</v>
      </c>
      <c r="U50" s="23">
        <f>133333.34+25000</f>
        <v>158333.34</v>
      </c>
      <c r="V50" s="23"/>
      <c r="W50" s="25">
        <v>57889.864794666668</v>
      </c>
      <c r="X50" s="208">
        <f t="shared" si="71"/>
        <v>231223.20479466667</v>
      </c>
      <c r="Y50" s="23">
        <v>175459.82374999998</v>
      </c>
      <c r="Z50" s="208">
        <f t="shared" si="72"/>
        <v>182109.8304553334</v>
      </c>
      <c r="AA50" s="180"/>
    </row>
    <row r="51" spans="1:27" ht="20.100000000000001" customHeight="1">
      <c r="A51" s="28">
        <v>7</v>
      </c>
      <c r="B51" s="158" t="s">
        <v>120</v>
      </c>
      <c r="C51" s="20" t="s">
        <v>121</v>
      </c>
      <c r="D51" s="24" t="s">
        <v>56</v>
      </c>
      <c r="E51" s="25">
        <v>27611.23</v>
      </c>
      <c r="F51" s="25"/>
      <c r="G51" s="25">
        <f>E51*300%</f>
        <v>82833.69</v>
      </c>
      <c r="H51" s="25">
        <f>E51*7.5%</f>
        <v>2070.8422499999997</v>
      </c>
      <c r="I51" s="25"/>
      <c r="J51" s="25">
        <f>E51*50%</f>
        <v>13805.615</v>
      </c>
      <c r="K51" s="25">
        <f>E51*350%</f>
        <v>96639.304999999993</v>
      </c>
      <c r="L51" s="25">
        <f>E51*100%</f>
        <v>27611.23</v>
      </c>
      <c r="M51" s="179">
        <f>140000</f>
        <v>140000</v>
      </c>
      <c r="N51" s="179"/>
      <c r="O51" s="25">
        <f>E51*10%</f>
        <v>2761.123</v>
      </c>
      <c r="P51" s="25">
        <v>20000</v>
      </c>
      <c r="Q51" s="25"/>
      <c r="R51" s="204">
        <f>SUM(E51:Q51)</f>
        <v>413333.03525000007</v>
      </c>
      <c r="S51" s="23"/>
      <c r="T51" s="23"/>
      <c r="U51" s="23"/>
      <c r="V51" s="23">
        <v>0</v>
      </c>
      <c r="W51" s="23">
        <v>58026.609434666672</v>
      </c>
      <c r="X51" s="208">
        <f t="shared" si="71"/>
        <v>58026.609434666672</v>
      </c>
      <c r="Y51" s="23">
        <v>348793.16374999995</v>
      </c>
      <c r="Z51" s="208">
        <f t="shared" si="72"/>
        <v>355306.42581533338</v>
      </c>
      <c r="AA51" s="180"/>
    </row>
    <row r="52" spans="1:27" ht="20.100000000000001" customHeight="1">
      <c r="A52" s="28">
        <v>8</v>
      </c>
      <c r="B52" s="156" t="s">
        <v>122</v>
      </c>
      <c r="C52" s="20" t="s">
        <v>121</v>
      </c>
      <c r="D52" s="28" t="s">
        <v>123</v>
      </c>
      <c r="E52" s="25">
        <v>26732.65</v>
      </c>
      <c r="F52" s="25"/>
      <c r="G52" s="25">
        <f t="shared" si="73"/>
        <v>80197.950000000012</v>
      </c>
      <c r="H52" s="25">
        <f t="shared" si="74"/>
        <v>2004.94875</v>
      </c>
      <c r="I52" s="25">
        <v>0</v>
      </c>
      <c r="J52" s="25">
        <f t="shared" si="75"/>
        <v>13366.325000000001</v>
      </c>
      <c r="K52" s="25">
        <f t="shared" si="76"/>
        <v>93564.275000000009</v>
      </c>
      <c r="L52" s="25">
        <f t="shared" si="68"/>
        <v>26732.65</v>
      </c>
      <c r="M52" s="179">
        <f>120000+20000</f>
        <v>140000</v>
      </c>
      <c r="N52" s="179"/>
      <c r="O52" s="25">
        <f t="shared" si="69"/>
        <v>2673.2650000000003</v>
      </c>
      <c r="P52" s="25">
        <v>15000</v>
      </c>
      <c r="Q52" s="25">
        <v>0</v>
      </c>
      <c r="R52" s="204">
        <f t="shared" si="70"/>
        <v>400272.06374999997</v>
      </c>
      <c r="S52" s="23"/>
      <c r="T52" s="23"/>
      <c r="U52" s="23"/>
      <c r="V52" s="23"/>
      <c r="W52" s="25">
        <v>55518.902906666663</v>
      </c>
      <c r="X52" s="208">
        <f t="shared" si="71"/>
        <v>55518.902906666663</v>
      </c>
      <c r="Y52" s="23">
        <v>337279.9673133333</v>
      </c>
      <c r="Z52" s="208">
        <f t="shared" si="72"/>
        <v>344753.16084333329</v>
      </c>
      <c r="AA52" s="180"/>
    </row>
    <row r="53" spans="1:27" ht="20.100000000000001" customHeight="1">
      <c r="A53" s="28">
        <v>9</v>
      </c>
      <c r="B53" s="156" t="s">
        <v>124</v>
      </c>
      <c r="C53" s="20" t="s">
        <v>125</v>
      </c>
      <c r="D53" s="28" t="s">
        <v>126</v>
      </c>
      <c r="E53" s="25">
        <v>25523.45</v>
      </c>
      <c r="F53" s="25"/>
      <c r="G53" s="25">
        <f t="shared" si="73"/>
        <v>76570.350000000006</v>
      </c>
      <c r="H53" s="25">
        <f t="shared" si="74"/>
        <v>1914.25875</v>
      </c>
      <c r="I53" s="25"/>
      <c r="J53" s="25">
        <f t="shared" si="75"/>
        <v>12761.725</v>
      </c>
      <c r="K53" s="25">
        <f t="shared" si="76"/>
        <v>89332.074999999997</v>
      </c>
      <c r="L53" s="25">
        <f t="shared" si="68"/>
        <v>25523.45</v>
      </c>
      <c r="M53" s="179">
        <f t="shared" ref="M53" si="78">120000</f>
        <v>120000</v>
      </c>
      <c r="N53" s="179"/>
      <c r="O53" s="25">
        <f t="shared" si="69"/>
        <v>2552.3450000000003</v>
      </c>
      <c r="P53" s="25">
        <v>15000</v>
      </c>
      <c r="Q53" s="25"/>
      <c r="R53" s="204">
        <f t="shared" si="70"/>
        <v>369177.65375</v>
      </c>
      <c r="S53" s="23"/>
      <c r="T53" s="23">
        <f>10000+10000</f>
        <v>20000</v>
      </c>
      <c r="U53" s="23"/>
      <c r="V53" s="23">
        <v>638.08625000000006</v>
      </c>
      <c r="W53" s="25">
        <v>49548.776186666662</v>
      </c>
      <c r="X53" s="208">
        <f t="shared" si="71"/>
        <v>70186.862436666663</v>
      </c>
      <c r="Y53" s="23">
        <v>293330.41899999999</v>
      </c>
      <c r="Z53" s="208">
        <f t="shared" si="72"/>
        <v>298990.79131333332</v>
      </c>
      <c r="AA53" s="180"/>
    </row>
    <row r="54" spans="1:27" ht="20.100000000000001" customHeight="1">
      <c r="A54" s="28">
        <v>10</v>
      </c>
      <c r="B54" s="156" t="s">
        <v>127</v>
      </c>
      <c r="C54" s="20" t="s">
        <v>128</v>
      </c>
      <c r="D54" s="28" t="s">
        <v>129</v>
      </c>
      <c r="E54" s="205">
        <f>14736.14</f>
        <v>14736.14</v>
      </c>
      <c r="F54" s="25"/>
      <c r="G54" s="25">
        <f t="shared" si="73"/>
        <v>44208.42</v>
      </c>
      <c r="H54" s="25">
        <f t="shared" si="74"/>
        <v>1105.2104999999999</v>
      </c>
      <c r="I54" s="25"/>
      <c r="J54" s="25">
        <f t="shared" si="75"/>
        <v>7368.07</v>
      </c>
      <c r="K54" s="25">
        <f t="shared" si="76"/>
        <v>51576.49</v>
      </c>
      <c r="L54" s="25">
        <f t="shared" si="68"/>
        <v>14736.14</v>
      </c>
      <c r="M54" s="179">
        <f>100000</f>
        <v>100000</v>
      </c>
      <c r="N54" s="179"/>
      <c r="O54" s="25">
        <f t="shared" si="69"/>
        <v>1473.614</v>
      </c>
      <c r="P54" s="25">
        <v>10000</v>
      </c>
      <c r="Q54" s="25"/>
      <c r="R54" s="204">
        <f>SUM(E54:Q54)</f>
        <v>245204.0845</v>
      </c>
      <c r="S54" s="23"/>
      <c r="T54" s="23"/>
      <c r="U54" s="23"/>
      <c r="V54" s="23"/>
      <c r="W54" s="25">
        <v>28360.952862666662</v>
      </c>
      <c r="X54" s="208">
        <f>W54+V54+U54+T54</f>
        <v>28360.952862666662</v>
      </c>
      <c r="Y54" s="23">
        <v>216843.13449999999</v>
      </c>
      <c r="Z54" s="208">
        <f t="shared" si="72"/>
        <v>216843.13163733334</v>
      </c>
      <c r="AA54" s="180"/>
    </row>
    <row r="55" spans="1:27" ht="20.100000000000001" customHeight="1">
      <c r="A55" s="28">
        <v>11</v>
      </c>
      <c r="B55" s="156" t="s">
        <v>130</v>
      </c>
      <c r="C55" s="20" t="s">
        <v>128</v>
      </c>
      <c r="D55" s="28" t="s">
        <v>129</v>
      </c>
      <c r="E55" s="205">
        <f>14736.14</f>
        <v>14736.14</v>
      </c>
      <c r="F55" s="25"/>
      <c r="G55" s="25">
        <f t="shared" ref="G55" si="79">E55*300%</f>
        <v>44208.42</v>
      </c>
      <c r="H55" s="25">
        <f t="shared" ref="H55" si="80">E55*7.5%</f>
        <v>1105.2104999999999</v>
      </c>
      <c r="I55" s="25"/>
      <c r="J55" s="25">
        <f t="shared" ref="J55" si="81">E55*50%</f>
        <v>7368.07</v>
      </c>
      <c r="K55" s="25">
        <f t="shared" ref="K55" si="82">E55*350%</f>
        <v>51576.49</v>
      </c>
      <c r="L55" s="25">
        <f t="shared" ref="L55" si="83">E55*100%</f>
        <v>14736.14</v>
      </c>
      <c r="M55" s="179">
        <f>100000</f>
        <v>100000</v>
      </c>
      <c r="N55" s="179"/>
      <c r="O55" s="25">
        <f t="shared" ref="O55" si="84">E55*10%</f>
        <v>1473.614</v>
      </c>
      <c r="P55" s="25">
        <v>10000</v>
      </c>
      <c r="Q55" s="25"/>
      <c r="R55" s="204">
        <f>SUM(E55:Q55)</f>
        <v>245204.0845</v>
      </c>
      <c r="S55" s="23"/>
      <c r="T55" s="23"/>
      <c r="U55" s="23"/>
      <c r="V55" s="23"/>
      <c r="W55" s="25">
        <v>28360.952862666662</v>
      </c>
      <c r="X55" s="208">
        <f>W55+V55+U55+T55</f>
        <v>28360.952862666662</v>
      </c>
      <c r="Y55" s="23">
        <v>216843.13449999999</v>
      </c>
      <c r="Z55" s="208">
        <f t="shared" si="72"/>
        <v>216843.13163733334</v>
      </c>
      <c r="AA55" s="180"/>
    </row>
    <row r="56" spans="1:27" ht="20.100000000000001" customHeight="1">
      <c r="A56" s="28">
        <v>12</v>
      </c>
      <c r="B56" s="156" t="s">
        <v>131</v>
      </c>
      <c r="C56" s="20" t="s">
        <v>128</v>
      </c>
      <c r="D56" s="28" t="s">
        <v>129</v>
      </c>
      <c r="E56" s="205">
        <f>14736.14</f>
        <v>14736.14</v>
      </c>
      <c r="F56" s="25"/>
      <c r="G56" s="25">
        <f t="shared" ref="G56" si="85">E56*300%</f>
        <v>44208.42</v>
      </c>
      <c r="H56" s="25">
        <f t="shared" ref="H56" si="86">E56*7.5%</f>
        <v>1105.2104999999999</v>
      </c>
      <c r="I56" s="25"/>
      <c r="J56" s="25">
        <f t="shared" ref="J56" si="87">E56*50%</f>
        <v>7368.07</v>
      </c>
      <c r="K56" s="25">
        <f t="shared" ref="K56" si="88">E56*350%</f>
        <v>51576.49</v>
      </c>
      <c r="L56" s="25">
        <f t="shared" ref="L56" si="89">E56*100%</f>
        <v>14736.14</v>
      </c>
      <c r="M56" s="179">
        <f>100000</f>
        <v>100000</v>
      </c>
      <c r="N56" s="179"/>
      <c r="O56" s="25">
        <f t="shared" ref="O56" si="90">E56*10%</f>
        <v>1473.614</v>
      </c>
      <c r="P56" s="25">
        <v>10001</v>
      </c>
      <c r="Q56" s="25"/>
      <c r="R56" s="204">
        <f>SUM(E56:Q56)</f>
        <v>245205.0845</v>
      </c>
      <c r="S56" s="23"/>
      <c r="T56" s="23"/>
      <c r="U56" s="23"/>
      <c r="V56" s="23"/>
      <c r="W56" s="25">
        <v>28360.952862666662</v>
      </c>
      <c r="X56" s="208">
        <f>W56+V56+U56+T56</f>
        <v>28360.952862666662</v>
      </c>
      <c r="Y56" s="23">
        <v>216844.13449999999</v>
      </c>
      <c r="Z56" s="208">
        <f t="shared" ref="Z56" si="91">R56-X56</f>
        <v>216844.13163733334</v>
      </c>
      <c r="AA56" s="180"/>
    </row>
    <row r="57" spans="1:27" ht="25.5" customHeight="1">
      <c r="A57" s="28"/>
      <c r="B57" s="159" t="s">
        <v>100</v>
      </c>
      <c r="C57" s="29">
        <v>12</v>
      </c>
      <c r="D57" s="29"/>
      <c r="E57" s="68">
        <f>SUM(E45:E56)</f>
        <v>366212.70000000013</v>
      </c>
      <c r="F57" s="68">
        <f t="shared" ref="F57:Z57" si="92">SUM(F45:F56)</f>
        <v>0</v>
      </c>
      <c r="G57" s="68">
        <f t="shared" si="92"/>
        <v>1098638.0999999999</v>
      </c>
      <c r="H57" s="68">
        <f t="shared" si="92"/>
        <v>27465.952500000003</v>
      </c>
      <c r="I57" s="68">
        <f t="shared" si="92"/>
        <v>200610.95</v>
      </c>
      <c r="J57" s="68">
        <f t="shared" si="92"/>
        <v>183106.35000000006</v>
      </c>
      <c r="K57" s="68">
        <f t="shared" si="92"/>
        <v>1281744.45</v>
      </c>
      <c r="L57" s="68">
        <f t="shared" si="92"/>
        <v>366212.70000000013</v>
      </c>
      <c r="M57" s="68">
        <f t="shared" si="92"/>
        <v>1680000</v>
      </c>
      <c r="N57" s="68">
        <f t="shared" si="92"/>
        <v>0</v>
      </c>
      <c r="O57" s="68">
        <f t="shared" si="92"/>
        <v>36621.270000000004</v>
      </c>
      <c r="P57" s="68">
        <f t="shared" si="92"/>
        <v>200001</v>
      </c>
      <c r="Q57" s="68">
        <f t="shared" si="92"/>
        <v>0</v>
      </c>
      <c r="R57" s="213">
        <f t="shared" si="92"/>
        <v>5440613.4724999992</v>
      </c>
      <c r="S57" s="68">
        <f t="shared" si="92"/>
        <v>0</v>
      </c>
      <c r="T57" s="68">
        <f t="shared" si="92"/>
        <v>418000</v>
      </c>
      <c r="U57" s="68">
        <f t="shared" si="92"/>
        <v>1346528.18</v>
      </c>
      <c r="V57" s="68">
        <v>1444.6662500000002</v>
      </c>
      <c r="W57" s="68">
        <v>796306.15599600016</v>
      </c>
      <c r="X57" s="221">
        <f t="shared" si="92"/>
        <v>2562279.0022459994</v>
      </c>
      <c r="Y57" s="68">
        <v>2942265.9538497492</v>
      </c>
      <c r="Z57" s="221">
        <f t="shared" si="92"/>
        <v>2878334.4702540003</v>
      </c>
      <c r="AA57" s="180"/>
    </row>
    <row r="58" spans="1:27" ht="20.100000000000001" customHeight="1">
      <c r="A58" s="28"/>
      <c r="B58" s="123"/>
      <c r="C58" s="29"/>
      <c r="D58" s="29"/>
      <c r="E58" s="30"/>
      <c r="F58" s="30"/>
      <c r="G58" s="30"/>
      <c r="H58" s="30"/>
      <c r="I58" s="30"/>
      <c r="J58" s="30"/>
      <c r="K58" s="30"/>
      <c r="L58" s="30"/>
      <c r="M58" s="179"/>
      <c r="N58" s="179"/>
      <c r="O58" s="30"/>
      <c r="P58" s="30"/>
      <c r="Q58" s="30"/>
      <c r="R58" s="214"/>
      <c r="S58" s="30"/>
      <c r="T58" s="30"/>
      <c r="U58" s="30"/>
      <c r="V58" s="30"/>
      <c r="W58" s="30"/>
      <c r="X58" s="222"/>
      <c r="Y58" s="30"/>
      <c r="Z58" s="222"/>
      <c r="AA58" s="180"/>
    </row>
    <row r="59" spans="1:27" ht="20.100000000000001" customHeight="1">
      <c r="A59" s="28"/>
      <c r="B59" s="159" t="s">
        <v>132</v>
      </c>
      <c r="C59" s="29"/>
      <c r="D59" s="29"/>
      <c r="E59" s="30"/>
      <c r="F59" s="30"/>
      <c r="G59" s="30"/>
      <c r="H59" s="30"/>
      <c r="I59" s="30"/>
      <c r="J59" s="30"/>
      <c r="K59" s="30"/>
      <c r="L59" s="30"/>
      <c r="M59" s="179"/>
      <c r="N59" s="179"/>
      <c r="O59" s="30"/>
      <c r="P59" s="30"/>
      <c r="Q59" s="30"/>
      <c r="R59" s="214"/>
      <c r="S59" s="30"/>
      <c r="T59" s="30"/>
      <c r="U59" s="30"/>
      <c r="V59" s="30"/>
      <c r="W59" s="30"/>
      <c r="X59" s="222"/>
      <c r="Y59" s="30"/>
      <c r="Z59" s="222"/>
      <c r="AA59" s="180"/>
    </row>
    <row r="60" spans="1:27" ht="20.100000000000001" customHeight="1">
      <c r="A60" s="28">
        <v>1</v>
      </c>
      <c r="B60" s="156" t="s">
        <v>133</v>
      </c>
      <c r="C60" s="161" t="s">
        <v>134</v>
      </c>
      <c r="D60" s="181" t="s">
        <v>104</v>
      </c>
      <c r="E60" s="25">
        <v>81740.02</v>
      </c>
      <c r="F60" s="25"/>
      <c r="G60" s="25">
        <f>E60*300%</f>
        <v>245220.06</v>
      </c>
      <c r="H60" s="25">
        <f>E60*7.5%</f>
        <v>6130.5015000000003</v>
      </c>
      <c r="I60" s="25">
        <v>80244.38</v>
      </c>
      <c r="J60" s="25">
        <f>E60*50%</f>
        <v>40870.01</v>
      </c>
      <c r="K60" s="25">
        <f>E60*350%</f>
        <v>286090.07</v>
      </c>
      <c r="L60" s="25">
        <f>E60*100%</f>
        <v>81740.02</v>
      </c>
      <c r="M60" s="179">
        <f>200000</f>
        <v>200000</v>
      </c>
      <c r="N60" s="179"/>
      <c r="O60" s="25">
        <f>E60*10%</f>
        <v>8174.0020000000004</v>
      </c>
      <c r="P60" s="25">
        <v>20000</v>
      </c>
      <c r="Q60" s="25">
        <v>0</v>
      </c>
      <c r="R60" s="204">
        <f>SUM(E60:Q60)</f>
        <v>1050209.0635000002</v>
      </c>
      <c r="S60" s="23"/>
      <c r="T60" s="23"/>
      <c r="U60" s="23"/>
      <c r="V60" s="23">
        <v>0</v>
      </c>
      <c r="W60" s="25">
        <v>180306.80685866671</v>
      </c>
      <c r="X60" s="208">
        <f>W60+V60+U60+T60+S60</f>
        <v>180306.80685866671</v>
      </c>
      <c r="Y60" s="23">
        <v>869902.25350000011</v>
      </c>
      <c r="Z60" s="208">
        <f>R60-X60</f>
        <v>869902.25664133346</v>
      </c>
      <c r="AA60" s="180"/>
    </row>
    <row r="61" spans="1:27" ht="20.100000000000001" customHeight="1">
      <c r="A61" s="28"/>
      <c r="B61" s="159" t="s">
        <v>100</v>
      </c>
      <c r="C61" s="29">
        <v>1</v>
      </c>
      <c r="D61" s="29"/>
      <c r="E61" s="68">
        <f>SUM(E60:E60)</f>
        <v>81740.02</v>
      </c>
      <c r="F61" s="68"/>
      <c r="G61" s="68">
        <f t="shared" ref="G61:R61" si="93">SUM(G60:G60)</f>
        <v>245220.06</v>
      </c>
      <c r="H61" s="68">
        <f t="shared" si="93"/>
        <v>6130.5015000000003</v>
      </c>
      <c r="I61" s="68">
        <f t="shared" si="93"/>
        <v>80244.38</v>
      </c>
      <c r="J61" s="68">
        <f t="shared" si="93"/>
        <v>40870.01</v>
      </c>
      <c r="K61" s="68">
        <f t="shared" si="93"/>
        <v>286090.07</v>
      </c>
      <c r="L61" s="68">
        <f t="shared" si="93"/>
        <v>81740.02</v>
      </c>
      <c r="M61" s="184">
        <f t="shared" si="93"/>
        <v>200000</v>
      </c>
      <c r="N61" s="184">
        <f t="shared" si="93"/>
        <v>0</v>
      </c>
      <c r="O61" s="68">
        <f t="shared" si="93"/>
        <v>8174.0020000000004</v>
      </c>
      <c r="P61" s="68">
        <f t="shared" si="93"/>
        <v>20000</v>
      </c>
      <c r="Q61" s="68">
        <f t="shared" si="93"/>
        <v>0</v>
      </c>
      <c r="R61" s="213">
        <f t="shared" si="93"/>
        <v>1050209.0635000002</v>
      </c>
      <c r="S61" s="68"/>
      <c r="T61" s="68">
        <f>SUM(T60:T60)</f>
        <v>0</v>
      </c>
      <c r="U61" s="68">
        <f>SUM(U60:U60)</f>
        <v>0</v>
      </c>
      <c r="V61" s="68">
        <v>0</v>
      </c>
      <c r="W61" s="68">
        <v>180306.80685866671</v>
      </c>
      <c r="X61" s="221">
        <f>SUM(X60:X60)</f>
        <v>180306.80685866671</v>
      </c>
      <c r="Y61" s="68">
        <v>869902.25350000011</v>
      </c>
      <c r="Z61" s="221">
        <f>SUM(Z60:Z60)</f>
        <v>869902.25664133346</v>
      </c>
      <c r="AA61" s="180"/>
    </row>
    <row r="62" spans="1:27" ht="20.100000000000001" customHeight="1">
      <c r="A62" s="28"/>
      <c r="B62" s="159"/>
      <c r="C62" s="29"/>
      <c r="D62" s="29"/>
      <c r="E62" s="30"/>
      <c r="F62" s="30"/>
      <c r="G62" s="30"/>
      <c r="H62" s="30"/>
      <c r="I62" s="30"/>
      <c r="J62" s="30"/>
      <c r="K62" s="30"/>
      <c r="L62" s="30"/>
      <c r="M62" s="179"/>
      <c r="N62" s="179"/>
      <c r="O62" s="30"/>
      <c r="P62" s="30"/>
      <c r="Q62" s="30"/>
      <c r="R62" s="214"/>
      <c r="S62" s="30"/>
      <c r="T62" s="30"/>
      <c r="U62" s="30"/>
      <c r="V62" s="30"/>
      <c r="W62" s="30"/>
      <c r="X62" s="222"/>
      <c r="Y62" s="30"/>
      <c r="Z62" s="222"/>
      <c r="AA62" s="180"/>
    </row>
    <row r="63" spans="1:27" ht="20.100000000000001" customHeight="1">
      <c r="A63" s="28"/>
      <c r="B63" s="159" t="s">
        <v>135</v>
      </c>
      <c r="C63" s="29"/>
      <c r="D63" s="29"/>
      <c r="E63" s="30"/>
      <c r="F63" s="30"/>
      <c r="G63" s="30"/>
      <c r="H63" s="30"/>
      <c r="I63" s="30"/>
      <c r="J63" s="30"/>
      <c r="K63" s="30"/>
      <c r="L63" s="30"/>
      <c r="M63" s="179"/>
      <c r="N63" s="179"/>
      <c r="O63" s="30"/>
      <c r="P63" s="30"/>
      <c r="Q63" s="30"/>
      <c r="R63" s="214"/>
      <c r="S63" s="30"/>
      <c r="T63" s="30"/>
      <c r="U63" s="30"/>
      <c r="V63" s="30"/>
      <c r="W63" s="30"/>
      <c r="X63" s="222"/>
      <c r="Y63" s="30"/>
      <c r="Z63" s="222"/>
      <c r="AA63" s="180"/>
    </row>
    <row r="64" spans="1:27" ht="20.100000000000001" customHeight="1">
      <c r="A64" s="28">
        <v>1</v>
      </c>
      <c r="B64" s="156" t="s">
        <v>136</v>
      </c>
      <c r="C64" s="112" t="s">
        <v>137</v>
      </c>
      <c r="D64" s="28" t="s">
        <v>104</v>
      </c>
      <c r="E64" s="25">
        <v>81740.02</v>
      </c>
      <c r="F64" s="25"/>
      <c r="G64" s="25">
        <f t="shared" ref="G64:G73" si="94">E64*300%</f>
        <v>245220.06</v>
      </c>
      <c r="H64" s="25">
        <f t="shared" ref="H64:H73" si="95">E64*7.5%</f>
        <v>6130.5015000000003</v>
      </c>
      <c r="I64" s="25">
        <f>80244.38</f>
        <v>80244.38</v>
      </c>
      <c r="J64" s="25">
        <f t="shared" ref="J64:J73" si="96">E64*50%</f>
        <v>40870.01</v>
      </c>
      <c r="K64" s="25">
        <f t="shared" ref="K64:K73" si="97">E64*350%</f>
        <v>286090.07</v>
      </c>
      <c r="L64" s="25">
        <f t="shared" ref="L64:L73" si="98">E64*100%</f>
        <v>81740.02</v>
      </c>
      <c r="M64" s="179">
        <f>200000</f>
        <v>200000</v>
      </c>
      <c r="N64" s="179"/>
      <c r="O64" s="25">
        <f t="shared" ref="O64:O73" si="99">E64*10%</f>
        <v>8174.0020000000004</v>
      </c>
      <c r="P64" s="25">
        <v>20000</v>
      </c>
      <c r="Q64" s="25">
        <v>0</v>
      </c>
      <c r="R64" s="205">
        <f t="shared" ref="R64:R73" si="100">SUM(E64:Q64)</f>
        <v>1050209.0635000002</v>
      </c>
      <c r="S64" s="25"/>
      <c r="T64" s="25">
        <f>100000+100000</f>
        <v>200000</v>
      </c>
      <c r="U64" s="25"/>
      <c r="V64" s="25"/>
      <c r="W64" s="25">
        <v>180306.80685866671</v>
      </c>
      <c r="X64" s="209">
        <f t="shared" ref="X64:X76" si="101">W64+V64+U64+T64+S64</f>
        <v>380306.80685866671</v>
      </c>
      <c r="Y64" s="25">
        <v>669902.25350000011</v>
      </c>
      <c r="Z64" s="209">
        <f t="shared" ref="Z64:Z76" si="102">R64-X64</f>
        <v>669902.25664133346</v>
      </c>
      <c r="AA64" s="180"/>
    </row>
    <row r="65" spans="1:27" ht="20.100000000000001" customHeight="1">
      <c r="A65" s="28">
        <v>2</v>
      </c>
      <c r="B65" s="157" t="s">
        <v>138</v>
      </c>
      <c r="C65" s="112" t="s">
        <v>139</v>
      </c>
      <c r="D65" s="181" t="s">
        <v>140</v>
      </c>
      <c r="E65" s="204">
        <v>31018.84</v>
      </c>
      <c r="F65" s="25"/>
      <c r="G65" s="25">
        <f t="shared" si="94"/>
        <v>93056.52</v>
      </c>
      <c r="H65" s="25">
        <f t="shared" si="95"/>
        <v>2326.413</v>
      </c>
      <c r="I65" s="25">
        <v>40122.19</v>
      </c>
      <c r="J65" s="25">
        <f t="shared" si="96"/>
        <v>15509.42</v>
      </c>
      <c r="K65" s="25">
        <f t="shared" si="97"/>
        <v>108565.94</v>
      </c>
      <c r="L65" s="25">
        <f t="shared" si="98"/>
        <v>31018.84</v>
      </c>
      <c r="M65" s="179">
        <f>160000</f>
        <v>160000</v>
      </c>
      <c r="N65" s="179"/>
      <c r="O65" s="25">
        <f t="shared" si="99"/>
        <v>3101.884</v>
      </c>
      <c r="P65" s="25">
        <v>20000</v>
      </c>
      <c r="Q65" s="182">
        <v>0</v>
      </c>
      <c r="R65" s="205">
        <f t="shared" si="100"/>
        <v>504720.04700000002</v>
      </c>
      <c r="S65" s="23"/>
      <c r="T65" s="23">
        <f>100000</f>
        <v>100000</v>
      </c>
      <c r="U65" s="23">
        <f>131250</f>
        <v>131250</v>
      </c>
      <c r="V65" s="23"/>
      <c r="W65" s="25">
        <v>75572.915690666661</v>
      </c>
      <c r="X65" s="209">
        <f t="shared" si="101"/>
        <v>306822.91569066665</v>
      </c>
      <c r="Y65" s="23">
        <v>197897.12700000004</v>
      </c>
      <c r="Z65" s="208">
        <f t="shared" si="102"/>
        <v>197897.13130933337</v>
      </c>
      <c r="AA65" s="180"/>
    </row>
    <row r="66" spans="1:27" ht="20.100000000000001" customHeight="1">
      <c r="A66" s="28">
        <v>3</v>
      </c>
      <c r="B66" s="156" t="s">
        <v>141</v>
      </c>
      <c r="C66" s="20" t="s">
        <v>142</v>
      </c>
      <c r="D66" s="28" t="s">
        <v>126</v>
      </c>
      <c r="E66" s="25">
        <v>25523.45</v>
      </c>
      <c r="F66" s="25"/>
      <c r="G66" s="25">
        <f t="shared" si="94"/>
        <v>76570.350000000006</v>
      </c>
      <c r="H66" s="25">
        <f t="shared" si="95"/>
        <v>1914.25875</v>
      </c>
      <c r="I66" s="25"/>
      <c r="J66" s="25">
        <f t="shared" si="96"/>
        <v>12761.725</v>
      </c>
      <c r="K66" s="25">
        <f t="shared" si="97"/>
        <v>89332.074999999997</v>
      </c>
      <c r="L66" s="25">
        <f t="shared" si="98"/>
        <v>25523.45</v>
      </c>
      <c r="M66" s="179">
        <f t="shared" ref="M66:M67" si="103">120000</f>
        <v>120000</v>
      </c>
      <c r="N66" s="179"/>
      <c r="O66" s="25">
        <f t="shared" si="99"/>
        <v>2552.3450000000003</v>
      </c>
      <c r="P66" s="25">
        <v>15000</v>
      </c>
      <c r="Q66" s="25"/>
      <c r="R66" s="205">
        <f t="shared" si="100"/>
        <v>369177.65375</v>
      </c>
      <c r="S66" s="25"/>
      <c r="T66" s="25">
        <f>110000</f>
        <v>110000</v>
      </c>
      <c r="U66" s="25"/>
      <c r="V66" s="25"/>
      <c r="W66" s="25">
        <v>49548.776186666662</v>
      </c>
      <c r="X66" s="209">
        <f t="shared" si="101"/>
        <v>159548.77618666666</v>
      </c>
      <c r="Y66" s="25">
        <v>203830.19049999997</v>
      </c>
      <c r="Z66" s="209">
        <f t="shared" si="102"/>
        <v>209628.87756333334</v>
      </c>
      <c r="AA66" s="180"/>
    </row>
    <row r="67" spans="1:27" ht="20.100000000000001" customHeight="1">
      <c r="A67" s="28">
        <v>4</v>
      </c>
      <c r="B67" s="157" t="s">
        <v>143</v>
      </c>
      <c r="C67" s="112" t="s">
        <v>142</v>
      </c>
      <c r="D67" s="181" t="s">
        <v>64</v>
      </c>
      <c r="E67" s="25">
        <v>24741.26</v>
      </c>
      <c r="F67" s="25"/>
      <c r="G67" s="25">
        <f t="shared" si="94"/>
        <v>74223.78</v>
      </c>
      <c r="H67" s="25">
        <f t="shared" si="95"/>
        <v>1855.5944999999997</v>
      </c>
      <c r="I67" s="25">
        <v>0</v>
      </c>
      <c r="J67" s="25">
        <f t="shared" si="96"/>
        <v>12370.63</v>
      </c>
      <c r="K67" s="23">
        <f t="shared" si="97"/>
        <v>86594.409999999989</v>
      </c>
      <c r="L67" s="25">
        <f t="shared" si="98"/>
        <v>24741.26</v>
      </c>
      <c r="M67" s="179">
        <f t="shared" si="103"/>
        <v>120000</v>
      </c>
      <c r="N67" s="179"/>
      <c r="O67" s="25">
        <f t="shared" si="99"/>
        <v>2474.1260000000002</v>
      </c>
      <c r="P67" s="25">
        <v>15000</v>
      </c>
      <c r="Q67" s="25">
        <v>0</v>
      </c>
      <c r="R67" s="204">
        <f t="shared" si="100"/>
        <v>362001.06049999996</v>
      </c>
      <c r="S67" s="23"/>
      <c r="T67" s="23">
        <f>20000+65000</f>
        <v>85000</v>
      </c>
      <c r="U67" s="23">
        <v>0</v>
      </c>
      <c r="V67" s="23">
        <v>0</v>
      </c>
      <c r="W67" s="25">
        <v>48170.870282666663</v>
      </c>
      <c r="X67" s="209">
        <f t="shared" si="101"/>
        <v>133170.87028266667</v>
      </c>
      <c r="Y67" s="23">
        <v>222527.766</v>
      </c>
      <c r="Z67" s="208">
        <f t="shared" si="102"/>
        <v>228830.19021733329</v>
      </c>
      <c r="AA67" s="180"/>
    </row>
    <row r="68" spans="1:27" ht="20.100000000000001" customHeight="1">
      <c r="A68" s="28">
        <v>5</v>
      </c>
      <c r="B68" s="158" t="s">
        <v>144</v>
      </c>
      <c r="C68" s="112" t="s">
        <v>121</v>
      </c>
      <c r="D68" s="181" t="s">
        <v>56</v>
      </c>
      <c r="E68" s="25">
        <v>27611.23</v>
      </c>
      <c r="F68" s="25"/>
      <c r="G68" s="25">
        <f>E68*300%</f>
        <v>82833.69</v>
      </c>
      <c r="H68" s="25">
        <f>E68*7.5%</f>
        <v>2070.8422499999997</v>
      </c>
      <c r="I68" s="25"/>
      <c r="J68" s="25">
        <f>E68*50%</f>
        <v>13805.615</v>
      </c>
      <c r="K68" s="23">
        <f>E68*350%</f>
        <v>96639.304999999993</v>
      </c>
      <c r="L68" s="25">
        <f>E68*100%</f>
        <v>27611.23</v>
      </c>
      <c r="M68" s="179">
        <f>140000</f>
        <v>140000</v>
      </c>
      <c r="N68" s="179"/>
      <c r="O68" s="25">
        <f>E68*10%</f>
        <v>2761.123</v>
      </c>
      <c r="P68" s="25">
        <v>20000</v>
      </c>
      <c r="Q68" s="25"/>
      <c r="R68" s="204">
        <f>SUM(E68:Q68)</f>
        <v>413333.03525000007</v>
      </c>
      <c r="S68" s="23"/>
      <c r="T68" s="23">
        <f>10000</f>
        <v>10000</v>
      </c>
      <c r="U68" s="23">
        <f>54585.66</f>
        <v>54585.66</v>
      </c>
      <c r="V68" s="23"/>
      <c r="W68" s="23">
        <v>58026.609434666672</v>
      </c>
      <c r="X68" s="209">
        <f t="shared" si="101"/>
        <v>122612.26943466667</v>
      </c>
      <c r="Y68" s="23">
        <v>284207.50374999997</v>
      </c>
      <c r="Z68" s="208">
        <f t="shared" si="102"/>
        <v>290720.76581533341</v>
      </c>
      <c r="AA68" s="180"/>
    </row>
    <row r="69" spans="1:27" ht="20.100000000000001" customHeight="1">
      <c r="A69" s="28">
        <v>6</v>
      </c>
      <c r="B69" s="156" t="s">
        <v>145</v>
      </c>
      <c r="C69" s="20" t="s">
        <v>128</v>
      </c>
      <c r="D69" s="28" t="s">
        <v>146</v>
      </c>
      <c r="E69" s="25">
        <f>20769.92</f>
        <v>20769.919999999998</v>
      </c>
      <c r="F69" s="25"/>
      <c r="G69" s="25">
        <f t="shared" si="94"/>
        <v>62309.759999999995</v>
      </c>
      <c r="H69" s="25">
        <f t="shared" si="95"/>
        <v>1557.7439999999999</v>
      </c>
      <c r="I69" s="25">
        <v>0</v>
      </c>
      <c r="J69" s="25">
        <f t="shared" si="96"/>
        <v>10384.959999999999</v>
      </c>
      <c r="K69" s="25">
        <f t="shared" si="97"/>
        <v>72694.720000000001</v>
      </c>
      <c r="L69" s="25">
        <f t="shared" si="98"/>
        <v>20769.919999999998</v>
      </c>
      <c r="M69" s="179">
        <f>100000</f>
        <v>100000</v>
      </c>
      <c r="N69" s="179"/>
      <c r="O69" s="25">
        <f t="shared" si="99"/>
        <v>2076.9919999999997</v>
      </c>
      <c r="P69" s="25">
        <v>10000</v>
      </c>
      <c r="Q69" s="25">
        <v>0</v>
      </c>
      <c r="R69" s="204">
        <f t="shared" si="100"/>
        <v>300564.016</v>
      </c>
      <c r="S69" s="23"/>
      <c r="T69" s="23">
        <f>10000</f>
        <v>10000</v>
      </c>
      <c r="U69" s="23">
        <f>65885.83</f>
        <v>65885.83</v>
      </c>
      <c r="V69" s="23"/>
      <c r="W69" s="25">
        <v>37661.421354666665</v>
      </c>
      <c r="X69" s="209">
        <f t="shared" si="101"/>
        <v>113547.25135466666</v>
      </c>
      <c r="Y69" s="23">
        <v>179419.0385</v>
      </c>
      <c r="Z69" s="208">
        <f t="shared" si="102"/>
        <v>187016.76464533334</v>
      </c>
      <c r="AA69" s="180"/>
    </row>
    <row r="70" spans="1:27" ht="20.100000000000001" customHeight="1">
      <c r="A70" s="28">
        <v>7</v>
      </c>
      <c r="B70" s="156" t="s">
        <v>147</v>
      </c>
      <c r="C70" s="112" t="s">
        <v>148</v>
      </c>
      <c r="D70" s="181" t="s">
        <v>70</v>
      </c>
      <c r="E70" s="25">
        <f>22837.82</f>
        <v>22837.82</v>
      </c>
      <c r="F70" s="25"/>
      <c r="G70" s="25">
        <f t="shared" si="94"/>
        <v>68513.459999999992</v>
      </c>
      <c r="H70" s="25">
        <f t="shared" si="95"/>
        <v>1712.8364999999999</v>
      </c>
      <c r="I70" s="25">
        <v>0</v>
      </c>
      <c r="J70" s="25">
        <f t="shared" si="96"/>
        <v>11418.91</v>
      </c>
      <c r="K70" s="23">
        <f t="shared" si="97"/>
        <v>79932.37</v>
      </c>
      <c r="L70" s="25">
        <f t="shared" si="98"/>
        <v>22837.82</v>
      </c>
      <c r="M70" s="179">
        <f>110000</f>
        <v>110000</v>
      </c>
      <c r="N70" s="179"/>
      <c r="O70" s="25">
        <f t="shared" si="99"/>
        <v>2283.7820000000002</v>
      </c>
      <c r="P70" s="25">
        <v>15000</v>
      </c>
      <c r="Q70" s="25">
        <v>0</v>
      </c>
      <c r="R70" s="204">
        <f t="shared" si="100"/>
        <v>334536.99849999999</v>
      </c>
      <c r="S70" s="23"/>
      <c r="T70" s="23">
        <f>10000</f>
        <v>10000</v>
      </c>
      <c r="U70" s="23">
        <f>110000</f>
        <v>110000</v>
      </c>
      <c r="V70" s="23">
        <v>570.94550000000004</v>
      </c>
      <c r="W70" s="25">
        <v>43278.494774666666</v>
      </c>
      <c r="X70" s="209">
        <f t="shared" si="101"/>
        <v>163849.44027466667</v>
      </c>
      <c r="Y70" s="23">
        <v>160667.49200000003</v>
      </c>
      <c r="Z70" s="208">
        <f t="shared" si="102"/>
        <v>170687.55822533331</v>
      </c>
      <c r="AA70" s="180"/>
    </row>
    <row r="71" spans="1:27" ht="20.100000000000001" customHeight="1">
      <c r="A71" s="28">
        <v>8</v>
      </c>
      <c r="B71" s="156" t="s">
        <v>149</v>
      </c>
      <c r="C71" s="112" t="s">
        <v>148</v>
      </c>
      <c r="D71" s="181" t="s">
        <v>150</v>
      </c>
      <c r="E71" s="258">
        <v>20749</v>
      </c>
      <c r="F71" s="25"/>
      <c r="G71" s="25">
        <f t="shared" ref="G71:G72" si="104">E71*300%</f>
        <v>62247</v>
      </c>
      <c r="H71" s="25">
        <f t="shared" ref="H71:H72" si="105">E71*7.5%</f>
        <v>1556.175</v>
      </c>
      <c r="I71" s="25">
        <v>0</v>
      </c>
      <c r="J71" s="25">
        <f t="shared" ref="J71:J72" si="106">E71*50%</f>
        <v>10374.5</v>
      </c>
      <c r="K71" s="23">
        <f t="shared" ref="K71:K72" si="107">E71*350%</f>
        <v>72621.5</v>
      </c>
      <c r="L71" s="25">
        <f t="shared" ref="L71:L72" si="108">E71*100%</f>
        <v>20749</v>
      </c>
      <c r="M71" s="179">
        <f t="shared" ref="M71:M72" si="109">110000</f>
        <v>110000</v>
      </c>
      <c r="N71" s="179"/>
      <c r="O71" s="25">
        <f t="shared" ref="O71:O72" si="110">E71*10%</f>
        <v>2074.9</v>
      </c>
      <c r="P71" s="25">
        <v>15000</v>
      </c>
      <c r="Q71" s="25">
        <v>0</v>
      </c>
      <c r="R71" s="204">
        <f>SUM(E71:Q71)</f>
        <v>315372.07500000001</v>
      </c>
      <c r="S71" s="23"/>
      <c r="T71" s="23">
        <v>52000</v>
      </c>
      <c r="U71" s="23"/>
      <c r="V71" s="23"/>
      <c r="W71" s="25">
        <v>40149.175266666673</v>
      </c>
      <c r="X71" s="209">
        <f t="shared" si="101"/>
        <v>92149.175266666673</v>
      </c>
      <c r="Y71" s="23">
        <v>275222.89500000002</v>
      </c>
      <c r="Z71" s="208">
        <f t="shared" si="102"/>
        <v>223222.89973333332</v>
      </c>
      <c r="AA71" s="180"/>
    </row>
    <row r="72" spans="1:27" ht="20.100000000000001" customHeight="1">
      <c r="A72" s="28">
        <v>9</v>
      </c>
      <c r="B72" s="156" t="s">
        <v>151</v>
      </c>
      <c r="C72" s="112" t="s">
        <v>148</v>
      </c>
      <c r="D72" s="181" t="s">
        <v>150</v>
      </c>
      <c r="E72" s="258">
        <v>20749</v>
      </c>
      <c r="F72" s="25"/>
      <c r="G72" s="25">
        <f t="shared" si="104"/>
        <v>62247</v>
      </c>
      <c r="H72" s="25">
        <f t="shared" si="105"/>
        <v>1556.175</v>
      </c>
      <c r="I72" s="25">
        <v>0</v>
      </c>
      <c r="J72" s="25">
        <f t="shared" si="106"/>
        <v>10374.5</v>
      </c>
      <c r="K72" s="23">
        <f t="shared" si="107"/>
        <v>72621.5</v>
      </c>
      <c r="L72" s="25">
        <f t="shared" si="108"/>
        <v>20749</v>
      </c>
      <c r="M72" s="179">
        <f t="shared" si="109"/>
        <v>110000</v>
      </c>
      <c r="N72" s="179"/>
      <c r="O72" s="25">
        <f t="shared" si="110"/>
        <v>2074.9</v>
      </c>
      <c r="P72" s="25">
        <v>15000</v>
      </c>
      <c r="Q72" s="25">
        <v>0</v>
      </c>
      <c r="R72" s="204">
        <f>SUM(E72:Q72)</f>
        <v>315372.07500000001</v>
      </c>
      <c r="S72" s="23"/>
      <c r="T72" s="23">
        <v>67000</v>
      </c>
      <c r="U72" s="23"/>
      <c r="V72" s="23"/>
      <c r="W72" s="25">
        <v>40149.175266666673</v>
      </c>
      <c r="X72" s="209">
        <f t="shared" si="101"/>
        <v>107149.17526666667</v>
      </c>
      <c r="Y72" s="23">
        <v>275222.89500000002</v>
      </c>
      <c r="Z72" s="208">
        <f t="shared" si="102"/>
        <v>208222.89973333332</v>
      </c>
      <c r="AA72" s="180"/>
    </row>
    <row r="73" spans="1:27" ht="20.100000000000001" customHeight="1">
      <c r="A73" s="28">
        <v>10</v>
      </c>
      <c r="B73" s="156" t="s">
        <v>152</v>
      </c>
      <c r="C73" s="20" t="s">
        <v>153</v>
      </c>
      <c r="D73" s="28" t="s">
        <v>73</v>
      </c>
      <c r="E73" s="25">
        <v>21520.880000000001</v>
      </c>
      <c r="F73" s="25"/>
      <c r="G73" s="25">
        <f t="shared" si="94"/>
        <v>64562.64</v>
      </c>
      <c r="H73" s="25">
        <f t="shared" si="95"/>
        <v>1614.066</v>
      </c>
      <c r="I73" s="25"/>
      <c r="J73" s="25">
        <f t="shared" si="96"/>
        <v>10760.44</v>
      </c>
      <c r="K73" s="25">
        <f t="shared" si="97"/>
        <v>75323.08</v>
      </c>
      <c r="L73" s="25">
        <f t="shared" si="98"/>
        <v>21520.880000000001</v>
      </c>
      <c r="M73" s="179">
        <f>110000</f>
        <v>110000</v>
      </c>
      <c r="N73" s="179"/>
      <c r="O73" s="25">
        <f t="shared" si="99"/>
        <v>2152.0880000000002</v>
      </c>
      <c r="P73" s="25">
        <v>15000</v>
      </c>
      <c r="Q73" s="25"/>
      <c r="R73" s="204">
        <f t="shared" si="100"/>
        <v>322454.07400000002</v>
      </c>
      <c r="S73" s="23"/>
      <c r="T73" s="23">
        <f>80000+20000</f>
        <v>100000</v>
      </c>
      <c r="U73" s="23"/>
      <c r="V73" s="23"/>
      <c r="W73" s="25">
        <v>41338.951098666665</v>
      </c>
      <c r="X73" s="209">
        <f t="shared" si="101"/>
        <v>141338.95109866667</v>
      </c>
      <c r="Y73" s="23">
        <v>158542.92787333333</v>
      </c>
      <c r="Z73" s="208">
        <f t="shared" si="102"/>
        <v>181115.12290133335</v>
      </c>
      <c r="AA73" s="180"/>
    </row>
    <row r="74" spans="1:27" ht="20.100000000000001" customHeight="1">
      <c r="A74" s="28">
        <v>11</v>
      </c>
      <c r="B74" s="156" t="s">
        <v>154</v>
      </c>
      <c r="C74" s="112" t="s">
        <v>128</v>
      </c>
      <c r="D74" s="28" t="s">
        <v>155</v>
      </c>
      <c r="E74" s="25">
        <v>17784.099999999999</v>
      </c>
      <c r="F74" s="25"/>
      <c r="G74" s="25">
        <f t="shared" ref="G74:G76" si="111">E74*300%</f>
        <v>53352.299999999996</v>
      </c>
      <c r="H74" s="25">
        <f t="shared" ref="H74:H76" si="112">E74*7.5%</f>
        <v>1333.8074999999999</v>
      </c>
      <c r="I74" s="25"/>
      <c r="J74" s="25">
        <f t="shared" ref="J74:J76" si="113">E74*50%</f>
        <v>8892.0499999999993</v>
      </c>
      <c r="K74" s="25">
        <f t="shared" ref="K74:K76" si="114">E74*350%</f>
        <v>62244.349999999991</v>
      </c>
      <c r="L74" s="25">
        <f t="shared" ref="L74:L76" si="115">E74*100%</f>
        <v>17784.099999999999</v>
      </c>
      <c r="M74" s="179">
        <f t="shared" ref="M74:M76" si="116">100000</f>
        <v>100000</v>
      </c>
      <c r="N74" s="179"/>
      <c r="O74" s="25">
        <f t="shared" ref="O74:O76" si="117">E74*10%</f>
        <v>1778.4099999999999</v>
      </c>
      <c r="P74" s="25">
        <v>10000</v>
      </c>
      <c r="Q74" s="25"/>
      <c r="R74" s="204">
        <f t="shared" ref="R74:R76" si="118">SUM(E74:Q74)</f>
        <v>273169.11749999999</v>
      </c>
      <c r="S74" s="23"/>
      <c r="T74" s="23">
        <f>20000</f>
        <v>20000</v>
      </c>
      <c r="U74" s="23">
        <v>0</v>
      </c>
      <c r="V74" s="23"/>
      <c r="W74" s="25">
        <v>33059.078406666667</v>
      </c>
      <c r="X74" s="209">
        <f t="shared" si="101"/>
        <v>53059.078406666667</v>
      </c>
      <c r="Y74" s="23">
        <v>216310.25775000005</v>
      </c>
      <c r="Z74" s="208">
        <f t="shared" si="102"/>
        <v>220110.03909333333</v>
      </c>
      <c r="AA74" s="180"/>
    </row>
    <row r="75" spans="1:27" ht="20.100000000000001" customHeight="1">
      <c r="A75" s="28">
        <v>12</v>
      </c>
      <c r="B75" s="156" t="s">
        <v>156</v>
      </c>
      <c r="C75" s="112" t="s">
        <v>157</v>
      </c>
      <c r="D75" s="28" t="s">
        <v>81</v>
      </c>
      <c r="E75" s="25">
        <f>15188.67</f>
        <v>15188.67</v>
      </c>
      <c r="F75" s="25"/>
      <c r="G75" s="25">
        <f t="shared" si="111"/>
        <v>45566.01</v>
      </c>
      <c r="H75" s="25">
        <f t="shared" si="112"/>
        <v>1139.1502499999999</v>
      </c>
      <c r="I75" s="25"/>
      <c r="J75" s="25">
        <f t="shared" si="113"/>
        <v>7594.335</v>
      </c>
      <c r="K75" s="25">
        <f t="shared" si="114"/>
        <v>53160.345000000001</v>
      </c>
      <c r="L75" s="25">
        <f t="shared" si="115"/>
        <v>15188.67</v>
      </c>
      <c r="M75" s="179">
        <f t="shared" si="116"/>
        <v>100000</v>
      </c>
      <c r="N75" s="179"/>
      <c r="O75" s="25">
        <f t="shared" si="117"/>
        <v>1518.8670000000002</v>
      </c>
      <c r="P75" s="25">
        <v>10000</v>
      </c>
      <c r="Q75" s="25"/>
      <c r="R75" s="204">
        <f t="shared" si="118"/>
        <v>249356.04725</v>
      </c>
      <c r="S75" s="23"/>
      <c r="T75" s="23">
        <f>10000</f>
        <v>10000</v>
      </c>
      <c r="U75" s="23">
        <f>95833.33</f>
        <v>95833.33</v>
      </c>
      <c r="V75" s="23"/>
      <c r="W75" s="25">
        <v>29058.48260466666</v>
      </c>
      <c r="X75" s="209">
        <f t="shared" si="101"/>
        <v>134891.81260466666</v>
      </c>
      <c r="Y75" s="23">
        <v>114684.8045</v>
      </c>
      <c r="Z75" s="208">
        <f t="shared" si="102"/>
        <v>114464.23464533334</v>
      </c>
      <c r="AA75" s="180"/>
    </row>
    <row r="76" spans="1:27" ht="20.100000000000001" customHeight="1">
      <c r="A76" s="28">
        <v>13</v>
      </c>
      <c r="B76" s="158" t="s">
        <v>158</v>
      </c>
      <c r="C76" s="112" t="s">
        <v>157</v>
      </c>
      <c r="D76" s="28" t="s">
        <v>97</v>
      </c>
      <c r="E76" s="25">
        <f>12732</f>
        <v>12732</v>
      </c>
      <c r="F76" s="25"/>
      <c r="G76" s="25">
        <f t="shared" si="111"/>
        <v>38196</v>
      </c>
      <c r="H76" s="25">
        <f t="shared" si="112"/>
        <v>954.9</v>
      </c>
      <c r="I76" s="25"/>
      <c r="J76" s="25">
        <f t="shared" si="113"/>
        <v>6366</v>
      </c>
      <c r="K76" s="25">
        <f t="shared" si="114"/>
        <v>44562</v>
      </c>
      <c r="L76" s="25">
        <f t="shared" si="115"/>
        <v>12732</v>
      </c>
      <c r="M76" s="179">
        <f t="shared" si="116"/>
        <v>100000</v>
      </c>
      <c r="N76" s="179"/>
      <c r="O76" s="25">
        <f t="shared" si="117"/>
        <v>1273.2</v>
      </c>
      <c r="P76" s="25">
        <v>10000</v>
      </c>
      <c r="Q76" s="25"/>
      <c r="R76" s="204">
        <f t="shared" si="118"/>
        <v>226816.1</v>
      </c>
      <c r="S76" s="23"/>
      <c r="T76" s="23"/>
      <c r="U76" s="23"/>
      <c r="V76" s="23"/>
      <c r="W76" s="25">
        <v>25271.771466666669</v>
      </c>
      <c r="X76" s="209">
        <f t="shared" si="101"/>
        <v>25271.771466666669</v>
      </c>
      <c r="Y76" s="23">
        <v>198643.09949999998</v>
      </c>
      <c r="Z76" s="208">
        <f t="shared" si="102"/>
        <v>201544.32853333335</v>
      </c>
      <c r="AA76" s="180"/>
    </row>
    <row r="77" spans="1:27" ht="20.100000000000001" customHeight="1">
      <c r="A77" s="28"/>
      <c r="B77" s="159" t="s">
        <v>100</v>
      </c>
      <c r="C77" s="29">
        <v>13</v>
      </c>
      <c r="D77" s="29"/>
      <c r="E77" s="68">
        <f>SUM(E64:E76)</f>
        <v>342966.19</v>
      </c>
      <c r="F77" s="68">
        <f>SUM(F64:F76)</f>
        <v>0</v>
      </c>
      <c r="G77" s="68">
        <f t="shared" ref="G77:M77" si="119">SUM(G64:G76)</f>
        <v>1028898.5700000002</v>
      </c>
      <c r="H77" s="68">
        <f t="shared" si="119"/>
        <v>25722.464249999997</v>
      </c>
      <c r="I77" s="68">
        <f t="shared" si="119"/>
        <v>120366.57</v>
      </c>
      <c r="J77" s="68">
        <f t="shared" si="119"/>
        <v>171483.095</v>
      </c>
      <c r="K77" s="68">
        <f t="shared" si="119"/>
        <v>1200381.665</v>
      </c>
      <c r="L77" s="68">
        <f t="shared" si="119"/>
        <v>342966.19</v>
      </c>
      <c r="M77" s="184">
        <f t="shared" si="119"/>
        <v>1580000</v>
      </c>
      <c r="N77" s="184"/>
      <c r="O77" s="68">
        <f>SUM(O64:O76)</f>
        <v>34296.618999999999</v>
      </c>
      <c r="P77" s="68">
        <f>SUM(P64:P76)</f>
        <v>190000</v>
      </c>
      <c r="Q77" s="68">
        <f>SUM(Q64:Q76)</f>
        <v>0</v>
      </c>
      <c r="R77" s="213">
        <f>SUM(R64:R76)</f>
        <v>5037081.3632499995</v>
      </c>
      <c r="S77" s="68"/>
      <c r="T77" s="68">
        <f t="shared" ref="T77:Z77" si="120">SUM(T64:T76)</f>
        <v>774000</v>
      </c>
      <c r="U77" s="68">
        <f t="shared" si="120"/>
        <v>457554.82</v>
      </c>
      <c r="V77" s="68">
        <v>570.94550000000004</v>
      </c>
      <c r="W77" s="68">
        <v>701592.52869266667</v>
      </c>
      <c r="X77" s="221">
        <f t="shared" si="120"/>
        <v>1933718.2941926667</v>
      </c>
      <c r="Y77" s="68">
        <v>3157078.2508733338</v>
      </c>
      <c r="Z77" s="221">
        <f t="shared" si="120"/>
        <v>3103363.0690573333</v>
      </c>
      <c r="AA77" s="180"/>
    </row>
    <row r="78" spans="1:27" ht="20.100000000000001" customHeight="1">
      <c r="A78" s="28"/>
      <c r="B78" s="123"/>
      <c r="C78" s="29"/>
      <c r="D78" s="29"/>
      <c r="E78" s="30"/>
      <c r="F78" s="30"/>
      <c r="G78" s="30"/>
      <c r="H78" s="30"/>
      <c r="I78" s="30"/>
      <c r="J78" s="30"/>
      <c r="K78" s="30"/>
      <c r="L78" s="30"/>
      <c r="M78" s="179"/>
      <c r="N78" s="179"/>
      <c r="O78" s="30"/>
      <c r="P78" s="30"/>
      <c r="Q78" s="30"/>
      <c r="R78" s="214"/>
      <c r="S78" s="30"/>
      <c r="T78" s="30"/>
      <c r="U78" s="30"/>
      <c r="V78" s="30"/>
      <c r="W78" s="30"/>
      <c r="X78" s="222"/>
      <c r="Y78" s="30"/>
      <c r="Z78" s="222"/>
      <c r="AA78" s="180"/>
    </row>
    <row r="79" spans="1:27" ht="20.100000000000001" customHeight="1">
      <c r="A79" s="28"/>
      <c r="B79" s="159" t="s">
        <v>159</v>
      </c>
      <c r="C79" s="29"/>
      <c r="D79" s="29"/>
      <c r="E79" s="30"/>
      <c r="F79" s="30"/>
      <c r="G79" s="30"/>
      <c r="H79" s="30"/>
      <c r="I79" s="30"/>
      <c r="J79" s="30"/>
      <c r="K79" s="30"/>
      <c r="L79" s="30"/>
      <c r="M79" s="179"/>
      <c r="N79" s="179"/>
      <c r="O79" s="30"/>
      <c r="P79" s="30"/>
      <c r="Q79" s="30"/>
      <c r="R79" s="214"/>
      <c r="S79" s="30"/>
      <c r="T79" s="30"/>
      <c r="U79" s="30"/>
      <c r="V79" s="30"/>
      <c r="W79" s="30"/>
      <c r="X79" s="222"/>
      <c r="Y79" s="30"/>
      <c r="Z79" s="222"/>
      <c r="AA79" s="180"/>
    </row>
    <row r="80" spans="1:27" ht="20.100000000000001" customHeight="1">
      <c r="A80" s="28">
        <v>1</v>
      </c>
      <c r="B80" s="156" t="s">
        <v>160</v>
      </c>
      <c r="C80" s="20" t="s">
        <v>161</v>
      </c>
      <c r="D80" s="28" t="s">
        <v>104</v>
      </c>
      <c r="E80" s="25">
        <v>81740.02</v>
      </c>
      <c r="F80" s="25"/>
      <c r="G80" s="25">
        <f t="shared" ref="G80:G84" si="121">E80*300%</f>
        <v>245220.06</v>
      </c>
      <c r="H80" s="25">
        <f t="shared" ref="H80:H84" si="122">E80*7.5%</f>
        <v>6130.5015000000003</v>
      </c>
      <c r="I80" s="25">
        <v>80244.38</v>
      </c>
      <c r="J80" s="25">
        <f>E80*50%</f>
        <v>40870.01</v>
      </c>
      <c r="K80" s="25">
        <f t="shared" ref="K80:K84" si="123">E80*350%</f>
        <v>286090.07</v>
      </c>
      <c r="L80" s="25">
        <f>E80*100%</f>
        <v>81740.02</v>
      </c>
      <c r="M80" s="179">
        <f>200000</f>
        <v>200000</v>
      </c>
      <c r="N80" s="179"/>
      <c r="O80" s="25">
        <f>E80*10%</f>
        <v>8174.0020000000004</v>
      </c>
      <c r="P80" s="25">
        <v>20000</v>
      </c>
      <c r="Q80" s="25">
        <v>0</v>
      </c>
      <c r="R80" s="204">
        <f>SUM(E80:Q80)</f>
        <v>1050209.0635000002</v>
      </c>
      <c r="S80" s="23"/>
      <c r="T80" s="23">
        <v>250000</v>
      </c>
      <c r="U80" s="23">
        <f>0</f>
        <v>0</v>
      </c>
      <c r="V80" s="23">
        <v>0</v>
      </c>
      <c r="W80" s="25">
        <v>180306.80685866671</v>
      </c>
      <c r="X80" s="208">
        <f>W80+V80+U80+T80+S80</f>
        <v>430306.80685866671</v>
      </c>
      <c r="Y80" s="23">
        <v>619902.25350000011</v>
      </c>
      <c r="Z80" s="208">
        <f>R80-X80</f>
        <v>619902.25664133346</v>
      </c>
      <c r="AA80" s="180"/>
    </row>
    <row r="81" spans="1:27" ht="20.100000000000001" customHeight="1">
      <c r="A81" s="28">
        <v>2</v>
      </c>
      <c r="B81" s="158" t="s">
        <v>162</v>
      </c>
      <c r="C81" s="20" t="s">
        <v>163</v>
      </c>
      <c r="D81" s="181" t="s">
        <v>140</v>
      </c>
      <c r="E81" s="259">
        <v>31018.84</v>
      </c>
      <c r="F81" s="25"/>
      <c r="G81" s="25">
        <f t="shared" si="121"/>
        <v>93056.52</v>
      </c>
      <c r="H81" s="25">
        <f t="shared" si="122"/>
        <v>2326.413</v>
      </c>
      <c r="I81" s="25">
        <v>40122.19</v>
      </c>
      <c r="J81" s="25">
        <f t="shared" ref="J81:J82" si="124">E81*50%</f>
        <v>15509.42</v>
      </c>
      <c r="K81" s="25">
        <f t="shared" si="123"/>
        <v>108565.94</v>
      </c>
      <c r="L81" s="25">
        <f t="shared" ref="L81:L82" si="125">E81*100%</f>
        <v>31018.84</v>
      </c>
      <c r="M81" s="179">
        <f>160000</f>
        <v>160000</v>
      </c>
      <c r="N81" s="179"/>
      <c r="O81" s="25">
        <f t="shared" ref="O81:O82" si="126">E81*10%</f>
        <v>3101.884</v>
      </c>
      <c r="P81" s="25">
        <v>20000</v>
      </c>
      <c r="Q81" s="182">
        <v>0</v>
      </c>
      <c r="R81" s="204">
        <f t="shared" ref="R81:R82" si="127">SUM(E81:Q81)</f>
        <v>504720.04700000002</v>
      </c>
      <c r="S81" s="23"/>
      <c r="T81" s="23"/>
      <c r="U81" s="23"/>
      <c r="V81" s="23">
        <v>0</v>
      </c>
      <c r="W81" s="25">
        <v>75572.915690666661</v>
      </c>
      <c r="X81" s="208">
        <f>W81+V81+U81+T81+S81</f>
        <v>75572.915690666661</v>
      </c>
      <c r="Y81" s="23">
        <v>429147.12700000004</v>
      </c>
      <c r="Z81" s="208">
        <f>R81-X81</f>
        <v>429147.13130933337</v>
      </c>
      <c r="AA81" s="180"/>
    </row>
    <row r="82" spans="1:27" ht="20.100000000000001" customHeight="1">
      <c r="A82" s="28">
        <v>3</v>
      </c>
      <c r="B82" s="158" t="s">
        <v>164</v>
      </c>
      <c r="C82" s="20" t="s">
        <v>165</v>
      </c>
      <c r="D82" s="181" t="s">
        <v>140</v>
      </c>
      <c r="E82" s="259">
        <v>31018.84</v>
      </c>
      <c r="F82" s="25"/>
      <c r="G82" s="25">
        <f t="shared" si="121"/>
        <v>93056.52</v>
      </c>
      <c r="H82" s="25">
        <f t="shared" si="122"/>
        <v>2326.413</v>
      </c>
      <c r="I82" s="25">
        <v>40122.19</v>
      </c>
      <c r="J82" s="25">
        <f t="shared" si="124"/>
        <v>15509.42</v>
      </c>
      <c r="K82" s="25">
        <f t="shared" si="123"/>
        <v>108565.94</v>
      </c>
      <c r="L82" s="25">
        <f t="shared" si="125"/>
        <v>31018.84</v>
      </c>
      <c r="M82" s="179">
        <f>160000</f>
        <v>160000</v>
      </c>
      <c r="N82" s="179"/>
      <c r="O82" s="25">
        <f t="shared" si="126"/>
        <v>3101.884</v>
      </c>
      <c r="P82" s="25">
        <v>20000</v>
      </c>
      <c r="Q82" s="182">
        <v>0</v>
      </c>
      <c r="R82" s="204">
        <f t="shared" si="127"/>
        <v>504720.04700000002</v>
      </c>
      <c r="S82" s="23"/>
      <c r="T82" s="23"/>
      <c r="U82" s="23"/>
      <c r="V82" s="23">
        <v>0</v>
      </c>
      <c r="W82" s="25">
        <v>75572.915690666661</v>
      </c>
      <c r="X82" s="208">
        <f>W82+V82+U82+T82+S82</f>
        <v>75572.915690666661</v>
      </c>
      <c r="Y82" s="23">
        <v>429147.12700000004</v>
      </c>
      <c r="Z82" s="208">
        <f>R82-X82</f>
        <v>429147.13130933337</v>
      </c>
      <c r="AA82" s="180"/>
    </row>
    <row r="83" spans="1:27" ht="20.100000000000001" customHeight="1">
      <c r="A83" s="28">
        <v>4</v>
      </c>
      <c r="B83" s="156" t="s">
        <v>166</v>
      </c>
      <c r="C83" s="20" t="s">
        <v>167</v>
      </c>
      <c r="D83" s="181" t="s">
        <v>126</v>
      </c>
      <c r="E83" s="25">
        <v>25523.45</v>
      </c>
      <c r="F83" s="25"/>
      <c r="G83" s="25">
        <f>E83*300%</f>
        <v>76570.350000000006</v>
      </c>
      <c r="H83" s="25">
        <f>E83*7.5%</f>
        <v>1914.25875</v>
      </c>
      <c r="I83" s="25">
        <v>0</v>
      </c>
      <c r="J83" s="25">
        <f>E83*50%</f>
        <v>12761.725</v>
      </c>
      <c r="K83" s="23">
        <f>E83*350%</f>
        <v>89332.074999999997</v>
      </c>
      <c r="L83" s="25">
        <f>E83*100%</f>
        <v>25523.45</v>
      </c>
      <c r="M83" s="179">
        <f>120000</f>
        <v>120000</v>
      </c>
      <c r="N83" s="179"/>
      <c r="O83" s="25">
        <f>E83*10%</f>
        <v>2552.3450000000003</v>
      </c>
      <c r="P83" s="25">
        <v>15000</v>
      </c>
      <c r="Q83" s="25">
        <v>0</v>
      </c>
      <c r="R83" s="204">
        <f>Q83+P83+O83+N83+M83+L83+K83+J83+I83+H83+G83+F83+E83</f>
        <v>369177.65375</v>
      </c>
      <c r="S83" s="23"/>
      <c r="T83" s="23">
        <v>20000</v>
      </c>
      <c r="U83" s="23">
        <f>68750</f>
        <v>68750</v>
      </c>
      <c r="V83" s="23">
        <v>638.08625000000006</v>
      </c>
      <c r="W83" s="25">
        <v>49548.776186666662</v>
      </c>
      <c r="X83" s="208">
        <f>W83+V83+U83+T83+S83</f>
        <v>138936.86243666668</v>
      </c>
      <c r="Y83" s="23">
        <v>224461.65900000001</v>
      </c>
      <c r="Z83" s="208">
        <f>R83-X83</f>
        <v>230240.79131333332</v>
      </c>
      <c r="AA83" s="180"/>
    </row>
    <row r="84" spans="1:27" ht="20.100000000000001" customHeight="1">
      <c r="A84" s="28">
        <v>5</v>
      </c>
      <c r="B84" s="156" t="s">
        <v>168</v>
      </c>
      <c r="C84" s="20" t="s">
        <v>169</v>
      </c>
      <c r="D84" s="28" t="s">
        <v>155</v>
      </c>
      <c r="E84" s="25">
        <v>17784.099999999999</v>
      </c>
      <c r="F84" s="25"/>
      <c r="G84" s="25">
        <f t="shared" si="121"/>
        <v>53352.299999999996</v>
      </c>
      <c r="H84" s="25">
        <f t="shared" si="122"/>
        <v>1333.8074999999999</v>
      </c>
      <c r="I84" s="25"/>
      <c r="J84" s="25">
        <f t="shared" ref="J84" si="128">E84*50%</f>
        <v>8892.0499999999993</v>
      </c>
      <c r="K84" s="25">
        <f t="shared" si="123"/>
        <v>62244.349999999991</v>
      </c>
      <c r="L84" s="25">
        <f t="shared" ref="L84" si="129">E84*100%</f>
        <v>17784.099999999999</v>
      </c>
      <c r="M84" s="179">
        <f>100000</f>
        <v>100000</v>
      </c>
      <c r="N84" s="179"/>
      <c r="O84" s="25">
        <f t="shared" ref="O84" si="130">E84*10%</f>
        <v>1778.4099999999999</v>
      </c>
      <c r="P84" s="25">
        <v>10000</v>
      </c>
      <c r="Q84" s="25"/>
      <c r="R84" s="204">
        <f t="shared" ref="R84" si="131">SUM(E84:Q84)</f>
        <v>273169.11749999999</v>
      </c>
      <c r="S84" s="23"/>
      <c r="T84" s="23">
        <f>50000</f>
        <v>50000</v>
      </c>
      <c r="U84" s="23">
        <f>50000</f>
        <v>50000</v>
      </c>
      <c r="V84" s="23"/>
      <c r="W84" s="25">
        <v>33059.078406666667</v>
      </c>
      <c r="X84" s="208">
        <f>W84+V84+U84+T84+S84</f>
        <v>133059.07840666667</v>
      </c>
      <c r="Y84" s="23">
        <v>136310.25775000005</v>
      </c>
      <c r="Z84" s="208">
        <f>R84-X84</f>
        <v>140110.03909333333</v>
      </c>
      <c r="AA84" s="180"/>
    </row>
    <row r="85" spans="1:27" ht="20.100000000000001" customHeight="1">
      <c r="A85" s="28"/>
      <c r="B85" s="159" t="s">
        <v>100</v>
      </c>
      <c r="C85" s="29">
        <v>5</v>
      </c>
      <c r="D85" s="29"/>
      <c r="E85" s="68">
        <f>SUM(E80:E84)</f>
        <v>187085.25000000003</v>
      </c>
      <c r="F85" s="68"/>
      <c r="G85" s="68">
        <f t="shared" ref="G85:M85" si="132">SUM(G80:G84)</f>
        <v>561255.75000000012</v>
      </c>
      <c r="H85" s="68">
        <f t="shared" si="132"/>
        <v>14031.393749999999</v>
      </c>
      <c r="I85" s="68">
        <f t="shared" si="132"/>
        <v>160488.76</v>
      </c>
      <c r="J85" s="68">
        <f t="shared" si="132"/>
        <v>93542.625000000015</v>
      </c>
      <c r="K85" s="68">
        <f t="shared" si="132"/>
        <v>654798.375</v>
      </c>
      <c r="L85" s="68">
        <f t="shared" si="132"/>
        <v>187085.25000000003</v>
      </c>
      <c r="M85" s="184">
        <f t="shared" si="132"/>
        <v>740000</v>
      </c>
      <c r="N85" s="184"/>
      <c r="O85" s="68">
        <f>SUM(O80:O84)</f>
        <v>18708.525000000001</v>
      </c>
      <c r="P85" s="68">
        <f>SUM(P80:P84)</f>
        <v>85000</v>
      </c>
      <c r="Q85" s="68">
        <f>SUM(Q80:Q84)</f>
        <v>0</v>
      </c>
      <c r="R85" s="213">
        <f>SUM(R80:R84)</f>
        <v>2701995.9287500004</v>
      </c>
      <c r="S85" s="68"/>
      <c r="T85" s="68">
        <f t="shared" ref="T85:Z85" si="133">SUM(T80:T84)</f>
        <v>320000</v>
      </c>
      <c r="U85" s="68">
        <f t="shared" si="133"/>
        <v>118750</v>
      </c>
      <c r="V85" s="68">
        <v>638.08625000000006</v>
      </c>
      <c r="W85" s="68">
        <v>414060.49283333332</v>
      </c>
      <c r="X85" s="221">
        <f t="shared" si="133"/>
        <v>853448.57908333326</v>
      </c>
      <c r="Y85" s="68">
        <v>1838968.4242500004</v>
      </c>
      <c r="Z85" s="221">
        <f t="shared" si="133"/>
        <v>1848547.3496666667</v>
      </c>
      <c r="AA85" s="180"/>
    </row>
    <row r="86" spans="1:27" ht="20.100000000000001" customHeight="1">
      <c r="A86" s="28"/>
      <c r="B86" s="159"/>
      <c r="C86" s="29"/>
      <c r="D86" s="29"/>
      <c r="E86" s="30"/>
      <c r="F86" s="30"/>
      <c r="G86" s="30"/>
      <c r="H86" s="30"/>
      <c r="I86" s="30"/>
      <c r="J86" s="30"/>
      <c r="K86" s="30"/>
      <c r="L86" s="30"/>
      <c r="M86" s="179"/>
      <c r="N86" s="179"/>
      <c r="O86" s="30"/>
      <c r="P86" s="30"/>
      <c r="Q86" s="30"/>
      <c r="R86" s="215"/>
      <c r="S86" s="182"/>
      <c r="T86" s="182"/>
      <c r="U86" s="182"/>
      <c r="V86" s="182"/>
      <c r="W86" s="30"/>
      <c r="X86" s="208"/>
      <c r="Y86" s="23"/>
      <c r="Z86" s="208"/>
      <c r="AA86" s="180"/>
    </row>
    <row r="87" spans="1:27" ht="20.100000000000001" customHeight="1">
      <c r="A87" s="28"/>
      <c r="B87" s="159" t="s">
        <v>170</v>
      </c>
      <c r="C87" s="186"/>
      <c r="D87" s="29"/>
      <c r="E87" s="30"/>
      <c r="F87" s="30"/>
      <c r="G87" s="30"/>
      <c r="H87" s="30"/>
      <c r="I87" s="30"/>
      <c r="J87" s="30"/>
      <c r="K87" s="30"/>
      <c r="L87" s="30"/>
      <c r="M87" s="179"/>
      <c r="N87" s="179"/>
      <c r="O87" s="30"/>
      <c r="P87" s="30"/>
      <c r="Q87" s="30"/>
      <c r="R87" s="215"/>
      <c r="S87" s="182"/>
      <c r="T87" s="182"/>
      <c r="U87" s="182"/>
      <c r="V87" s="182"/>
      <c r="W87" s="30"/>
      <c r="X87" s="208"/>
      <c r="Y87" s="23"/>
      <c r="Z87" s="208"/>
      <c r="AA87" s="180"/>
    </row>
    <row r="88" spans="1:27" ht="23.25" customHeight="1">
      <c r="A88" s="28">
        <v>1</v>
      </c>
      <c r="B88" s="156" t="s">
        <v>171</v>
      </c>
      <c r="C88" s="20" t="s">
        <v>172</v>
      </c>
      <c r="D88" s="28" t="s">
        <v>33</v>
      </c>
      <c r="E88" s="25">
        <v>0</v>
      </c>
      <c r="F88" s="25"/>
      <c r="G88" s="25">
        <f t="shared" ref="G88" si="134">E88*300%</f>
        <v>0</v>
      </c>
      <c r="H88" s="25">
        <f t="shared" ref="H88" si="135">E88*7.5%</f>
        <v>0</v>
      </c>
      <c r="I88" s="25">
        <v>0</v>
      </c>
      <c r="J88" s="25">
        <f t="shared" ref="J88" si="136">E88*50%</f>
        <v>0</v>
      </c>
      <c r="K88" s="25">
        <f t="shared" ref="K88" si="137">E88*350%</f>
        <v>0</v>
      </c>
      <c r="L88" s="25">
        <f t="shared" ref="L88:L93" si="138">E88*100%</f>
        <v>0</v>
      </c>
      <c r="M88" s="179">
        <v>0</v>
      </c>
      <c r="N88" s="179"/>
      <c r="O88" s="25">
        <f t="shared" ref="O88:O93" si="139">E88*10%</f>
        <v>0</v>
      </c>
      <c r="P88" s="25">
        <v>0</v>
      </c>
      <c r="Q88" s="25"/>
      <c r="R88" s="204">
        <f>SUM(E88:Q88)</f>
        <v>0</v>
      </c>
      <c r="S88" s="23"/>
      <c r="T88" s="23"/>
      <c r="U88" s="23"/>
      <c r="V88" s="23"/>
      <c r="W88" s="25">
        <v>0</v>
      </c>
      <c r="X88" s="208">
        <f t="shared" ref="X88:X96" si="140">W88+V88+U88+T88+S88</f>
        <v>0</v>
      </c>
      <c r="Y88" s="23">
        <v>260235.242875</v>
      </c>
      <c r="Z88" s="208">
        <f t="shared" ref="Z88:Z98" si="141">R88-X88</f>
        <v>0</v>
      </c>
      <c r="AA88" s="180"/>
    </row>
    <row r="89" spans="1:27" ht="20.100000000000001" customHeight="1">
      <c r="A89" s="28">
        <v>2</v>
      </c>
      <c r="B89" s="156" t="s">
        <v>173</v>
      </c>
      <c r="C89" s="20" t="s">
        <v>114</v>
      </c>
      <c r="D89" s="28" t="s">
        <v>50</v>
      </c>
      <c r="E89" s="25">
        <v>33507.5</v>
      </c>
      <c r="F89" s="25"/>
      <c r="G89" s="25">
        <f t="shared" ref="G89:G93" si="142">E89*300%</f>
        <v>100522.5</v>
      </c>
      <c r="H89" s="25">
        <f t="shared" ref="H89:H93" si="143">E89*7.5%</f>
        <v>2513.0625</v>
      </c>
      <c r="I89" s="25">
        <f>40122.19</f>
        <v>40122.19</v>
      </c>
      <c r="J89" s="25">
        <f t="shared" ref="J89:J93" si="144">E89*50%</f>
        <v>16753.75</v>
      </c>
      <c r="K89" s="25">
        <f t="shared" ref="K89:K93" si="145">E89*350%</f>
        <v>117276.25</v>
      </c>
      <c r="L89" s="25">
        <f t="shared" si="138"/>
        <v>33507.5</v>
      </c>
      <c r="M89" s="179">
        <f>160000</f>
        <v>160000</v>
      </c>
      <c r="N89" s="179"/>
      <c r="O89" s="25">
        <f t="shared" si="139"/>
        <v>3350.75</v>
      </c>
      <c r="P89" s="25">
        <v>20000</v>
      </c>
      <c r="Q89" s="25"/>
      <c r="R89" s="204">
        <f t="shared" ref="R89:R93" si="146">SUM(E89:Q89)</f>
        <v>527553.50249999994</v>
      </c>
      <c r="S89" s="23"/>
      <c r="T89" s="23"/>
      <c r="U89" s="23"/>
      <c r="V89" s="23"/>
      <c r="W89" s="25">
        <v>79956.939146666657</v>
      </c>
      <c r="X89" s="208">
        <f t="shared" si="140"/>
        <v>79956.939146666657</v>
      </c>
      <c r="Y89" s="23">
        <v>447596.56249999994</v>
      </c>
      <c r="Z89" s="208">
        <f t="shared" si="141"/>
        <v>447596.56335333327</v>
      </c>
      <c r="AA89" s="180"/>
    </row>
    <row r="90" spans="1:27" ht="20.100000000000001" customHeight="1">
      <c r="A90" s="28">
        <v>3</v>
      </c>
      <c r="B90" s="156" t="s">
        <v>174</v>
      </c>
      <c r="C90" s="20" t="s">
        <v>114</v>
      </c>
      <c r="D90" s="28" t="s">
        <v>50</v>
      </c>
      <c r="E90" s="25">
        <v>33507.5</v>
      </c>
      <c r="F90" s="25"/>
      <c r="G90" s="25">
        <f>E90*300%</f>
        <v>100522.5</v>
      </c>
      <c r="H90" s="25">
        <f>E90*7.5%</f>
        <v>2513.0625</v>
      </c>
      <c r="I90" s="25">
        <f>40122.19</f>
        <v>40122.19</v>
      </c>
      <c r="J90" s="25">
        <f>E90*50%</f>
        <v>16753.75</v>
      </c>
      <c r="K90" s="25">
        <f>E90*350%</f>
        <v>117276.25</v>
      </c>
      <c r="L90" s="25">
        <f>E90*100%</f>
        <v>33507.5</v>
      </c>
      <c r="M90" s="179">
        <f>160000</f>
        <v>160000</v>
      </c>
      <c r="N90" s="179"/>
      <c r="O90" s="25">
        <f>E90*10%</f>
        <v>3350.75</v>
      </c>
      <c r="P90" s="25">
        <v>20000</v>
      </c>
      <c r="Q90" s="25"/>
      <c r="R90" s="204">
        <f>SUM(E90:Q90)</f>
        <v>527553.50249999994</v>
      </c>
      <c r="S90" s="23"/>
      <c r="T90" s="23">
        <f>30000</f>
        <v>30000</v>
      </c>
      <c r="U90" s="23">
        <f>98750</f>
        <v>98750</v>
      </c>
      <c r="V90" s="23">
        <v>837.6875</v>
      </c>
      <c r="W90" s="25">
        <v>79796.103146666646</v>
      </c>
      <c r="X90" s="208">
        <f t="shared" si="140"/>
        <v>209383.79064666666</v>
      </c>
      <c r="Y90" s="23">
        <v>318169.71499999997</v>
      </c>
      <c r="Z90" s="208">
        <f t="shared" si="141"/>
        <v>318169.71185333328</v>
      </c>
      <c r="AA90" s="180"/>
    </row>
    <row r="91" spans="1:27" ht="20.100000000000001" customHeight="1">
      <c r="A91" s="28">
        <v>4</v>
      </c>
      <c r="B91" s="158" t="s">
        <v>175</v>
      </c>
      <c r="C91" s="20" t="s">
        <v>121</v>
      </c>
      <c r="D91" s="28" t="s">
        <v>176</v>
      </c>
      <c r="E91" s="25">
        <f>28489.81</f>
        <v>28489.81</v>
      </c>
      <c r="F91" s="25"/>
      <c r="G91" s="25">
        <f>E91*300%</f>
        <v>85469.430000000008</v>
      </c>
      <c r="H91" s="25">
        <f>E91*7.5%</f>
        <v>2136.7357499999998</v>
      </c>
      <c r="I91" s="25"/>
      <c r="J91" s="25">
        <f>E91*50%</f>
        <v>14244.905000000001</v>
      </c>
      <c r="K91" s="23">
        <f>E91*350%</f>
        <v>99714.335000000006</v>
      </c>
      <c r="L91" s="25">
        <f>E91*100%</f>
        <v>28489.81</v>
      </c>
      <c r="M91" s="179">
        <v>140000</v>
      </c>
      <c r="N91" s="179"/>
      <c r="O91" s="25">
        <f>E91*10%</f>
        <v>2848.9810000000002</v>
      </c>
      <c r="P91" s="25">
        <v>20000</v>
      </c>
      <c r="Q91" s="25">
        <v>0</v>
      </c>
      <c r="R91" s="205">
        <f>SUM(E91:Q91)</f>
        <v>421394.00675000006</v>
      </c>
      <c r="S91" s="25"/>
      <c r="T91" s="23">
        <f>20000</f>
        <v>20000</v>
      </c>
      <c r="U91" s="23">
        <f>163103.59</f>
        <v>163103.59</v>
      </c>
      <c r="V91" s="23">
        <v>712.24525000000006</v>
      </c>
      <c r="W91" s="23">
        <v>59441.782042666666</v>
      </c>
      <c r="X91" s="208">
        <f t="shared" si="140"/>
        <v>243257.61729266666</v>
      </c>
      <c r="Y91" s="25">
        <v>171645.08450000008</v>
      </c>
      <c r="Z91" s="209">
        <f t="shared" si="141"/>
        <v>178136.3894573334</v>
      </c>
      <c r="AA91" s="180"/>
    </row>
    <row r="92" spans="1:27" ht="20.100000000000001" customHeight="1">
      <c r="A92" s="28">
        <v>5</v>
      </c>
      <c r="B92" s="156" t="s">
        <v>177</v>
      </c>
      <c r="C92" s="20" t="s">
        <v>119</v>
      </c>
      <c r="D92" s="28" t="s">
        <v>56</v>
      </c>
      <c r="E92" s="25">
        <v>27611.23</v>
      </c>
      <c r="F92" s="25"/>
      <c r="G92" s="25">
        <f t="shared" si="142"/>
        <v>82833.69</v>
      </c>
      <c r="H92" s="25">
        <f t="shared" si="143"/>
        <v>2070.8422499999997</v>
      </c>
      <c r="I92" s="25"/>
      <c r="J92" s="25">
        <f t="shared" si="144"/>
        <v>13805.615</v>
      </c>
      <c r="K92" s="25">
        <f t="shared" si="145"/>
        <v>96639.304999999993</v>
      </c>
      <c r="L92" s="25">
        <f t="shared" si="138"/>
        <v>27611.23</v>
      </c>
      <c r="M92" s="179">
        <v>140000</v>
      </c>
      <c r="N92" s="179"/>
      <c r="O92" s="25">
        <f t="shared" si="139"/>
        <v>2761.123</v>
      </c>
      <c r="P92" s="25">
        <v>20000</v>
      </c>
      <c r="Q92" s="25"/>
      <c r="R92" s="204">
        <f t="shared" si="146"/>
        <v>413333.03525000007</v>
      </c>
      <c r="S92" s="23"/>
      <c r="T92" s="23">
        <f>50000</f>
        <v>50000</v>
      </c>
      <c r="U92" s="179">
        <f>79861.11</f>
        <v>79861.11</v>
      </c>
      <c r="V92" s="23"/>
      <c r="W92" s="23">
        <v>58026.609434666672</v>
      </c>
      <c r="X92" s="208">
        <f t="shared" si="140"/>
        <v>187887.71943466668</v>
      </c>
      <c r="Y92" s="23">
        <v>218932.05374999996</v>
      </c>
      <c r="Z92" s="208">
        <f t="shared" si="141"/>
        <v>225445.31581533339</v>
      </c>
      <c r="AA92" s="180"/>
    </row>
    <row r="93" spans="1:27" ht="21.6" customHeight="1">
      <c r="A93" s="28">
        <v>6</v>
      </c>
      <c r="B93" s="156" t="s">
        <v>178</v>
      </c>
      <c r="C93" s="20" t="s">
        <v>125</v>
      </c>
      <c r="D93" s="181" t="s">
        <v>126</v>
      </c>
      <c r="E93" s="25">
        <v>25523.45</v>
      </c>
      <c r="F93" s="25"/>
      <c r="G93" s="25">
        <f t="shared" si="142"/>
        <v>76570.350000000006</v>
      </c>
      <c r="H93" s="25">
        <f t="shared" si="143"/>
        <v>1914.25875</v>
      </c>
      <c r="I93" s="25">
        <v>0</v>
      </c>
      <c r="J93" s="25">
        <f t="shared" si="144"/>
        <v>12761.725</v>
      </c>
      <c r="K93" s="23">
        <f t="shared" si="145"/>
        <v>89332.074999999997</v>
      </c>
      <c r="L93" s="25">
        <f t="shared" si="138"/>
        <v>25523.45</v>
      </c>
      <c r="M93" s="179">
        <f>120000</f>
        <v>120000</v>
      </c>
      <c r="N93" s="179"/>
      <c r="O93" s="25">
        <f t="shared" si="139"/>
        <v>2552.3450000000003</v>
      </c>
      <c r="P93" s="25">
        <v>15000</v>
      </c>
      <c r="Q93" s="25">
        <v>0</v>
      </c>
      <c r="R93" s="204">
        <f t="shared" si="146"/>
        <v>369177.65375</v>
      </c>
      <c r="S93" s="23"/>
      <c r="T93" s="23">
        <f>50000</f>
        <v>50000</v>
      </c>
      <c r="U93" s="23">
        <f>51500</f>
        <v>51500</v>
      </c>
      <c r="V93" s="23"/>
      <c r="W93" s="25">
        <v>49548.776186666662</v>
      </c>
      <c r="X93" s="208">
        <f t="shared" si="140"/>
        <v>151048.77618666666</v>
      </c>
      <c r="Y93" s="23">
        <v>212330.19049999997</v>
      </c>
      <c r="Z93" s="208">
        <f t="shared" si="141"/>
        <v>218128.87756333334</v>
      </c>
      <c r="AA93" s="180"/>
    </row>
    <row r="94" spans="1:27" ht="21.6" customHeight="1">
      <c r="A94" s="28">
        <v>7</v>
      </c>
      <c r="B94" s="156" t="s">
        <v>179</v>
      </c>
      <c r="C94" s="161" t="s">
        <v>142</v>
      </c>
      <c r="D94" s="181" t="s">
        <v>64</v>
      </c>
      <c r="E94" s="25">
        <v>24741.26</v>
      </c>
      <c r="F94" s="25"/>
      <c r="G94" s="25">
        <f t="shared" ref="G94:G97" si="147">E94*300%</f>
        <v>74223.78</v>
      </c>
      <c r="H94" s="25">
        <f t="shared" ref="H94:H97" si="148">E94*7.5%</f>
        <v>1855.5944999999997</v>
      </c>
      <c r="I94" s="25">
        <v>0</v>
      </c>
      <c r="J94" s="25">
        <f t="shared" ref="J94:J97" si="149">E94*50%</f>
        <v>12370.63</v>
      </c>
      <c r="K94" s="23">
        <f t="shared" ref="K94:K97" si="150">E94*350%</f>
        <v>86594.409999999989</v>
      </c>
      <c r="L94" s="25">
        <f t="shared" ref="L94:L97" si="151">E94*100%</f>
        <v>24741.26</v>
      </c>
      <c r="M94" s="179">
        <f t="shared" ref="M94:M95" si="152">120000</f>
        <v>120000</v>
      </c>
      <c r="N94" s="179"/>
      <c r="O94" s="25">
        <f t="shared" ref="O94:O97" si="153">E94*10%</f>
        <v>2474.1260000000002</v>
      </c>
      <c r="P94" s="25">
        <v>15000</v>
      </c>
      <c r="Q94" s="25">
        <v>0</v>
      </c>
      <c r="R94" s="204">
        <f t="shared" ref="R94:R95" si="154">SUM(E94:Q94)</f>
        <v>362001.06049999996</v>
      </c>
      <c r="S94" s="23"/>
      <c r="T94" s="23"/>
      <c r="U94" s="23"/>
      <c r="V94" s="23"/>
      <c r="W94" s="25">
        <v>48170.870282666663</v>
      </c>
      <c r="X94" s="208">
        <f t="shared" si="140"/>
        <v>48170.870282666663</v>
      </c>
      <c r="Y94" s="23">
        <v>307527.766</v>
      </c>
      <c r="Z94" s="208">
        <f t="shared" si="141"/>
        <v>313830.19021733332</v>
      </c>
      <c r="AA94" s="180"/>
    </row>
    <row r="95" spans="1:27" ht="21.6" customHeight="1">
      <c r="A95" s="28">
        <v>8</v>
      </c>
      <c r="B95" s="156" t="s">
        <v>180</v>
      </c>
      <c r="C95" s="161" t="s">
        <v>142</v>
      </c>
      <c r="D95" s="181" t="s">
        <v>64</v>
      </c>
      <c r="E95" s="25">
        <v>24741.26</v>
      </c>
      <c r="F95" s="25"/>
      <c r="G95" s="25">
        <f t="shared" si="147"/>
        <v>74223.78</v>
      </c>
      <c r="H95" s="25">
        <f t="shared" si="148"/>
        <v>1855.5944999999997</v>
      </c>
      <c r="I95" s="25">
        <v>0</v>
      </c>
      <c r="J95" s="25">
        <f t="shared" si="149"/>
        <v>12370.63</v>
      </c>
      <c r="K95" s="23">
        <f t="shared" si="150"/>
        <v>86594.409999999989</v>
      </c>
      <c r="L95" s="25">
        <f t="shared" si="151"/>
        <v>24741.26</v>
      </c>
      <c r="M95" s="179">
        <f t="shared" si="152"/>
        <v>120000</v>
      </c>
      <c r="N95" s="179"/>
      <c r="O95" s="25">
        <f t="shared" si="153"/>
        <v>2474.1260000000002</v>
      </c>
      <c r="P95" s="25">
        <v>15000</v>
      </c>
      <c r="Q95" s="25">
        <v>0</v>
      </c>
      <c r="R95" s="204">
        <f t="shared" si="154"/>
        <v>362001.06049999996</v>
      </c>
      <c r="S95" s="23"/>
      <c r="T95" s="23">
        <f>100000</f>
        <v>100000</v>
      </c>
      <c r="U95" s="23"/>
      <c r="V95" s="23"/>
      <c r="W95" s="25">
        <v>48170.870282666663</v>
      </c>
      <c r="X95" s="208">
        <f t="shared" si="140"/>
        <v>148170.87028266667</v>
      </c>
      <c r="Y95" s="23">
        <v>207527.766</v>
      </c>
      <c r="Z95" s="208">
        <f t="shared" si="141"/>
        <v>213830.19021733329</v>
      </c>
      <c r="AA95" s="180"/>
    </row>
    <row r="96" spans="1:27" ht="21.6" customHeight="1">
      <c r="A96" s="28">
        <v>9</v>
      </c>
      <c r="B96" s="156" t="s">
        <v>181</v>
      </c>
      <c r="C96" s="112" t="s">
        <v>148</v>
      </c>
      <c r="D96" s="181" t="s">
        <v>150</v>
      </c>
      <c r="E96" s="258">
        <f>20749</f>
        <v>20749</v>
      </c>
      <c r="F96" s="25"/>
      <c r="G96" s="25">
        <f t="shared" si="147"/>
        <v>62247</v>
      </c>
      <c r="H96" s="25">
        <f t="shared" si="148"/>
        <v>1556.175</v>
      </c>
      <c r="I96" s="25">
        <v>0</v>
      </c>
      <c r="J96" s="25">
        <f t="shared" si="149"/>
        <v>10374.5</v>
      </c>
      <c r="K96" s="23">
        <f t="shared" si="150"/>
        <v>72621.5</v>
      </c>
      <c r="L96" s="25">
        <f t="shared" si="151"/>
        <v>20749</v>
      </c>
      <c r="M96" s="179">
        <f t="shared" ref="M96" si="155">110000</f>
        <v>110000</v>
      </c>
      <c r="N96" s="179"/>
      <c r="O96" s="25">
        <f t="shared" si="153"/>
        <v>2074.9</v>
      </c>
      <c r="P96" s="25">
        <v>15000</v>
      </c>
      <c r="Q96" s="25">
        <v>0</v>
      </c>
      <c r="R96" s="204">
        <f>SUM(E96:Q96)</f>
        <v>315372.07500000001</v>
      </c>
      <c r="S96" s="23"/>
      <c r="T96" s="23">
        <f>20000</f>
        <v>20000</v>
      </c>
      <c r="U96" s="23"/>
      <c r="V96" s="23"/>
      <c r="W96" s="25">
        <v>40149.175266666673</v>
      </c>
      <c r="X96" s="209">
        <f t="shared" si="140"/>
        <v>60149.175266666673</v>
      </c>
      <c r="Y96" s="23">
        <v>255222.89500000002</v>
      </c>
      <c r="Z96" s="208">
        <f t="shared" si="141"/>
        <v>255222.89973333332</v>
      </c>
      <c r="AA96" s="180"/>
    </row>
    <row r="97" spans="1:27" ht="21.6" customHeight="1">
      <c r="A97" s="28">
        <v>10</v>
      </c>
      <c r="B97" s="156" t="s">
        <v>182</v>
      </c>
      <c r="C97" s="20" t="s">
        <v>183</v>
      </c>
      <c r="D97" s="28" t="s">
        <v>184</v>
      </c>
      <c r="E97" s="258">
        <v>0</v>
      </c>
      <c r="F97" s="25"/>
      <c r="G97" s="25">
        <f t="shared" si="147"/>
        <v>0</v>
      </c>
      <c r="H97" s="25">
        <f t="shared" si="148"/>
        <v>0</v>
      </c>
      <c r="I97" s="25"/>
      <c r="J97" s="25">
        <f t="shared" si="149"/>
        <v>0</v>
      </c>
      <c r="K97" s="25">
        <f t="shared" si="150"/>
        <v>0</v>
      </c>
      <c r="L97" s="25">
        <f t="shared" si="151"/>
        <v>0</v>
      </c>
      <c r="M97" s="179">
        <v>0</v>
      </c>
      <c r="N97" s="179"/>
      <c r="O97" s="25">
        <f t="shared" si="153"/>
        <v>0</v>
      </c>
      <c r="P97" s="25">
        <v>0</v>
      </c>
      <c r="Q97" s="25"/>
      <c r="R97" s="204">
        <f>SUM(E97:Q97)</f>
        <v>0</v>
      </c>
      <c r="S97" s="23"/>
      <c r="T97" s="23"/>
      <c r="U97" s="23"/>
      <c r="V97" s="23"/>
      <c r="W97" s="25">
        <v>0</v>
      </c>
      <c r="X97" s="208">
        <f>W97+V97+U97+T97</f>
        <v>0</v>
      </c>
      <c r="Y97" s="23">
        <v>0</v>
      </c>
      <c r="Z97" s="208">
        <f t="shared" si="141"/>
        <v>0</v>
      </c>
      <c r="AA97" s="180"/>
    </row>
    <row r="98" spans="1:27" ht="21.6" customHeight="1">
      <c r="A98" s="28">
        <v>11</v>
      </c>
      <c r="B98" s="156" t="s">
        <v>185</v>
      </c>
      <c r="C98" s="112" t="s">
        <v>186</v>
      </c>
      <c r="D98" s="181" t="s">
        <v>97</v>
      </c>
      <c r="E98" s="25">
        <f>12732</f>
        <v>12732</v>
      </c>
      <c r="F98" s="25"/>
      <c r="G98" s="25">
        <v>37055.82</v>
      </c>
      <c r="H98" s="25">
        <v>926.39549999999997</v>
      </c>
      <c r="I98" s="25"/>
      <c r="J98" s="25">
        <v>6175.97</v>
      </c>
      <c r="K98" s="23">
        <v>43231.79</v>
      </c>
      <c r="L98" s="25">
        <v>12351.94</v>
      </c>
      <c r="M98" s="179">
        <f>100000</f>
        <v>100000</v>
      </c>
      <c r="N98" s="179"/>
      <c r="O98" s="25">
        <v>1235.1940000000002</v>
      </c>
      <c r="P98" s="25">
        <v>10000</v>
      </c>
      <c r="Q98" s="25"/>
      <c r="R98" s="204">
        <f>SUM(E98:Q98)</f>
        <v>223709.10949999999</v>
      </c>
      <c r="S98" s="23"/>
      <c r="T98" s="23">
        <v>50000</v>
      </c>
      <c r="U98" s="23"/>
      <c r="V98" s="23">
        <v>0</v>
      </c>
      <c r="W98" s="25">
        <v>24749.797062666661</v>
      </c>
      <c r="X98" s="209">
        <f>SUM(S98:W98)</f>
        <v>74749.797062666665</v>
      </c>
      <c r="Y98" s="23">
        <v>148643.09950000001</v>
      </c>
      <c r="Z98" s="208">
        <f t="shared" si="141"/>
        <v>148959.31243733334</v>
      </c>
      <c r="AA98" s="180"/>
    </row>
    <row r="99" spans="1:27" ht="20.100000000000001" customHeight="1">
      <c r="A99" s="28"/>
      <c r="B99" s="159" t="s">
        <v>100</v>
      </c>
      <c r="C99" s="29">
        <v>11</v>
      </c>
      <c r="D99" s="29"/>
      <c r="E99" s="68">
        <f t="shared" ref="E99:M99" si="156">SUM(E88:E98)</f>
        <v>231603.01</v>
      </c>
      <c r="F99" s="68">
        <f t="shared" si="156"/>
        <v>0</v>
      </c>
      <c r="G99" s="68">
        <f t="shared" si="156"/>
        <v>693668.85</v>
      </c>
      <c r="H99" s="68">
        <f t="shared" si="156"/>
        <v>17341.721249999995</v>
      </c>
      <c r="I99" s="68">
        <f t="shared" si="156"/>
        <v>80244.38</v>
      </c>
      <c r="J99" s="68">
        <f t="shared" si="156"/>
        <v>115611.47500000001</v>
      </c>
      <c r="K99" s="68">
        <f t="shared" si="156"/>
        <v>809280.32500000007</v>
      </c>
      <c r="L99" s="68">
        <f t="shared" si="156"/>
        <v>231222.95</v>
      </c>
      <c r="M99" s="184">
        <f t="shared" si="156"/>
        <v>1170000</v>
      </c>
      <c r="N99" s="184"/>
      <c r="O99" s="68">
        <f>SUM(O88:O98)</f>
        <v>23122.295000000002</v>
      </c>
      <c r="P99" s="68">
        <f>SUM(P88:P98)</f>
        <v>150000</v>
      </c>
      <c r="Q99" s="68">
        <f>SUM(Q88:Q98)</f>
        <v>0</v>
      </c>
      <c r="R99" s="213">
        <f>SUM(R88:R98)</f>
        <v>3522095.0062500006</v>
      </c>
      <c r="S99" s="68"/>
      <c r="T99" s="68">
        <f>SUM(T88:T98)</f>
        <v>320000</v>
      </c>
      <c r="U99" s="68">
        <f>SUM(U88:U98)</f>
        <v>393214.7</v>
      </c>
      <c r="V99" s="68">
        <v>1549.9327499999999</v>
      </c>
      <c r="W99" s="68">
        <f>SUM(W88:W98)</f>
        <v>488010.92285199999</v>
      </c>
      <c r="X99" s="221">
        <f>SUM(X88:X98)</f>
        <v>1202775.5556019999</v>
      </c>
      <c r="Y99" s="68">
        <v>2547830.3756249999</v>
      </c>
      <c r="Z99" s="221">
        <f>SUM(Z88:Z98)</f>
        <v>2319319.450648</v>
      </c>
      <c r="AA99" s="180"/>
    </row>
    <row r="100" spans="1:27" ht="20.100000000000001" customHeight="1">
      <c r="A100" s="28"/>
      <c r="B100" s="123"/>
      <c r="C100" s="29"/>
      <c r="D100" s="29"/>
      <c r="E100" s="30"/>
      <c r="F100" s="30"/>
      <c r="G100" s="30"/>
      <c r="H100" s="30"/>
      <c r="I100" s="30"/>
      <c r="J100" s="30"/>
      <c r="K100" s="30"/>
      <c r="L100" s="30"/>
      <c r="M100" s="179"/>
      <c r="N100" s="179"/>
      <c r="O100" s="30"/>
      <c r="P100" s="30"/>
      <c r="Q100" s="30"/>
      <c r="R100" s="214"/>
      <c r="S100" s="30"/>
      <c r="T100" s="30"/>
      <c r="U100" s="30"/>
      <c r="V100" s="30"/>
      <c r="W100" s="30"/>
      <c r="X100" s="222"/>
      <c r="Y100" s="30"/>
      <c r="Z100" s="222"/>
      <c r="AA100" s="180"/>
    </row>
    <row r="101" spans="1:27" ht="20.100000000000001" customHeight="1">
      <c r="A101" s="28"/>
      <c r="B101" s="159" t="s">
        <v>187</v>
      </c>
      <c r="C101" s="29"/>
      <c r="D101" s="29"/>
      <c r="E101" s="30"/>
      <c r="F101" s="30"/>
      <c r="G101" s="30"/>
      <c r="H101" s="30"/>
      <c r="I101" s="30"/>
      <c r="J101" s="30"/>
      <c r="K101" s="30"/>
      <c r="L101" s="30"/>
      <c r="M101" s="179"/>
      <c r="N101" s="179"/>
      <c r="O101" s="30"/>
      <c r="P101" s="30"/>
      <c r="Q101" s="30"/>
      <c r="R101" s="214"/>
      <c r="S101" s="30"/>
      <c r="T101" s="30"/>
      <c r="U101" s="30"/>
      <c r="V101" s="30"/>
      <c r="W101" s="30"/>
      <c r="X101" s="222"/>
      <c r="Y101" s="30"/>
      <c r="Z101" s="222"/>
      <c r="AA101" s="180"/>
    </row>
    <row r="102" spans="1:27" ht="20.100000000000001" customHeight="1">
      <c r="A102" s="28">
        <v>1</v>
      </c>
      <c r="B102" s="157" t="s">
        <v>188</v>
      </c>
      <c r="C102" s="28" t="s">
        <v>189</v>
      </c>
      <c r="D102" s="181" t="s">
        <v>41</v>
      </c>
      <c r="E102" s="258">
        <v>41157.69</v>
      </c>
      <c r="F102" s="25"/>
      <c r="G102" s="25">
        <f t="shared" ref="G102" si="157">E102*300%</f>
        <v>123473.07</v>
      </c>
      <c r="H102" s="25">
        <f t="shared" ref="H102" si="158">E102*7.5%</f>
        <v>3086.8267500000002</v>
      </c>
      <c r="I102" s="25">
        <v>40122.19</v>
      </c>
      <c r="J102" s="25">
        <f t="shared" ref="J102" si="159">E102*50%</f>
        <v>20578.845000000001</v>
      </c>
      <c r="K102" s="25">
        <f t="shared" ref="K102" si="160">E102*350%</f>
        <v>144051.91500000001</v>
      </c>
      <c r="L102" s="25">
        <f t="shared" ref="L102" si="161">E102*100%</f>
        <v>41157.69</v>
      </c>
      <c r="M102" s="179"/>
      <c r="N102" s="179">
        <f>90000</f>
        <v>90000</v>
      </c>
      <c r="O102" s="25">
        <f t="shared" ref="O102" si="162">E102*10%</f>
        <v>4115.7690000000002</v>
      </c>
      <c r="P102" s="25">
        <v>20000</v>
      </c>
      <c r="Q102" s="25"/>
      <c r="R102" s="204">
        <f>SUM(E102:Q102)</f>
        <v>527743.99575</v>
      </c>
      <c r="S102" s="23"/>
      <c r="T102" s="23">
        <f>50000</f>
        <v>50000</v>
      </c>
      <c r="U102" s="23">
        <f>91666.67</f>
        <v>91666.67</v>
      </c>
      <c r="V102" s="23"/>
      <c r="W102" s="25">
        <v>79993.513850666655</v>
      </c>
      <c r="X102" s="208">
        <f>W102+V102+U102+T102+S102</f>
        <v>221660.18385066665</v>
      </c>
      <c r="Y102" s="23">
        <v>306083.81575000001</v>
      </c>
      <c r="Z102" s="208">
        <f>R102-X102</f>
        <v>306083.81189933338</v>
      </c>
      <c r="AA102" s="180"/>
    </row>
    <row r="103" spans="1:27" ht="20.100000000000001" customHeight="1">
      <c r="A103" s="28">
        <v>2</v>
      </c>
      <c r="B103" s="156" t="s">
        <v>190</v>
      </c>
      <c r="C103" s="20" t="s">
        <v>191</v>
      </c>
      <c r="D103" s="28" t="s">
        <v>56</v>
      </c>
      <c r="E103" s="25">
        <v>27611.23</v>
      </c>
      <c r="F103" s="25"/>
      <c r="G103" s="25">
        <f>E103*300%</f>
        <v>82833.69</v>
      </c>
      <c r="H103" s="25">
        <f>E103*7.5%</f>
        <v>2070.8422499999997</v>
      </c>
      <c r="I103" s="25"/>
      <c r="J103" s="25">
        <f>E103*50%</f>
        <v>13805.615</v>
      </c>
      <c r="K103" s="25">
        <f>E103*350%</f>
        <v>96639.304999999993</v>
      </c>
      <c r="L103" s="25">
        <f>E103*100%</f>
        <v>27611.23</v>
      </c>
      <c r="M103" s="179"/>
      <c r="N103" s="179">
        <f>70000</f>
        <v>70000</v>
      </c>
      <c r="O103" s="25">
        <f>E103*10%</f>
        <v>2761.123</v>
      </c>
      <c r="P103" s="25">
        <v>20000</v>
      </c>
      <c r="Q103" s="25"/>
      <c r="R103" s="204">
        <f>SUM(E103:Q103)</f>
        <v>343333.03525000007</v>
      </c>
      <c r="S103" s="23"/>
      <c r="T103" s="23"/>
      <c r="U103" s="23"/>
      <c r="V103" s="23">
        <v>690.28075000000001</v>
      </c>
      <c r="W103" s="23">
        <v>44734.339388666674</v>
      </c>
      <c r="X103" s="208">
        <f>W103+V103+U103+T103+S103</f>
        <v>45424.620138666673</v>
      </c>
      <c r="Y103" s="23">
        <v>291223.64749999996</v>
      </c>
      <c r="Z103" s="208">
        <f>R103-X103</f>
        <v>297908.41511133342</v>
      </c>
      <c r="AA103" s="180"/>
    </row>
    <row r="104" spans="1:27" ht="20.100000000000001" customHeight="1">
      <c r="A104" s="28">
        <v>3</v>
      </c>
      <c r="B104" s="157" t="s">
        <v>192</v>
      </c>
      <c r="C104" s="20" t="s">
        <v>193</v>
      </c>
      <c r="D104" s="181" t="s">
        <v>64</v>
      </c>
      <c r="E104" s="25">
        <v>24741.26</v>
      </c>
      <c r="F104" s="25"/>
      <c r="G104" s="25">
        <f t="shared" ref="G104" si="163">E104*300%</f>
        <v>74223.78</v>
      </c>
      <c r="H104" s="25">
        <f t="shared" ref="H104" si="164">E104*7.5%</f>
        <v>1855.5944999999997</v>
      </c>
      <c r="I104" s="23">
        <v>0</v>
      </c>
      <c r="J104" s="25">
        <f t="shared" ref="J104" si="165">E104*50%</f>
        <v>12370.63</v>
      </c>
      <c r="K104" s="23">
        <f t="shared" ref="K104" si="166">E104*350%</f>
        <v>86594.409999999989</v>
      </c>
      <c r="L104" s="25">
        <f t="shared" ref="L104" si="167">E104*100%</f>
        <v>24741.26</v>
      </c>
      <c r="M104" s="179"/>
      <c r="N104" s="179">
        <v>70000</v>
      </c>
      <c r="O104" s="25">
        <f t="shared" ref="O104" si="168">E104*10%</f>
        <v>2474.1260000000002</v>
      </c>
      <c r="P104" s="25">
        <v>15000</v>
      </c>
      <c r="Q104" s="25">
        <v>0</v>
      </c>
      <c r="R104" s="204">
        <f t="shared" ref="R104" si="169">SUM(E104:Q104)</f>
        <v>312001.06049999996</v>
      </c>
      <c r="S104" s="23"/>
      <c r="T104" s="23"/>
      <c r="U104" s="23"/>
      <c r="V104" s="23"/>
      <c r="W104" s="25">
        <v>39582.844830666661</v>
      </c>
      <c r="X104" s="208">
        <f>W104+V104+U104+T104+S104</f>
        <v>39582.844830666661</v>
      </c>
      <c r="Y104" s="23">
        <v>265928.58600000001</v>
      </c>
      <c r="Z104" s="208">
        <f>R104-X104</f>
        <v>272418.21566933329</v>
      </c>
      <c r="AA104" s="180"/>
    </row>
    <row r="105" spans="1:27" ht="20.100000000000001" customHeight="1">
      <c r="A105" s="28">
        <v>4</v>
      </c>
      <c r="B105" s="156" t="s">
        <v>194</v>
      </c>
      <c r="C105" s="20" t="s">
        <v>195</v>
      </c>
      <c r="D105" s="181" t="s">
        <v>73</v>
      </c>
      <c r="E105" s="25">
        <v>21520.880000000001</v>
      </c>
      <c r="F105" s="25"/>
      <c r="G105" s="25">
        <f>E105*300%</f>
        <v>64562.64</v>
      </c>
      <c r="H105" s="25">
        <f>E105*7.5%</f>
        <v>1614.066</v>
      </c>
      <c r="I105" s="25"/>
      <c r="J105" s="25">
        <f>E105*50%</f>
        <v>10760.44</v>
      </c>
      <c r="K105" s="23">
        <f>E105*350%</f>
        <v>75323.08</v>
      </c>
      <c r="L105" s="25">
        <f>E105*100%</f>
        <v>21520.880000000001</v>
      </c>
      <c r="M105" s="179"/>
      <c r="N105" s="179">
        <f>60000</f>
        <v>60000</v>
      </c>
      <c r="O105" s="25">
        <f>E105*10%</f>
        <v>2152.0880000000002</v>
      </c>
      <c r="P105" s="25">
        <v>10000</v>
      </c>
      <c r="Q105" s="25"/>
      <c r="R105" s="204">
        <f>SUM(E105:Q105)</f>
        <v>267454.07400000002</v>
      </c>
      <c r="S105" s="23"/>
      <c r="T105" s="23">
        <f>5000</f>
        <v>5000</v>
      </c>
      <c r="U105" s="23">
        <f>64806.29</f>
        <v>64806.29</v>
      </c>
      <c r="V105" s="23"/>
      <c r="W105" s="25">
        <v>32098.951098666672</v>
      </c>
      <c r="X105" s="208">
        <f>W105+V105+U105+T105+S105</f>
        <v>101905.24109866668</v>
      </c>
      <c r="Y105" s="23">
        <v>158816.64816333333</v>
      </c>
      <c r="Z105" s="208">
        <f>R105-X105</f>
        <v>165548.83290133334</v>
      </c>
      <c r="AA105" s="180"/>
    </row>
    <row r="106" spans="1:27" ht="20.100000000000001" customHeight="1">
      <c r="A106" s="20"/>
      <c r="B106" s="159" t="s">
        <v>100</v>
      </c>
      <c r="C106" s="29">
        <v>4</v>
      </c>
      <c r="D106" s="187"/>
      <c r="E106" s="68">
        <f>SUM(E102:E105)</f>
        <v>115031.06</v>
      </c>
      <c r="F106" s="68">
        <f>SUM(F102:F105)</f>
        <v>0</v>
      </c>
      <c r="G106" s="68">
        <f t="shared" ref="G106:L106" si="170">SUM(G102:G105)</f>
        <v>345093.18000000005</v>
      </c>
      <c r="H106" s="68">
        <f t="shared" si="170"/>
        <v>8627.3294999999998</v>
      </c>
      <c r="I106" s="68">
        <f t="shared" si="170"/>
        <v>40122.19</v>
      </c>
      <c r="J106" s="68">
        <f t="shared" si="170"/>
        <v>57515.53</v>
      </c>
      <c r="K106" s="68">
        <f t="shared" si="170"/>
        <v>402608.71</v>
      </c>
      <c r="L106" s="68">
        <f t="shared" si="170"/>
        <v>115031.06</v>
      </c>
      <c r="M106" s="184"/>
      <c r="N106" s="184">
        <f>SUM(N102:N105)</f>
        <v>290000</v>
      </c>
      <c r="O106" s="68">
        <f>SUM(O102:O105)</f>
        <v>11503.106</v>
      </c>
      <c r="P106" s="68">
        <f>SUM(P102:P105)</f>
        <v>65000</v>
      </c>
      <c r="Q106" s="68">
        <f>SUM(Q102:Q105)</f>
        <v>0</v>
      </c>
      <c r="R106" s="213">
        <f>SUM(R102:R105)</f>
        <v>1450532.1655000001</v>
      </c>
      <c r="S106" s="68"/>
      <c r="T106" s="68">
        <f t="shared" ref="T106:Z106" si="171">SUM(T102:T105)</f>
        <v>55000</v>
      </c>
      <c r="U106" s="68">
        <f t="shared" si="171"/>
        <v>156472.95999999999</v>
      </c>
      <c r="V106" s="68">
        <v>690.28075000000001</v>
      </c>
      <c r="W106" s="68">
        <v>196409.64916866666</v>
      </c>
      <c r="X106" s="221">
        <f t="shared" si="171"/>
        <v>408572.88991866668</v>
      </c>
      <c r="Y106" s="68">
        <v>1022052.6974133333</v>
      </c>
      <c r="Z106" s="221">
        <f t="shared" si="171"/>
        <v>1041959.2755813334</v>
      </c>
      <c r="AA106" s="180"/>
    </row>
    <row r="107" spans="1:27" ht="20.100000000000001" customHeight="1">
      <c r="A107" s="20"/>
      <c r="B107" s="123"/>
      <c r="C107" s="29"/>
      <c r="D107" s="187"/>
      <c r="E107" s="30"/>
      <c r="F107" s="30"/>
      <c r="G107" s="30"/>
      <c r="H107" s="30"/>
      <c r="I107" s="30"/>
      <c r="J107" s="30"/>
      <c r="K107" s="30"/>
      <c r="L107" s="30"/>
      <c r="M107" s="179"/>
      <c r="N107" s="179"/>
      <c r="O107" s="30"/>
      <c r="P107" s="30"/>
      <c r="Q107" s="30"/>
      <c r="R107" s="214"/>
      <c r="S107" s="30"/>
      <c r="T107" s="30"/>
      <c r="U107" s="30"/>
      <c r="V107" s="30"/>
      <c r="W107" s="30"/>
      <c r="X107" s="222"/>
      <c r="Y107" s="30"/>
      <c r="Z107" s="222"/>
      <c r="AA107" s="180"/>
    </row>
    <row r="108" spans="1:27" ht="20.100000000000001" customHeight="1">
      <c r="A108" s="20"/>
      <c r="B108" s="159" t="s">
        <v>196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179"/>
      <c r="N108" s="179"/>
      <c r="O108" s="20"/>
      <c r="P108" s="20"/>
      <c r="Q108" s="20"/>
      <c r="R108" s="216"/>
      <c r="S108" s="20"/>
      <c r="T108" s="20"/>
      <c r="U108" s="20"/>
      <c r="V108" s="20"/>
      <c r="W108" s="20"/>
      <c r="X108" s="223"/>
      <c r="Y108" s="20"/>
      <c r="Z108" s="223"/>
      <c r="AA108" s="180"/>
    </row>
    <row r="109" spans="1:27" ht="20.100000000000001" customHeight="1">
      <c r="A109" s="20">
        <v>1</v>
      </c>
      <c r="B109" s="156" t="s">
        <v>197</v>
      </c>
      <c r="C109" s="161" t="s">
        <v>198</v>
      </c>
      <c r="D109" s="181" t="s">
        <v>104</v>
      </c>
      <c r="E109" s="25">
        <v>81740.02</v>
      </c>
      <c r="F109" s="25"/>
      <c r="G109" s="25">
        <f>E109*300%</f>
        <v>245220.06</v>
      </c>
      <c r="H109" s="25">
        <f>E109*7.5%</f>
        <v>6130.5015000000003</v>
      </c>
      <c r="I109" s="25">
        <v>80244.38</v>
      </c>
      <c r="J109" s="25">
        <f>E109*50%</f>
        <v>40870.01</v>
      </c>
      <c r="K109" s="25">
        <f>E109*350%</f>
        <v>286090.07</v>
      </c>
      <c r="L109" s="25">
        <f>E109*100%</f>
        <v>81740.02</v>
      </c>
      <c r="M109" s="179">
        <f>200000</f>
        <v>200000</v>
      </c>
      <c r="N109" s="179"/>
      <c r="O109" s="25">
        <f>E109*10%</f>
        <v>8174.0020000000004</v>
      </c>
      <c r="P109" s="25">
        <v>20000</v>
      </c>
      <c r="Q109" s="25">
        <v>0</v>
      </c>
      <c r="R109" s="204">
        <f>SUM(E109:Q109)</f>
        <v>1050209.0635000002</v>
      </c>
      <c r="S109" s="23"/>
      <c r="T109" s="23">
        <f>100000</f>
        <v>100000</v>
      </c>
      <c r="U109" s="23">
        <v>0</v>
      </c>
      <c r="V109" s="23">
        <v>0</v>
      </c>
      <c r="W109" s="25">
        <v>180145.9708586667</v>
      </c>
      <c r="X109" s="208">
        <f>W109+V109+U109+T109+S109</f>
        <v>280145.9708586667</v>
      </c>
      <c r="Y109" s="23">
        <v>769902.25350000011</v>
      </c>
      <c r="Z109" s="208">
        <f t="shared" ref="Z109:Z115" si="172">R109-X109</f>
        <v>770063.09264133347</v>
      </c>
      <c r="AA109" s="180"/>
    </row>
    <row r="110" spans="1:27" ht="20.100000000000001" customHeight="1">
      <c r="A110" s="20">
        <v>2</v>
      </c>
      <c r="B110" s="156" t="s">
        <v>199</v>
      </c>
      <c r="C110" s="20" t="s">
        <v>200</v>
      </c>
      <c r="D110" s="24" t="s">
        <v>41</v>
      </c>
      <c r="E110" s="25">
        <v>41157.69</v>
      </c>
      <c r="F110" s="25"/>
      <c r="G110" s="25">
        <f>E110*300%</f>
        <v>123473.07</v>
      </c>
      <c r="H110" s="25">
        <f>E110*7.5%</f>
        <v>3086.8267500000002</v>
      </c>
      <c r="I110" s="25">
        <v>40122.19</v>
      </c>
      <c r="J110" s="25">
        <f>E110*50%</f>
        <v>20578.845000000001</v>
      </c>
      <c r="K110" s="25">
        <f>E110*350%</f>
        <v>144051.91500000001</v>
      </c>
      <c r="L110" s="25">
        <f>E110*100%</f>
        <v>41157.69</v>
      </c>
      <c r="M110" s="179">
        <f>160000+20000</f>
        <v>180000</v>
      </c>
      <c r="N110" s="179"/>
      <c r="O110" s="25">
        <f>E110*10%</f>
        <v>4115.7690000000002</v>
      </c>
      <c r="P110" s="25">
        <v>20000</v>
      </c>
      <c r="Q110" s="25">
        <v>0</v>
      </c>
      <c r="R110" s="204">
        <f>SUM(E110:Q110)</f>
        <v>617743.99575</v>
      </c>
      <c r="S110" s="23"/>
      <c r="T110" s="23">
        <v>40000</v>
      </c>
      <c r="U110" s="23">
        <f>238888.89</f>
        <v>238888.89</v>
      </c>
      <c r="V110" s="23">
        <v>1028.9422500000001</v>
      </c>
      <c r="W110" s="25">
        <v>97147.085210666657</v>
      </c>
      <c r="X110" s="208">
        <f>SUM(S110:W110)</f>
        <v>377064.91746066668</v>
      </c>
      <c r="Y110" s="23">
        <v>229627.12763333332</v>
      </c>
      <c r="Z110" s="208">
        <f t="shared" si="172"/>
        <v>240679.07828933332</v>
      </c>
      <c r="AA110" s="180"/>
    </row>
    <row r="111" spans="1:27" ht="20.100000000000001" customHeight="1">
      <c r="A111" s="20">
        <v>3</v>
      </c>
      <c r="B111" s="156" t="s">
        <v>201</v>
      </c>
      <c r="C111" s="20" t="s">
        <v>202</v>
      </c>
      <c r="D111" s="28" t="s">
        <v>203</v>
      </c>
      <c r="E111" s="25">
        <v>26339.3</v>
      </c>
      <c r="F111" s="25"/>
      <c r="G111" s="25">
        <f>E111*300%</f>
        <v>79017.899999999994</v>
      </c>
      <c r="H111" s="25">
        <f>E111*7.5%</f>
        <v>1975.4474999999998</v>
      </c>
      <c r="I111" s="25">
        <v>0</v>
      </c>
      <c r="J111" s="25">
        <f>E111*50%</f>
        <v>13169.65</v>
      </c>
      <c r="K111" s="25">
        <f>E111*350%</f>
        <v>92187.55</v>
      </c>
      <c r="L111" s="25">
        <f>E111*100%</f>
        <v>26339.3</v>
      </c>
      <c r="M111" s="179">
        <f>120000</f>
        <v>120000</v>
      </c>
      <c r="N111" s="179"/>
      <c r="O111" s="25">
        <f>E111*10%</f>
        <v>2633.9300000000003</v>
      </c>
      <c r="P111" s="25">
        <v>15000</v>
      </c>
      <c r="Q111" s="25">
        <v>41432.938524999998</v>
      </c>
      <c r="R111" s="204">
        <f>SUM(E111:Q111)</f>
        <v>418096.01602499996</v>
      </c>
      <c r="S111" s="23"/>
      <c r="T111" s="23">
        <v>30000</v>
      </c>
      <c r="U111" s="23">
        <f>61111.11</f>
        <v>61111.11</v>
      </c>
      <c r="V111" s="23">
        <v>658.48250000000007</v>
      </c>
      <c r="W111" s="23">
        <v>58941.101743466657</v>
      </c>
      <c r="X111" s="208">
        <f>W111+V111+U111+T111+S111</f>
        <v>150710.69424346666</v>
      </c>
      <c r="Y111" s="23">
        <v>267511.75352499995</v>
      </c>
      <c r="Z111" s="208">
        <f t="shared" si="172"/>
        <v>267385.3217815333</v>
      </c>
      <c r="AA111" s="180"/>
    </row>
    <row r="112" spans="1:27" ht="20.100000000000001" customHeight="1">
      <c r="A112" s="20">
        <v>4</v>
      </c>
      <c r="B112" s="156" t="s">
        <v>204</v>
      </c>
      <c r="C112" s="20" t="s">
        <v>202</v>
      </c>
      <c r="D112" s="28" t="s">
        <v>203</v>
      </c>
      <c r="E112" s="25">
        <v>26339.3</v>
      </c>
      <c r="F112" s="25"/>
      <c r="G112" s="25">
        <f>E112*300%</f>
        <v>79017.899999999994</v>
      </c>
      <c r="H112" s="25">
        <f>E112*7.5%</f>
        <v>1975.4474999999998</v>
      </c>
      <c r="I112" s="25">
        <v>0</v>
      </c>
      <c r="J112" s="25">
        <f>E112*50%</f>
        <v>13169.65</v>
      </c>
      <c r="K112" s="25">
        <f>E112*350%</f>
        <v>92187.55</v>
      </c>
      <c r="L112" s="25">
        <f>E112*100%</f>
        <v>26339.3</v>
      </c>
      <c r="M112" s="179">
        <f>120000</f>
        <v>120000</v>
      </c>
      <c r="N112" s="179"/>
      <c r="O112" s="25">
        <f>E112*10%</f>
        <v>2633.9300000000003</v>
      </c>
      <c r="P112" s="25">
        <v>15000</v>
      </c>
      <c r="Q112" s="25">
        <v>39820.116654999998</v>
      </c>
      <c r="R112" s="204">
        <f>SUM(E112:Q112)</f>
        <v>416483.19415499998</v>
      </c>
      <c r="S112" s="23"/>
      <c r="T112" s="23">
        <f>50000</f>
        <v>50000</v>
      </c>
      <c r="U112" s="23">
        <f>0</f>
        <v>0</v>
      </c>
      <c r="V112" s="23"/>
      <c r="W112" s="23">
        <v>58941.101743466657</v>
      </c>
      <c r="X112" s="208">
        <f>W112+V112+U112+T112+S112</f>
        <v>108941.10174346666</v>
      </c>
      <c r="Y112" s="23">
        <v>301803.53040500003</v>
      </c>
      <c r="Z112" s="208">
        <f t="shared" si="172"/>
        <v>307542.09241153335</v>
      </c>
      <c r="AA112" s="180"/>
    </row>
    <row r="113" spans="1:27" ht="20.100000000000001" customHeight="1">
      <c r="A113" s="20">
        <v>5</v>
      </c>
      <c r="B113" s="156" t="s">
        <v>205</v>
      </c>
      <c r="C113" s="20" t="s">
        <v>206</v>
      </c>
      <c r="D113" s="181" t="s">
        <v>207</v>
      </c>
      <c r="E113" s="179">
        <f>13872.4</f>
        <v>13872.4</v>
      </c>
      <c r="F113" s="25"/>
      <c r="G113" s="25">
        <f>E113*300%</f>
        <v>41617.199999999997</v>
      </c>
      <c r="H113" s="25">
        <f>E113*7.5%</f>
        <v>1040.4299999999998</v>
      </c>
      <c r="I113" s="25"/>
      <c r="J113" s="25">
        <f>E113*50%</f>
        <v>6936.2</v>
      </c>
      <c r="K113" s="23">
        <f>E113*350%</f>
        <v>48553.4</v>
      </c>
      <c r="L113" s="25">
        <f>E113*100%</f>
        <v>13872.4</v>
      </c>
      <c r="M113" s="179">
        <f>100000</f>
        <v>100000</v>
      </c>
      <c r="N113" s="179"/>
      <c r="O113" s="25">
        <f>E113*10%</f>
        <v>1387.24</v>
      </c>
      <c r="P113" s="25">
        <v>10000</v>
      </c>
      <c r="Q113" s="25">
        <v>25333.447479999999</v>
      </c>
      <c r="R113" s="204">
        <f>SUM(E113:Q113)</f>
        <v>262612.71747999999</v>
      </c>
      <c r="S113" s="23"/>
      <c r="T113" s="23">
        <v>20000</v>
      </c>
      <c r="U113" s="23">
        <f>50000</f>
        <v>50000</v>
      </c>
      <c r="V113" s="23"/>
      <c r="W113" s="25">
        <v>31285.603203306662</v>
      </c>
      <c r="X113" s="208">
        <f>W113+V113+U113+T113+S113</f>
        <v>101285.60320330666</v>
      </c>
      <c r="Y113" s="23">
        <v>158424.89422999998</v>
      </c>
      <c r="Z113" s="208">
        <f t="shared" si="172"/>
        <v>161327.11427669332</v>
      </c>
      <c r="AA113" s="180"/>
    </row>
    <row r="114" spans="1:27" ht="20.100000000000001" customHeight="1">
      <c r="A114" s="20">
        <v>6</v>
      </c>
      <c r="B114" s="157" t="s">
        <v>208</v>
      </c>
      <c r="C114" s="20" t="s">
        <v>206</v>
      </c>
      <c r="D114" s="28" t="s">
        <v>90</v>
      </c>
      <c r="E114" s="25">
        <v>13492.21</v>
      </c>
      <c r="F114" s="25"/>
      <c r="G114" s="25">
        <f t="shared" ref="G114" si="173">E114*300%</f>
        <v>40476.629999999997</v>
      </c>
      <c r="H114" s="25">
        <f t="shared" ref="H114" si="174">E114*7.5%</f>
        <v>1011.9157499999999</v>
      </c>
      <c r="I114" s="25"/>
      <c r="J114" s="25">
        <f t="shared" ref="J114" si="175">E114*50%</f>
        <v>6746.1049999999996</v>
      </c>
      <c r="K114" s="25">
        <f t="shared" ref="K114" si="176">E114*350%</f>
        <v>47222.735000000001</v>
      </c>
      <c r="L114" s="25">
        <f t="shared" ref="L114" si="177">E114*100%</f>
        <v>13492.21</v>
      </c>
      <c r="M114" s="179">
        <f>100000</f>
        <v>100000</v>
      </c>
      <c r="N114" s="179"/>
      <c r="O114" s="25">
        <f t="shared" ref="O114" si="178">E114*10%</f>
        <v>1349.221</v>
      </c>
      <c r="P114" s="25">
        <v>10000</v>
      </c>
      <c r="Q114" s="25">
        <v>24949.771000000001</v>
      </c>
      <c r="R114" s="204">
        <f t="shared" ref="R114" si="179">SUM(E114:Q114)</f>
        <v>258740.79775</v>
      </c>
      <c r="S114" s="23"/>
      <c r="T114" s="23">
        <f>25000</f>
        <v>25000</v>
      </c>
      <c r="U114" s="23">
        <f>85833.33</f>
        <v>85833.33</v>
      </c>
      <c r="V114" s="23"/>
      <c r="W114" s="25">
        <v>30635.120688666666</v>
      </c>
      <c r="X114" s="208">
        <f>W114+V114+U114+T114+S114</f>
        <v>141468.45068866666</v>
      </c>
      <c r="Y114" s="23">
        <v>114371.19899999999</v>
      </c>
      <c r="Z114" s="208">
        <f t="shared" si="172"/>
        <v>117272.34706133333</v>
      </c>
      <c r="AA114" s="180"/>
    </row>
    <row r="115" spans="1:27" ht="20.100000000000001" customHeight="1">
      <c r="A115" s="20">
        <v>7</v>
      </c>
      <c r="B115" s="157" t="s">
        <v>209</v>
      </c>
      <c r="C115" s="20" t="s">
        <v>206</v>
      </c>
      <c r="D115" s="181" t="s">
        <v>97</v>
      </c>
      <c r="E115" s="179">
        <f>12732</f>
        <v>12732</v>
      </c>
      <c r="F115" s="25"/>
      <c r="G115" s="25">
        <f t="shared" ref="G115" si="180">E115*300%</f>
        <v>38196</v>
      </c>
      <c r="H115" s="25">
        <f t="shared" ref="H115" si="181">E115*7.5%</f>
        <v>954.9</v>
      </c>
      <c r="I115" s="25"/>
      <c r="J115" s="25">
        <f t="shared" ref="J115" si="182">E115*50%</f>
        <v>6366</v>
      </c>
      <c r="K115" s="23">
        <f t="shared" ref="K115" si="183">E115*350%</f>
        <v>44562</v>
      </c>
      <c r="L115" s="25">
        <f t="shared" ref="L115" si="184">E115*100%</f>
        <v>12732</v>
      </c>
      <c r="M115" s="179">
        <f t="shared" ref="M115" si="185">100000</f>
        <v>100000</v>
      </c>
      <c r="N115" s="179"/>
      <c r="O115" s="25">
        <f t="shared" ref="O115" si="186">E115*10%</f>
        <v>1273.2</v>
      </c>
      <c r="P115" s="25">
        <v>10000</v>
      </c>
      <c r="Q115" s="25">
        <v>24566.195445000001</v>
      </c>
      <c r="R115" s="204">
        <f t="shared" ref="R115" si="187">SUM(E115:Q115)</f>
        <v>251382.295445</v>
      </c>
      <c r="S115" s="23"/>
      <c r="T115" s="23">
        <f>30000</f>
        <v>30000</v>
      </c>
      <c r="U115" s="23"/>
      <c r="V115" s="23"/>
      <c r="W115" s="25">
        <v>29055.584161426657</v>
      </c>
      <c r="X115" s="208">
        <f>W115+V115+U115+T115+S115</f>
        <v>59055.584161426654</v>
      </c>
      <c r="Y115" s="23">
        <v>189082.17494499998</v>
      </c>
      <c r="Z115" s="208">
        <f t="shared" si="172"/>
        <v>192326.71128357336</v>
      </c>
      <c r="AA115" s="180"/>
    </row>
    <row r="116" spans="1:27" ht="20.100000000000001" customHeight="1">
      <c r="A116" s="20"/>
      <c r="B116" s="159" t="s">
        <v>100</v>
      </c>
      <c r="C116" s="29">
        <v>7</v>
      </c>
      <c r="D116" s="20"/>
      <c r="E116" s="188">
        <f>SUM(E109:E115)</f>
        <v>215672.91999999998</v>
      </c>
      <c r="F116" s="188"/>
      <c r="G116" s="188">
        <f t="shared" ref="G116:M116" si="188">SUM(G109:G115)</f>
        <v>647018.76</v>
      </c>
      <c r="H116" s="188">
        <f t="shared" si="188"/>
        <v>16175.469000000001</v>
      </c>
      <c r="I116" s="188">
        <f t="shared" si="188"/>
        <v>120366.57</v>
      </c>
      <c r="J116" s="188">
        <f t="shared" si="188"/>
        <v>107836.45999999999</v>
      </c>
      <c r="K116" s="188">
        <f t="shared" si="188"/>
        <v>754855.22</v>
      </c>
      <c r="L116" s="188">
        <f t="shared" si="188"/>
        <v>215672.91999999998</v>
      </c>
      <c r="M116" s="184">
        <f t="shared" si="188"/>
        <v>920000</v>
      </c>
      <c r="N116" s="184"/>
      <c r="O116" s="188">
        <f>SUM(O109:O115)</f>
        <v>21567.292000000005</v>
      </c>
      <c r="P116" s="188">
        <f>SUM(P109:P115)</f>
        <v>100000</v>
      </c>
      <c r="Q116" s="188">
        <f>SUM(Q109:Q115)</f>
        <v>156102.469105</v>
      </c>
      <c r="R116" s="217">
        <f>SUM(R109:R115)</f>
        <v>3275268.0801050002</v>
      </c>
      <c r="S116" s="188"/>
      <c r="T116" s="188">
        <f t="shared" ref="T116:Z116" si="189">SUM(T109:T115)</f>
        <v>295000</v>
      </c>
      <c r="U116" s="188">
        <f t="shared" si="189"/>
        <v>435833.33</v>
      </c>
      <c r="V116" s="188">
        <v>1687.4247500000001</v>
      </c>
      <c r="W116" s="188">
        <v>486151.56760966667</v>
      </c>
      <c r="X116" s="224">
        <f t="shared" si="189"/>
        <v>1218672.3223596667</v>
      </c>
      <c r="Y116" s="188">
        <v>2030722.9332383336</v>
      </c>
      <c r="Z116" s="224">
        <f t="shared" si="189"/>
        <v>2056595.7577453335</v>
      </c>
      <c r="AA116" s="180"/>
    </row>
    <row r="117" spans="1:27" ht="20.100000000000001" customHeight="1">
      <c r="A117" s="20"/>
      <c r="B117" s="123"/>
      <c r="C117" s="28"/>
      <c r="D117" s="20"/>
      <c r="E117" s="189"/>
      <c r="F117" s="176"/>
      <c r="G117" s="189"/>
      <c r="H117" s="189"/>
      <c r="I117" s="189"/>
      <c r="J117" s="189"/>
      <c r="K117" s="189"/>
      <c r="L117" s="189"/>
      <c r="M117" s="179"/>
      <c r="N117" s="179"/>
      <c r="O117" s="189"/>
      <c r="P117" s="189"/>
      <c r="Q117" s="189"/>
      <c r="R117" s="206"/>
      <c r="S117" s="189"/>
      <c r="T117" s="189"/>
      <c r="U117" s="189"/>
      <c r="V117" s="189"/>
      <c r="W117" s="189"/>
      <c r="X117" s="210"/>
      <c r="Y117" s="189"/>
      <c r="Z117" s="210"/>
      <c r="AA117" s="180"/>
    </row>
    <row r="118" spans="1:27" ht="20.100000000000001" customHeight="1">
      <c r="A118" s="20"/>
      <c r="B118" s="159" t="s">
        <v>210</v>
      </c>
      <c r="C118" s="29"/>
      <c r="D118" s="29"/>
      <c r="E118" s="30"/>
      <c r="F118" s="30"/>
      <c r="G118" s="30"/>
      <c r="H118" s="30"/>
      <c r="I118" s="30"/>
      <c r="J118" s="30"/>
      <c r="K118" s="30"/>
      <c r="L118" s="30"/>
      <c r="M118" s="179"/>
      <c r="N118" s="179"/>
      <c r="O118" s="30"/>
      <c r="P118" s="30"/>
      <c r="Q118" s="30"/>
      <c r="R118" s="215"/>
      <c r="S118" s="182"/>
      <c r="T118" s="182"/>
      <c r="U118" s="182"/>
      <c r="V118" s="182"/>
      <c r="W118" s="30"/>
      <c r="X118" s="208"/>
      <c r="Y118" s="23"/>
      <c r="Z118" s="208"/>
      <c r="AA118" s="180"/>
    </row>
    <row r="119" spans="1:27" ht="20.100000000000001" customHeight="1">
      <c r="A119" s="20">
        <v>1</v>
      </c>
      <c r="B119" s="156" t="s">
        <v>211</v>
      </c>
      <c r="C119" s="161" t="s">
        <v>212</v>
      </c>
      <c r="D119" s="181" t="s">
        <v>104</v>
      </c>
      <c r="E119" s="25">
        <v>81740.02</v>
      </c>
      <c r="F119" s="25"/>
      <c r="G119" s="25">
        <f t="shared" ref="G119:G126" si="190">E119*300%</f>
        <v>245220.06</v>
      </c>
      <c r="H119" s="25">
        <f t="shared" ref="H119:H126" si="191">E119*7.5%</f>
        <v>6130.5015000000003</v>
      </c>
      <c r="I119" s="25">
        <f>80244.38</f>
        <v>80244.38</v>
      </c>
      <c r="J119" s="25">
        <f t="shared" ref="J119:J126" si="192">E119*50%</f>
        <v>40870.01</v>
      </c>
      <c r="K119" s="25">
        <f t="shared" ref="K119:K126" si="193">E119*350%</f>
        <v>286090.07</v>
      </c>
      <c r="L119" s="25">
        <f t="shared" ref="L119:L126" si="194">E119*100%</f>
        <v>81740.02</v>
      </c>
      <c r="M119" s="179"/>
      <c r="N119" s="179">
        <f>100000</f>
        <v>100000</v>
      </c>
      <c r="O119" s="25">
        <f t="shared" ref="O119:O126" si="195">E119*10%</f>
        <v>8174.0020000000004</v>
      </c>
      <c r="P119" s="25">
        <v>20000</v>
      </c>
      <c r="Q119" s="25">
        <v>100000</v>
      </c>
      <c r="R119" s="204">
        <f t="shared" ref="R119:R126" si="196">SUM(E119:Q119)</f>
        <v>1050209.0635000002</v>
      </c>
      <c r="S119" s="23"/>
      <c r="T119" s="23">
        <f>200000</f>
        <v>200000</v>
      </c>
      <c r="U119" s="23">
        <f>327777.78</f>
        <v>327777.78000000003</v>
      </c>
      <c r="V119" s="23">
        <v>2043.5005000000001</v>
      </c>
      <c r="W119" s="25">
        <v>179914.4546986667</v>
      </c>
      <c r="X119" s="208">
        <f t="shared" ref="X119:X127" si="197">W119+V119+U119+T119+S119</f>
        <v>709735.73519866669</v>
      </c>
      <c r="Y119" s="23">
        <v>340473.3330000001</v>
      </c>
      <c r="Z119" s="208">
        <f t="shared" ref="Z119:Z129" si="198">R119-X119</f>
        <v>340473.32830133347</v>
      </c>
      <c r="AA119" s="180"/>
    </row>
    <row r="120" spans="1:27" ht="20.100000000000001" customHeight="1">
      <c r="A120" s="20" t="s">
        <v>213</v>
      </c>
      <c r="B120" s="156" t="s">
        <v>214</v>
      </c>
      <c r="C120" s="161" t="s">
        <v>215</v>
      </c>
      <c r="D120" s="181" t="s">
        <v>33</v>
      </c>
      <c r="E120" s="25">
        <v>42653.17</v>
      </c>
      <c r="F120" s="25"/>
      <c r="G120" s="25">
        <f t="shared" si="190"/>
        <v>127959.51</v>
      </c>
      <c r="H120" s="25">
        <f t="shared" si="191"/>
        <v>3198.9877499999998</v>
      </c>
      <c r="I120" s="25">
        <v>40122.19</v>
      </c>
      <c r="J120" s="25">
        <f t="shared" si="192"/>
        <v>21326.584999999999</v>
      </c>
      <c r="K120" s="25">
        <f t="shared" si="193"/>
        <v>149286.095</v>
      </c>
      <c r="L120" s="25">
        <f t="shared" si="194"/>
        <v>42653.17</v>
      </c>
      <c r="M120" s="179"/>
      <c r="N120" s="179">
        <f>90000</f>
        <v>90000</v>
      </c>
      <c r="O120" s="25">
        <f t="shared" si="195"/>
        <v>4265.317</v>
      </c>
      <c r="P120" s="25">
        <v>20000</v>
      </c>
      <c r="Q120" s="25">
        <f>100000</f>
        <v>100000</v>
      </c>
      <c r="R120" s="204">
        <f t="shared" si="196"/>
        <v>641465.02474999998</v>
      </c>
      <c r="S120" s="23"/>
      <c r="T120" s="23">
        <f>100000</f>
        <v>100000</v>
      </c>
      <c r="U120" s="23">
        <f>0</f>
        <v>0</v>
      </c>
      <c r="V120" s="23"/>
      <c r="W120" s="25">
        <v>101827.95141866668</v>
      </c>
      <c r="X120" s="208">
        <f t="shared" si="197"/>
        <v>201827.95141866669</v>
      </c>
      <c r="Y120" s="23">
        <v>439637.07474999997</v>
      </c>
      <c r="Z120" s="208">
        <f t="shared" si="198"/>
        <v>439637.07333133329</v>
      </c>
      <c r="AA120" s="180"/>
    </row>
    <row r="121" spans="1:27" ht="20.100000000000001" customHeight="1">
      <c r="A121" s="20">
        <v>3</v>
      </c>
      <c r="B121" s="156" t="s">
        <v>216</v>
      </c>
      <c r="C121" s="161" t="s">
        <v>217</v>
      </c>
      <c r="D121" s="181" t="s">
        <v>50</v>
      </c>
      <c r="E121" s="25">
        <v>33507.5</v>
      </c>
      <c r="F121" s="25"/>
      <c r="G121" s="25">
        <f t="shared" si="190"/>
        <v>100522.5</v>
      </c>
      <c r="H121" s="25">
        <f t="shared" si="191"/>
        <v>2513.0625</v>
      </c>
      <c r="I121" s="25">
        <v>40122.19</v>
      </c>
      <c r="J121" s="25">
        <f t="shared" si="192"/>
        <v>16753.75</v>
      </c>
      <c r="K121" s="23">
        <f t="shared" si="193"/>
        <v>117276.25</v>
      </c>
      <c r="L121" s="25">
        <f t="shared" si="194"/>
        <v>33507.5</v>
      </c>
      <c r="M121" s="179"/>
      <c r="N121" s="179">
        <f>80000</f>
        <v>80000</v>
      </c>
      <c r="O121" s="25">
        <f t="shared" si="195"/>
        <v>3350.75</v>
      </c>
      <c r="P121" s="25">
        <v>20000</v>
      </c>
      <c r="Q121" s="25">
        <v>100000</v>
      </c>
      <c r="R121" s="204">
        <f t="shared" si="196"/>
        <v>547553.50249999994</v>
      </c>
      <c r="S121" s="23"/>
      <c r="T121" s="23">
        <f>100000</f>
        <v>100000</v>
      </c>
      <c r="U121" s="23">
        <f>0</f>
        <v>0</v>
      </c>
      <c r="V121" s="23">
        <v>837.6875</v>
      </c>
      <c r="W121" s="25">
        <v>83636.103146666646</v>
      </c>
      <c r="X121" s="208">
        <f t="shared" si="197"/>
        <v>184473.79064666666</v>
      </c>
      <c r="Y121" s="23">
        <v>363079.71499999997</v>
      </c>
      <c r="Z121" s="208">
        <f t="shared" si="198"/>
        <v>363079.71185333328</v>
      </c>
      <c r="AA121" s="180"/>
    </row>
    <row r="122" spans="1:27" ht="20.100000000000001" customHeight="1">
      <c r="A122" s="20">
        <v>4</v>
      </c>
      <c r="B122" s="158" t="s">
        <v>218</v>
      </c>
      <c r="C122" s="161" t="s">
        <v>217</v>
      </c>
      <c r="D122" s="181" t="s">
        <v>50</v>
      </c>
      <c r="E122" s="25">
        <v>33507.5</v>
      </c>
      <c r="F122" s="25"/>
      <c r="G122" s="25">
        <f>E122*300%</f>
        <v>100522.5</v>
      </c>
      <c r="H122" s="25">
        <f>E122*7.5%</f>
        <v>2513.0625</v>
      </c>
      <c r="I122" s="25">
        <f>40122.19</f>
        <v>40122.19</v>
      </c>
      <c r="J122" s="25">
        <f>E122*50%</f>
        <v>16753.75</v>
      </c>
      <c r="K122" s="23">
        <f>E122*350%</f>
        <v>117276.25</v>
      </c>
      <c r="L122" s="25">
        <f>E122*100%</f>
        <v>33507.5</v>
      </c>
      <c r="M122" s="179"/>
      <c r="N122" s="179">
        <f t="shared" si="15"/>
        <v>80000</v>
      </c>
      <c r="O122" s="25">
        <f>E122*10%</f>
        <v>3350.75</v>
      </c>
      <c r="P122" s="25">
        <v>20000</v>
      </c>
      <c r="Q122" s="25">
        <v>0</v>
      </c>
      <c r="R122" s="204">
        <f>SUM(E122:Q122)</f>
        <v>447553.5025</v>
      </c>
      <c r="S122" s="23"/>
      <c r="T122" s="23">
        <f>80000+40000-20000</f>
        <v>100000</v>
      </c>
      <c r="U122" s="23"/>
      <c r="V122" s="23">
        <v>837.6875</v>
      </c>
      <c r="W122" s="23">
        <v>64436.103146666661</v>
      </c>
      <c r="X122" s="208">
        <f t="shared" si="197"/>
        <v>165273.79064666666</v>
      </c>
      <c r="Y122" s="23">
        <v>282279.71499999997</v>
      </c>
      <c r="Z122" s="208">
        <f t="shared" si="198"/>
        <v>282279.71185333334</v>
      </c>
      <c r="AA122" s="180"/>
    </row>
    <row r="123" spans="1:27" ht="20.100000000000001" customHeight="1">
      <c r="A123" s="20">
        <v>5</v>
      </c>
      <c r="B123" s="158" t="s">
        <v>219</v>
      </c>
      <c r="C123" s="161" t="s">
        <v>217</v>
      </c>
      <c r="D123" s="181" t="s">
        <v>220</v>
      </c>
      <c r="E123" s="258">
        <v>31018.84</v>
      </c>
      <c r="F123" s="25"/>
      <c r="G123" s="25">
        <f t="shared" ref="G123" si="199">E123*300%</f>
        <v>93056.52</v>
      </c>
      <c r="H123" s="25">
        <f t="shared" ref="H123" si="200">E123*7.5%</f>
        <v>2326.413</v>
      </c>
      <c r="I123" s="25">
        <v>40122.19</v>
      </c>
      <c r="J123" s="25">
        <f t="shared" ref="J123" si="201">E123*50%</f>
        <v>15509.42</v>
      </c>
      <c r="K123" s="23">
        <f t="shared" ref="K123" si="202">E123*350%</f>
        <v>108565.94</v>
      </c>
      <c r="L123" s="25">
        <f t="shared" ref="L123" si="203">E123*100%</f>
        <v>31018.84</v>
      </c>
      <c r="M123" s="179"/>
      <c r="N123" s="179">
        <f>80000</f>
        <v>80000</v>
      </c>
      <c r="O123" s="25">
        <f t="shared" ref="O123" si="204">E123*10%</f>
        <v>3101.884</v>
      </c>
      <c r="P123" s="25">
        <v>20000</v>
      </c>
      <c r="Q123" s="25">
        <v>0</v>
      </c>
      <c r="R123" s="204">
        <f>SUM(E123:Q123)</f>
        <v>424720.04700000002</v>
      </c>
      <c r="S123" s="23"/>
      <c r="T123" s="23">
        <f>100000</f>
        <v>100000</v>
      </c>
      <c r="U123" s="23">
        <f>51500</f>
        <v>51500</v>
      </c>
      <c r="V123" s="23"/>
      <c r="W123" s="25">
        <v>60212.915690666669</v>
      </c>
      <c r="X123" s="208">
        <f t="shared" si="197"/>
        <v>211712.91569066668</v>
      </c>
      <c r="Y123" s="23">
        <v>213007.12700000004</v>
      </c>
      <c r="Z123" s="208">
        <f t="shared" si="198"/>
        <v>213007.13130933334</v>
      </c>
      <c r="AA123" s="180"/>
    </row>
    <row r="124" spans="1:27" ht="20.100000000000001" customHeight="1">
      <c r="A124" s="20">
        <v>6</v>
      </c>
      <c r="B124" s="156" t="s">
        <v>221</v>
      </c>
      <c r="C124" s="161" t="s">
        <v>222</v>
      </c>
      <c r="D124" s="181" t="s">
        <v>123</v>
      </c>
      <c r="E124" s="25">
        <v>26732.65</v>
      </c>
      <c r="F124" s="25"/>
      <c r="G124" s="25">
        <f t="shared" si="190"/>
        <v>80197.950000000012</v>
      </c>
      <c r="H124" s="25">
        <f t="shared" si="191"/>
        <v>2004.94875</v>
      </c>
      <c r="I124" s="25">
        <v>0</v>
      </c>
      <c r="J124" s="25">
        <f t="shared" si="192"/>
        <v>13366.325000000001</v>
      </c>
      <c r="K124" s="23">
        <f t="shared" si="193"/>
        <v>93564.275000000009</v>
      </c>
      <c r="L124" s="25">
        <f t="shared" si="194"/>
        <v>26732.65</v>
      </c>
      <c r="M124" s="179"/>
      <c r="N124" s="179">
        <f>70000</f>
        <v>70000</v>
      </c>
      <c r="O124" s="25">
        <f t="shared" si="195"/>
        <v>2673.2650000000003</v>
      </c>
      <c r="P124" s="25">
        <v>15000</v>
      </c>
      <c r="Q124" s="25">
        <v>0</v>
      </c>
      <c r="R124" s="204">
        <f t="shared" si="196"/>
        <v>330272.06374999997</v>
      </c>
      <c r="S124" s="23"/>
      <c r="T124" s="23">
        <f>70000</f>
        <v>70000</v>
      </c>
      <c r="U124" s="23">
        <f>50000</f>
        <v>50000</v>
      </c>
      <c r="V124" s="23"/>
      <c r="W124" s="25">
        <v>42652.373376666663</v>
      </c>
      <c r="X124" s="208">
        <f t="shared" si="197"/>
        <v>162652.37337666666</v>
      </c>
      <c r="Y124" s="23">
        <v>160073.14300333333</v>
      </c>
      <c r="Z124" s="208">
        <f t="shared" si="198"/>
        <v>167619.69037333332</v>
      </c>
      <c r="AA124" s="180"/>
    </row>
    <row r="125" spans="1:27" ht="20.100000000000001" customHeight="1">
      <c r="A125" s="20">
        <v>7</v>
      </c>
      <c r="B125" s="156" t="s">
        <v>223</v>
      </c>
      <c r="C125" s="161" t="s">
        <v>224</v>
      </c>
      <c r="D125" s="181" t="s">
        <v>126</v>
      </c>
      <c r="E125" s="25">
        <v>25523.45</v>
      </c>
      <c r="F125" s="25"/>
      <c r="G125" s="25">
        <f t="shared" si="190"/>
        <v>76570.350000000006</v>
      </c>
      <c r="H125" s="25">
        <f t="shared" si="191"/>
        <v>1914.25875</v>
      </c>
      <c r="I125" s="25"/>
      <c r="J125" s="25">
        <f t="shared" si="192"/>
        <v>12761.725</v>
      </c>
      <c r="K125" s="23">
        <f t="shared" si="193"/>
        <v>89332.074999999997</v>
      </c>
      <c r="L125" s="25">
        <f t="shared" si="194"/>
        <v>25523.45</v>
      </c>
      <c r="M125" s="179"/>
      <c r="N125" s="179">
        <f t="shared" ref="N125:N127" si="205">70000</f>
        <v>70000</v>
      </c>
      <c r="O125" s="25">
        <f t="shared" si="195"/>
        <v>2552.3450000000003</v>
      </c>
      <c r="P125" s="25">
        <v>15000</v>
      </c>
      <c r="Q125" s="25">
        <f>30000</f>
        <v>30000</v>
      </c>
      <c r="R125" s="204">
        <f t="shared" si="196"/>
        <v>349177.65375</v>
      </c>
      <c r="S125" s="23"/>
      <c r="T125" s="23">
        <f>50000</f>
        <v>50000</v>
      </c>
      <c r="U125" s="23">
        <v>0</v>
      </c>
      <c r="V125" s="23">
        <v>638.08625000000006</v>
      </c>
      <c r="W125" s="25">
        <v>45724.599176666663</v>
      </c>
      <c r="X125" s="208">
        <f t="shared" si="197"/>
        <v>96362.685426666663</v>
      </c>
      <c r="Y125" s="23">
        <v>195363.59899999996</v>
      </c>
      <c r="Z125" s="208">
        <f t="shared" si="198"/>
        <v>252814.96832333333</v>
      </c>
      <c r="AA125" s="180"/>
    </row>
    <row r="126" spans="1:27" ht="20.100000000000001" customHeight="1">
      <c r="A126" s="20">
        <v>8</v>
      </c>
      <c r="B126" s="156" t="s">
        <v>225</v>
      </c>
      <c r="C126" s="161" t="s">
        <v>226</v>
      </c>
      <c r="D126" s="181" t="s">
        <v>126</v>
      </c>
      <c r="E126" s="25">
        <v>25523.45</v>
      </c>
      <c r="F126" s="25"/>
      <c r="G126" s="25">
        <f t="shared" si="190"/>
        <v>76570.350000000006</v>
      </c>
      <c r="H126" s="25">
        <f t="shared" si="191"/>
        <v>1914.25875</v>
      </c>
      <c r="I126" s="25"/>
      <c r="J126" s="25">
        <f t="shared" si="192"/>
        <v>12761.725</v>
      </c>
      <c r="K126" s="23">
        <f t="shared" si="193"/>
        <v>89332.074999999997</v>
      </c>
      <c r="L126" s="25">
        <f t="shared" si="194"/>
        <v>25523.45</v>
      </c>
      <c r="M126" s="179"/>
      <c r="N126" s="179">
        <f t="shared" si="205"/>
        <v>70000</v>
      </c>
      <c r="O126" s="25">
        <f t="shared" si="195"/>
        <v>2552.3450000000003</v>
      </c>
      <c r="P126" s="25">
        <v>15000</v>
      </c>
      <c r="Q126" s="25"/>
      <c r="R126" s="204">
        <f t="shared" si="196"/>
        <v>319177.65375</v>
      </c>
      <c r="S126" s="23"/>
      <c r="T126" s="23">
        <f>35000+25000</f>
        <v>60000</v>
      </c>
      <c r="U126" s="23">
        <f>55000</f>
        <v>55000</v>
      </c>
      <c r="V126" s="23">
        <v>638.08625000000006</v>
      </c>
      <c r="W126" s="25">
        <v>40684.599176666663</v>
      </c>
      <c r="X126" s="208">
        <f t="shared" si="197"/>
        <v>156322.68542666666</v>
      </c>
      <c r="Y126" s="23">
        <v>156903.59899999996</v>
      </c>
      <c r="Z126" s="208">
        <f t="shared" si="198"/>
        <v>162854.96832333333</v>
      </c>
      <c r="AA126" s="180"/>
    </row>
    <row r="127" spans="1:27" ht="20.100000000000001" customHeight="1">
      <c r="A127" s="20">
        <v>9</v>
      </c>
      <c r="B127" s="157" t="s">
        <v>227</v>
      </c>
      <c r="C127" s="161" t="s">
        <v>228</v>
      </c>
      <c r="D127" s="181" t="s">
        <v>229</v>
      </c>
      <c r="E127" s="25">
        <v>24741.26</v>
      </c>
      <c r="F127" s="25"/>
      <c r="G127" s="25">
        <f t="shared" ref="G127:G129" si="206">E127*300%</f>
        <v>74223.78</v>
      </c>
      <c r="H127" s="25">
        <f t="shared" ref="H127:H129" si="207">E127*7.5%</f>
        <v>1855.5944999999997</v>
      </c>
      <c r="I127" s="25"/>
      <c r="J127" s="25">
        <f t="shared" ref="J127:J129" si="208">E127*50%</f>
        <v>12370.63</v>
      </c>
      <c r="K127" s="23">
        <f t="shared" ref="K127:K129" si="209">E127*350%</f>
        <v>86594.409999999989</v>
      </c>
      <c r="L127" s="25">
        <f t="shared" ref="L127:L129" si="210">E127*100%</f>
        <v>24741.26</v>
      </c>
      <c r="M127" s="179"/>
      <c r="N127" s="179">
        <f t="shared" si="205"/>
        <v>70000</v>
      </c>
      <c r="O127" s="25">
        <f t="shared" ref="O127:O129" si="211">E127*10%</f>
        <v>2474.1260000000002</v>
      </c>
      <c r="P127" s="25">
        <v>15000</v>
      </c>
      <c r="Q127" s="25"/>
      <c r="R127" s="204">
        <f t="shared" ref="R127" si="212">SUM(E127:Q127)</f>
        <v>312001.06049999996</v>
      </c>
      <c r="S127" s="23"/>
      <c r="T127" s="23">
        <f>10000+40000</f>
        <v>50000</v>
      </c>
      <c r="U127" s="23">
        <f>200000-200000</f>
        <v>0</v>
      </c>
      <c r="V127" s="23"/>
      <c r="W127" s="25">
        <v>39582.844830666661</v>
      </c>
      <c r="X127" s="208">
        <f t="shared" si="197"/>
        <v>89582.844830666669</v>
      </c>
      <c r="Y127" s="23">
        <v>215928.58600000001</v>
      </c>
      <c r="Z127" s="208">
        <f t="shared" si="198"/>
        <v>222418.21566933329</v>
      </c>
      <c r="AA127" s="180"/>
    </row>
    <row r="128" spans="1:27" ht="20.100000000000001" customHeight="1">
      <c r="A128" s="20">
        <v>10</v>
      </c>
      <c r="B128" s="156" t="s">
        <v>230</v>
      </c>
      <c r="C128" s="161" t="s">
        <v>231</v>
      </c>
      <c r="D128" s="28" t="s">
        <v>81</v>
      </c>
      <c r="E128" s="25">
        <f>15188.67</f>
        <v>15188.67</v>
      </c>
      <c r="F128" s="25"/>
      <c r="G128" s="25">
        <f t="shared" si="206"/>
        <v>45566.01</v>
      </c>
      <c r="H128" s="25">
        <f t="shared" si="207"/>
        <v>1139.1502499999999</v>
      </c>
      <c r="I128" s="25"/>
      <c r="J128" s="25">
        <f t="shared" si="208"/>
        <v>7594.335</v>
      </c>
      <c r="K128" s="25">
        <f t="shared" si="209"/>
        <v>53160.345000000001</v>
      </c>
      <c r="L128" s="25">
        <f t="shared" si="210"/>
        <v>15188.67</v>
      </c>
      <c r="M128" s="179"/>
      <c r="N128" s="179">
        <f>60000</f>
        <v>60000</v>
      </c>
      <c r="O128" s="25">
        <f t="shared" si="211"/>
        <v>1518.8670000000002</v>
      </c>
      <c r="P128" s="25">
        <v>10000</v>
      </c>
      <c r="Q128" s="25"/>
      <c r="R128" s="204">
        <f>SUM(E128:Q128)</f>
        <v>209356.04725</v>
      </c>
      <c r="S128" s="23"/>
      <c r="T128" s="23">
        <v>15000</v>
      </c>
      <c r="U128" s="23">
        <f>25000</f>
        <v>25000</v>
      </c>
      <c r="V128" s="23"/>
      <c r="W128" s="25">
        <v>22338.48260466666</v>
      </c>
      <c r="X128" s="208">
        <f>W128+V128+U128+T128</f>
        <v>62338.482604666657</v>
      </c>
      <c r="Y128" s="23">
        <v>143563.13449999999</v>
      </c>
      <c r="Z128" s="208">
        <f t="shared" si="198"/>
        <v>147017.56464533333</v>
      </c>
      <c r="AA128" s="180"/>
    </row>
    <row r="129" spans="1:27" ht="20.100000000000001" customHeight="1">
      <c r="A129" s="20">
        <v>11</v>
      </c>
      <c r="B129" s="157" t="s">
        <v>232</v>
      </c>
      <c r="C129" s="161" t="s">
        <v>233</v>
      </c>
      <c r="D129" s="181" t="s">
        <v>97</v>
      </c>
      <c r="E129" s="25">
        <f>12732</f>
        <v>12732</v>
      </c>
      <c r="F129" s="25"/>
      <c r="G129" s="25">
        <f t="shared" si="206"/>
        <v>38196</v>
      </c>
      <c r="H129" s="25">
        <f t="shared" si="207"/>
        <v>954.9</v>
      </c>
      <c r="I129" s="25"/>
      <c r="J129" s="25">
        <f t="shared" si="208"/>
        <v>6366</v>
      </c>
      <c r="K129" s="25">
        <f t="shared" si="209"/>
        <v>44562</v>
      </c>
      <c r="L129" s="25">
        <f t="shared" si="210"/>
        <v>12732</v>
      </c>
      <c r="M129" s="179"/>
      <c r="N129" s="179">
        <f>50000</f>
        <v>50000</v>
      </c>
      <c r="O129" s="25">
        <f t="shared" si="211"/>
        <v>1273.2</v>
      </c>
      <c r="P129" s="25">
        <v>10000</v>
      </c>
      <c r="Q129" s="25"/>
      <c r="R129" s="204">
        <f t="shared" ref="R129" si="213">Q129+P129+O129+N129+M129+L129+K129+J129+I129+H129+G129+F129+E129</f>
        <v>176816.09999999998</v>
      </c>
      <c r="S129" s="23"/>
      <c r="T129" s="23">
        <f>10000</f>
        <v>10000</v>
      </c>
      <c r="U129" s="23">
        <v>60000</v>
      </c>
      <c r="V129" s="23">
        <v>0</v>
      </c>
      <c r="W129" s="25">
        <v>17042.713866666661</v>
      </c>
      <c r="X129" s="208">
        <f>W129+V129+U129+T129+S129</f>
        <v>87042.713866666658</v>
      </c>
      <c r="Y129" s="23">
        <v>78083.819499999998</v>
      </c>
      <c r="Z129" s="208">
        <f t="shared" si="198"/>
        <v>89773.386133333319</v>
      </c>
      <c r="AA129" s="180"/>
    </row>
    <row r="130" spans="1:27" ht="20.100000000000001" customHeight="1">
      <c r="A130" s="20"/>
      <c r="B130" s="159" t="s">
        <v>100</v>
      </c>
      <c r="C130" s="187" t="s">
        <v>234</v>
      </c>
      <c r="D130" s="181"/>
      <c r="E130" s="30">
        <f t="shared" ref="E130:L130" si="214">SUM(E119:E129)</f>
        <v>352868.51</v>
      </c>
      <c r="F130" s="30">
        <f t="shared" si="214"/>
        <v>0</v>
      </c>
      <c r="G130" s="30">
        <f t="shared" si="214"/>
        <v>1058605.53</v>
      </c>
      <c r="H130" s="30">
        <f t="shared" si="214"/>
        <v>26465.13825</v>
      </c>
      <c r="I130" s="30">
        <f t="shared" si="214"/>
        <v>240733.14</v>
      </c>
      <c r="J130" s="30">
        <f t="shared" si="214"/>
        <v>176434.255</v>
      </c>
      <c r="K130" s="182">
        <f t="shared" si="214"/>
        <v>1235039.7849999999</v>
      </c>
      <c r="L130" s="30">
        <f t="shared" si="214"/>
        <v>352868.51</v>
      </c>
      <c r="M130" s="184"/>
      <c r="N130" s="184">
        <f>SUM(N119:N129)</f>
        <v>820000</v>
      </c>
      <c r="O130" s="30">
        <f>SUM(O119:O129)</f>
        <v>35286.851000000002</v>
      </c>
      <c r="P130" s="30">
        <f>SUM(P119:P129)</f>
        <v>180000</v>
      </c>
      <c r="Q130" s="30">
        <f>SUM(Q119:Q129)</f>
        <v>330000</v>
      </c>
      <c r="R130" s="218">
        <f>SUM(R119:R129)</f>
        <v>4808301.7192499992</v>
      </c>
      <c r="S130" s="190"/>
      <c r="T130" s="190">
        <f t="shared" ref="T130:Z130" si="215">SUM(T119:T129)</f>
        <v>855000</v>
      </c>
      <c r="U130" s="190">
        <f t="shared" si="215"/>
        <v>569277.78</v>
      </c>
      <c r="V130" s="190">
        <v>4995.0480000000007</v>
      </c>
      <c r="W130" s="68">
        <v>698053.14113333332</v>
      </c>
      <c r="X130" s="225">
        <f t="shared" si="215"/>
        <v>2127325.9691333333</v>
      </c>
      <c r="Y130" s="190">
        <v>2588392.845753334</v>
      </c>
      <c r="Z130" s="225">
        <f t="shared" si="215"/>
        <v>2680975.7501166668</v>
      </c>
      <c r="AA130" s="180"/>
    </row>
    <row r="131" spans="1:27" ht="20.100000000000001" customHeight="1">
      <c r="A131" s="20"/>
      <c r="B131" s="123"/>
      <c r="C131" s="187"/>
      <c r="D131" s="181"/>
      <c r="E131" s="30"/>
      <c r="F131" s="30"/>
      <c r="G131" s="30"/>
      <c r="H131" s="30"/>
      <c r="I131" s="30"/>
      <c r="J131" s="30"/>
      <c r="K131" s="182"/>
      <c r="L131" s="30"/>
      <c r="M131" s="179"/>
      <c r="N131" s="179"/>
      <c r="O131" s="30"/>
      <c r="P131" s="30"/>
      <c r="Q131" s="30"/>
      <c r="R131" s="215"/>
      <c r="S131" s="182"/>
      <c r="T131" s="182"/>
      <c r="U131" s="182"/>
      <c r="V131" s="182"/>
      <c r="W131" s="30"/>
      <c r="X131" s="226"/>
      <c r="Y131" s="182"/>
      <c r="Z131" s="226"/>
      <c r="AA131" s="180"/>
    </row>
    <row r="132" spans="1:27" ht="20.100000000000001" customHeight="1">
      <c r="A132" s="20"/>
      <c r="B132" s="159" t="s">
        <v>235</v>
      </c>
      <c r="C132" s="161"/>
      <c r="D132" s="181"/>
      <c r="E132" s="25"/>
      <c r="F132" s="25"/>
      <c r="G132" s="25"/>
      <c r="H132" s="25"/>
      <c r="I132" s="25"/>
      <c r="J132" s="25"/>
      <c r="K132" s="23"/>
      <c r="L132" s="25"/>
      <c r="M132" s="179"/>
      <c r="N132" s="179"/>
      <c r="O132" s="25"/>
      <c r="P132" s="25"/>
      <c r="Q132" s="25"/>
      <c r="R132" s="204"/>
      <c r="S132" s="23"/>
      <c r="T132" s="23"/>
      <c r="U132" s="23"/>
      <c r="V132" s="23"/>
      <c r="W132" s="25"/>
      <c r="X132" s="208"/>
      <c r="Y132" s="23"/>
      <c r="Z132" s="208"/>
      <c r="AA132" s="180"/>
    </row>
    <row r="133" spans="1:27" ht="20.100000000000001" customHeight="1">
      <c r="A133" s="191">
        <v>1</v>
      </c>
      <c r="B133" s="156" t="s">
        <v>236</v>
      </c>
      <c r="C133" s="161" t="s">
        <v>237</v>
      </c>
      <c r="D133" s="181" t="s">
        <v>104</v>
      </c>
      <c r="E133" s="25">
        <v>81740.02</v>
      </c>
      <c r="F133" s="25"/>
      <c r="G133" s="25">
        <f>E133*300%</f>
        <v>245220.06</v>
      </c>
      <c r="H133" s="25">
        <f>E133*7.5%</f>
        <v>6130.5015000000003</v>
      </c>
      <c r="I133" s="25">
        <f>80244.38</f>
        <v>80244.38</v>
      </c>
      <c r="J133" s="25">
        <f>E133*50%</f>
        <v>40870.01</v>
      </c>
      <c r="K133" s="25">
        <f>E133*350%</f>
        <v>286090.07</v>
      </c>
      <c r="L133" s="25">
        <f>E133*100%</f>
        <v>81740.02</v>
      </c>
      <c r="M133" s="179"/>
      <c r="N133" s="179">
        <f>100000</f>
        <v>100000</v>
      </c>
      <c r="O133" s="25">
        <f>E133*10%</f>
        <v>8174.0020000000004</v>
      </c>
      <c r="P133" s="25">
        <v>20000</v>
      </c>
      <c r="Q133" s="25">
        <v>0</v>
      </c>
      <c r="R133" s="204">
        <f>SUM(E133:Q133)</f>
        <v>950209.06350000005</v>
      </c>
      <c r="S133" s="23"/>
      <c r="T133" s="23">
        <f>100000</f>
        <v>100000</v>
      </c>
      <c r="U133" s="23">
        <f>208526.24</f>
        <v>208526.24</v>
      </c>
      <c r="V133" s="23"/>
      <c r="W133" s="25">
        <v>161106.80685866668</v>
      </c>
      <c r="X133" s="208">
        <f t="shared" ref="X133:X149" si="216">W133+V133+U133+T133+S133</f>
        <v>469633.0468586667</v>
      </c>
      <c r="Y133" s="23">
        <v>480576.01350000006</v>
      </c>
      <c r="Z133" s="208">
        <f t="shared" ref="Z133:Z163" si="217">R133-X133</f>
        <v>480576.01664133335</v>
      </c>
      <c r="AA133" s="180"/>
    </row>
    <row r="134" spans="1:27" ht="20.100000000000001" customHeight="1">
      <c r="A134" s="191">
        <v>2</v>
      </c>
      <c r="B134" s="156" t="s">
        <v>238</v>
      </c>
      <c r="C134" s="161" t="s">
        <v>239</v>
      </c>
      <c r="D134" s="181" t="s">
        <v>33</v>
      </c>
      <c r="E134" s="25">
        <v>42653.17</v>
      </c>
      <c r="F134" s="25"/>
      <c r="G134" s="25">
        <v>127959.51</v>
      </c>
      <c r="H134" s="25">
        <v>3198.9877499999998</v>
      </c>
      <c r="I134" s="25">
        <v>40122.19</v>
      </c>
      <c r="J134" s="25">
        <v>21326.584999999999</v>
      </c>
      <c r="K134" s="25">
        <v>149286.095</v>
      </c>
      <c r="L134" s="25">
        <v>42653.17</v>
      </c>
      <c r="M134" s="179"/>
      <c r="N134" s="179">
        <v>90000</v>
      </c>
      <c r="O134" s="25">
        <v>4265.317</v>
      </c>
      <c r="P134" s="25">
        <v>20000</v>
      </c>
      <c r="Q134" s="25"/>
      <c r="R134" s="204">
        <f>SUM(E134:Q134)</f>
        <v>541465.02474999998</v>
      </c>
      <c r="S134" s="23"/>
      <c r="T134" s="35">
        <v>50000</v>
      </c>
      <c r="U134" s="35">
        <v>200000</v>
      </c>
      <c r="W134" s="23">
        <v>82467.115418666668</v>
      </c>
      <c r="X134" s="208">
        <f t="shared" si="216"/>
        <v>332467.11541866668</v>
      </c>
      <c r="Y134" s="23">
        <v>158837.07474999997</v>
      </c>
      <c r="Z134" s="208">
        <f t="shared" si="217"/>
        <v>208997.9093313333</v>
      </c>
      <c r="AA134" s="180"/>
    </row>
    <row r="135" spans="1:27" ht="20.100000000000001" customHeight="1">
      <c r="A135" s="191">
        <v>3</v>
      </c>
      <c r="B135" s="158" t="s">
        <v>240</v>
      </c>
      <c r="C135" s="20" t="s">
        <v>241</v>
      </c>
      <c r="D135" s="24" t="s">
        <v>41</v>
      </c>
      <c r="E135" s="25">
        <v>41157.69</v>
      </c>
      <c r="F135" s="25"/>
      <c r="G135" s="25">
        <f t="shared" ref="G135:G186" si="218">E135*300%</f>
        <v>123473.07</v>
      </c>
      <c r="H135" s="25">
        <f t="shared" ref="H135:H186" si="219">E135*7.5%</f>
        <v>3086.8267500000002</v>
      </c>
      <c r="I135" s="25">
        <v>40122.19</v>
      </c>
      <c r="J135" s="25">
        <f t="shared" ref="J135:J186" si="220">E135*50%</f>
        <v>20578.845000000001</v>
      </c>
      <c r="K135" s="25">
        <f t="shared" ref="K135:K186" si="221">E135*350%</f>
        <v>144051.91500000001</v>
      </c>
      <c r="L135" s="25">
        <f t="shared" ref="L135:L153" si="222">E135*100%</f>
        <v>41157.69</v>
      </c>
      <c r="M135" s="179"/>
      <c r="N135" s="179">
        <f>80000+10000</f>
        <v>90000</v>
      </c>
      <c r="O135" s="25">
        <f t="shared" ref="O135:O153" si="223">E135*10%</f>
        <v>4115.7690000000002</v>
      </c>
      <c r="P135" s="25">
        <v>20000</v>
      </c>
      <c r="Q135" s="25">
        <v>50000</v>
      </c>
      <c r="R135" s="204">
        <f t="shared" ref="R135:R155" si="224">SUM(E135:Q135)</f>
        <v>577743.99575</v>
      </c>
      <c r="S135" s="23"/>
      <c r="T135" s="23">
        <f>37500</f>
        <v>37500</v>
      </c>
      <c r="U135" s="23"/>
      <c r="V135" s="23">
        <v>1028.9422500000001</v>
      </c>
      <c r="W135" s="23">
        <v>89465.197050666669</v>
      </c>
      <c r="X135" s="208">
        <f t="shared" si="216"/>
        <v>127994.13930066666</v>
      </c>
      <c r="Y135" s="23">
        <v>619035.80838888895</v>
      </c>
      <c r="Z135" s="208">
        <f t="shared" si="217"/>
        <v>449749.85644933337</v>
      </c>
      <c r="AA135" s="180"/>
    </row>
    <row r="136" spans="1:27" ht="20.100000000000001" customHeight="1">
      <c r="A136" s="191">
        <v>4</v>
      </c>
      <c r="B136" s="156" t="s">
        <v>242</v>
      </c>
      <c r="C136" s="161" t="s">
        <v>243</v>
      </c>
      <c r="D136" s="181" t="s">
        <v>56</v>
      </c>
      <c r="E136" s="25">
        <v>27611.23</v>
      </c>
      <c r="F136" s="25"/>
      <c r="G136" s="25">
        <f t="shared" si="218"/>
        <v>82833.69</v>
      </c>
      <c r="H136" s="25">
        <f t="shared" si="219"/>
        <v>2070.8422499999997</v>
      </c>
      <c r="I136" s="25">
        <v>0</v>
      </c>
      <c r="J136" s="25">
        <f t="shared" si="220"/>
        <v>13805.615</v>
      </c>
      <c r="K136" s="23">
        <f t="shared" si="221"/>
        <v>96639.304999999993</v>
      </c>
      <c r="L136" s="25">
        <f t="shared" si="222"/>
        <v>27611.23</v>
      </c>
      <c r="M136" s="179"/>
      <c r="N136" s="179">
        <v>70000</v>
      </c>
      <c r="O136" s="25">
        <f t="shared" si="223"/>
        <v>2761.123</v>
      </c>
      <c r="P136" s="25">
        <v>20000</v>
      </c>
      <c r="Q136" s="25"/>
      <c r="R136" s="204">
        <f t="shared" si="224"/>
        <v>343333.03525000007</v>
      </c>
      <c r="S136" s="23"/>
      <c r="T136" s="23">
        <v>30000</v>
      </c>
      <c r="U136" s="23">
        <f>91666.67</f>
        <v>91666.67</v>
      </c>
      <c r="V136" s="23">
        <v>690.28075000000001</v>
      </c>
      <c r="W136" s="25">
        <v>44734.339388666674</v>
      </c>
      <c r="X136" s="208">
        <f t="shared" si="216"/>
        <v>167091.29013866666</v>
      </c>
      <c r="Y136" s="23">
        <v>169556.97749999998</v>
      </c>
      <c r="Z136" s="208">
        <f t="shared" si="217"/>
        <v>176241.74511133341</v>
      </c>
      <c r="AA136" s="180"/>
    </row>
    <row r="137" spans="1:27" ht="20.100000000000001" customHeight="1">
      <c r="A137" s="191">
        <v>5</v>
      </c>
      <c r="B137" s="156" t="s">
        <v>244</v>
      </c>
      <c r="C137" s="20" t="s">
        <v>245</v>
      </c>
      <c r="D137" s="181" t="s">
        <v>56</v>
      </c>
      <c r="E137" s="25">
        <v>27611.23</v>
      </c>
      <c r="F137" s="25"/>
      <c r="G137" s="25">
        <f t="shared" si="218"/>
        <v>82833.69</v>
      </c>
      <c r="H137" s="25">
        <f t="shared" si="219"/>
        <v>2070.8422499999997</v>
      </c>
      <c r="I137" s="25">
        <v>0</v>
      </c>
      <c r="J137" s="25">
        <f t="shared" si="220"/>
        <v>13805.615</v>
      </c>
      <c r="K137" s="23">
        <f t="shared" si="221"/>
        <v>96639.304999999993</v>
      </c>
      <c r="L137" s="25">
        <f t="shared" si="222"/>
        <v>27611.23</v>
      </c>
      <c r="M137" s="179"/>
      <c r="N137" s="179">
        <v>70000</v>
      </c>
      <c r="O137" s="25">
        <f t="shared" si="223"/>
        <v>2761.123</v>
      </c>
      <c r="P137" s="25">
        <v>20000</v>
      </c>
      <c r="Q137" s="25">
        <v>0</v>
      </c>
      <c r="R137" s="204">
        <f t="shared" si="224"/>
        <v>343333.03525000007</v>
      </c>
      <c r="S137" s="23"/>
      <c r="T137" s="23">
        <f>0</f>
        <v>0</v>
      </c>
      <c r="U137" s="23">
        <f>133333.33</f>
        <v>133333.32999999999</v>
      </c>
      <c r="V137" s="23">
        <v>690.28075000000001</v>
      </c>
      <c r="W137" s="25">
        <v>44846.616588666679</v>
      </c>
      <c r="X137" s="208">
        <f t="shared" si="216"/>
        <v>178870.22733866668</v>
      </c>
      <c r="Y137" s="23">
        <v>157890.31749999998</v>
      </c>
      <c r="Z137" s="208">
        <f t="shared" si="217"/>
        <v>164462.8079113334</v>
      </c>
      <c r="AA137" s="180"/>
    </row>
    <row r="138" spans="1:27" ht="20.100000000000001" customHeight="1">
      <c r="A138" s="191">
        <v>6</v>
      </c>
      <c r="B138" s="156" t="s">
        <v>246</v>
      </c>
      <c r="C138" s="20" t="s">
        <v>247</v>
      </c>
      <c r="D138" s="181" t="s">
        <v>126</v>
      </c>
      <c r="E138" s="25">
        <v>25523.45</v>
      </c>
      <c r="F138" s="25"/>
      <c r="G138" s="25">
        <f t="shared" si="218"/>
        <v>76570.350000000006</v>
      </c>
      <c r="H138" s="25">
        <f t="shared" si="219"/>
        <v>1914.25875</v>
      </c>
      <c r="I138" s="23">
        <v>0</v>
      </c>
      <c r="J138" s="25">
        <f t="shared" si="220"/>
        <v>12761.725</v>
      </c>
      <c r="K138" s="23">
        <f t="shared" si="221"/>
        <v>89332.074999999997</v>
      </c>
      <c r="L138" s="25">
        <f t="shared" si="222"/>
        <v>25523.45</v>
      </c>
      <c r="M138" s="179"/>
      <c r="N138" s="179">
        <v>70000</v>
      </c>
      <c r="O138" s="25">
        <f t="shared" si="223"/>
        <v>2552.3450000000003</v>
      </c>
      <c r="P138" s="25">
        <v>15000</v>
      </c>
      <c r="Q138" s="25">
        <v>0</v>
      </c>
      <c r="R138" s="204">
        <f t="shared" si="224"/>
        <v>319177.65375</v>
      </c>
      <c r="S138" s="23"/>
      <c r="T138" s="23">
        <f>10000</f>
        <v>10000</v>
      </c>
      <c r="U138" s="23">
        <f>115000</f>
        <v>115000</v>
      </c>
      <c r="V138" s="23"/>
      <c r="W138" s="25">
        <v>40698.124856666655</v>
      </c>
      <c r="X138" s="208">
        <f t="shared" si="216"/>
        <v>165698.12485666666</v>
      </c>
      <c r="Y138" s="23">
        <v>147418.22049999997</v>
      </c>
      <c r="Z138" s="208">
        <f t="shared" si="217"/>
        <v>153479.52889333334</v>
      </c>
      <c r="AA138" s="180"/>
    </row>
    <row r="139" spans="1:27" ht="20.100000000000001" customHeight="1">
      <c r="A139" s="191">
        <v>7</v>
      </c>
      <c r="B139" s="156" t="s">
        <v>248</v>
      </c>
      <c r="C139" s="161" t="s">
        <v>249</v>
      </c>
      <c r="D139" s="181" t="s">
        <v>70</v>
      </c>
      <c r="E139" s="25">
        <f>22837.82</f>
        <v>22837.82</v>
      </c>
      <c r="F139" s="25"/>
      <c r="G139" s="25">
        <f>E139*300%</f>
        <v>68513.459999999992</v>
      </c>
      <c r="H139" s="25">
        <f>E139*7.5%</f>
        <v>1712.8364999999999</v>
      </c>
      <c r="I139" s="25">
        <v>0</v>
      </c>
      <c r="J139" s="25">
        <f>E139*50%</f>
        <v>11418.91</v>
      </c>
      <c r="K139" s="23">
        <f>E139*350%</f>
        <v>79932.37</v>
      </c>
      <c r="L139" s="25">
        <f>E139*100%</f>
        <v>22837.82</v>
      </c>
      <c r="M139" s="179"/>
      <c r="N139" s="179">
        <f>60000</f>
        <v>60000</v>
      </c>
      <c r="O139" s="25">
        <f>E139*10%</f>
        <v>2283.7820000000002</v>
      </c>
      <c r="P139" s="25">
        <v>15000</v>
      </c>
      <c r="Q139" s="25">
        <v>0</v>
      </c>
      <c r="R139" s="204">
        <f>SUM(E139:Q139)</f>
        <v>284536.99849999999</v>
      </c>
      <c r="S139" s="23"/>
      <c r="T139" s="23">
        <v>10000</v>
      </c>
      <c r="U139" s="23">
        <v>0</v>
      </c>
      <c r="V139" s="23">
        <v>570.94550000000004</v>
      </c>
      <c r="W139" s="25">
        <v>34968.882414666667</v>
      </c>
      <c r="X139" s="208">
        <f t="shared" si="216"/>
        <v>45539.827914666668</v>
      </c>
      <c r="Y139" s="23">
        <v>229067.49200000003</v>
      </c>
      <c r="Z139" s="208">
        <f t="shared" si="217"/>
        <v>238997.17058533331</v>
      </c>
      <c r="AA139" s="180"/>
    </row>
    <row r="140" spans="1:27" ht="20.100000000000001" customHeight="1">
      <c r="A140" s="191">
        <v>8</v>
      </c>
      <c r="B140" s="156" t="s">
        <v>250</v>
      </c>
      <c r="C140" s="161" t="s">
        <v>249</v>
      </c>
      <c r="D140" s="181" t="s">
        <v>70</v>
      </c>
      <c r="E140" s="25">
        <f t="shared" ref="E140:E141" si="225">22837.82</f>
        <v>22837.82</v>
      </c>
      <c r="F140" s="25"/>
      <c r="G140" s="25">
        <f>E140*300%</f>
        <v>68513.459999999992</v>
      </c>
      <c r="H140" s="25">
        <f>E140*7.5%</f>
        <v>1712.8364999999999</v>
      </c>
      <c r="I140" s="25">
        <v>0</v>
      </c>
      <c r="J140" s="25">
        <f>E140*50%</f>
        <v>11418.91</v>
      </c>
      <c r="K140" s="23">
        <f>E140*350%</f>
        <v>79932.37</v>
      </c>
      <c r="L140" s="25">
        <f t="shared" si="222"/>
        <v>22837.82</v>
      </c>
      <c r="M140" s="179"/>
      <c r="N140" s="179">
        <f>60000</f>
        <v>60000</v>
      </c>
      <c r="O140" s="25">
        <f t="shared" si="223"/>
        <v>2283.7820000000002</v>
      </c>
      <c r="P140" s="25">
        <v>15000</v>
      </c>
      <c r="Q140" s="25">
        <v>0</v>
      </c>
      <c r="R140" s="204">
        <f t="shared" si="224"/>
        <v>284536.99849999999</v>
      </c>
      <c r="S140" s="23"/>
      <c r="T140" s="23"/>
      <c r="U140" s="23">
        <f>100000</f>
        <v>100000</v>
      </c>
      <c r="V140" s="23"/>
      <c r="W140" s="25">
        <v>34968.882414666667</v>
      </c>
      <c r="X140" s="208">
        <f t="shared" si="216"/>
        <v>134968.88241466667</v>
      </c>
      <c r="Y140" s="23">
        <v>139515.12400000001</v>
      </c>
      <c r="Z140" s="208">
        <f t="shared" si="217"/>
        <v>149568.11608533331</v>
      </c>
      <c r="AA140" s="180"/>
    </row>
    <row r="141" spans="1:27" ht="20.100000000000001" customHeight="1">
      <c r="A141" s="191">
        <v>9</v>
      </c>
      <c r="B141" s="156" t="s">
        <v>251</v>
      </c>
      <c r="C141" s="20" t="s">
        <v>247</v>
      </c>
      <c r="D141" s="181" t="s">
        <v>70</v>
      </c>
      <c r="E141" s="25">
        <f t="shared" si="225"/>
        <v>22837.82</v>
      </c>
      <c r="F141" s="25"/>
      <c r="G141" s="25">
        <f>E141*300%</f>
        <v>68513.459999999992</v>
      </c>
      <c r="H141" s="25">
        <f>E141*7.5%</f>
        <v>1712.8364999999999</v>
      </c>
      <c r="I141" s="23"/>
      <c r="J141" s="25">
        <f>E141*50%</f>
        <v>11418.91</v>
      </c>
      <c r="K141" s="23">
        <f>E141*350%</f>
        <v>79932.37</v>
      </c>
      <c r="L141" s="25">
        <f>E141*100%</f>
        <v>22837.82</v>
      </c>
      <c r="M141" s="179"/>
      <c r="N141" s="179">
        <f>60000</f>
        <v>60000</v>
      </c>
      <c r="O141" s="25">
        <f>E141*10%</f>
        <v>2283.7820000000002</v>
      </c>
      <c r="P141" s="25">
        <v>15000</v>
      </c>
      <c r="Q141" s="25"/>
      <c r="R141" s="204">
        <f>SUM(E141:Q141)</f>
        <v>284536.99849999999</v>
      </c>
      <c r="S141" s="23"/>
      <c r="T141" s="23">
        <f>20000+40000</f>
        <v>60000</v>
      </c>
      <c r="U141" s="23">
        <f>45833.33</f>
        <v>45833.33</v>
      </c>
      <c r="V141" s="23"/>
      <c r="W141" s="25">
        <v>34968.882414666667</v>
      </c>
      <c r="X141" s="208">
        <f t="shared" si="216"/>
        <v>140802.21241466666</v>
      </c>
      <c r="Y141" s="23">
        <v>133681.79400000002</v>
      </c>
      <c r="Z141" s="208">
        <f t="shared" si="217"/>
        <v>143734.78608533333</v>
      </c>
      <c r="AA141" s="180"/>
    </row>
    <row r="142" spans="1:27" ht="20.100000000000001" customHeight="1">
      <c r="A142" s="191">
        <v>10</v>
      </c>
      <c r="B142" s="156" t="s">
        <v>252</v>
      </c>
      <c r="C142" s="161" t="s">
        <v>253</v>
      </c>
      <c r="D142" s="181" t="s">
        <v>73</v>
      </c>
      <c r="E142" s="25">
        <v>21520.880000000001</v>
      </c>
      <c r="F142" s="25"/>
      <c r="G142" s="25">
        <f>E142*300%</f>
        <v>64562.64</v>
      </c>
      <c r="H142" s="25">
        <f>E142*7.5%</f>
        <v>1614.066</v>
      </c>
      <c r="I142" s="25"/>
      <c r="J142" s="25">
        <f>E142*50%</f>
        <v>10760.44</v>
      </c>
      <c r="K142" s="23">
        <f>E142*350%</f>
        <v>75323.08</v>
      </c>
      <c r="L142" s="25">
        <f t="shared" si="222"/>
        <v>21520.880000000001</v>
      </c>
      <c r="M142" s="179"/>
      <c r="N142" s="179">
        <f>60000</f>
        <v>60000</v>
      </c>
      <c r="O142" s="25">
        <f t="shared" si="223"/>
        <v>2152.0880000000002</v>
      </c>
      <c r="P142" s="25">
        <v>10000</v>
      </c>
      <c r="Q142" s="25"/>
      <c r="R142" s="204">
        <f t="shared" si="224"/>
        <v>267454.07400000002</v>
      </c>
      <c r="S142" s="23"/>
      <c r="T142" s="23">
        <f>100000</f>
        <v>100000</v>
      </c>
      <c r="U142" s="23">
        <f>93721.55</f>
        <v>93721.55</v>
      </c>
      <c r="V142" s="23"/>
      <c r="W142" s="25">
        <v>32022.168238666676</v>
      </c>
      <c r="X142" s="208">
        <f t="shared" si="216"/>
        <v>225743.71823866668</v>
      </c>
      <c r="Y142" s="23">
        <v>34901.335873333301</v>
      </c>
      <c r="Z142" s="208">
        <f t="shared" si="217"/>
        <v>41710.35576133334</v>
      </c>
      <c r="AA142" s="180"/>
    </row>
    <row r="143" spans="1:27" ht="20.100000000000001" customHeight="1">
      <c r="A143" s="191">
        <v>11</v>
      </c>
      <c r="B143" s="156" t="s">
        <v>254</v>
      </c>
      <c r="C143" s="161" t="s">
        <v>255</v>
      </c>
      <c r="D143" s="181" t="s">
        <v>256</v>
      </c>
      <c r="E143" s="179">
        <v>18779.3</v>
      </c>
      <c r="F143" s="25"/>
      <c r="G143" s="25">
        <f t="shared" si="218"/>
        <v>56337.899999999994</v>
      </c>
      <c r="H143" s="25">
        <f t="shared" si="219"/>
        <v>1408.4475</v>
      </c>
      <c r="I143" s="25"/>
      <c r="J143" s="25">
        <f t="shared" si="220"/>
        <v>9389.65</v>
      </c>
      <c r="K143" s="23">
        <f t="shared" si="221"/>
        <v>65727.55</v>
      </c>
      <c r="L143" s="25">
        <f t="shared" si="222"/>
        <v>18779.3</v>
      </c>
      <c r="M143" s="179"/>
      <c r="N143" s="179">
        <f>60000</f>
        <v>60000</v>
      </c>
      <c r="O143" s="25">
        <f t="shared" si="223"/>
        <v>1877.93</v>
      </c>
      <c r="P143" s="25">
        <v>10000</v>
      </c>
      <c r="Q143" s="25"/>
      <c r="R143" s="204">
        <f t="shared" si="224"/>
        <v>242300.07749999996</v>
      </c>
      <c r="S143" s="23"/>
      <c r="T143" s="23">
        <f>10000</f>
        <v>10000</v>
      </c>
      <c r="U143" s="23">
        <f>50000</f>
        <v>50000</v>
      </c>
      <c r="V143" s="23">
        <v>469.48250000000002</v>
      </c>
      <c r="W143" s="25">
        <v>27794.206626666662</v>
      </c>
      <c r="X143" s="208">
        <f t="shared" si="216"/>
        <v>88263.689126666664</v>
      </c>
      <c r="Y143" s="23">
        <v>150247.80599999995</v>
      </c>
      <c r="Z143" s="208">
        <f t="shared" si="217"/>
        <v>154036.38837333329</v>
      </c>
      <c r="AA143" s="180"/>
    </row>
    <row r="144" spans="1:27" ht="20.100000000000001" customHeight="1">
      <c r="A144" s="191">
        <v>12</v>
      </c>
      <c r="B144" s="156" t="s">
        <v>257</v>
      </c>
      <c r="C144" s="161" t="s">
        <v>253</v>
      </c>
      <c r="D144" s="181" t="s">
        <v>70</v>
      </c>
      <c r="E144" s="25">
        <v>22837.82</v>
      </c>
      <c r="F144" s="25"/>
      <c r="G144" s="25">
        <f>E144*300%</f>
        <v>68513.459999999992</v>
      </c>
      <c r="H144" s="25">
        <f>E144*7.5%</f>
        <v>1712.8364999999999</v>
      </c>
      <c r="I144" s="23"/>
      <c r="J144" s="25">
        <f>E144*50%</f>
        <v>11418.91</v>
      </c>
      <c r="K144" s="23">
        <f>E144*350%</f>
        <v>79932.37</v>
      </c>
      <c r="L144" s="25">
        <f>E144*100%</f>
        <v>22837.82</v>
      </c>
      <c r="M144" s="179"/>
      <c r="N144" s="179">
        <f>60000</f>
        <v>60000</v>
      </c>
      <c r="O144" s="25">
        <f>E144*10%</f>
        <v>2283.7820000000002</v>
      </c>
      <c r="P144" s="25">
        <v>10000</v>
      </c>
      <c r="Q144" s="25"/>
      <c r="R144" s="204">
        <f>SUM(E144:Q144)</f>
        <v>279536.99849999999</v>
      </c>
      <c r="S144" s="23"/>
      <c r="T144" s="23">
        <v>20000</v>
      </c>
      <c r="U144" s="23">
        <f>68750</f>
        <v>68750</v>
      </c>
      <c r="V144" s="23">
        <v>570.94550000000004</v>
      </c>
      <c r="W144" s="25">
        <v>34128.882414666667</v>
      </c>
      <c r="X144" s="208">
        <f t="shared" si="216"/>
        <v>123449.82791466668</v>
      </c>
      <c r="Y144" s="23">
        <v>139413.73693333333</v>
      </c>
      <c r="Z144" s="208">
        <f t="shared" si="217"/>
        <v>156087.17058533331</v>
      </c>
      <c r="AA144" s="180"/>
    </row>
    <row r="145" spans="1:27" ht="20.100000000000001" customHeight="1">
      <c r="A145" s="191">
        <v>13</v>
      </c>
      <c r="B145" s="157" t="s">
        <v>258</v>
      </c>
      <c r="C145" s="20" t="s">
        <v>259</v>
      </c>
      <c r="D145" s="181" t="s">
        <v>256</v>
      </c>
      <c r="E145" s="25">
        <f>18779.3</f>
        <v>18779.3</v>
      </c>
      <c r="F145" s="25"/>
      <c r="G145" s="25">
        <f>E145*300%</f>
        <v>56337.899999999994</v>
      </c>
      <c r="H145" s="25">
        <f>E145*7.5%</f>
        <v>1408.4475</v>
      </c>
      <c r="I145" s="25"/>
      <c r="J145" s="25">
        <f>E145*50%</f>
        <v>9389.65</v>
      </c>
      <c r="K145" s="25">
        <f>E145*350%</f>
        <v>65727.55</v>
      </c>
      <c r="L145" s="25">
        <f>E145*100%</f>
        <v>18779.3</v>
      </c>
      <c r="M145" s="179"/>
      <c r="N145" s="179">
        <v>60000</v>
      </c>
      <c r="O145" s="25">
        <f>E145*10%</f>
        <v>1877.93</v>
      </c>
      <c r="P145" s="25">
        <v>10000</v>
      </c>
      <c r="Q145" s="25"/>
      <c r="R145" s="204">
        <f>Q145+P145+O145+N145+M145+L145+K145+J145+I145+H145+G145+F145+E145</f>
        <v>242300.07749999998</v>
      </c>
      <c r="S145" s="23"/>
      <c r="T145" s="23">
        <f>30000</f>
        <v>30000</v>
      </c>
      <c r="U145" s="23">
        <f>52500</f>
        <v>52500</v>
      </c>
      <c r="V145" s="23">
        <v>0</v>
      </c>
      <c r="W145" s="25">
        <v>27873.079686666664</v>
      </c>
      <c r="X145" s="208">
        <f>W145+V145+U145+T145+S145</f>
        <v>110373.07968666666</v>
      </c>
      <c r="Y145" s="23">
        <v>128128.05700000002</v>
      </c>
      <c r="Z145" s="208">
        <f>R145-X145</f>
        <v>131926.99781333332</v>
      </c>
      <c r="AA145" s="180"/>
    </row>
    <row r="146" spans="1:27" ht="20.100000000000001" customHeight="1">
      <c r="A146" s="191">
        <v>14</v>
      </c>
      <c r="B146" s="156" t="s">
        <v>260</v>
      </c>
      <c r="C146" s="20" t="s">
        <v>261</v>
      </c>
      <c r="D146" s="181" t="s">
        <v>155</v>
      </c>
      <c r="E146" s="179">
        <v>18281.64</v>
      </c>
      <c r="F146" s="25"/>
      <c r="G146" s="25">
        <f t="shared" si="218"/>
        <v>54844.92</v>
      </c>
      <c r="H146" s="25">
        <f t="shared" si="219"/>
        <v>1371.1229999999998</v>
      </c>
      <c r="I146" s="25"/>
      <c r="J146" s="25">
        <f t="shared" si="220"/>
        <v>9140.82</v>
      </c>
      <c r="K146" s="23">
        <f t="shared" si="221"/>
        <v>63985.74</v>
      </c>
      <c r="L146" s="25">
        <f t="shared" si="222"/>
        <v>18281.64</v>
      </c>
      <c r="M146" s="179"/>
      <c r="N146" s="179">
        <f>60000</f>
        <v>60000</v>
      </c>
      <c r="O146" s="25">
        <f t="shared" si="223"/>
        <v>1828.164</v>
      </c>
      <c r="P146" s="25">
        <v>10000</v>
      </c>
      <c r="Q146" s="25"/>
      <c r="R146" s="204">
        <f t="shared" si="224"/>
        <v>237734.04699999996</v>
      </c>
      <c r="S146" s="23"/>
      <c r="T146" s="23">
        <f>10000</f>
        <v>10000</v>
      </c>
      <c r="U146" s="23">
        <f>22916.67</f>
        <v>22916.67</v>
      </c>
      <c r="V146" s="23"/>
      <c r="W146" s="25">
        <v>27031.29334266666</v>
      </c>
      <c r="X146" s="208">
        <f t="shared" si="216"/>
        <v>59947.963342666655</v>
      </c>
      <c r="Y146" s="23">
        <v>173913.36749999999</v>
      </c>
      <c r="Z146" s="208">
        <f t="shared" si="217"/>
        <v>177786.08365733331</v>
      </c>
      <c r="AA146" s="180"/>
    </row>
    <row r="147" spans="1:27" ht="20.100000000000001" customHeight="1">
      <c r="A147" s="191">
        <v>15</v>
      </c>
      <c r="B147" s="156" t="s">
        <v>262</v>
      </c>
      <c r="C147" s="20" t="s">
        <v>261</v>
      </c>
      <c r="D147" s="181" t="s">
        <v>78</v>
      </c>
      <c r="E147" s="179">
        <v>18281.64</v>
      </c>
      <c r="F147" s="25"/>
      <c r="G147" s="25">
        <f t="shared" si="218"/>
        <v>54844.92</v>
      </c>
      <c r="H147" s="25">
        <f t="shared" si="219"/>
        <v>1371.1229999999998</v>
      </c>
      <c r="I147" s="25"/>
      <c r="J147" s="25">
        <f t="shared" si="220"/>
        <v>9140.82</v>
      </c>
      <c r="K147" s="23">
        <f t="shared" si="221"/>
        <v>63985.74</v>
      </c>
      <c r="L147" s="25">
        <f t="shared" si="222"/>
        <v>18281.64</v>
      </c>
      <c r="M147" s="179"/>
      <c r="N147" s="179">
        <f>60000</f>
        <v>60000</v>
      </c>
      <c r="O147" s="25">
        <f t="shared" si="223"/>
        <v>1828.164</v>
      </c>
      <c r="P147" s="25">
        <v>10000</v>
      </c>
      <c r="Q147" s="25"/>
      <c r="R147" s="204">
        <f t="shared" si="224"/>
        <v>237734.04699999996</v>
      </c>
      <c r="S147" s="23"/>
      <c r="T147" s="23">
        <f>10000</f>
        <v>10000</v>
      </c>
      <c r="U147" s="23">
        <f>25750</f>
        <v>25750</v>
      </c>
      <c r="V147" s="23">
        <v>457.041</v>
      </c>
      <c r="W147" s="25">
        <v>27105.986562666658</v>
      </c>
      <c r="X147" s="208">
        <f t="shared" si="216"/>
        <v>63313.027562666655</v>
      </c>
      <c r="Y147" s="23">
        <v>196460.125</v>
      </c>
      <c r="Z147" s="208">
        <f t="shared" si="217"/>
        <v>174421.01943733331</v>
      </c>
      <c r="AA147" s="180"/>
    </row>
    <row r="148" spans="1:27" ht="20.100000000000001" customHeight="1">
      <c r="A148" s="191">
        <v>16</v>
      </c>
      <c r="B148" s="156" t="s">
        <v>263</v>
      </c>
      <c r="C148" s="20" t="s">
        <v>261</v>
      </c>
      <c r="D148" s="181" t="s">
        <v>78</v>
      </c>
      <c r="E148" s="179">
        <v>18281.64</v>
      </c>
      <c r="F148" s="25"/>
      <c r="G148" s="25">
        <f t="shared" si="218"/>
        <v>54844.92</v>
      </c>
      <c r="H148" s="25">
        <f t="shared" si="219"/>
        <v>1371.1229999999998</v>
      </c>
      <c r="I148" s="25"/>
      <c r="J148" s="25">
        <f t="shared" si="220"/>
        <v>9140.82</v>
      </c>
      <c r="K148" s="23">
        <f t="shared" si="221"/>
        <v>63985.74</v>
      </c>
      <c r="L148" s="25">
        <f t="shared" si="222"/>
        <v>18281.64</v>
      </c>
      <c r="M148" s="179"/>
      <c r="N148" s="179">
        <f>60000</f>
        <v>60000</v>
      </c>
      <c r="O148" s="25">
        <f t="shared" si="223"/>
        <v>1828.164</v>
      </c>
      <c r="P148" s="25">
        <v>10000</v>
      </c>
      <c r="Q148" s="25"/>
      <c r="R148" s="204">
        <f t="shared" si="224"/>
        <v>237734.04699999996</v>
      </c>
      <c r="S148" s="23"/>
      <c r="T148" s="23">
        <f>10000</f>
        <v>10000</v>
      </c>
      <c r="U148" s="23"/>
      <c r="V148" s="23"/>
      <c r="W148" s="25">
        <v>27105.986562666658</v>
      </c>
      <c r="X148" s="208">
        <f t="shared" si="216"/>
        <v>37105.986562666658</v>
      </c>
      <c r="Y148" s="23">
        <v>196830.03749999998</v>
      </c>
      <c r="Z148" s="208">
        <f t="shared" si="217"/>
        <v>200628.0604373333</v>
      </c>
      <c r="AA148" s="180"/>
    </row>
    <row r="149" spans="1:27" ht="20.100000000000001" customHeight="1">
      <c r="A149" s="191">
        <v>17</v>
      </c>
      <c r="B149" s="156" t="s">
        <v>264</v>
      </c>
      <c r="C149" s="161" t="s">
        <v>265</v>
      </c>
      <c r="D149" s="181" t="s">
        <v>184</v>
      </c>
      <c r="E149" s="260">
        <f>17286.33</f>
        <v>17286.330000000002</v>
      </c>
      <c r="F149" s="25"/>
      <c r="G149" s="25">
        <f t="shared" ref="G149:G150" si="226">E149*300%</f>
        <v>51858.990000000005</v>
      </c>
      <c r="H149" s="25">
        <f t="shared" ref="H149:H150" si="227">E149*7.5%</f>
        <v>1296.4747500000001</v>
      </c>
      <c r="I149" s="25"/>
      <c r="J149" s="25">
        <f t="shared" ref="J149:J150" si="228">E149*50%</f>
        <v>8643.1650000000009</v>
      </c>
      <c r="K149" s="23">
        <f t="shared" ref="K149:K150" si="229">E149*350%</f>
        <v>60502.155000000006</v>
      </c>
      <c r="L149" s="25">
        <f t="shared" ref="L149:L150" si="230">E149*100%</f>
        <v>17286.330000000002</v>
      </c>
      <c r="M149" s="179"/>
      <c r="N149" s="179">
        <f>60000</f>
        <v>60000</v>
      </c>
      <c r="O149" s="25">
        <f t="shared" ref="O149:O150" si="231">E149*10%</f>
        <v>1728.6330000000003</v>
      </c>
      <c r="P149" s="25">
        <v>10000</v>
      </c>
      <c r="Q149" s="25"/>
      <c r="R149" s="204">
        <f>SUM(E149:Q149)</f>
        <v>228602.07775000003</v>
      </c>
      <c r="S149" s="23"/>
      <c r="T149" s="23"/>
      <c r="U149" s="23"/>
      <c r="V149" s="23"/>
      <c r="W149" s="25">
        <v>25571.815728666668</v>
      </c>
      <c r="X149" s="208">
        <f t="shared" si="216"/>
        <v>25571.815728666668</v>
      </c>
      <c r="Y149" s="23">
        <v>203030.25775000002</v>
      </c>
      <c r="Z149" s="208">
        <f t="shared" si="217"/>
        <v>203030.26202133336</v>
      </c>
      <c r="AA149" s="180"/>
    </row>
    <row r="150" spans="1:27" ht="20.100000000000001" customHeight="1">
      <c r="A150" s="191">
        <v>18</v>
      </c>
      <c r="B150" s="156" t="s">
        <v>266</v>
      </c>
      <c r="C150" s="161" t="s">
        <v>259</v>
      </c>
      <c r="D150" s="28" t="s">
        <v>129</v>
      </c>
      <c r="E150" s="258">
        <f>14736.14</f>
        <v>14736.14</v>
      </c>
      <c r="F150" s="25"/>
      <c r="G150" s="25">
        <f t="shared" si="226"/>
        <v>44208.42</v>
      </c>
      <c r="H150" s="25">
        <f t="shared" si="227"/>
        <v>1105.2104999999999</v>
      </c>
      <c r="I150" s="25"/>
      <c r="J150" s="25">
        <f t="shared" si="228"/>
        <v>7368.07</v>
      </c>
      <c r="K150" s="25">
        <f t="shared" si="229"/>
        <v>51576.49</v>
      </c>
      <c r="L150" s="25">
        <f t="shared" si="230"/>
        <v>14736.14</v>
      </c>
      <c r="M150" s="179"/>
      <c r="N150" s="179">
        <f>60000</f>
        <v>60000</v>
      </c>
      <c r="O150" s="25">
        <f t="shared" si="231"/>
        <v>1473.614</v>
      </c>
      <c r="P150" s="25">
        <v>10000</v>
      </c>
      <c r="Q150" s="25"/>
      <c r="R150" s="204">
        <f>SUM(E150:Q150)</f>
        <v>205204.0845</v>
      </c>
      <c r="S150" s="23"/>
      <c r="T150" s="23"/>
      <c r="U150" s="23"/>
      <c r="V150" s="23"/>
      <c r="W150" s="25">
        <v>21640.952862666669</v>
      </c>
      <c r="X150" s="208">
        <f>W150+V150+U150+T150</f>
        <v>21640.952862666669</v>
      </c>
      <c r="Y150" s="23">
        <v>183563.13449999999</v>
      </c>
      <c r="Z150" s="208">
        <f t="shared" si="217"/>
        <v>183563.13163733334</v>
      </c>
      <c r="AA150" s="180"/>
    </row>
    <row r="151" spans="1:27" ht="20.100000000000001" customHeight="1">
      <c r="A151" s="191">
        <v>19</v>
      </c>
      <c r="B151" s="156" t="s">
        <v>267</v>
      </c>
      <c r="C151" s="161" t="s">
        <v>268</v>
      </c>
      <c r="D151" s="181" t="s">
        <v>155</v>
      </c>
      <c r="E151" s="179">
        <v>18281.64</v>
      </c>
      <c r="F151" s="25"/>
      <c r="G151" s="25">
        <f t="shared" si="218"/>
        <v>54844.92</v>
      </c>
      <c r="H151" s="25">
        <f t="shared" si="219"/>
        <v>1371.1229999999998</v>
      </c>
      <c r="I151" s="25"/>
      <c r="J151" s="25">
        <f t="shared" si="220"/>
        <v>9140.82</v>
      </c>
      <c r="K151" s="23">
        <f t="shared" si="221"/>
        <v>63985.74</v>
      </c>
      <c r="L151" s="25">
        <f t="shared" si="222"/>
        <v>18281.64</v>
      </c>
      <c r="M151" s="179"/>
      <c r="N151" s="179">
        <f>50000+10000</f>
        <v>60000</v>
      </c>
      <c r="O151" s="25">
        <f t="shared" si="223"/>
        <v>1828.164</v>
      </c>
      <c r="P151" s="25">
        <v>10000</v>
      </c>
      <c r="Q151" s="25"/>
      <c r="R151" s="204">
        <f t="shared" si="224"/>
        <v>237734.04699999996</v>
      </c>
      <c r="S151" s="23"/>
      <c r="T151" s="23">
        <v>12000</v>
      </c>
      <c r="U151" s="23"/>
      <c r="V151" s="23"/>
      <c r="W151" s="25">
        <v>27105.986562666658</v>
      </c>
      <c r="X151" s="208">
        <f t="shared" ref="X151:X188" si="232">W151+V151+U151+T151+S151</f>
        <v>39105.986562666658</v>
      </c>
      <c r="Y151" s="23">
        <v>203030.36970933338</v>
      </c>
      <c r="Z151" s="208">
        <f t="shared" si="217"/>
        <v>198628.0604373333</v>
      </c>
      <c r="AA151" s="180"/>
    </row>
    <row r="152" spans="1:27" ht="20.100000000000001" customHeight="1">
      <c r="A152" s="191">
        <v>20</v>
      </c>
      <c r="B152" s="156" t="s">
        <v>269</v>
      </c>
      <c r="C152" s="161" t="s">
        <v>270</v>
      </c>
      <c r="D152" s="181" t="s">
        <v>81</v>
      </c>
      <c r="E152" s="179">
        <f>15188.67</f>
        <v>15188.67</v>
      </c>
      <c r="F152" s="25"/>
      <c r="G152" s="25">
        <f t="shared" si="218"/>
        <v>45566.01</v>
      </c>
      <c r="H152" s="25">
        <f t="shared" si="219"/>
        <v>1139.1502499999999</v>
      </c>
      <c r="I152" s="25"/>
      <c r="J152" s="25">
        <f t="shared" si="220"/>
        <v>7594.335</v>
      </c>
      <c r="K152" s="23">
        <f t="shared" si="221"/>
        <v>53160.345000000001</v>
      </c>
      <c r="L152" s="25">
        <f t="shared" si="222"/>
        <v>15188.67</v>
      </c>
      <c r="M152" s="179"/>
      <c r="N152" s="179">
        <f>50000+10000</f>
        <v>60000</v>
      </c>
      <c r="O152" s="25">
        <f t="shared" si="223"/>
        <v>1518.8670000000002</v>
      </c>
      <c r="P152" s="25">
        <v>10000</v>
      </c>
      <c r="Q152" s="25"/>
      <c r="R152" s="204">
        <f t="shared" si="224"/>
        <v>209356.04725</v>
      </c>
      <c r="S152" s="23"/>
      <c r="T152" s="23">
        <f>30000+10000</f>
        <v>40000</v>
      </c>
      <c r="U152" s="23">
        <f>70000</f>
        <v>70000</v>
      </c>
      <c r="V152" s="23"/>
      <c r="W152" s="25">
        <v>22281.815364666661</v>
      </c>
      <c r="X152" s="208">
        <f t="shared" si="232"/>
        <v>132281.81536466666</v>
      </c>
      <c r="Y152" s="23">
        <v>73563.134499999986</v>
      </c>
      <c r="Z152" s="208">
        <f t="shared" si="217"/>
        <v>77074.231885333342</v>
      </c>
      <c r="AA152" s="180"/>
    </row>
    <row r="153" spans="1:27" ht="20.100000000000001" customHeight="1">
      <c r="A153" s="191">
        <v>21</v>
      </c>
      <c r="B153" s="156" t="s">
        <v>271</v>
      </c>
      <c r="C153" s="161" t="s">
        <v>272</v>
      </c>
      <c r="D153" s="181" t="s">
        <v>155</v>
      </c>
      <c r="E153" s="179">
        <v>18281.64</v>
      </c>
      <c r="F153" s="25"/>
      <c r="G153" s="25">
        <f t="shared" si="218"/>
        <v>54844.92</v>
      </c>
      <c r="H153" s="25">
        <f t="shared" si="219"/>
        <v>1371.1229999999998</v>
      </c>
      <c r="I153" s="25"/>
      <c r="J153" s="25">
        <f t="shared" si="220"/>
        <v>9140.82</v>
      </c>
      <c r="K153" s="23">
        <f t="shared" si="221"/>
        <v>63985.74</v>
      </c>
      <c r="L153" s="25">
        <f t="shared" si="222"/>
        <v>18281.64</v>
      </c>
      <c r="M153" s="179"/>
      <c r="N153" s="179">
        <f>50000+10000</f>
        <v>60000</v>
      </c>
      <c r="O153" s="25">
        <f t="shared" si="223"/>
        <v>1828.164</v>
      </c>
      <c r="P153" s="25">
        <v>10000</v>
      </c>
      <c r="Q153" s="25"/>
      <c r="R153" s="204">
        <f t="shared" si="224"/>
        <v>237734.04699999996</v>
      </c>
      <c r="S153" s="23"/>
      <c r="T153" s="23">
        <f>10000</f>
        <v>10000</v>
      </c>
      <c r="U153" s="23">
        <f>90000</f>
        <v>90000</v>
      </c>
      <c r="V153" s="23">
        <v>457.041</v>
      </c>
      <c r="W153" s="25">
        <v>27105.986562666658</v>
      </c>
      <c r="X153" s="208">
        <f t="shared" si="232"/>
        <v>127563.02756266666</v>
      </c>
      <c r="Y153" s="23">
        <v>102585.76720933337</v>
      </c>
      <c r="Z153" s="208">
        <f t="shared" si="217"/>
        <v>110171.01943733331</v>
      </c>
      <c r="AA153" s="180"/>
    </row>
    <row r="154" spans="1:27" ht="20.100000000000001" customHeight="1">
      <c r="A154" s="191">
        <v>22</v>
      </c>
      <c r="B154" s="156" t="s">
        <v>273</v>
      </c>
      <c r="C154" s="161" t="s">
        <v>274</v>
      </c>
      <c r="D154" s="181" t="s">
        <v>81</v>
      </c>
      <c r="E154" s="179">
        <v>15188.67</v>
      </c>
      <c r="F154" s="25"/>
      <c r="G154" s="25">
        <f>E154*300%</f>
        <v>45566.01</v>
      </c>
      <c r="H154" s="25">
        <f>E154*7.5%</f>
        <v>1139.1502499999999</v>
      </c>
      <c r="I154" s="25"/>
      <c r="J154" s="25">
        <f>E154*50%</f>
        <v>7594.335</v>
      </c>
      <c r="K154" s="23">
        <f>E154*350%</f>
        <v>53160.345000000001</v>
      </c>
      <c r="L154" s="25">
        <f>E154*100%</f>
        <v>15188.67</v>
      </c>
      <c r="M154" s="179"/>
      <c r="N154" s="179">
        <f>50000+10000</f>
        <v>60000</v>
      </c>
      <c r="O154" s="25">
        <f>E154*10%</f>
        <v>1518.8670000000002</v>
      </c>
      <c r="P154" s="25">
        <v>10000</v>
      </c>
      <c r="Q154" s="25"/>
      <c r="R154" s="204">
        <f>SUM(E154:Q154)</f>
        <v>209356.04725</v>
      </c>
      <c r="S154" s="23"/>
      <c r="T154" s="23"/>
      <c r="U154" s="23">
        <f>'[2]OCT 2022 '!$D$183</f>
        <v>16666.669999999998</v>
      </c>
      <c r="V154" s="23"/>
      <c r="W154" s="25">
        <v>22338.48260466666</v>
      </c>
      <c r="X154" s="208">
        <f t="shared" si="232"/>
        <v>39005.152604666655</v>
      </c>
      <c r="Y154" s="23">
        <v>166896.4645</v>
      </c>
      <c r="Z154" s="208">
        <f t="shared" si="217"/>
        <v>170350.89464533335</v>
      </c>
      <c r="AA154" s="180"/>
    </row>
    <row r="155" spans="1:27" ht="20.100000000000001" customHeight="1">
      <c r="A155" s="191">
        <v>23</v>
      </c>
      <c r="B155" s="157" t="s">
        <v>275</v>
      </c>
      <c r="C155" s="161" t="s">
        <v>276</v>
      </c>
      <c r="D155" s="181" t="s">
        <v>87</v>
      </c>
      <c r="E155" s="179">
        <v>13492.21</v>
      </c>
      <c r="F155" s="25"/>
      <c r="G155" s="25">
        <f t="shared" si="218"/>
        <v>40476.629999999997</v>
      </c>
      <c r="H155" s="25">
        <f t="shared" si="219"/>
        <v>1011.9157499999999</v>
      </c>
      <c r="I155" s="25"/>
      <c r="J155" s="25">
        <f t="shared" si="220"/>
        <v>6746.1049999999996</v>
      </c>
      <c r="K155" s="23">
        <f t="shared" si="221"/>
        <v>47222.735000000001</v>
      </c>
      <c r="L155" s="25">
        <f>E155*100%</f>
        <v>13492.21</v>
      </c>
      <c r="M155" s="179"/>
      <c r="N155" s="179">
        <f>50000</f>
        <v>50000</v>
      </c>
      <c r="O155" s="25">
        <f>E155*10%</f>
        <v>1349.221</v>
      </c>
      <c r="P155" s="25">
        <v>10000</v>
      </c>
      <c r="Q155" s="20"/>
      <c r="R155" s="205">
        <f t="shared" si="224"/>
        <v>183791.02674999999</v>
      </c>
      <c r="S155" s="25"/>
      <c r="T155" s="23">
        <f>30000</f>
        <v>30000</v>
      </c>
      <c r="U155" s="23">
        <v>0</v>
      </c>
      <c r="V155" s="23"/>
      <c r="W155" s="25">
        <v>18102.902732666666</v>
      </c>
      <c r="X155" s="208">
        <f t="shared" si="232"/>
        <v>48102.902732666669</v>
      </c>
      <c r="Y155" s="23">
        <v>132731.17800000001</v>
      </c>
      <c r="Z155" s="208">
        <f t="shared" si="217"/>
        <v>135688.12401733332</v>
      </c>
      <c r="AA155" s="180"/>
    </row>
    <row r="156" spans="1:27" ht="20.100000000000001" customHeight="1">
      <c r="A156" s="191">
        <v>24</v>
      </c>
      <c r="B156" s="157" t="s">
        <v>277</v>
      </c>
      <c r="C156" s="161" t="s">
        <v>278</v>
      </c>
      <c r="D156" s="181" t="s">
        <v>97</v>
      </c>
      <c r="E156" s="25">
        <f>12732</f>
        <v>12732</v>
      </c>
      <c r="F156" s="25"/>
      <c r="G156" s="25">
        <f>E156*300%</f>
        <v>38196</v>
      </c>
      <c r="H156" s="25">
        <f>E156*7.5%</f>
        <v>954.9</v>
      </c>
      <c r="I156" s="25"/>
      <c r="J156" s="25">
        <f>E156*50%</f>
        <v>6366</v>
      </c>
      <c r="K156" s="25">
        <f>E156*350%</f>
        <v>44562</v>
      </c>
      <c r="L156" s="25">
        <f>E156*100%</f>
        <v>12732</v>
      </c>
      <c r="M156" s="179"/>
      <c r="N156" s="179">
        <f>50000</f>
        <v>50000</v>
      </c>
      <c r="O156" s="25">
        <f>E156*10%</f>
        <v>1273.2</v>
      </c>
      <c r="P156" s="25">
        <v>10000</v>
      </c>
      <c r="Q156" s="25"/>
      <c r="R156" s="204">
        <f t="shared" ref="R156" si="233">Q156+P156+O156+N156+M156+L156+K156+J156+I156+H156+G156+F156+E156</f>
        <v>176816.09999999998</v>
      </c>
      <c r="S156" s="23"/>
      <c r="T156" s="23">
        <v>0</v>
      </c>
      <c r="U156" s="23">
        <v>0</v>
      </c>
      <c r="V156" s="23">
        <v>0</v>
      </c>
      <c r="W156" s="25">
        <v>17042.713866666661</v>
      </c>
      <c r="X156" s="208">
        <f t="shared" si="232"/>
        <v>17042.713866666661</v>
      </c>
      <c r="Y156" s="23">
        <v>56816.369500000001</v>
      </c>
      <c r="Z156" s="208">
        <f t="shared" si="217"/>
        <v>159773.38613333332</v>
      </c>
      <c r="AA156" s="180"/>
    </row>
    <row r="157" spans="1:27" ht="20.100000000000001" customHeight="1">
      <c r="A157" s="191">
        <v>25</v>
      </c>
      <c r="B157" s="157" t="s">
        <v>279</v>
      </c>
      <c r="C157" s="161" t="s">
        <v>278</v>
      </c>
      <c r="D157" s="181" t="s">
        <v>107</v>
      </c>
      <c r="E157" s="258">
        <v>12351.94</v>
      </c>
      <c r="F157" s="25"/>
      <c r="G157" s="25">
        <f t="shared" ref="G157" si="234">E157*300%</f>
        <v>37055.82</v>
      </c>
      <c r="H157" s="25">
        <f t="shared" ref="H157" si="235">E157*7.5%</f>
        <v>926.39549999999997</v>
      </c>
      <c r="I157" s="25"/>
      <c r="J157" s="25">
        <f t="shared" ref="J157" si="236">E157*50%</f>
        <v>6175.97</v>
      </c>
      <c r="K157" s="25">
        <f t="shared" ref="K157" si="237">E157*350%</f>
        <v>43231.79</v>
      </c>
      <c r="L157" s="25">
        <f t="shared" ref="L157" si="238">E157*100%</f>
        <v>12351.94</v>
      </c>
      <c r="M157" s="179"/>
      <c r="N157" s="179">
        <f>50000</f>
        <v>50000</v>
      </c>
      <c r="O157" s="25">
        <f t="shared" ref="O157" si="239">E157*10%</f>
        <v>1235.1940000000002</v>
      </c>
      <c r="P157" s="25">
        <v>10000</v>
      </c>
      <c r="Q157" s="25"/>
      <c r="R157" s="204">
        <f t="shared" ref="R157" si="240">Q157+P157+O157+N157+M157+L157+K157+J157+I157+H157+G157+F157+E157</f>
        <v>173329.04949999999</v>
      </c>
      <c r="S157" s="23"/>
      <c r="T157" s="23">
        <f>20000</f>
        <v>20000</v>
      </c>
      <c r="U157" s="23"/>
      <c r="V157" s="23">
        <v>0</v>
      </c>
      <c r="W157" s="25">
        <v>16512.68219066667</v>
      </c>
      <c r="X157" s="208">
        <f t="shared" si="232"/>
        <v>36512.682190666674</v>
      </c>
      <c r="Y157" s="23">
        <v>136816.3695</v>
      </c>
      <c r="Z157" s="208">
        <f t="shared" si="217"/>
        <v>136816.36730933332</v>
      </c>
      <c r="AA157" s="180"/>
    </row>
    <row r="158" spans="1:27" ht="20.100000000000001" customHeight="1">
      <c r="A158" s="191">
        <v>26</v>
      </c>
      <c r="B158" s="157" t="s">
        <v>280</v>
      </c>
      <c r="C158" s="161" t="s">
        <v>276</v>
      </c>
      <c r="D158" s="181" t="s">
        <v>107</v>
      </c>
      <c r="E158" s="258">
        <v>12352.94</v>
      </c>
      <c r="F158" s="25"/>
      <c r="G158" s="25">
        <f t="shared" ref="G158:G159" si="241">E158*300%</f>
        <v>37058.82</v>
      </c>
      <c r="H158" s="25">
        <f t="shared" ref="H158:H159" si="242">E158*7.5%</f>
        <v>926.47050000000002</v>
      </c>
      <c r="I158" s="25"/>
      <c r="J158" s="25">
        <f t="shared" ref="J158:J159" si="243">E158*50%</f>
        <v>6176.47</v>
      </c>
      <c r="K158" s="25">
        <f t="shared" ref="K158:K159" si="244">E158*350%</f>
        <v>43235.29</v>
      </c>
      <c r="L158" s="25">
        <f t="shared" ref="L158:L159" si="245">E158*100%</f>
        <v>12352.94</v>
      </c>
      <c r="M158" s="179"/>
      <c r="N158" s="179">
        <f>50000</f>
        <v>50000</v>
      </c>
      <c r="O158" s="25">
        <f t="shared" ref="O158:O159" si="246">E158*10%</f>
        <v>1235.2940000000001</v>
      </c>
      <c r="P158" s="25">
        <v>10001</v>
      </c>
      <c r="Q158" s="25"/>
      <c r="R158" s="204">
        <f t="shared" ref="R158:R159" si="247">Q158+P158+O158+N158+M158+L158+K158+J158+I158+H158+G158+F158+E158</f>
        <v>173339.22450000001</v>
      </c>
      <c r="S158" s="23"/>
      <c r="T158" s="23">
        <v>12000</v>
      </c>
      <c r="U158" s="23"/>
      <c r="V158" s="23">
        <v>0</v>
      </c>
      <c r="W158" s="25">
        <v>16514.228790666668</v>
      </c>
      <c r="X158" s="208">
        <f t="shared" ref="X158:X159" si="248">W158+V158+U158+T158+S158</f>
        <v>28514.228790666668</v>
      </c>
      <c r="Y158" s="23">
        <v>156826.54450000002</v>
      </c>
      <c r="Z158" s="208">
        <f t="shared" si="217"/>
        <v>144824.99570933334</v>
      </c>
      <c r="AA158" s="180"/>
    </row>
    <row r="159" spans="1:27" ht="20.100000000000001" customHeight="1">
      <c r="A159" s="191">
        <v>27</v>
      </c>
      <c r="B159" s="157" t="s">
        <v>281</v>
      </c>
      <c r="C159" s="161" t="s">
        <v>282</v>
      </c>
      <c r="D159" s="181" t="s">
        <v>97</v>
      </c>
      <c r="E159" s="25">
        <v>12732</v>
      </c>
      <c r="F159" s="25"/>
      <c r="G159" s="25">
        <f t="shared" si="241"/>
        <v>38196</v>
      </c>
      <c r="H159" s="25">
        <f t="shared" si="242"/>
        <v>954.9</v>
      </c>
      <c r="I159" s="25"/>
      <c r="J159" s="25">
        <f t="shared" si="243"/>
        <v>6366</v>
      </c>
      <c r="K159" s="25">
        <f t="shared" si="244"/>
        <v>44562</v>
      </c>
      <c r="L159" s="25">
        <f t="shared" si="245"/>
        <v>12732</v>
      </c>
      <c r="M159" s="179"/>
      <c r="N159" s="179">
        <f>50000</f>
        <v>50000</v>
      </c>
      <c r="O159" s="25">
        <f t="shared" si="246"/>
        <v>1273.2</v>
      </c>
      <c r="P159" s="25">
        <v>10002</v>
      </c>
      <c r="Q159" s="25"/>
      <c r="R159" s="204">
        <f t="shared" si="247"/>
        <v>176818.09999999998</v>
      </c>
      <c r="S159" s="23"/>
      <c r="T159" s="23">
        <v>0</v>
      </c>
      <c r="U159" s="23"/>
      <c r="V159" s="23">
        <v>0</v>
      </c>
      <c r="W159" s="25">
        <v>17043.017866666662</v>
      </c>
      <c r="X159" s="208">
        <f t="shared" si="248"/>
        <v>17043.017866666662</v>
      </c>
      <c r="Y159" s="23">
        <v>156836.71950000001</v>
      </c>
      <c r="Z159" s="208">
        <f t="shared" si="217"/>
        <v>159775.08213333332</v>
      </c>
      <c r="AA159" s="180"/>
    </row>
    <row r="160" spans="1:27" ht="20.100000000000001" customHeight="1">
      <c r="A160" s="191">
        <v>28</v>
      </c>
      <c r="B160" s="157" t="s">
        <v>283</v>
      </c>
      <c r="C160" s="161" t="s">
        <v>284</v>
      </c>
      <c r="D160" s="181" t="s">
        <v>97</v>
      </c>
      <c r="E160" s="25">
        <v>12732</v>
      </c>
      <c r="F160" s="25"/>
      <c r="G160" s="25">
        <f t="shared" ref="G160" si="249">E160*300%</f>
        <v>38196</v>
      </c>
      <c r="H160" s="25">
        <f t="shared" ref="H160" si="250">E160*7.5%</f>
        <v>954.9</v>
      </c>
      <c r="I160" s="25"/>
      <c r="J160" s="25">
        <f t="shared" ref="J160" si="251">E160*50%</f>
        <v>6366</v>
      </c>
      <c r="K160" s="25">
        <f t="shared" ref="K160" si="252">E160*350%</f>
        <v>44562</v>
      </c>
      <c r="L160" s="25">
        <f t="shared" ref="L160" si="253">E160*100%</f>
        <v>12732</v>
      </c>
      <c r="M160" s="179"/>
      <c r="N160" s="179">
        <f>50000</f>
        <v>50000</v>
      </c>
      <c r="O160" s="25">
        <f t="shared" ref="O160" si="254">E160*10%</f>
        <v>1273.2</v>
      </c>
      <c r="P160" s="25">
        <v>10000</v>
      </c>
      <c r="Q160" s="25"/>
      <c r="R160" s="204">
        <f>(Q160+P160+O160+N160+M160+L160+K160+J160+I160+H160+G160+F160+E160)</f>
        <v>176816.09999999998</v>
      </c>
      <c r="S160" s="23"/>
      <c r="T160" s="23">
        <f>10000+5000+5000</f>
        <v>20000</v>
      </c>
      <c r="U160" s="23">
        <f>32000</f>
        <v>32000</v>
      </c>
      <c r="V160" s="23">
        <v>0</v>
      </c>
      <c r="W160" s="25">
        <v>17008.323359999995</v>
      </c>
      <c r="X160" s="208">
        <f t="shared" si="232"/>
        <v>69008.323359999995</v>
      </c>
      <c r="Y160" s="23">
        <v>104816.3695</v>
      </c>
      <c r="Z160" s="208">
        <f t="shared" si="217"/>
        <v>107807.77663999998</v>
      </c>
      <c r="AA160" s="180"/>
    </row>
    <row r="161" spans="1:27" ht="20.100000000000001" customHeight="1">
      <c r="A161" s="191">
        <v>29</v>
      </c>
      <c r="B161" s="156" t="s">
        <v>285</v>
      </c>
      <c r="C161" s="161" t="s">
        <v>286</v>
      </c>
      <c r="D161" s="181" t="s">
        <v>287</v>
      </c>
      <c r="E161" s="192">
        <f>10527.6</f>
        <v>10527.6</v>
      </c>
      <c r="F161" s="179"/>
      <c r="G161" s="25">
        <f t="shared" si="218"/>
        <v>31582.800000000003</v>
      </c>
      <c r="H161" s="25">
        <f t="shared" si="219"/>
        <v>789.57</v>
      </c>
      <c r="I161" s="179">
        <v>0</v>
      </c>
      <c r="J161" s="25">
        <f t="shared" si="220"/>
        <v>5263.8</v>
      </c>
      <c r="K161" s="23">
        <f t="shared" si="221"/>
        <v>36846.6</v>
      </c>
      <c r="L161" s="25">
        <f t="shared" ref="L161:L169" si="255">E161*100%</f>
        <v>10527.6</v>
      </c>
      <c r="M161" s="179"/>
      <c r="N161" s="179">
        <f>30000</f>
        <v>30000</v>
      </c>
      <c r="O161" s="25">
        <f t="shared" ref="O161:O186" si="256">E161*10%</f>
        <v>1052.76</v>
      </c>
      <c r="P161" s="179">
        <v>5000</v>
      </c>
      <c r="Q161" s="25">
        <f>4000</f>
        <v>4000</v>
      </c>
      <c r="R161" s="204">
        <f t="shared" ref="R161:R186" si="257">SUM(E161:Q161)</f>
        <v>135590.72999999998</v>
      </c>
      <c r="S161" s="23"/>
      <c r="T161" s="23">
        <f>20000+5000+5000</f>
        <v>30000</v>
      </c>
      <c r="U161" s="23">
        <f>47916.66</f>
        <v>47916.66</v>
      </c>
      <c r="V161" s="23">
        <v>263.19</v>
      </c>
      <c r="W161" s="23">
        <v>10776.457626666665</v>
      </c>
      <c r="X161" s="208">
        <f t="shared" si="232"/>
        <v>88956.307626666676</v>
      </c>
      <c r="Y161" s="23">
        <v>34775.070999999982</v>
      </c>
      <c r="Z161" s="208">
        <f t="shared" si="217"/>
        <v>46634.422373333306</v>
      </c>
      <c r="AA161" s="180"/>
    </row>
    <row r="162" spans="1:27" ht="20.100000000000001" customHeight="1">
      <c r="A162" s="191">
        <v>30</v>
      </c>
      <c r="B162" s="156" t="s">
        <v>288</v>
      </c>
      <c r="C162" s="161" t="s">
        <v>286</v>
      </c>
      <c r="D162" s="181" t="s">
        <v>287</v>
      </c>
      <c r="E162" s="192">
        <f t="shared" ref="E162:E166" si="258">10527.6</f>
        <v>10527.6</v>
      </c>
      <c r="F162" s="179"/>
      <c r="G162" s="25">
        <f t="shared" si="218"/>
        <v>31582.800000000003</v>
      </c>
      <c r="H162" s="25">
        <f t="shared" si="219"/>
        <v>789.57</v>
      </c>
      <c r="I162" s="179">
        <v>0</v>
      </c>
      <c r="J162" s="25">
        <f t="shared" si="220"/>
        <v>5263.8</v>
      </c>
      <c r="K162" s="23">
        <f t="shared" si="221"/>
        <v>36846.6</v>
      </c>
      <c r="L162" s="25">
        <f t="shared" si="255"/>
        <v>10527.6</v>
      </c>
      <c r="M162" s="179"/>
      <c r="N162" s="179">
        <f>30000</f>
        <v>30000</v>
      </c>
      <c r="O162" s="25">
        <f t="shared" si="256"/>
        <v>1052.76</v>
      </c>
      <c r="P162" s="179">
        <v>5000</v>
      </c>
      <c r="Q162" s="25">
        <f>7000</f>
        <v>7000</v>
      </c>
      <c r="R162" s="204">
        <f t="shared" si="257"/>
        <v>138590.72999999998</v>
      </c>
      <c r="S162" s="23"/>
      <c r="T162" s="23">
        <f>5000+5000+5000</f>
        <v>15000</v>
      </c>
      <c r="U162" s="23">
        <f>14524.11</f>
        <v>14524.11</v>
      </c>
      <c r="V162" s="23"/>
      <c r="W162" s="23">
        <v>11232.457626666665</v>
      </c>
      <c r="X162" s="208">
        <f t="shared" si="232"/>
        <v>40756.567626666663</v>
      </c>
      <c r="Y162" s="23">
        <v>86006.724499999997</v>
      </c>
      <c r="Z162" s="208">
        <f t="shared" si="217"/>
        <v>97834.162373333325</v>
      </c>
      <c r="AA162" s="180"/>
    </row>
    <row r="163" spans="1:27" ht="20.100000000000001" customHeight="1">
      <c r="A163" s="191">
        <v>31</v>
      </c>
      <c r="B163" s="156" t="s">
        <v>289</v>
      </c>
      <c r="C163" s="161" t="s">
        <v>286</v>
      </c>
      <c r="D163" s="181" t="s">
        <v>287</v>
      </c>
      <c r="E163" s="192">
        <f t="shared" si="258"/>
        <v>10527.6</v>
      </c>
      <c r="F163" s="179"/>
      <c r="G163" s="25">
        <f t="shared" si="218"/>
        <v>31582.800000000003</v>
      </c>
      <c r="H163" s="25">
        <f t="shared" si="219"/>
        <v>789.57</v>
      </c>
      <c r="I163" s="25">
        <v>0</v>
      </c>
      <c r="J163" s="25">
        <f t="shared" si="220"/>
        <v>5263.8</v>
      </c>
      <c r="K163" s="23">
        <f t="shared" si="221"/>
        <v>36846.6</v>
      </c>
      <c r="L163" s="25">
        <f t="shared" si="255"/>
        <v>10527.6</v>
      </c>
      <c r="M163" s="179"/>
      <c r="N163" s="179">
        <f>30000</f>
        <v>30000</v>
      </c>
      <c r="O163" s="25">
        <f t="shared" si="256"/>
        <v>1052.76</v>
      </c>
      <c r="P163" s="25">
        <v>5000</v>
      </c>
      <c r="Q163" s="25">
        <f>4000</f>
        <v>4000</v>
      </c>
      <c r="R163" s="204">
        <f t="shared" si="257"/>
        <v>135590.72999999998</v>
      </c>
      <c r="S163" s="23"/>
      <c r="T163" s="23">
        <f>10000+5000+5000</f>
        <v>20000</v>
      </c>
      <c r="U163" s="23">
        <f>26250</f>
        <v>26250</v>
      </c>
      <c r="V163" s="23"/>
      <c r="W163" s="23">
        <v>10776.457626666665</v>
      </c>
      <c r="X163" s="208">
        <f t="shared" si="232"/>
        <v>57026.457626666663</v>
      </c>
      <c r="Y163" s="23">
        <v>66640.834499999997</v>
      </c>
      <c r="Z163" s="208">
        <f t="shared" si="217"/>
        <v>78564.272373333311</v>
      </c>
      <c r="AA163" s="180"/>
    </row>
    <row r="164" spans="1:27" ht="20.100000000000001" customHeight="1">
      <c r="A164" s="191">
        <v>32</v>
      </c>
      <c r="B164" s="156" t="s">
        <v>290</v>
      </c>
      <c r="C164" s="161" t="s">
        <v>286</v>
      </c>
      <c r="D164" s="181" t="s">
        <v>287</v>
      </c>
      <c r="E164" s="192">
        <f t="shared" si="258"/>
        <v>10527.6</v>
      </c>
      <c r="F164" s="179"/>
      <c r="G164" s="25">
        <f t="shared" si="218"/>
        <v>31582.800000000003</v>
      </c>
      <c r="H164" s="25">
        <f t="shared" si="219"/>
        <v>789.57</v>
      </c>
      <c r="I164" s="25">
        <v>0</v>
      </c>
      <c r="J164" s="25">
        <f t="shared" si="220"/>
        <v>5263.8</v>
      </c>
      <c r="K164" s="23">
        <f t="shared" si="221"/>
        <v>36846.6</v>
      </c>
      <c r="L164" s="25">
        <f t="shared" si="255"/>
        <v>10527.6</v>
      </c>
      <c r="M164" s="179"/>
      <c r="N164" s="179">
        <f>30000</f>
        <v>30000</v>
      </c>
      <c r="O164" s="25">
        <f t="shared" si="256"/>
        <v>1052.76</v>
      </c>
      <c r="P164" s="25">
        <v>5000</v>
      </c>
      <c r="Q164" s="25">
        <f>4000</f>
        <v>4000</v>
      </c>
      <c r="R164" s="204">
        <f t="shared" si="257"/>
        <v>135590.72999999998</v>
      </c>
      <c r="S164" s="23"/>
      <c r="T164" s="23">
        <v>5000</v>
      </c>
      <c r="U164" s="23">
        <f>0</f>
        <v>0</v>
      </c>
      <c r="V164" s="23"/>
      <c r="W164" s="23">
        <v>10776.457626666665</v>
      </c>
      <c r="X164" s="208">
        <f t="shared" si="232"/>
        <v>15776.457626666665</v>
      </c>
      <c r="Y164" s="23">
        <v>107890.8345</v>
      </c>
      <c r="Z164" s="208">
        <f t="shared" ref="Z164:Z188" si="259">R164-X164</f>
        <v>119814.27237333331</v>
      </c>
      <c r="AA164" s="180"/>
    </row>
    <row r="165" spans="1:27" ht="20.100000000000001" customHeight="1">
      <c r="A165" s="191">
        <v>33</v>
      </c>
      <c r="B165" s="156" t="s">
        <v>291</v>
      </c>
      <c r="C165" s="161" t="s">
        <v>286</v>
      </c>
      <c r="D165" s="181" t="s">
        <v>287</v>
      </c>
      <c r="E165" s="192">
        <f t="shared" si="258"/>
        <v>10527.6</v>
      </c>
      <c r="F165" s="179"/>
      <c r="G165" s="25">
        <f t="shared" si="218"/>
        <v>31582.800000000003</v>
      </c>
      <c r="H165" s="25">
        <f t="shared" si="219"/>
        <v>789.57</v>
      </c>
      <c r="I165" s="25">
        <v>0</v>
      </c>
      <c r="J165" s="25">
        <f t="shared" si="220"/>
        <v>5263.8</v>
      </c>
      <c r="K165" s="23">
        <f t="shared" si="221"/>
        <v>36846.6</v>
      </c>
      <c r="L165" s="25">
        <f t="shared" si="255"/>
        <v>10527.6</v>
      </c>
      <c r="M165" s="179"/>
      <c r="N165" s="179">
        <f>30000</f>
        <v>30000</v>
      </c>
      <c r="O165" s="25">
        <f t="shared" si="256"/>
        <v>1052.76</v>
      </c>
      <c r="P165" s="25">
        <v>5000</v>
      </c>
      <c r="Q165" s="25">
        <f>4000</f>
        <v>4000</v>
      </c>
      <c r="R165" s="204">
        <f t="shared" si="257"/>
        <v>135590.72999999998</v>
      </c>
      <c r="S165" s="23"/>
      <c r="T165" s="23">
        <f>5000+5000+5000</f>
        <v>15000</v>
      </c>
      <c r="U165" s="23">
        <f>25704.84+50000-40000+20000-20000</f>
        <v>35704.839999999997</v>
      </c>
      <c r="V165" s="23">
        <v>263.19</v>
      </c>
      <c r="W165" s="23">
        <v>10743.737199999998</v>
      </c>
      <c r="X165" s="208">
        <f t="shared" si="232"/>
        <v>61711.767199999995</v>
      </c>
      <c r="Y165" s="23">
        <v>41986.890999999989</v>
      </c>
      <c r="Z165" s="208">
        <f t="shared" si="259"/>
        <v>73878.962799999979</v>
      </c>
      <c r="AA165" s="180"/>
    </row>
    <row r="166" spans="1:27" ht="20.100000000000001" customHeight="1">
      <c r="A166" s="191">
        <v>34</v>
      </c>
      <c r="B166" s="156" t="s">
        <v>292</v>
      </c>
      <c r="C166" s="161" t="s">
        <v>286</v>
      </c>
      <c r="D166" s="181" t="s">
        <v>287</v>
      </c>
      <c r="E166" s="192">
        <f t="shared" si="258"/>
        <v>10527.6</v>
      </c>
      <c r="F166" s="179"/>
      <c r="G166" s="25">
        <f t="shared" si="218"/>
        <v>31582.800000000003</v>
      </c>
      <c r="H166" s="25">
        <f t="shared" si="219"/>
        <v>789.57</v>
      </c>
      <c r="I166" s="25">
        <v>0</v>
      </c>
      <c r="J166" s="25">
        <f t="shared" si="220"/>
        <v>5263.8</v>
      </c>
      <c r="K166" s="23">
        <f t="shared" si="221"/>
        <v>36846.6</v>
      </c>
      <c r="L166" s="25">
        <f t="shared" si="255"/>
        <v>10527.6</v>
      </c>
      <c r="M166" s="179"/>
      <c r="N166" s="179">
        <f>30000</f>
        <v>30000</v>
      </c>
      <c r="O166" s="25">
        <f t="shared" si="256"/>
        <v>1052.76</v>
      </c>
      <c r="P166" s="25">
        <v>5000</v>
      </c>
      <c r="Q166" s="25">
        <f>4000</f>
        <v>4000</v>
      </c>
      <c r="R166" s="204">
        <f t="shared" si="257"/>
        <v>135590.72999999998</v>
      </c>
      <c r="S166" s="23"/>
      <c r="T166" s="23">
        <f>10000+5000+5000</f>
        <v>20000</v>
      </c>
      <c r="U166" s="23">
        <f>15112.49</f>
        <v>15112.49</v>
      </c>
      <c r="V166" s="23"/>
      <c r="W166" s="23">
        <v>10776.457626666665</v>
      </c>
      <c r="X166" s="208">
        <f t="shared" si="232"/>
        <v>45888.947626666661</v>
      </c>
      <c r="Y166" s="23">
        <v>77778.344499999992</v>
      </c>
      <c r="Z166" s="208">
        <f t="shared" si="259"/>
        <v>89701.782373333321</v>
      </c>
      <c r="AA166" s="180"/>
    </row>
    <row r="167" spans="1:27" ht="20.100000000000001" customHeight="1">
      <c r="A167" s="191">
        <v>35</v>
      </c>
      <c r="B167" s="156" t="s">
        <v>293</v>
      </c>
      <c r="C167" s="161" t="s">
        <v>286</v>
      </c>
      <c r="D167" s="181" t="s">
        <v>294</v>
      </c>
      <c r="E167" s="25">
        <v>9050.14</v>
      </c>
      <c r="F167" s="179"/>
      <c r="G167" s="25">
        <f t="shared" si="218"/>
        <v>27150.42</v>
      </c>
      <c r="H167" s="25">
        <f t="shared" si="219"/>
        <v>678.76049999999998</v>
      </c>
      <c r="I167" s="25">
        <v>0</v>
      </c>
      <c r="J167" s="25">
        <f t="shared" si="220"/>
        <v>4525.07</v>
      </c>
      <c r="K167" s="23">
        <f t="shared" si="221"/>
        <v>31675.489999999998</v>
      </c>
      <c r="L167" s="25">
        <f t="shared" si="255"/>
        <v>9050.14</v>
      </c>
      <c r="M167" s="179"/>
      <c r="N167" s="179">
        <f>20000+10000</f>
        <v>30000</v>
      </c>
      <c r="O167" s="25">
        <f t="shared" si="256"/>
        <v>905.01400000000001</v>
      </c>
      <c r="P167" s="25">
        <v>5000</v>
      </c>
      <c r="Q167" s="25">
        <f>7000</f>
        <v>7000</v>
      </c>
      <c r="R167" s="204">
        <f t="shared" si="257"/>
        <v>125035.03449999999</v>
      </c>
      <c r="S167" s="23"/>
      <c r="T167" s="23">
        <f>5000+5000+15000+5000</f>
        <v>30000</v>
      </c>
      <c r="U167" s="23">
        <f>26430.62</f>
        <v>26430.62</v>
      </c>
      <c r="V167" s="23"/>
      <c r="W167" s="23">
        <v>9504.2041399999998</v>
      </c>
      <c r="X167" s="208">
        <f t="shared" si="232"/>
        <v>65934.824139999997</v>
      </c>
      <c r="Y167" s="23">
        <v>56521.778250000003</v>
      </c>
      <c r="Z167" s="208">
        <f t="shared" si="259"/>
        <v>59100.210359999997</v>
      </c>
      <c r="AA167" s="180"/>
    </row>
    <row r="168" spans="1:27" ht="20.100000000000001" customHeight="1">
      <c r="A168" s="191">
        <v>36</v>
      </c>
      <c r="B168" s="156" t="s">
        <v>295</v>
      </c>
      <c r="C168" s="161" t="s">
        <v>286</v>
      </c>
      <c r="D168" s="181" t="s">
        <v>294</v>
      </c>
      <c r="E168" s="25">
        <v>9050.14</v>
      </c>
      <c r="F168" s="179"/>
      <c r="G168" s="25">
        <f t="shared" si="218"/>
        <v>27150.42</v>
      </c>
      <c r="H168" s="25">
        <f t="shared" si="219"/>
        <v>678.76049999999998</v>
      </c>
      <c r="I168" s="25">
        <v>0</v>
      </c>
      <c r="J168" s="25">
        <f t="shared" si="220"/>
        <v>4525.07</v>
      </c>
      <c r="K168" s="23">
        <f t="shared" si="221"/>
        <v>31675.489999999998</v>
      </c>
      <c r="L168" s="25">
        <f t="shared" si="255"/>
        <v>9050.14</v>
      </c>
      <c r="M168" s="179"/>
      <c r="N168" s="179">
        <f t="shared" ref="N168:N173" si="260">20000+10000</f>
        <v>30000</v>
      </c>
      <c r="O168" s="25">
        <f t="shared" si="256"/>
        <v>905.01400000000001</v>
      </c>
      <c r="P168" s="25">
        <v>5000</v>
      </c>
      <c r="Q168" s="25">
        <f>4000</f>
        <v>4000</v>
      </c>
      <c r="R168" s="204">
        <f t="shared" si="257"/>
        <v>122035.03449999999</v>
      </c>
      <c r="S168" s="23"/>
      <c r="T168" s="23">
        <f>3000+5000+17000+5000</f>
        <v>30000</v>
      </c>
      <c r="U168" s="23">
        <f>16250+30000-30000</f>
        <v>16250</v>
      </c>
      <c r="V168" s="23"/>
      <c r="W168" s="23">
        <v>9144.2041399999998</v>
      </c>
      <c r="X168" s="208">
        <f t="shared" si="232"/>
        <v>55394.204140000002</v>
      </c>
      <c r="Y168" s="23">
        <v>34062.398249999998</v>
      </c>
      <c r="Z168" s="208">
        <f t="shared" si="259"/>
        <v>66640.830359999993</v>
      </c>
      <c r="AA168" s="180"/>
    </row>
    <row r="169" spans="1:27" ht="20.100000000000001" customHeight="1">
      <c r="A169" s="191">
        <v>37</v>
      </c>
      <c r="B169" s="156" t="s">
        <v>296</v>
      </c>
      <c r="C169" s="161" t="s">
        <v>286</v>
      </c>
      <c r="D169" s="181" t="s">
        <v>294</v>
      </c>
      <c r="E169" s="25">
        <v>9050.14</v>
      </c>
      <c r="F169" s="179"/>
      <c r="G169" s="25">
        <f t="shared" si="218"/>
        <v>27150.42</v>
      </c>
      <c r="H169" s="25">
        <f t="shared" si="219"/>
        <v>678.76049999999998</v>
      </c>
      <c r="I169" s="25">
        <v>0</v>
      </c>
      <c r="J169" s="25">
        <f t="shared" si="220"/>
        <v>4525.07</v>
      </c>
      <c r="K169" s="23">
        <f t="shared" si="221"/>
        <v>31675.489999999998</v>
      </c>
      <c r="L169" s="25">
        <f t="shared" si="255"/>
        <v>9050.14</v>
      </c>
      <c r="M169" s="179"/>
      <c r="N169" s="179">
        <f t="shared" si="260"/>
        <v>30000</v>
      </c>
      <c r="O169" s="25">
        <f t="shared" si="256"/>
        <v>905.01400000000001</v>
      </c>
      <c r="P169" s="25">
        <v>5000</v>
      </c>
      <c r="Q169" s="25">
        <f>4000</f>
        <v>4000</v>
      </c>
      <c r="R169" s="204">
        <f t="shared" si="257"/>
        <v>122035.03449999999</v>
      </c>
      <c r="S169" s="23"/>
      <c r="T169" s="23">
        <f>3000+5000+5000</f>
        <v>13000</v>
      </c>
      <c r="U169" s="23">
        <f>16729.17</f>
        <v>16729.169999999998</v>
      </c>
      <c r="V169" s="23"/>
      <c r="W169" s="23">
        <v>9144.2041399999998</v>
      </c>
      <c r="X169" s="208">
        <f t="shared" si="232"/>
        <v>38873.37414</v>
      </c>
      <c r="Y169" s="23">
        <v>80583.228250000015</v>
      </c>
      <c r="Z169" s="208">
        <f t="shared" si="259"/>
        <v>83161.660359999994</v>
      </c>
      <c r="AA169" s="180"/>
    </row>
    <row r="170" spans="1:27" ht="20.100000000000001" customHeight="1">
      <c r="A170" s="191">
        <v>38</v>
      </c>
      <c r="B170" s="158" t="s">
        <v>297</v>
      </c>
      <c r="C170" s="161" t="s">
        <v>286</v>
      </c>
      <c r="D170" s="181" t="s">
        <v>294</v>
      </c>
      <c r="E170" s="25">
        <v>9050.14</v>
      </c>
      <c r="F170" s="179"/>
      <c r="G170" s="25">
        <f t="shared" si="218"/>
        <v>27150.42</v>
      </c>
      <c r="H170" s="25">
        <f t="shared" si="219"/>
        <v>678.76049999999998</v>
      </c>
      <c r="I170" s="25">
        <v>0</v>
      </c>
      <c r="J170" s="25">
        <f t="shared" si="220"/>
        <v>4525.07</v>
      </c>
      <c r="K170" s="23">
        <f t="shared" si="221"/>
        <v>31675.489999999998</v>
      </c>
      <c r="L170" s="25">
        <f>E169*100%</f>
        <v>9050.14</v>
      </c>
      <c r="M170" s="179"/>
      <c r="N170" s="179">
        <f t="shared" si="260"/>
        <v>30000</v>
      </c>
      <c r="O170" s="25">
        <f t="shared" si="256"/>
        <v>905.01400000000001</v>
      </c>
      <c r="P170" s="25">
        <v>5000</v>
      </c>
      <c r="Q170" s="25">
        <f>7000</f>
        <v>7000</v>
      </c>
      <c r="R170" s="204">
        <f t="shared" si="257"/>
        <v>125035.03449999999</v>
      </c>
      <c r="S170" s="23"/>
      <c r="T170" s="23">
        <f>5000+5000+5000+5000</f>
        <v>20000</v>
      </c>
      <c r="U170" s="23">
        <f>26000+4000</f>
        <v>30000</v>
      </c>
      <c r="V170" s="23"/>
      <c r="W170" s="23">
        <v>9504.2041399999998</v>
      </c>
      <c r="X170" s="208">
        <f t="shared" si="232"/>
        <v>59504.204140000002</v>
      </c>
      <c r="Y170" s="23">
        <v>62952.398250000006</v>
      </c>
      <c r="Z170" s="208">
        <f t="shared" si="259"/>
        <v>65530.830359999993</v>
      </c>
      <c r="AA170" s="180"/>
    </row>
    <row r="171" spans="1:27" ht="20.100000000000001" customHeight="1">
      <c r="A171" s="191">
        <v>39</v>
      </c>
      <c r="B171" s="156" t="s">
        <v>298</v>
      </c>
      <c r="C171" s="161" t="s">
        <v>286</v>
      </c>
      <c r="D171" s="181" t="s">
        <v>294</v>
      </c>
      <c r="E171" s="25">
        <v>9050.14</v>
      </c>
      <c r="F171" s="179"/>
      <c r="G171" s="25">
        <f t="shared" si="218"/>
        <v>27150.42</v>
      </c>
      <c r="H171" s="25">
        <f t="shared" si="219"/>
        <v>678.76049999999998</v>
      </c>
      <c r="I171" s="25"/>
      <c r="J171" s="25">
        <f t="shared" si="220"/>
        <v>4525.07</v>
      </c>
      <c r="K171" s="23">
        <f t="shared" si="221"/>
        <v>31675.489999999998</v>
      </c>
      <c r="L171" s="25">
        <f t="shared" ref="L171:L186" si="261">E171*100%</f>
        <v>9050.14</v>
      </c>
      <c r="M171" s="179"/>
      <c r="N171" s="179">
        <f t="shared" si="260"/>
        <v>30000</v>
      </c>
      <c r="O171" s="25">
        <f t="shared" si="256"/>
        <v>905.01400000000001</v>
      </c>
      <c r="P171" s="25">
        <v>5000</v>
      </c>
      <c r="Q171" s="25">
        <f>4000</f>
        <v>4000</v>
      </c>
      <c r="R171" s="204">
        <f t="shared" si="257"/>
        <v>122035.03449999999</v>
      </c>
      <c r="S171" s="23"/>
      <c r="T171" s="23">
        <f>10000+5000+5000</f>
        <v>20000</v>
      </c>
      <c r="U171" s="23">
        <f>13750</f>
        <v>13750</v>
      </c>
      <c r="V171" s="23"/>
      <c r="W171" s="23">
        <v>9144.2041399999998</v>
      </c>
      <c r="X171" s="208">
        <f t="shared" si="232"/>
        <v>42894.204140000002</v>
      </c>
      <c r="Y171" s="23">
        <v>76562.398249999998</v>
      </c>
      <c r="Z171" s="208">
        <f t="shared" si="259"/>
        <v>79140.830359999993</v>
      </c>
      <c r="AA171" s="180"/>
    </row>
    <row r="172" spans="1:27" ht="20.100000000000001" customHeight="1">
      <c r="A172" s="191">
        <v>40</v>
      </c>
      <c r="B172" s="157" t="s">
        <v>299</v>
      </c>
      <c r="C172" s="161" t="s">
        <v>286</v>
      </c>
      <c r="D172" s="181" t="s">
        <v>294</v>
      </c>
      <c r="E172" s="25">
        <v>9050.14</v>
      </c>
      <c r="F172" s="179"/>
      <c r="G172" s="25">
        <f t="shared" si="218"/>
        <v>27150.42</v>
      </c>
      <c r="H172" s="25">
        <f t="shared" si="219"/>
        <v>678.76049999999998</v>
      </c>
      <c r="I172" s="25"/>
      <c r="J172" s="25">
        <f t="shared" si="220"/>
        <v>4525.07</v>
      </c>
      <c r="K172" s="23">
        <f t="shared" si="221"/>
        <v>31675.489999999998</v>
      </c>
      <c r="L172" s="25">
        <f t="shared" si="261"/>
        <v>9050.14</v>
      </c>
      <c r="M172" s="179"/>
      <c r="N172" s="179">
        <f t="shared" si="260"/>
        <v>30000</v>
      </c>
      <c r="O172" s="25">
        <f t="shared" si="256"/>
        <v>905.01400000000001</v>
      </c>
      <c r="P172" s="25">
        <v>5000</v>
      </c>
      <c r="Q172" s="25">
        <f>4000</f>
        <v>4000</v>
      </c>
      <c r="R172" s="204">
        <f t="shared" si="257"/>
        <v>122035.03449999999</v>
      </c>
      <c r="S172" s="23"/>
      <c r="T172" s="23">
        <f>3000+5000+7000+5000</f>
        <v>20000</v>
      </c>
      <c r="U172" s="23">
        <f>16958.34</f>
        <v>16958.34</v>
      </c>
      <c r="V172" s="23"/>
      <c r="W172" s="23">
        <v>9144.2041399999998</v>
      </c>
      <c r="X172" s="208">
        <f t="shared" si="232"/>
        <v>46102.544139999998</v>
      </c>
      <c r="Y172" s="23">
        <v>73354.058250000002</v>
      </c>
      <c r="Z172" s="208">
        <f t="shared" si="259"/>
        <v>75932.490359999996</v>
      </c>
      <c r="AA172" s="180"/>
    </row>
    <row r="173" spans="1:27" ht="20.100000000000001" customHeight="1">
      <c r="A173" s="191">
        <v>41</v>
      </c>
      <c r="B173" s="157" t="s">
        <v>300</v>
      </c>
      <c r="C173" s="161" t="s">
        <v>286</v>
      </c>
      <c r="D173" s="181" t="s">
        <v>294</v>
      </c>
      <c r="E173" s="25">
        <v>9050.14</v>
      </c>
      <c r="F173" s="179"/>
      <c r="G173" s="25">
        <f t="shared" si="218"/>
        <v>27150.42</v>
      </c>
      <c r="H173" s="25">
        <f t="shared" si="219"/>
        <v>678.76049999999998</v>
      </c>
      <c r="I173" s="25"/>
      <c r="J173" s="25">
        <f t="shared" si="220"/>
        <v>4525.07</v>
      </c>
      <c r="K173" s="23">
        <f t="shared" si="221"/>
        <v>31675.489999999998</v>
      </c>
      <c r="L173" s="25">
        <f t="shared" si="261"/>
        <v>9050.14</v>
      </c>
      <c r="M173" s="179"/>
      <c r="N173" s="179">
        <f t="shared" si="260"/>
        <v>30000</v>
      </c>
      <c r="O173" s="25">
        <f t="shared" si="256"/>
        <v>905.01400000000001</v>
      </c>
      <c r="P173" s="25">
        <v>5000</v>
      </c>
      <c r="Q173" s="25">
        <f>7000</f>
        <v>7000</v>
      </c>
      <c r="R173" s="204">
        <f t="shared" si="257"/>
        <v>125035.03449999999</v>
      </c>
      <c r="S173" s="23"/>
      <c r="T173" s="23">
        <f>10000+5000+5000</f>
        <v>20000</v>
      </c>
      <c r="U173" s="23">
        <f>22361.11</f>
        <v>22361.11</v>
      </c>
      <c r="V173" s="23"/>
      <c r="W173" s="23">
        <v>9504.2041399999998</v>
      </c>
      <c r="X173" s="208">
        <f t="shared" si="232"/>
        <v>51865.314140000002</v>
      </c>
      <c r="Y173" s="23">
        <v>70591.288250000012</v>
      </c>
      <c r="Z173" s="208">
        <f t="shared" si="259"/>
        <v>73169.720359999992</v>
      </c>
      <c r="AA173" s="180"/>
    </row>
    <row r="174" spans="1:27" ht="20.100000000000001" customHeight="1">
      <c r="A174" s="191">
        <v>42</v>
      </c>
      <c r="B174" s="156" t="s">
        <v>301</v>
      </c>
      <c r="C174" s="161" t="s">
        <v>302</v>
      </c>
      <c r="D174" s="181" t="s">
        <v>303</v>
      </c>
      <c r="E174" s="25">
        <v>5428.12</v>
      </c>
      <c r="F174" s="179"/>
      <c r="G174" s="25">
        <f t="shared" si="218"/>
        <v>16284.36</v>
      </c>
      <c r="H174" s="25">
        <f t="shared" si="219"/>
        <v>407.10899999999998</v>
      </c>
      <c r="I174" s="25"/>
      <c r="J174" s="25">
        <f t="shared" si="220"/>
        <v>2714.06</v>
      </c>
      <c r="K174" s="23">
        <f t="shared" si="221"/>
        <v>18998.419999999998</v>
      </c>
      <c r="L174" s="25">
        <f t="shared" si="261"/>
        <v>5428.12</v>
      </c>
      <c r="M174" s="179"/>
      <c r="N174" s="179">
        <f>20000</f>
        <v>20000</v>
      </c>
      <c r="O174" s="25">
        <f t="shared" si="256"/>
        <v>542.81200000000001</v>
      </c>
      <c r="P174" s="25">
        <v>5000</v>
      </c>
      <c r="Q174" s="25">
        <f>7000</f>
        <v>7000</v>
      </c>
      <c r="R174" s="204">
        <f t="shared" si="257"/>
        <v>81803.001000000018</v>
      </c>
      <c r="S174" s="23"/>
      <c r="T174" s="23">
        <f>10000+5000+5000</f>
        <v>20000</v>
      </c>
      <c r="U174" s="23">
        <f>15625</f>
        <v>15625</v>
      </c>
      <c r="V174" s="23"/>
      <c r="W174" s="23">
        <v>4365.3307546666683</v>
      </c>
      <c r="X174" s="208">
        <f t="shared" si="232"/>
        <v>39990.330754666669</v>
      </c>
      <c r="Y174" s="23">
        <v>40384.491999999998</v>
      </c>
      <c r="Z174" s="208">
        <f t="shared" si="259"/>
        <v>41812.670245333349</v>
      </c>
      <c r="AA174" s="180"/>
    </row>
    <row r="175" spans="1:27" ht="20.100000000000001" customHeight="1">
      <c r="A175" s="191">
        <v>43</v>
      </c>
      <c r="B175" s="156" t="s">
        <v>304</v>
      </c>
      <c r="C175" s="161" t="s">
        <v>302</v>
      </c>
      <c r="D175" s="181" t="s">
        <v>303</v>
      </c>
      <c r="E175" s="25">
        <v>5428.12</v>
      </c>
      <c r="F175" s="179"/>
      <c r="G175" s="25">
        <f t="shared" si="218"/>
        <v>16284.36</v>
      </c>
      <c r="H175" s="25">
        <f t="shared" si="219"/>
        <v>407.10899999999998</v>
      </c>
      <c r="I175" s="25"/>
      <c r="J175" s="25">
        <f t="shared" si="220"/>
        <v>2714.06</v>
      </c>
      <c r="K175" s="23">
        <f t="shared" si="221"/>
        <v>18998.419999999998</v>
      </c>
      <c r="L175" s="25">
        <f t="shared" si="261"/>
        <v>5428.12</v>
      </c>
      <c r="M175" s="179"/>
      <c r="N175" s="179">
        <f>20000</f>
        <v>20000</v>
      </c>
      <c r="O175" s="25">
        <f t="shared" si="256"/>
        <v>542.81200000000001</v>
      </c>
      <c r="P175" s="25">
        <v>5000</v>
      </c>
      <c r="Q175" s="25">
        <f>7000</f>
        <v>7000</v>
      </c>
      <c r="R175" s="204">
        <f t="shared" si="257"/>
        <v>81803.001000000018</v>
      </c>
      <c r="S175" s="23"/>
      <c r="T175" s="23">
        <f>10000+5000+5000</f>
        <v>20000</v>
      </c>
      <c r="U175" s="23">
        <f>18333.33</f>
        <v>18333.330000000002</v>
      </c>
      <c r="V175" s="23"/>
      <c r="W175" s="23">
        <v>4365.3307546666683</v>
      </c>
      <c r="X175" s="208">
        <f t="shared" si="232"/>
        <v>42698.660754666671</v>
      </c>
      <c r="Y175" s="23">
        <v>37676.161999999997</v>
      </c>
      <c r="Z175" s="208">
        <f t="shared" si="259"/>
        <v>39104.340245333347</v>
      </c>
      <c r="AA175" s="180"/>
    </row>
    <row r="176" spans="1:27" ht="20.100000000000001" customHeight="1">
      <c r="A176" s="191">
        <v>44</v>
      </c>
      <c r="B176" s="157" t="s">
        <v>305</v>
      </c>
      <c r="C176" s="161" t="s">
        <v>302</v>
      </c>
      <c r="D176" s="181" t="s">
        <v>306</v>
      </c>
      <c r="E176" s="25">
        <f>5598.92</f>
        <v>5598.92</v>
      </c>
      <c r="F176" s="179"/>
      <c r="G176" s="25">
        <f t="shared" si="218"/>
        <v>16796.760000000002</v>
      </c>
      <c r="H176" s="25">
        <f t="shared" si="219"/>
        <v>419.91899999999998</v>
      </c>
      <c r="I176" s="25"/>
      <c r="J176" s="25">
        <f t="shared" si="220"/>
        <v>2799.46</v>
      </c>
      <c r="K176" s="23">
        <f t="shared" si="221"/>
        <v>19596.22</v>
      </c>
      <c r="L176" s="25">
        <f t="shared" si="261"/>
        <v>5598.92</v>
      </c>
      <c r="M176" s="179"/>
      <c r="N176" s="179">
        <f>20000</f>
        <v>20000</v>
      </c>
      <c r="O176" s="25">
        <f t="shared" si="256"/>
        <v>559.89200000000005</v>
      </c>
      <c r="P176" s="25">
        <v>5000</v>
      </c>
      <c r="Q176" s="25">
        <f>7000</f>
        <v>7000</v>
      </c>
      <c r="R176" s="204">
        <f t="shared" si="257"/>
        <v>83370.091</v>
      </c>
      <c r="S176" s="23"/>
      <c r="T176" s="23">
        <f>3000+5000+5000</f>
        <v>13000</v>
      </c>
      <c r="U176" s="23">
        <f>44000</f>
        <v>44000</v>
      </c>
      <c r="V176" s="23"/>
      <c r="W176" s="23">
        <v>4504.4109199999994</v>
      </c>
      <c r="X176" s="208">
        <f t="shared" si="232"/>
        <v>61504.410920000002</v>
      </c>
      <c r="Y176" s="23">
        <v>20437.671000000017</v>
      </c>
      <c r="Z176" s="208">
        <f t="shared" si="259"/>
        <v>21865.680079999998</v>
      </c>
      <c r="AA176" s="180"/>
    </row>
    <row r="177" spans="1:27" ht="20.100000000000001" customHeight="1">
      <c r="A177" s="191">
        <v>45</v>
      </c>
      <c r="B177" s="156" t="s">
        <v>307</v>
      </c>
      <c r="C177" s="161" t="s">
        <v>302</v>
      </c>
      <c r="D177" s="181" t="s">
        <v>308</v>
      </c>
      <c r="E177" s="25">
        <v>5257.44</v>
      </c>
      <c r="F177" s="179"/>
      <c r="G177" s="25">
        <f t="shared" si="218"/>
        <v>15772.32</v>
      </c>
      <c r="H177" s="25">
        <f t="shared" si="219"/>
        <v>394.30799999999994</v>
      </c>
      <c r="I177" s="25"/>
      <c r="J177" s="25">
        <f t="shared" si="220"/>
        <v>2628.72</v>
      </c>
      <c r="K177" s="23">
        <f t="shared" si="221"/>
        <v>18401.039999999997</v>
      </c>
      <c r="L177" s="25">
        <f t="shared" si="261"/>
        <v>5257.44</v>
      </c>
      <c r="M177" s="179"/>
      <c r="N177" s="179">
        <f>20000</f>
        <v>20000</v>
      </c>
      <c r="O177" s="25">
        <f t="shared" si="256"/>
        <v>525.74400000000003</v>
      </c>
      <c r="P177" s="25">
        <v>5000</v>
      </c>
      <c r="Q177" s="25">
        <f>7000</f>
        <v>7000</v>
      </c>
      <c r="R177" s="204">
        <f t="shared" si="257"/>
        <v>80237.012000000002</v>
      </c>
      <c r="S177" s="23"/>
      <c r="T177" s="23">
        <f>15000</f>
        <v>15000</v>
      </c>
      <c r="U177" s="23">
        <f>20000</f>
        <v>20000</v>
      </c>
      <c r="V177" s="23"/>
      <c r="W177" s="23">
        <v>4227.5237226666677</v>
      </c>
      <c r="X177" s="208">
        <f t="shared" si="232"/>
        <v>39227.523722666665</v>
      </c>
      <c r="Y177" s="23">
        <v>39581.303000000014</v>
      </c>
      <c r="Z177" s="208">
        <f t="shared" si="259"/>
        <v>41009.488277333337</v>
      </c>
      <c r="AA177" s="180"/>
    </row>
    <row r="178" spans="1:27" ht="20.100000000000001" customHeight="1">
      <c r="A178" s="191">
        <v>46</v>
      </c>
      <c r="B178" s="156" t="s">
        <v>309</v>
      </c>
      <c r="C178" s="161" t="s">
        <v>310</v>
      </c>
      <c r="D178" s="181" t="s">
        <v>311</v>
      </c>
      <c r="E178" s="25">
        <v>5086.76</v>
      </c>
      <c r="F178" s="179"/>
      <c r="G178" s="25">
        <f t="shared" si="218"/>
        <v>15260.28</v>
      </c>
      <c r="H178" s="25">
        <f t="shared" si="219"/>
        <v>381.50700000000001</v>
      </c>
      <c r="I178" s="25"/>
      <c r="J178" s="25">
        <f t="shared" si="220"/>
        <v>2543.38</v>
      </c>
      <c r="K178" s="23">
        <f t="shared" si="221"/>
        <v>17803.66</v>
      </c>
      <c r="L178" s="25">
        <f t="shared" si="261"/>
        <v>5086.76</v>
      </c>
      <c r="M178" s="179"/>
      <c r="N178" s="179">
        <f>20000</f>
        <v>20000</v>
      </c>
      <c r="O178" s="25">
        <f t="shared" si="256"/>
        <v>508.67600000000004</v>
      </c>
      <c r="P178" s="25">
        <v>5000</v>
      </c>
      <c r="Q178" s="25">
        <f>7000</f>
        <v>7000</v>
      </c>
      <c r="R178" s="204">
        <f t="shared" si="257"/>
        <v>78671.023000000016</v>
      </c>
      <c r="S178" s="23"/>
      <c r="T178" s="23">
        <f>5000+5000+5000</f>
        <v>15000</v>
      </c>
      <c r="U178" s="23">
        <f>15000</f>
        <v>15000</v>
      </c>
      <c r="V178" s="23"/>
      <c r="W178" s="23">
        <v>4089.716690666668</v>
      </c>
      <c r="X178" s="208">
        <f t="shared" si="232"/>
        <v>34089.716690666668</v>
      </c>
      <c r="Y178" s="23">
        <v>43151.949500000002</v>
      </c>
      <c r="Z178" s="208">
        <f t="shared" si="259"/>
        <v>44581.306309333348</v>
      </c>
      <c r="AA178" s="180"/>
    </row>
    <row r="179" spans="1:27" ht="20.100000000000001" customHeight="1">
      <c r="A179" s="191">
        <v>47</v>
      </c>
      <c r="B179" s="156" t="s">
        <v>312</v>
      </c>
      <c r="C179" s="161" t="s">
        <v>310</v>
      </c>
      <c r="D179" s="181" t="s">
        <v>311</v>
      </c>
      <c r="E179" s="25">
        <v>5086.76</v>
      </c>
      <c r="F179" s="179"/>
      <c r="G179" s="25">
        <f t="shared" si="218"/>
        <v>15260.28</v>
      </c>
      <c r="H179" s="25">
        <f t="shared" si="219"/>
        <v>381.50700000000001</v>
      </c>
      <c r="I179" s="25"/>
      <c r="J179" s="25">
        <f t="shared" si="220"/>
        <v>2543.38</v>
      </c>
      <c r="K179" s="23">
        <f t="shared" si="221"/>
        <v>17803.66</v>
      </c>
      <c r="L179" s="25">
        <f t="shared" si="261"/>
        <v>5086.76</v>
      </c>
      <c r="M179" s="179"/>
      <c r="N179" s="179">
        <f>20000</f>
        <v>20000</v>
      </c>
      <c r="O179" s="25">
        <f t="shared" si="256"/>
        <v>508.67600000000004</v>
      </c>
      <c r="P179" s="25">
        <v>5000</v>
      </c>
      <c r="Q179" s="25">
        <f>4000</f>
        <v>4000</v>
      </c>
      <c r="R179" s="204">
        <f t="shared" si="257"/>
        <v>75671.023000000016</v>
      </c>
      <c r="S179" s="23"/>
      <c r="T179" s="23">
        <f>15000+5000+5000+5000</f>
        <v>30000</v>
      </c>
      <c r="U179" s="23">
        <f>25555.56</f>
        <v>25555.56</v>
      </c>
      <c r="V179" s="23"/>
      <c r="W179" s="23">
        <v>3825.716690666668</v>
      </c>
      <c r="X179" s="208">
        <f t="shared" si="232"/>
        <v>59381.276690666666</v>
      </c>
      <c r="Y179" s="23">
        <v>14860.389500000005</v>
      </c>
      <c r="Z179" s="208">
        <f t="shared" si="259"/>
        <v>16289.74630933335</v>
      </c>
      <c r="AA179" s="180"/>
    </row>
    <row r="180" spans="1:27" ht="20.100000000000001" customHeight="1">
      <c r="A180" s="191">
        <v>48</v>
      </c>
      <c r="B180" s="156" t="s">
        <v>313</v>
      </c>
      <c r="C180" s="161" t="s">
        <v>310</v>
      </c>
      <c r="D180" s="181" t="s">
        <v>311</v>
      </c>
      <c r="E180" s="25">
        <v>5086.76</v>
      </c>
      <c r="F180" s="179"/>
      <c r="G180" s="25">
        <f t="shared" si="218"/>
        <v>15260.28</v>
      </c>
      <c r="H180" s="25">
        <f t="shared" si="219"/>
        <v>381.50700000000001</v>
      </c>
      <c r="I180" s="25"/>
      <c r="J180" s="25">
        <f t="shared" si="220"/>
        <v>2543.38</v>
      </c>
      <c r="K180" s="23">
        <f t="shared" si="221"/>
        <v>17803.66</v>
      </c>
      <c r="L180" s="25">
        <f t="shared" si="261"/>
        <v>5086.76</v>
      </c>
      <c r="M180" s="179"/>
      <c r="N180" s="179">
        <f>20000</f>
        <v>20000</v>
      </c>
      <c r="O180" s="25">
        <f t="shared" si="256"/>
        <v>508.67600000000004</v>
      </c>
      <c r="P180" s="25">
        <v>5000</v>
      </c>
      <c r="Q180" s="25">
        <f>7000</f>
        <v>7000</v>
      </c>
      <c r="R180" s="204">
        <f t="shared" si="257"/>
        <v>78671.023000000016</v>
      </c>
      <c r="S180" s="23"/>
      <c r="T180" s="23">
        <f>5000+5000+5000</f>
        <v>15000</v>
      </c>
      <c r="U180" s="23">
        <f>15972.22+7000-7000</f>
        <v>15972.220000000001</v>
      </c>
      <c r="V180" s="23"/>
      <c r="W180" s="23">
        <v>4089.716690666668</v>
      </c>
      <c r="X180" s="208">
        <f t="shared" si="232"/>
        <v>35061.936690666669</v>
      </c>
      <c r="Y180" s="23">
        <v>35179.729500000001</v>
      </c>
      <c r="Z180" s="208">
        <f t="shared" si="259"/>
        <v>43609.086309333346</v>
      </c>
      <c r="AA180" s="180"/>
    </row>
    <row r="181" spans="1:27" ht="20.100000000000001" customHeight="1">
      <c r="A181" s="191">
        <v>49</v>
      </c>
      <c r="B181" s="156" t="s">
        <v>314</v>
      </c>
      <c r="C181" s="161" t="s">
        <v>310</v>
      </c>
      <c r="D181" s="181" t="s">
        <v>311</v>
      </c>
      <c r="E181" s="25">
        <v>5086.76</v>
      </c>
      <c r="F181" s="179"/>
      <c r="G181" s="25">
        <f t="shared" si="218"/>
        <v>15260.28</v>
      </c>
      <c r="H181" s="25">
        <f t="shared" si="219"/>
        <v>381.50700000000001</v>
      </c>
      <c r="I181" s="25"/>
      <c r="J181" s="25">
        <f t="shared" si="220"/>
        <v>2543.38</v>
      </c>
      <c r="K181" s="23">
        <f t="shared" si="221"/>
        <v>17803.66</v>
      </c>
      <c r="L181" s="25">
        <f t="shared" si="261"/>
        <v>5086.76</v>
      </c>
      <c r="M181" s="179"/>
      <c r="N181" s="179">
        <f>20000</f>
        <v>20000</v>
      </c>
      <c r="O181" s="25">
        <f t="shared" si="256"/>
        <v>508.67600000000004</v>
      </c>
      <c r="P181" s="25">
        <v>5000</v>
      </c>
      <c r="Q181" s="25">
        <f>4000</f>
        <v>4000</v>
      </c>
      <c r="R181" s="204">
        <f t="shared" si="257"/>
        <v>75671.023000000016</v>
      </c>
      <c r="S181" s="23"/>
      <c r="T181" s="23">
        <f>10000+5000+5000</f>
        <v>20000</v>
      </c>
      <c r="U181" s="23">
        <f>8416.67+20000-20000</f>
        <v>8416.6699999999983</v>
      </c>
      <c r="V181" s="23"/>
      <c r="W181" s="23">
        <v>3825.716690666668</v>
      </c>
      <c r="X181" s="208">
        <f t="shared" si="232"/>
        <v>32242.386690666666</v>
      </c>
      <c r="Y181" s="23">
        <v>21999.279500000004</v>
      </c>
      <c r="Z181" s="208">
        <f t="shared" si="259"/>
        <v>43428.636309333349</v>
      </c>
      <c r="AA181" s="180"/>
    </row>
    <row r="182" spans="1:27" ht="20.100000000000001" customHeight="1">
      <c r="A182" s="191">
        <v>50</v>
      </c>
      <c r="B182" s="156" t="s">
        <v>315</v>
      </c>
      <c r="C182" s="161" t="s">
        <v>310</v>
      </c>
      <c r="D182" s="181" t="s">
        <v>311</v>
      </c>
      <c r="E182" s="25">
        <v>5086.76</v>
      </c>
      <c r="F182" s="179"/>
      <c r="G182" s="25">
        <f t="shared" si="218"/>
        <v>15260.28</v>
      </c>
      <c r="H182" s="25">
        <f t="shared" si="219"/>
        <v>381.50700000000001</v>
      </c>
      <c r="I182" s="25"/>
      <c r="J182" s="25">
        <f t="shared" si="220"/>
        <v>2543.38</v>
      </c>
      <c r="K182" s="23">
        <f t="shared" si="221"/>
        <v>17803.66</v>
      </c>
      <c r="L182" s="25">
        <f t="shared" si="261"/>
        <v>5086.76</v>
      </c>
      <c r="M182" s="179"/>
      <c r="N182" s="179">
        <f>20000</f>
        <v>20000</v>
      </c>
      <c r="O182" s="25">
        <f t="shared" si="256"/>
        <v>508.67600000000004</v>
      </c>
      <c r="P182" s="25">
        <v>5000</v>
      </c>
      <c r="Q182" s="25">
        <f>7000</f>
        <v>7000</v>
      </c>
      <c r="R182" s="204">
        <f t="shared" si="257"/>
        <v>78671.023000000016</v>
      </c>
      <c r="S182" s="23"/>
      <c r="T182" s="23">
        <f>5000</f>
        <v>5000</v>
      </c>
      <c r="U182" s="23">
        <f>30000</f>
        <v>30000</v>
      </c>
      <c r="V182" s="23"/>
      <c r="W182" s="23">
        <v>4089.716690666668</v>
      </c>
      <c r="X182" s="208">
        <f t="shared" si="232"/>
        <v>39089.716690666668</v>
      </c>
      <c r="Y182" s="23">
        <v>38151.949500000002</v>
      </c>
      <c r="Z182" s="208">
        <f t="shared" si="259"/>
        <v>39581.306309333348</v>
      </c>
      <c r="AA182" s="180"/>
    </row>
    <row r="183" spans="1:27" ht="20.100000000000001" customHeight="1">
      <c r="A183" s="191">
        <v>51</v>
      </c>
      <c r="B183" s="157" t="s">
        <v>316</v>
      </c>
      <c r="C183" s="161" t="s">
        <v>310</v>
      </c>
      <c r="D183" s="181" t="s">
        <v>311</v>
      </c>
      <c r="E183" s="25">
        <v>5086.76</v>
      </c>
      <c r="F183" s="179"/>
      <c r="G183" s="25">
        <f t="shared" ref="G183" si="262">E183*300%</f>
        <v>15260.28</v>
      </c>
      <c r="H183" s="25">
        <f t="shared" ref="H183" si="263">E183*7.5%</f>
        <v>381.50700000000001</v>
      </c>
      <c r="I183" s="25"/>
      <c r="J183" s="25">
        <f t="shared" ref="J183" si="264">E183*50%</f>
        <v>2543.38</v>
      </c>
      <c r="K183" s="23">
        <f t="shared" ref="K183" si="265">E183*350%</f>
        <v>17803.66</v>
      </c>
      <c r="L183" s="25">
        <f t="shared" ref="L183" si="266">E183*100%</f>
        <v>5086.76</v>
      </c>
      <c r="M183" s="179"/>
      <c r="N183" s="179">
        <f>20000</f>
        <v>20000</v>
      </c>
      <c r="O183" s="25">
        <f t="shared" ref="O183" si="267">E183*10%</f>
        <v>508.67600000000004</v>
      </c>
      <c r="P183" s="25">
        <v>5000</v>
      </c>
      <c r="Q183" s="25">
        <f>4000</f>
        <v>4000</v>
      </c>
      <c r="R183" s="204">
        <f t="shared" ref="R183" si="268">SUM(E183:Q183)</f>
        <v>75671.023000000016</v>
      </c>
      <c r="S183" s="23"/>
      <c r="T183" s="23">
        <f>0</f>
        <v>0</v>
      </c>
      <c r="U183" s="23"/>
      <c r="V183" s="23"/>
      <c r="W183" s="23">
        <v>3825.716690666668</v>
      </c>
      <c r="X183" s="208">
        <f t="shared" si="232"/>
        <v>3825.716690666668</v>
      </c>
      <c r="Y183" s="23">
        <v>70415.949500000002</v>
      </c>
      <c r="Z183" s="208">
        <f t="shared" si="259"/>
        <v>71845.306309333348</v>
      </c>
      <c r="AA183" s="180"/>
    </row>
    <row r="184" spans="1:27" ht="20.100000000000001" customHeight="1">
      <c r="A184" s="191">
        <v>52</v>
      </c>
      <c r="B184" s="157" t="s">
        <v>317</v>
      </c>
      <c r="C184" s="161" t="s">
        <v>310</v>
      </c>
      <c r="D184" s="181" t="s">
        <v>311</v>
      </c>
      <c r="E184" s="25">
        <v>5086.76</v>
      </c>
      <c r="F184" s="179"/>
      <c r="G184" s="25">
        <f>E184*300%</f>
        <v>15260.28</v>
      </c>
      <c r="H184" s="25">
        <f>E184*7.5%</f>
        <v>381.50700000000001</v>
      </c>
      <c r="I184" s="25"/>
      <c r="J184" s="25">
        <f>E184*50%</f>
        <v>2543.38</v>
      </c>
      <c r="K184" s="23">
        <f>E184*350%</f>
        <v>17803.66</v>
      </c>
      <c r="L184" s="25">
        <f>E184*100%</f>
        <v>5086.76</v>
      </c>
      <c r="M184" s="179"/>
      <c r="N184" s="179">
        <f>20000</f>
        <v>20000</v>
      </c>
      <c r="O184" s="25">
        <f>E184*10%</f>
        <v>508.67600000000004</v>
      </c>
      <c r="P184" s="25">
        <v>5000</v>
      </c>
      <c r="Q184" s="25">
        <f>7000</f>
        <v>7000</v>
      </c>
      <c r="R184" s="204">
        <f t="shared" ref="R184" si="269">SUM(E184:Q184)</f>
        <v>78671.023000000016</v>
      </c>
      <c r="S184" s="23"/>
      <c r="T184" s="23">
        <f>10000+5000+5000</f>
        <v>20000</v>
      </c>
      <c r="U184" s="23">
        <f>0</f>
        <v>0</v>
      </c>
      <c r="V184" s="23"/>
      <c r="W184" s="23">
        <v>4089.716690666668</v>
      </c>
      <c r="X184" s="208">
        <f t="shared" si="232"/>
        <v>24089.716690666668</v>
      </c>
      <c r="Y184" s="23">
        <v>53151.949500000002</v>
      </c>
      <c r="Z184" s="208">
        <f t="shared" si="259"/>
        <v>54581.306309333348</v>
      </c>
      <c r="AA184" s="180"/>
    </row>
    <row r="185" spans="1:27" ht="20.100000000000001" customHeight="1">
      <c r="A185" s="191">
        <v>53</v>
      </c>
      <c r="B185" s="156" t="s">
        <v>318</v>
      </c>
      <c r="C185" s="161" t="s">
        <v>302</v>
      </c>
      <c r="D185" s="181" t="s">
        <v>311</v>
      </c>
      <c r="E185" s="25">
        <v>5086.76</v>
      </c>
      <c r="F185" s="179"/>
      <c r="G185" s="25">
        <f t="shared" si="218"/>
        <v>15260.28</v>
      </c>
      <c r="H185" s="25">
        <f t="shared" si="219"/>
        <v>381.50700000000001</v>
      </c>
      <c r="I185" s="25"/>
      <c r="J185" s="25">
        <f t="shared" si="220"/>
        <v>2543.38</v>
      </c>
      <c r="K185" s="23">
        <f t="shared" si="221"/>
        <v>17803.66</v>
      </c>
      <c r="L185" s="25">
        <f t="shared" si="261"/>
        <v>5086.76</v>
      </c>
      <c r="M185" s="179"/>
      <c r="N185" s="179">
        <v>20000</v>
      </c>
      <c r="O185" s="25">
        <f t="shared" si="256"/>
        <v>508.67600000000004</v>
      </c>
      <c r="P185" s="25">
        <v>5000</v>
      </c>
      <c r="Q185" s="25">
        <f>7000</f>
        <v>7000</v>
      </c>
      <c r="R185" s="204">
        <f t="shared" si="257"/>
        <v>78671.023000000016</v>
      </c>
      <c r="S185" s="23"/>
      <c r="T185" s="23">
        <f>10000+5000+5000</f>
        <v>20000</v>
      </c>
      <c r="U185" s="23">
        <f>10000</f>
        <v>10000</v>
      </c>
      <c r="V185" s="23"/>
      <c r="W185" s="23">
        <v>4089.716690666668</v>
      </c>
      <c r="X185" s="208">
        <f t="shared" si="232"/>
        <v>34089.716690666668</v>
      </c>
      <c r="Y185" s="23">
        <v>43151.949500000002</v>
      </c>
      <c r="Z185" s="208">
        <f t="shared" si="259"/>
        <v>44581.306309333348</v>
      </c>
      <c r="AA185" s="180"/>
    </row>
    <row r="186" spans="1:27" ht="20.100000000000001" customHeight="1">
      <c r="A186" s="191">
        <v>54</v>
      </c>
      <c r="B186" s="156" t="s">
        <v>319</v>
      </c>
      <c r="C186" s="161" t="s">
        <v>302</v>
      </c>
      <c r="D186" s="181" t="s">
        <v>311</v>
      </c>
      <c r="E186" s="25">
        <v>5086.76</v>
      </c>
      <c r="F186" s="179"/>
      <c r="G186" s="25">
        <f t="shared" si="218"/>
        <v>15260.28</v>
      </c>
      <c r="H186" s="25">
        <f t="shared" si="219"/>
        <v>381.50700000000001</v>
      </c>
      <c r="I186" s="25"/>
      <c r="J186" s="25">
        <f t="shared" si="220"/>
        <v>2543.38</v>
      </c>
      <c r="K186" s="23">
        <f t="shared" si="221"/>
        <v>17803.66</v>
      </c>
      <c r="L186" s="25">
        <f t="shared" si="261"/>
        <v>5086.76</v>
      </c>
      <c r="M186" s="179"/>
      <c r="N186" s="179">
        <v>20000</v>
      </c>
      <c r="O186" s="25">
        <f t="shared" si="256"/>
        <v>508.67600000000004</v>
      </c>
      <c r="P186" s="25">
        <v>5000</v>
      </c>
      <c r="Q186" s="25">
        <f>7000</f>
        <v>7000</v>
      </c>
      <c r="R186" s="204">
        <f t="shared" si="257"/>
        <v>78671.023000000016</v>
      </c>
      <c r="S186" s="23"/>
      <c r="T186" s="23">
        <f>10000+5000+5000</f>
        <v>20000</v>
      </c>
      <c r="U186" s="23">
        <f>26222.06</f>
        <v>26222.06</v>
      </c>
      <c r="V186" s="23"/>
      <c r="W186" s="23">
        <v>4089.716690666668</v>
      </c>
      <c r="X186" s="208">
        <f t="shared" si="232"/>
        <v>50311.776690666666</v>
      </c>
      <c r="Y186" s="23">
        <v>26929.889500000005</v>
      </c>
      <c r="Z186" s="208">
        <f t="shared" si="259"/>
        <v>28359.24630933335</v>
      </c>
      <c r="AA186" s="180"/>
    </row>
    <row r="187" spans="1:27" ht="20.100000000000001" customHeight="1">
      <c r="A187" s="191">
        <v>55</v>
      </c>
      <c r="B187" s="157" t="s">
        <v>320</v>
      </c>
      <c r="C187" s="161" t="s">
        <v>310</v>
      </c>
      <c r="D187" s="181" t="s">
        <v>321</v>
      </c>
      <c r="E187" s="25">
        <f>4689.38</f>
        <v>4689.38</v>
      </c>
      <c r="F187" s="179"/>
      <c r="G187" s="25">
        <f t="shared" ref="G187" si="270">E187*300%</f>
        <v>14068.14</v>
      </c>
      <c r="H187" s="25">
        <f t="shared" ref="H187" si="271">E187*7.5%</f>
        <v>351.70350000000002</v>
      </c>
      <c r="I187" s="25"/>
      <c r="J187" s="25">
        <f t="shared" ref="J187" si="272">E187*50%</f>
        <v>2344.69</v>
      </c>
      <c r="K187" s="23">
        <f t="shared" ref="K187" si="273">E187*350%</f>
        <v>16412.830000000002</v>
      </c>
      <c r="L187" s="25">
        <f t="shared" ref="L187" si="274">E187*100%</f>
        <v>4689.38</v>
      </c>
      <c r="M187" s="179"/>
      <c r="N187" s="179">
        <f>15000</f>
        <v>15000</v>
      </c>
      <c r="O187" s="25">
        <f t="shared" ref="O187" si="275">E187*10%</f>
        <v>468.93800000000005</v>
      </c>
      <c r="P187" s="25">
        <v>5000</v>
      </c>
      <c r="Q187" s="25">
        <f>4000</f>
        <v>4000</v>
      </c>
      <c r="R187" s="204">
        <f t="shared" ref="R187" si="276">SUM(E187:Q187)</f>
        <v>67025.061499999996</v>
      </c>
      <c r="S187" s="23"/>
      <c r="T187" s="23">
        <f>10000+5000+5000</f>
        <v>20000</v>
      </c>
      <c r="U187" s="23">
        <f>32916.67</f>
        <v>32916.67</v>
      </c>
      <c r="V187" s="23"/>
      <c r="W187" s="23">
        <v>3064.8720786666654</v>
      </c>
      <c r="X187" s="208">
        <f t="shared" si="232"/>
        <v>55981.542078666665</v>
      </c>
      <c r="Y187" s="23">
        <v>12274.55750000001</v>
      </c>
      <c r="Z187" s="208">
        <f t="shared" si="259"/>
        <v>11043.519421333331</v>
      </c>
      <c r="AA187" s="180"/>
    </row>
    <row r="188" spans="1:27" ht="20.100000000000001" customHeight="1">
      <c r="A188" s="191">
        <v>56</v>
      </c>
      <c r="B188" s="157" t="s">
        <v>322</v>
      </c>
      <c r="C188" s="161" t="s">
        <v>310</v>
      </c>
      <c r="D188" s="181" t="s">
        <v>323</v>
      </c>
      <c r="E188" s="179">
        <f>4395.43</f>
        <v>4395.43</v>
      </c>
      <c r="F188" s="179"/>
      <c r="G188" s="25">
        <f t="shared" ref="G188" si="277">E188*300%</f>
        <v>13186.29</v>
      </c>
      <c r="H188" s="25">
        <f t="shared" ref="H188" si="278">E188*7.5%</f>
        <v>329.65725000000003</v>
      </c>
      <c r="I188" s="25"/>
      <c r="J188" s="25">
        <f t="shared" ref="J188" si="279">E188*50%</f>
        <v>2197.7150000000001</v>
      </c>
      <c r="K188" s="23">
        <f t="shared" ref="K188" si="280">E188*350%</f>
        <v>15384.005000000001</v>
      </c>
      <c r="L188" s="25">
        <f t="shared" ref="L188" si="281">E188*100%</f>
        <v>4395.43</v>
      </c>
      <c r="M188" s="179"/>
      <c r="N188" s="179">
        <f>15000</f>
        <v>15000</v>
      </c>
      <c r="O188" s="25">
        <f t="shared" ref="O188" si="282">E188*10%</f>
        <v>439.54300000000006</v>
      </c>
      <c r="P188" s="25">
        <v>5000</v>
      </c>
      <c r="Q188" s="25">
        <f>7000</f>
        <v>7000</v>
      </c>
      <c r="R188" s="204">
        <f>SUM(E188:Q188)</f>
        <v>67328.070250000004</v>
      </c>
      <c r="S188" s="23"/>
      <c r="T188" s="23">
        <f>5000</f>
        <v>5000</v>
      </c>
      <c r="U188" s="23">
        <v>0</v>
      </c>
      <c r="V188" s="23"/>
      <c r="W188" s="23">
        <v>3091.5368486666671</v>
      </c>
      <c r="X188" s="208">
        <f t="shared" si="232"/>
        <v>8091.5368486666666</v>
      </c>
      <c r="Y188" s="23">
        <v>48007.077499999985</v>
      </c>
      <c r="Z188" s="208">
        <f t="shared" si="259"/>
        <v>59236.533401333334</v>
      </c>
      <c r="AA188" s="180"/>
    </row>
    <row r="189" spans="1:27" ht="20.100000000000001" customHeight="1">
      <c r="A189" s="191"/>
      <c r="B189" s="177" t="s">
        <v>100</v>
      </c>
      <c r="C189" s="193" t="s">
        <v>324</v>
      </c>
      <c r="D189" s="22"/>
      <c r="E189" s="68">
        <f t="shared" ref="E189:L189" si="283">SUM(E133:E188)</f>
        <v>830023.4800000001</v>
      </c>
      <c r="F189" s="68">
        <f t="shared" si="283"/>
        <v>0</v>
      </c>
      <c r="G189" s="68">
        <f t="shared" si="283"/>
        <v>2490070.4399999967</v>
      </c>
      <c r="H189" s="68">
        <f t="shared" si="283"/>
        <v>62251.760999999955</v>
      </c>
      <c r="I189" s="68">
        <f t="shared" si="283"/>
        <v>160488.76</v>
      </c>
      <c r="J189" s="68">
        <f t="shared" si="283"/>
        <v>415011.74000000005</v>
      </c>
      <c r="K189" s="68">
        <f t="shared" si="283"/>
        <v>2905082.1800000034</v>
      </c>
      <c r="L189" s="68">
        <f t="shared" si="283"/>
        <v>830023.4800000001</v>
      </c>
      <c r="M189" s="184"/>
      <c r="N189" s="184">
        <f>SUM(N133:N188)</f>
        <v>2430000</v>
      </c>
      <c r="O189" s="68">
        <f>SUM(O133:O188)</f>
        <v>83002.348000000013</v>
      </c>
      <c r="P189" s="68">
        <f>SUM(P133:P188)</f>
        <v>490003</v>
      </c>
      <c r="Q189" s="68">
        <f>SUM(Q133:Q188)</f>
        <v>207000</v>
      </c>
      <c r="R189" s="213">
        <f>SUM(R133:R188)</f>
        <v>10902957.188999997</v>
      </c>
      <c r="S189" s="68"/>
      <c r="T189" s="68">
        <f>SUM(T133:T188)</f>
        <v>1127500</v>
      </c>
      <c r="U189" s="68">
        <f>SUM(U133:U188)</f>
        <v>1960693.3100000003</v>
      </c>
      <c r="V189" s="68">
        <v>5461.3392499999991</v>
      </c>
      <c r="W189" s="68">
        <f>SUM(W133:W188)</f>
        <v>1209361.2689426679</v>
      </c>
      <c r="X189" s="221">
        <f>SUM(X133:X188)</f>
        <v>4303015.918192666</v>
      </c>
      <c r="Y189" s="68">
        <v>6219918.455864219</v>
      </c>
      <c r="Z189" s="221">
        <f>SUM(Z133:Z188)</f>
        <v>6599941.2708073342</v>
      </c>
      <c r="AA189" s="180"/>
    </row>
    <row r="190" spans="1:27" ht="20.100000000000001" customHeight="1">
      <c r="A190" s="20"/>
      <c r="B190" s="194" t="s">
        <v>325</v>
      </c>
      <c r="C190" s="195">
        <f>C37+C42+C57+C61+C77+C85+C99+C106+C116+C130+C189+2</f>
        <v>154</v>
      </c>
      <c r="D190" s="196"/>
      <c r="E190" s="197">
        <v>3773721.59</v>
      </c>
      <c r="F190" s="197">
        <f t="shared" ref="F190:P190" si="284">F37+F42+F57+F61+F77+F85+F99+F106+F116+F130+F189</f>
        <v>0</v>
      </c>
      <c r="G190" s="197">
        <f t="shared" si="284"/>
        <v>10952968.799999993</v>
      </c>
      <c r="H190" s="197">
        <f t="shared" si="284"/>
        <v>313946.41249999998</v>
      </c>
      <c r="I190" s="197">
        <f t="shared" si="284"/>
        <v>1725254.1700000002</v>
      </c>
      <c r="J190" s="197">
        <f t="shared" si="284"/>
        <v>1844218.49</v>
      </c>
      <c r="K190" s="197">
        <f t="shared" si="284"/>
        <v>12403989.850000003</v>
      </c>
      <c r="L190" s="197">
        <f t="shared" si="284"/>
        <v>3664363.6700000004</v>
      </c>
      <c r="M190" s="197">
        <f t="shared" si="284"/>
        <v>7280000</v>
      </c>
      <c r="N190" s="197">
        <f t="shared" si="284"/>
        <v>5240000</v>
      </c>
      <c r="O190" s="197">
        <f t="shared" si="284"/>
        <v>370448.59000000008</v>
      </c>
      <c r="P190" s="197">
        <f t="shared" si="284"/>
        <v>1945007</v>
      </c>
      <c r="Q190" s="197">
        <f t="shared" ref="Q190:R190" si="285">Q37+Q42+Q57+Q61+Q77+Q85+Q99+Q106+Q116+Q130+Q189</f>
        <v>1568337.4691050001</v>
      </c>
      <c r="R190" s="197">
        <f t="shared" si="285"/>
        <v>51013400.361605003</v>
      </c>
      <c r="S190" s="197"/>
      <c r="T190" s="197">
        <f>T37+T42+T57+T61+T77+T85+T99+T106+T116+T130+T189</f>
        <v>4774500</v>
      </c>
      <c r="U190" s="197">
        <f>U37+U42+U57+U61+U77+U85+U99+U106+U116+U130+U189</f>
        <v>6745592.5899999999</v>
      </c>
      <c r="V190" s="197">
        <f t="shared" ref="V190:W190" si="286">V37+V42+V57+V61+V77+V85+V99+V106+V116+V130+V189</f>
        <v>23887.071250000001</v>
      </c>
      <c r="W190" s="197">
        <f t="shared" si="286"/>
        <v>7017963.7041636687</v>
      </c>
      <c r="X190" s="227">
        <f>X37+X42+X57+X61+X77+X85+X99+X106+X116+X130+X189</f>
        <v>18561943.365413662</v>
      </c>
      <c r="Y190" s="197">
        <v>32953761.775343306</v>
      </c>
      <c r="Z190" s="197">
        <f>Z189+Z130+Z116+Z106+Z99+Z85+Z77+Z61+Z57+Z42+Z37</f>
        <v>32451456.996191338</v>
      </c>
      <c r="AA190" s="180"/>
    </row>
    <row r="191" spans="1:27" ht="20.100000000000001" customHeight="1">
      <c r="B191" s="198"/>
      <c r="D191" s="199"/>
      <c r="E191" s="199"/>
      <c r="F191" s="199"/>
      <c r="G191" s="199"/>
      <c r="H191" s="199"/>
      <c r="I191" s="199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1"/>
      <c r="X191" s="201"/>
      <c r="Y191" s="201"/>
      <c r="Z191" s="201"/>
      <c r="AA191" s="202"/>
    </row>
    <row r="192" spans="1:27" ht="65.25" customHeight="1">
      <c r="B192" s="198"/>
      <c r="C192" s="199"/>
      <c r="D192" s="199"/>
      <c r="E192" s="199"/>
      <c r="F192" s="199"/>
      <c r="G192" s="199"/>
      <c r="H192" s="199"/>
      <c r="I192" s="199"/>
      <c r="J192" s="200"/>
      <c r="K192" s="200"/>
      <c r="L192" s="200"/>
      <c r="M192" s="200"/>
      <c r="N192" s="200"/>
      <c r="O192" s="200"/>
      <c r="P192" s="200"/>
      <c r="R192" s="200" t="s">
        <v>326</v>
      </c>
      <c r="S192" s="200"/>
      <c r="T192" s="200"/>
      <c r="U192" s="200"/>
      <c r="V192" s="200"/>
      <c r="W192" s="201"/>
      <c r="X192" s="201"/>
      <c r="Y192" s="201"/>
      <c r="Z192" s="201"/>
    </row>
    <row r="195" spans="18:18" ht="20.100000000000001" customHeight="1">
      <c r="R195" s="202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9" max="26" man="1"/>
  </rowBreaks>
  <colBreaks count="1" manualBreakCount="1">
    <brk id="13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5"/>
  <sheetViews>
    <sheetView topLeftCell="A42" zoomScale="91" zoomScaleNormal="91" workbookViewId="0">
      <selection activeCell="I45" sqref="I4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5"/>
      <c r="C1" s="155"/>
      <c r="D1" s="155"/>
      <c r="E1" s="155"/>
      <c r="F1" s="155"/>
      <c r="G1" s="155"/>
      <c r="H1" s="155"/>
    </row>
    <row r="2" spans="1:8" ht="29.25" customHeight="1">
      <c r="A2" s="264" t="s">
        <v>0</v>
      </c>
      <c r="B2" s="264"/>
      <c r="C2" s="264"/>
      <c r="D2" s="264"/>
      <c r="E2" s="264"/>
      <c r="F2" s="264"/>
      <c r="G2" s="264"/>
      <c r="H2" s="264"/>
    </row>
    <row r="3" spans="1:8" ht="27" customHeight="1">
      <c r="A3" s="264" t="s">
        <v>327</v>
      </c>
      <c r="B3" s="264"/>
      <c r="C3" s="264"/>
      <c r="D3" s="264"/>
      <c r="E3" s="264"/>
      <c r="F3" s="264"/>
      <c r="G3" s="264"/>
      <c r="H3" s="264"/>
    </row>
    <row r="4" spans="1:8" ht="15.6" hidden="1" customHeight="1">
      <c r="A4" s="142" t="s">
        <v>328</v>
      </c>
      <c r="B4" s="142"/>
      <c r="C4" s="142"/>
      <c r="D4" s="142"/>
      <c r="E4" s="142"/>
      <c r="F4" s="142"/>
      <c r="G4" s="73"/>
      <c r="H4" s="73"/>
    </row>
    <row r="5" spans="1:8" ht="9.6" hidden="1" customHeight="1">
      <c r="A5" s="265" t="s">
        <v>329</v>
      </c>
      <c r="B5" s="265"/>
      <c r="C5" s="265"/>
      <c r="D5" s="265"/>
      <c r="E5" s="265"/>
      <c r="F5" s="265"/>
      <c r="G5" s="73"/>
      <c r="H5" s="73"/>
    </row>
    <row r="6" spans="1:8" ht="29.25" hidden="1" customHeight="1">
      <c r="A6" s="265" t="s">
        <v>330</v>
      </c>
      <c r="B6" s="265"/>
      <c r="C6" s="265"/>
      <c r="D6" s="265"/>
      <c r="E6" s="265"/>
      <c r="F6" s="265"/>
      <c r="G6" s="73"/>
      <c r="H6" s="73"/>
    </row>
    <row r="7" spans="1:8" ht="25.15" hidden="1" customHeight="1">
      <c r="A7" s="265" t="s">
        <v>331</v>
      </c>
      <c r="B7" s="265"/>
      <c r="C7" s="265"/>
      <c r="D7" s="265"/>
      <c r="E7" s="265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266" t="s">
        <v>332</v>
      </c>
      <c r="B9" s="266"/>
      <c r="C9" s="266"/>
      <c r="D9" s="266"/>
      <c r="E9" s="266"/>
      <c r="F9" s="266"/>
      <c r="G9" s="73"/>
      <c r="H9" s="73"/>
    </row>
    <row r="10" spans="1:8" ht="13.15" hidden="1" customHeight="1">
      <c r="A10" s="265" t="s">
        <v>333</v>
      </c>
      <c r="B10" s="265"/>
      <c r="C10" s="265"/>
      <c r="D10" s="265"/>
      <c r="E10" s="265"/>
      <c r="F10" s="265"/>
      <c r="G10" s="265"/>
      <c r="H10" s="265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334</v>
      </c>
      <c r="B13" s="4"/>
      <c r="C13" s="4" t="s">
        <v>335</v>
      </c>
      <c r="D13" s="4"/>
      <c r="E13" s="4"/>
      <c r="F13" s="64"/>
      <c r="G13" s="85"/>
      <c r="H13" s="73"/>
    </row>
    <row r="14" spans="1:8" ht="20.25" customHeight="1">
      <c r="A14" s="4" t="s">
        <v>336</v>
      </c>
      <c r="B14" s="64"/>
      <c r="C14" s="4" t="s">
        <v>337</v>
      </c>
      <c r="D14" s="4"/>
      <c r="E14" s="4"/>
      <c r="F14" s="4"/>
      <c r="G14" s="1"/>
      <c r="H14" s="73"/>
    </row>
    <row r="15" spans="1:8" ht="21" customHeight="1">
      <c r="A15" s="4" t="s">
        <v>338</v>
      </c>
      <c r="B15" s="4"/>
      <c r="C15" s="4" t="s">
        <v>339</v>
      </c>
      <c r="D15" s="4"/>
      <c r="E15" s="4"/>
      <c r="F15" s="4"/>
      <c r="G15" s="1"/>
      <c r="H15" s="73"/>
    </row>
    <row r="16" spans="1:8" ht="21" customHeight="1">
      <c r="A16" s="4" t="s">
        <v>340</v>
      </c>
      <c r="B16" s="4"/>
      <c r="C16" s="4" t="s">
        <v>341</v>
      </c>
      <c r="D16" s="4"/>
      <c r="E16" s="64"/>
      <c r="F16" s="64"/>
      <c r="G16" s="85"/>
      <c r="H16" s="73"/>
    </row>
    <row r="17" spans="1:10" ht="9.7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342</v>
      </c>
      <c r="B18" s="80"/>
      <c r="C18" s="93"/>
      <c r="D18" s="93"/>
      <c r="E18" s="93"/>
      <c r="F18" s="93"/>
      <c r="G18" s="85"/>
      <c r="H18" s="73"/>
    </row>
    <row r="19" spans="1:10" ht="30.75" customHeight="1">
      <c r="A19" s="1" t="s">
        <v>343</v>
      </c>
      <c r="B19" s="1"/>
      <c r="C19" s="85"/>
      <c r="D19" s="85"/>
      <c r="E19" s="85"/>
      <c r="F19" s="85"/>
      <c r="G19" s="162" t="s">
        <v>344</v>
      </c>
      <c r="H19" s="162" t="s">
        <v>344</v>
      </c>
    </row>
    <row r="20" spans="1:10" ht="21" customHeight="1">
      <c r="A20" s="267" t="s">
        <v>345</v>
      </c>
      <c r="B20" s="267"/>
      <c r="C20" s="267"/>
      <c r="D20" s="267"/>
      <c r="E20" s="267"/>
      <c r="F20" s="267"/>
      <c r="G20" s="267"/>
      <c r="H20" s="83">
        <f>'January 2023'!R190</f>
        <v>51013400.361605003</v>
      </c>
      <c r="J20" s="66"/>
    </row>
    <row r="21" spans="1:10" ht="9" customHeight="1">
      <c r="A21" s="243"/>
      <c r="B21" s="243"/>
      <c r="C21" s="243"/>
      <c r="D21" s="243"/>
      <c r="E21" s="243"/>
      <c r="F21" s="243"/>
      <c r="G21" s="243"/>
      <c r="H21" s="83"/>
      <c r="J21" s="66"/>
    </row>
    <row r="22" spans="1:10" ht="21.75" customHeight="1">
      <c r="A22" s="271" t="s">
        <v>346</v>
      </c>
      <c r="B22" s="271"/>
      <c r="C22" s="271"/>
      <c r="D22" s="271"/>
      <c r="E22" s="271"/>
      <c r="F22" s="271"/>
      <c r="G22" s="86"/>
      <c r="H22" s="1"/>
      <c r="I22" s="66"/>
    </row>
    <row r="23" spans="1:10" ht="18.75" customHeight="1">
      <c r="A23" s="263" t="s">
        <v>347</v>
      </c>
      <c r="B23" s="263"/>
      <c r="C23" s="263"/>
      <c r="D23" s="263"/>
      <c r="E23" s="263"/>
      <c r="F23" s="263"/>
      <c r="G23" s="33">
        <f>'January 2023'!T190</f>
        <v>4774500</v>
      </c>
      <c r="H23" s="1"/>
      <c r="J23" s="66"/>
    </row>
    <row r="24" spans="1:10" ht="19.5" customHeight="1">
      <c r="A24" s="263" t="s">
        <v>348</v>
      </c>
      <c r="B24" s="263"/>
      <c r="C24" s="263"/>
      <c r="D24" s="263"/>
      <c r="E24" s="263"/>
      <c r="F24" s="263"/>
      <c r="G24" s="33">
        <f>'January 2023'!U190</f>
        <v>6745592.5899999999</v>
      </c>
      <c r="H24" s="1"/>
    </row>
    <row r="25" spans="1:10" ht="20.25" customHeight="1">
      <c r="A25" s="263" t="s">
        <v>349</v>
      </c>
      <c r="B25" s="263"/>
      <c r="C25" s="263"/>
      <c r="D25" s="263"/>
      <c r="E25" s="263"/>
      <c r="F25" s="263"/>
      <c r="G25" s="33">
        <f>'January 2023'!W190</f>
        <v>7017963.7041636687</v>
      </c>
      <c r="H25" s="1"/>
    </row>
    <row r="26" spans="1:10" ht="21" customHeight="1">
      <c r="A26" s="273" t="s">
        <v>350</v>
      </c>
      <c r="B26" s="273"/>
      <c r="C26" s="273"/>
      <c r="D26" s="273"/>
      <c r="E26" s="273"/>
      <c r="F26" s="273"/>
      <c r="G26" s="87">
        <f>'January 2023'!V190</f>
        <v>23887.071250000001</v>
      </c>
      <c r="H26" s="1"/>
    </row>
    <row r="27" spans="1:10" ht="28.5" customHeight="1">
      <c r="A27" s="263" t="s">
        <v>351</v>
      </c>
      <c r="B27" s="263"/>
      <c r="C27" s="263"/>
      <c r="D27" s="263"/>
      <c r="E27" s="263"/>
      <c r="F27" s="263"/>
      <c r="G27" s="33"/>
      <c r="H27" s="88">
        <f>G23+G24+G25+G26</f>
        <v>18561943.365413666</v>
      </c>
      <c r="I27" s="31"/>
    </row>
    <row r="28" spans="1:10" ht="20.25" customHeight="1">
      <c r="A28" s="263" t="s">
        <v>352</v>
      </c>
      <c r="B28" s="263"/>
      <c r="C28" s="263"/>
      <c r="D28" s="263"/>
      <c r="E28" s="263"/>
      <c r="F28" s="263"/>
      <c r="G28" s="80"/>
      <c r="H28" s="43">
        <f>H20-H27</f>
        <v>32451456.996191338</v>
      </c>
      <c r="I28" s="34"/>
    </row>
    <row r="29" spans="1:10" ht="21" customHeight="1">
      <c r="A29" s="263" t="s">
        <v>353</v>
      </c>
      <c r="B29" s="263"/>
      <c r="C29" s="263"/>
      <c r="D29" s="263"/>
      <c r="E29" s="263"/>
      <c r="F29" s="263"/>
      <c r="G29" s="80"/>
      <c r="H29" s="92">
        <f>'January 2023'!Y190</f>
        <v>32953761.775343306</v>
      </c>
    </row>
    <row r="30" spans="1:10" ht="21" customHeight="1">
      <c r="A30" s="263" t="s">
        <v>354</v>
      </c>
      <c r="B30" s="263"/>
      <c r="C30" s="263"/>
      <c r="D30" s="263"/>
      <c r="E30" s="263"/>
      <c r="F30" s="263"/>
      <c r="G30" s="80"/>
      <c r="H30" s="118">
        <f>H28-H29</f>
        <v>-502304.77915196866</v>
      </c>
    </row>
    <row r="31" spans="1:10" ht="29.25" customHeight="1">
      <c r="A31" s="267" t="s">
        <v>355</v>
      </c>
      <c r="B31" s="267"/>
      <c r="C31" s="267"/>
      <c r="D31" s="267"/>
      <c r="E31" s="267"/>
      <c r="F31" s="267"/>
      <c r="G31" s="267"/>
      <c r="H31" s="1"/>
    </row>
    <row r="32" spans="1:10" ht="21.75" customHeight="1">
      <c r="A32" s="84" t="s">
        <v>356</v>
      </c>
      <c r="B32" s="84"/>
      <c r="C32" s="84"/>
      <c r="D32" s="84"/>
      <c r="E32" s="84"/>
      <c r="F32" s="84"/>
      <c r="G32" s="84"/>
      <c r="H32" s="89">
        <f>-306113</f>
        <v>-306113</v>
      </c>
      <c r="J32" s="31"/>
    </row>
    <row r="33" spans="1:17" ht="21.75" customHeight="1">
      <c r="A33" s="84" t="s">
        <v>357</v>
      </c>
      <c r="B33" s="84"/>
      <c r="C33" s="84"/>
      <c r="D33" s="84"/>
      <c r="E33" s="84"/>
      <c r="F33" s="84"/>
      <c r="G33" s="84"/>
      <c r="H33" s="89">
        <f>1064436.48</f>
        <v>1064436.48</v>
      </c>
      <c r="J33" s="31"/>
    </row>
    <row r="34" spans="1:17" ht="21.75" customHeight="1">
      <c r="A34" s="84" t="s">
        <v>358</v>
      </c>
      <c r="B34" s="84"/>
      <c r="C34" s="84"/>
      <c r="D34" s="84"/>
      <c r="E34" s="84"/>
      <c r="F34" s="84"/>
      <c r="G34" s="84"/>
      <c r="H34" s="89">
        <f>-783344.65</f>
        <v>-783344.65</v>
      </c>
      <c r="J34" s="31"/>
    </row>
    <row r="35" spans="1:17" ht="21.75" customHeight="1">
      <c r="A35" s="84" t="s">
        <v>359</v>
      </c>
      <c r="B35" s="84"/>
      <c r="C35" s="84"/>
      <c r="D35" s="84"/>
      <c r="E35" s="84"/>
      <c r="F35" s="84"/>
      <c r="G35" s="84"/>
      <c r="H35" s="89">
        <f>111718.9</f>
        <v>111718.9</v>
      </c>
      <c r="J35" s="31"/>
    </row>
    <row r="36" spans="1:17" ht="21.75" customHeight="1">
      <c r="A36" s="84" t="s">
        <v>360</v>
      </c>
      <c r="B36" s="84"/>
      <c r="C36" s="84"/>
      <c r="D36" s="84"/>
      <c r="E36" s="84"/>
      <c r="F36" s="84"/>
      <c r="G36" s="84"/>
      <c r="H36" s="89">
        <v>-267095.76</v>
      </c>
      <c r="J36" s="31"/>
    </row>
    <row r="37" spans="1:17" ht="21.75" customHeight="1">
      <c r="A37" s="84" t="s">
        <v>361</v>
      </c>
      <c r="B37" s="84"/>
      <c r="C37" s="84"/>
      <c r="D37" s="84"/>
      <c r="E37" s="84"/>
      <c r="F37" s="84"/>
      <c r="G37" s="84"/>
      <c r="H37" s="89">
        <f>457.61</f>
        <v>457.61</v>
      </c>
      <c r="J37" s="31"/>
    </row>
    <row r="38" spans="1:17" ht="21.75" customHeight="1">
      <c r="A38" s="84" t="s">
        <v>362</v>
      </c>
      <c r="B38" s="84"/>
      <c r="C38" s="84"/>
      <c r="D38" s="84"/>
      <c r="E38" s="84"/>
      <c r="F38" s="84"/>
      <c r="G38" s="84"/>
      <c r="H38" s="89">
        <f>-15000</f>
        <v>-15000</v>
      </c>
      <c r="J38" s="31"/>
    </row>
    <row r="39" spans="1:17" ht="21.75" customHeight="1">
      <c r="A39" s="84" t="s">
        <v>363</v>
      </c>
      <c r="B39" s="84"/>
      <c r="C39" s="84"/>
      <c r="D39" s="84"/>
      <c r="E39" s="84"/>
      <c r="F39" s="84"/>
      <c r="G39" s="84"/>
      <c r="H39" s="89">
        <f>697245.2</f>
        <v>697245.2</v>
      </c>
      <c r="I39" s="65"/>
      <c r="J39" s="31"/>
    </row>
    <row r="40" spans="1:17" ht="21" customHeight="1">
      <c r="A40" s="263"/>
      <c r="B40" s="263"/>
      <c r="C40" s="263"/>
      <c r="D40" s="263"/>
      <c r="E40" s="263"/>
      <c r="F40" s="263"/>
      <c r="G40" s="263"/>
      <c r="H40" s="90">
        <f>SUM(H32:H39)</f>
        <v>502304.77999999991</v>
      </c>
      <c r="I40" s="31"/>
      <c r="J40" s="230"/>
      <c r="K40" s="66"/>
      <c r="L40" s="65"/>
      <c r="M40" s="65"/>
      <c r="N40" s="66"/>
      <c r="P40" s="139"/>
      <c r="Q40" s="66"/>
    </row>
    <row r="41" spans="1:17" ht="12.75" customHeight="1">
      <c r="A41" s="84"/>
      <c r="B41" s="84"/>
      <c r="C41" s="84"/>
      <c r="D41" s="84"/>
      <c r="E41" s="84"/>
      <c r="F41" s="84"/>
      <c r="G41" s="84"/>
      <c r="H41" s="90"/>
      <c r="I41" s="31"/>
      <c r="J41" s="230"/>
      <c r="K41" s="66"/>
      <c r="L41" s="65"/>
      <c r="M41" s="65"/>
      <c r="N41" s="66"/>
      <c r="P41" s="139"/>
      <c r="Q41" s="66"/>
    </row>
    <row r="42" spans="1:17" ht="28.5" customHeight="1">
      <c r="A42" s="1"/>
      <c r="B42" s="1"/>
      <c r="C42" s="1"/>
      <c r="D42" s="1"/>
      <c r="E42" s="268" t="s">
        <v>23</v>
      </c>
      <c r="F42" s="269"/>
      <c r="G42" s="268" t="s">
        <v>364</v>
      </c>
      <c r="H42" s="269"/>
      <c r="I42" s="31"/>
      <c r="J42" s="31"/>
    </row>
    <row r="43" spans="1:17" ht="18.600000000000001" customHeight="1">
      <c r="A43" s="1"/>
      <c r="B43" s="1"/>
      <c r="C43" s="1"/>
      <c r="D43" s="1"/>
      <c r="E43" s="7" t="s">
        <v>365</v>
      </c>
      <c r="F43" s="50" t="s">
        <v>25</v>
      </c>
      <c r="G43" s="7" t="s">
        <v>365</v>
      </c>
      <c r="H43" s="50" t="s">
        <v>25</v>
      </c>
      <c r="I43" s="31"/>
      <c r="J43" s="31"/>
    </row>
    <row r="44" spans="1:17" ht="28.5" customHeight="1">
      <c r="A44" s="11">
        <v>1</v>
      </c>
      <c r="B44" s="270" t="s">
        <v>366</v>
      </c>
      <c r="C44" s="263"/>
      <c r="D44" s="263"/>
      <c r="E44" s="3">
        <v>33</v>
      </c>
      <c r="F44" s="12">
        <f>'January 2023'!Y37</f>
        <v>9105729.9584760014</v>
      </c>
      <c r="G44" s="3">
        <f>'January 2023'!C37</f>
        <v>30</v>
      </c>
      <c r="H44" s="12">
        <f>'January 2023'!Z37</f>
        <v>8401599.7217226699</v>
      </c>
      <c r="I44" s="31"/>
      <c r="J44" s="31"/>
    </row>
    <row r="45" spans="1:17" ht="21.75" customHeight="1">
      <c r="A45" s="11">
        <v>2</v>
      </c>
      <c r="B45" s="67" t="s">
        <v>367</v>
      </c>
      <c r="C45" s="84"/>
      <c r="D45" s="84"/>
      <c r="E45" s="3">
        <v>2</v>
      </c>
      <c r="F45" s="12">
        <f>'January 2023'!Y42</f>
        <v>630899.62650000001</v>
      </c>
      <c r="G45" s="3">
        <v>2</v>
      </c>
      <c r="H45" s="12">
        <f>'January 2023'!Z42</f>
        <v>650918.62395066663</v>
      </c>
      <c r="I45" s="31"/>
      <c r="J45" s="31"/>
    </row>
    <row r="46" spans="1:17" ht="24.75" customHeight="1">
      <c r="A46" s="11">
        <v>3</v>
      </c>
      <c r="B46" s="263" t="s">
        <v>368</v>
      </c>
      <c r="C46" s="263"/>
      <c r="D46" s="263"/>
      <c r="E46" s="3">
        <v>11</v>
      </c>
      <c r="F46" s="12">
        <f>'January 2023'!Y57</f>
        <v>2942265.9538497492</v>
      </c>
      <c r="G46" s="3">
        <f>'January 2023'!C57</f>
        <v>12</v>
      </c>
      <c r="H46" s="12">
        <f>'January 2023'!Z57</f>
        <v>2878334.4702540003</v>
      </c>
      <c r="I46" s="31"/>
      <c r="J46" s="31"/>
    </row>
    <row r="47" spans="1:17" ht="23.25" customHeight="1">
      <c r="A47" s="11">
        <v>4</v>
      </c>
      <c r="B47" s="263" t="s">
        <v>369</v>
      </c>
      <c r="C47" s="263"/>
      <c r="D47" s="272"/>
      <c r="E47" s="3">
        <v>2</v>
      </c>
      <c r="F47" s="12">
        <f>'January 2023'!Y61</f>
        <v>869902.25350000011</v>
      </c>
      <c r="G47" s="3">
        <f>'January 2023'!C61</f>
        <v>1</v>
      </c>
      <c r="H47" s="12">
        <f>'January 2023'!Z61</f>
        <v>869902.25664133346</v>
      </c>
      <c r="I47" s="31"/>
      <c r="J47" s="31"/>
    </row>
    <row r="48" spans="1:17" ht="24" customHeight="1">
      <c r="A48" s="11">
        <v>5</v>
      </c>
      <c r="B48" s="263" t="s">
        <v>370</v>
      </c>
      <c r="C48" s="263"/>
      <c r="D48" s="272"/>
      <c r="E48" s="3">
        <v>13</v>
      </c>
      <c r="F48" s="12">
        <f>'January 2023'!Y77</f>
        <v>3157078.2508733338</v>
      </c>
      <c r="G48" s="3">
        <f>'January 2023'!C77</f>
        <v>13</v>
      </c>
      <c r="H48" s="12">
        <f>'January 2023'!Z77</f>
        <v>3103363.0690573333</v>
      </c>
      <c r="I48" s="31"/>
      <c r="J48" s="31"/>
    </row>
    <row r="49" spans="1:14" ht="21" customHeight="1">
      <c r="A49" s="11">
        <v>6</v>
      </c>
      <c r="B49" s="263" t="s">
        <v>371</v>
      </c>
      <c r="C49" s="263"/>
      <c r="D49" s="272"/>
      <c r="E49" s="3">
        <v>4</v>
      </c>
      <c r="F49" s="12">
        <f>'January 2023'!Y85</f>
        <v>1838968.4242500004</v>
      </c>
      <c r="G49" s="3">
        <f>'January 2023'!C85</f>
        <v>5</v>
      </c>
      <c r="H49" s="12">
        <f>'January 2023'!Z85</f>
        <v>1848547.3496666667</v>
      </c>
      <c r="I49" s="31"/>
      <c r="J49" s="31"/>
    </row>
    <row r="50" spans="1:14" ht="23.25" customHeight="1">
      <c r="A50" s="11">
        <v>7</v>
      </c>
      <c r="B50" s="84" t="s">
        <v>372</v>
      </c>
      <c r="C50" s="84"/>
      <c r="D50" s="84"/>
      <c r="E50" s="3">
        <v>12</v>
      </c>
      <c r="F50" s="12">
        <f>'January 2023'!Y99</f>
        <v>2547830.3756249999</v>
      </c>
      <c r="G50" s="3">
        <f>'January 2023'!C99</f>
        <v>11</v>
      </c>
      <c r="H50" s="12">
        <f>'January 2023'!Z99</f>
        <v>2319319.450648</v>
      </c>
      <c r="I50" s="31"/>
      <c r="J50" s="31"/>
    </row>
    <row r="51" spans="1:14" ht="25.5" customHeight="1">
      <c r="A51" s="11">
        <v>8</v>
      </c>
      <c r="B51" s="84" t="s">
        <v>373</v>
      </c>
      <c r="C51" s="84"/>
      <c r="D51" s="84"/>
      <c r="E51" s="3">
        <v>4</v>
      </c>
      <c r="F51" s="12">
        <f>'January 2023'!Y106</f>
        <v>1022052.6974133333</v>
      </c>
      <c r="G51" s="3">
        <f>'January 2023'!C106</f>
        <v>4</v>
      </c>
      <c r="H51" s="12">
        <f>'January 2023'!Z106</f>
        <v>1041959.2755813334</v>
      </c>
      <c r="I51" s="31"/>
      <c r="J51" s="31"/>
    </row>
    <row r="52" spans="1:14" ht="21.75" customHeight="1">
      <c r="A52" s="11">
        <v>9</v>
      </c>
      <c r="B52" s="84" t="s">
        <v>374</v>
      </c>
      <c r="C52" s="84"/>
      <c r="D52" s="84"/>
      <c r="E52" s="3">
        <v>8</v>
      </c>
      <c r="F52" s="12">
        <f>'January 2023'!Y116</f>
        <v>2030722.9332383336</v>
      </c>
      <c r="G52" s="3">
        <f>'January 2023'!C116</f>
        <v>7</v>
      </c>
      <c r="H52" s="12">
        <f>'January 2023'!Z116</f>
        <v>2056595.7577453335</v>
      </c>
      <c r="I52" s="31"/>
      <c r="J52" s="31"/>
    </row>
    <row r="53" spans="1:14" ht="24.75" customHeight="1">
      <c r="A53" s="11">
        <v>10</v>
      </c>
      <c r="B53" s="84" t="s">
        <v>375</v>
      </c>
      <c r="C53" s="84"/>
      <c r="D53" s="84"/>
      <c r="E53" s="3">
        <v>9</v>
      </c>
      <c r="F53" s="12">
        <f>'January 2023'!Y130</f>
        <v>2588392.845753334</v>
      </c>
      <c r="G53" s="229" t="str">
        <f>'January 2023'!C130</f>
        <v>11</v>
      </c>
      <c r="H53" s="12">
        <f>'January 2023'!Z130</f>
        <v>2680975.7501166668</v>
      </c>
      <c r="I53" s="31"/>
      <c r="J53" s="31"/>
    </row>
    <row r="54" spans="1:14" ht="24.75" customHeight="1">
      <c r="A54" s="11">
        <v>11</v>
      </c>
      <c r="B54" s="263" t="s">
        <v>376</v>
      </c>
      <c r="C54" s="263"/>
      <c r="D54" s="263"/>
      <c r="E54" s="3">
        <v>58</v>
      </c>
      <c r="F54" s="12">
        <f>'January 2023'!Y189</f>
        <v>6219918.455864219</v>
      </c>
      <c r="G54" s="229" t="str">
        <f>'January 2023'!C189</f>
        <v>56</v>
      </c>
      <c r="H54" s="12">
        <f>'January 2023'!Z189</f>
        <v>6599941.2708073342</v>
      </c>
      <c r="I54" s="31"/>
      <c r="J54" s="31"/>
    </row>
    <row r="55" spans="1:14" ht="24" customHeight="1">
      <c r="A55" s="1"/>
      <c r="B55" s="1"/>
      <c r="C55" s="1"/>
      <c r="D55" s="1"/>
      <c r="E55" s="7">
        <f>SUM(E44:E54)</f>
        <v>156</v>
      </c>
      <c r="F55" s="13">
        <f>SUM(F44:F54)</f>
        <v>32953761.775343306</v>
      </c>
      <c r="G55" s="3">
        <v>151</v>
      </c>
      <c r="H55" s="13">
        <f>SUM(H44:H54)</f>
        <v>32451456.996191338</v>
      </c>
      <c r="I55" s="31"/>
      <c r="J55" s="31"/>
    </row>
    <row r="56" spans="1:14" ht="6" customHeight="1">
      <c r="A56" s="1"/>
      <c r="B56" s="1"/>
      <c r="C56" s="1"/>
      <c r="D56" s="1"/>
      <c r="E56" s="143"/>
      <c r="F56" s="83"/>
      <c r="G56" s="143"/>
      <c r="H56" s="83"/>
      <c r="I56" s="31"/>
      <c r="J56" s="31"/>
    </row>
    <row r="57" spans="1:14" ht="87.75" customHeight="1">
      <c r="A57" s="273" t="s">
        <v>377</v>
      </c>
      <c r="B57" s="273"/>
      <c r="C57" s="273"/>
      <c r="D57" s="273"/>
      <c r="E57" s="273"/>
      <c r="F57" s="273"/>
      <c r="G57" s="273"/>
      <c r="H57" s="273"/>
      <c r="I57" s="1"/>
      <c r="J57" s="33"/>
      <c r="K57" s="33"/>
      <c r="L57" s="1"/>
      <c r="M57" s="1"/>
      <c r="N57" s="1"/>
    </row>
    <row r="58" spans="1:14" ht="11.25" customHeight="1">
      <c r="A58" s="91"/>
      <c r="B58" s="91"/>
      <c r="C58" s="91"/>
      <c r="D58" s="91"/>
      <c r="E58" s="91"/>
      <c r="F58" s="91"/>
      <c r="G58" s="91"/>
      <c r="H58" s="91"/>
      <c r="I58" s="1"/>
      <c r="J58" s="1"/>
      <c r="K58" s="1"/>
      <c r="L58" s="1"/>
      <c r="M58" s="1"/>
      <c r="N58" s="1"/>
    </row>
    <row r="59" spans="1:14" ht="2.25" customHeight="1">
      <c r="A59" s="91"/>
      <c r="B59" s="91"/>
      <c r="C59" s="91"/>
      <c r="D59" s="91"/>
      <c r="E59" s="91"/>
      <c r="F59" s="91"/>
      <c r="G59" s="91"/>
      <c r="H59" s="91"/>
      <c r="I59" s="1"/>
      <c r="J59" s="1"/>
      <c r="K59" s="1"/>
      <c r="L59" s="1"/>
      <c r="M59" s="1"/>
      <c r="N59" s="1"/>
    </row>
    <row r="60" spans="1:14" ht="36.75" customHeight="1">
      <c r="A60" s="267" t="s">
        <v>216</v>
      </c>
      <c r="B60" s="267"/>
      <c r="C60" s="267"/>
      <c r="D60" s="267"/>
      <c r="E60" s="267"/>
      <c r="F60" s="1"/>
      <c r="G60" s="1"/>
      <c r="H60" s="1"/>
    </row>
    <row r="61" spans="1:14" ht="17.25" customHeight="1">
      <c r="A61" s="263" t="s">
        <v>378</v>
      </c>
      <c r="B61" s="263"/>
      <c r="C61" s="263"/>
      <c r="D61" s="263"/>
      <c r="E61" s="263"/>
      <c r="F61" s="1"/>
      <c r="G61" s="1"/>
      <c r="H61" s="1"/>
      <c r="K61" s="65"/>
    </row>
    <row r="62" spans="1:14">
      <c r="A62" s="9"/>
      <c r="B62" s="9"/>
      <c r="C62" s="9"/>
      <c r="D62" s="9" t="s">
        <v>379</v>
      </c>
      <c r="E62" s="9"/>
      <c r="F62" s="9"/>
      <c r="G62" s="9"/>
      <c r="H62" s="9"/>
      <c r="K62" s="65"/>
    </row>
    <row r="63" spans="1:14">
      <c r="K63" s="65"/>
    </row>
    <row r="64" spans="1:14">
      <c r="K64" s="65"/>
    </row>
    <row r="67" spans="3:3">
      <c r="C67" t="s">
        <v>380</v>
      </c>
    </row>
    <row r="165" spans="3:3">
      <c r="C165">
        <f>10000</f>
        <v>10000</v>
      </c>
    </row>
  </sheetData>
  <mergeCells count="30">
    <mergeCell ref="A25:F25"/>
    <mergeCell ref="A20:G20"/>
    <mergeCell ref="A22:F22"/>
    <mergeCell ref="A61:E61"/>
    <mergeCell ref="B47:D47"/>
    <mergeCell ref="B48:D48"/>
    <mergeCell ref="B49:D49"/>
    <mergeCell ref="B54:D54"/>
    <mergeCell ref="A57:H57"/>
    <mergeCell ref="A60:E60"/>
    <mergeCell ref="B46:D46"/>
    <mergeCell ref="A26:F26"/>
    <mergeCell ref="A27:F27"/>
    <mergeCell ref="A28:F28"/>
    <mergeCell ref="A29:F29"/>
    <mergeCell ref="A30:F30"/>
    <mergeCell ref="A31:G31"/>
    <mergeCell ref="A40:G40"/>
    <mergeCell ref="E42:F42"/>
    <mergeCell ref="G42:H42"/>
    <mergeCell ref="B44:D44"/>
    <mergeCell ref="A23:F23"/>
    <mergeCell ref="A24:F24"/>
    <mergeCell ref="A2:H2"/>
    <mergeCell ref="A3:H3"/>
    <mergeCell ref="A5:F5"/>
    <mergeCell ref="A6:F6"/>
    <mergeCell ref="A7:E7"/>
    <mergeCell ref="A9:F9"/>
    <mergeCell ref="A10:H10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1"/>
  <sheetViews>
    <sheetView view="pageBreakPreview" zoomScaleNormal="100" zoomScaleSheetLayoutView="100" workbookViewId="0">
      <pane xSplit="3" ySplit="6" topLeftCell="D187" activePane="bottomRight" state="frozen"/>
      <selection pane="bottomRight" activeCell="F6" sqref="F6:F18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7109375" style="164" customWidth="1"/>
    <col min="6" max="6" width="20.42578125" style="164" customWidth="1"/>
    <col min="7" max="7" width="19.5703125" style="164" customWidth="1"/>
    <col min="8" max="8" width="20.140625" style="164" customWidth="1"/>
    <col min="9" max="9" width="21.7109375" style="164" customWidth="1"/>
    <col min="10" max="16384" width="9.140625" style="164"/>
  </cols>
  <sheetData>
    <row r="1" spans="1:9" ht="27" customHeight="1">
      <c r="A1" s="321" t="s">
        <v>0</v>
      </c>
      <c r="B1" s="321"/>
      <c r="C1" s="321"/>
      <c r="D1" s="321"/>
    </row>
    <row r="2" spans="1:9" ht="33.75" customHeight="1">
      <c r="A2" s="165" t="s">
        <v>1</v>
      </c>
      <c r="B2" s="166"/>
      <c r="C2" s="165"/>
      <c r="D2" s="165"/>
      <c r="E2" s="169"/>
      <c r="F2" s="169"/>
      <c r="G2" s="169"/>
    </row>
    <row r="3" spans="1:9" ht="9.75" customHeight="1"/>
    <row r="4" spans="1:9" ht="45" customHeight="1">
      <c r="A4" s="20"/>
      <c r="B4" s="170" t="s">
        <v>2</v>
      </c>
      <c r="C4" s="171" t="s">
        <v>3</v>
      </c>
      <c r="D4" s="172" t="s">
        <v>4</v>
      </c>
      <c r="E4" s="174" t="s">
        <v>381</v>
      </c>
      <c r="F4" s="174" t="s">
        <v>382</v>
      </c>
      <c r="G4" s="175" t="s">
        <v>383</v>
      </c>
    </row>
    <row r="5" spans="1:9" ht="20.100000000000001" customHeight="1">
      <c r="A5" s="176" t="s">
        <v>26</v>
      </c>
      <c r="B5" s="177" t="s">
        <v>27</v>
      </c>
      <c r="C5" s="177"/>
      <c r="D5" s="177"/>
      <c r="E5" s="178" t="s">
        <v>25</v>
      </c>
      <c r="F5" s="219" t="s">
        <v>25</v>
      </c>
      <c r="G5" s="178" t="s">
        <v>25</v>
      </c>
    </row>
    <row r="6" spans="1:9" ht="20.100000000000001" customHeight="1">
      <c r="A6" s="28">
        <v>1</v>
      </c>
      <c r="B6" s="156" t="s">
        <v>28</v>
      </c>
      <c r="C6" s="161" t="s">
        <v>29</v>
      </c>
      <c r="D6" s="161" t="s">
        <v>30</v>
      </c>
      <c r="E6" s="23">
        <f>201165.84</f>
        <v>201165.84</v>
      </c>
      <c r="F6" s="208">
        <v>201165.83594666663</v>
      </c>
      <c r="G6" s="23">
        <v>0</v>
      </c>
      <c r="H6" s="180"/>
      <c r="I6" s="180"/>
    </row>
    <row r="7" spans="1:9" ht="20.100000000000001" customHeight="1">
      <c r="A7" s="28">
        <v>2</v>
      </c>
      <c r="B7" s="156" t="s">
        <v>31</v>
      </c>
      <c r="C7" s="20" t="s">
        <v>32</v>
      </c>
      <c r="D7" s="28" t="s">
        <v>33</v>
      </c>
      <c r="E7" s="25" t="e">
        <f>#REF!</f>
        <v>#REF!</v>
      </c>
      <c r="F7" s="208">
        <v>128510.39445866668</v>
      </c>
      <c r="G7" s="23" t="e">
        <f>F7-E7</f>
        <v>#REF!</v>
      </c>
      <c r="H7" s="180"/>
      <c r="I7" s="180"/>
    </row>
    <row r="8" spans="1:9" ht="20.100000000000001" customHeight="1">
      <c r="A8" s="28">
        <v>3</v>
      </c>
      <c r="B8" s="158" t="s">
        <v>34</v>
      </c>
      <c r="C8" s="20" t="s">
        <v>35</v>
      </c>
      <c r="D8" s="28" t="s">
        <v>33</v>
      </c>
      <c r="E8" s="23">
        <f>116473.51</f>
        <v>116473.51</v>
      </c>
      <c r="F8" s="208">
        <v>119107.95141866668</v>
      </c>
      <c r="G8" s="23">
        <f t="shared" ref="G8:G36" si="0">F8-E8</f>
        <v>2634.4414186666836</v>
      </c>
      <c r="H8" s="180"/>
      <c r="I8" s="180"/>
    </row>
    <row r="9" spans="1:9" ht="20.100000000000001" customHeight="1">
      <c r="A9" s="28">
        <v>4</v>
      </c>
      <c r="B9" s="156" t="s">
        <v>36</v>
      </c>
      <c r="C9" s="161" t="s">
        <v>37</v>
      </c>
      <c r="D9" s="28" t="s">
        <v>38</v>
      </c>
      <c r="E9" s="23">
        <f>79993.51</f>
        <v>79993.509999999995</v>
      </c>
      <c r="F9" s="208">
        <v>82627.951418666678</v>
      </c>
      <c r="G9" s="23">
        <f t="shared" si="0"/>
        <v>2634.4414186666836</v>
      </c>
      <c r="H9" s="180"/>
      <c r="I9" s="180"/>
    </row>
    <row r="10" spans="1:9" ht="20.100000000000001" customHeight="1">
      <c r="A10" s="28">
        <v>5</v>
      </c>
      <c r="B10" s="158" t="s">
        <v>39</v>
      </c>
      <c r="C10" s="20" t="s">
        <v>40</v>
      </c>
      <c r="D10" s="181" t="s">
        <v>41</v>
      </c>
      <c r="E10" s="25">
        <f>107095.69</f>
        <v>107095.69</v>
      </c>
      <c r="F10" s="208">
        <v>109730.05337066665</v>
      </c>
      <c r="G10" s="23">
        <f t="shared" si="0"/>
        <v>2634.3633706666442</v>
      </c>
      <c r="H10" s="180"/>
      <c r="I10" s="180"/>
    </row>
    <row r="11" spans="1:9" ht="20.100000000000001" customHeight="1">
      <c r="A11" s="28">
        <v>6</v>
      </c>
      <c r="B11" s="158" t="s">
        <v>42</v>
      </c>
      <c r="C11" s="20" t="s">
        <v>43</v>
      </c>
      <c r="D11" s="24" t="s">
        <v>41</v>
      </c>
      <c r="E11" s="23" t="e">
        <f>#REF!</f>
        <v>#REF!</v>
      </c>
      <c r="F11" s="208">
        <v>99032.677850666674</v>
      </c>
      <c r="G11" s="23" t="e">
        <f t="shared" si="0"/>
        <v>#REF!</v>
      </c>
      <c r="H11" s="180"/>
      <c r="I11" s="180"/>
    </row>
    <row r="12" spans="1:9" ht="20.100000000000001" customHeight="1">
      <c r="A12" s="28">
        <v>7</v>
      </c>
      <c r="B12" s="156" t="s">
        <v>44</v>
      </c>
      <c r="C12" s="112" t="s">
        <v>45</v>
      </c>
      <c r="D12" s="24" t="s">
        <v>41</v>
      </c>
      <c r="E12" s="25" t="e">
        <f>#REF!</f>
        <v>#REF!</v>
      </c>
      <c r="F12" s="208">
        <v>79832.677850666674</v>
      </c>
      <c r="G12" s="23" t="e">
        <f t="shared" si="0"/>
        <v>#REF!</v>
      </c>
      <c r="H12" s="180"/>
      <c r="I12" s="180"/>
    </row>
    <row r="13" spans="1:9" ht="20.100000000000001" customHeight="1">
      <c r="A13" s="28">
        <v>8</v>
      </c>
      <c r="B13" s="158" t="s">
        <v>46</v>
      </c>
      <c r="C13" s="20" t="s">
        <v>47</v>
      </c>
      <c r="D13" s="24" t="s">
        <v>41</v>
      </c>
      <c r="E13" s="23" t="e">
        <f>#REF!</f>
        <v>#REF!</v>
      </c>
      <c r="F13" s="208">
        <v>79832.677850666674</v>
      </c>
      <c r="G13" s="23" t="e">
        <f t="shared" si="0"/>
        <v>#REF!</v>
      </c>
      <c r="H13" s="180"/>
      <c r="I13" s="180"/>
    </row>
    <row r="14" spans="1:9" ht="20.100000000000001" customHeight="1">
      <c r="A14" s="28">
        <v>9</v>
      </c>
      <c r="B14" s="156" t="s">
        <v>48</v>
      </c>
      <c r="C14" s="161" t="s">
        <v>49</v>
      </c>
      <c r="D14" s="181" t="s">
        <v>50</v>
      </c>
      <c r="E14" s="25">
        <f>64436.1</f>
        <v>64436.1</v>
      </c>
      <c r="F14" s="208">
        <v>64436.103146666661</v>
      </c>
      <c r="G14" s="23">
        <f t="shared" si="0"/>
        <v>3.1466666623600759E-3</v>
      </c>
      <c r="H14" s="180"/>
      <c r="I14" s="180"/>
    </row>
    <row r="15" spans="1:9" ht="20.100000000000001" customHeight="1">
      <c r="A15" s="28">
        <v>10</v>
      </c>
      <c r="B15" s="157" t="s">
        <v>51</v>
      </c>
      <c r="C15" s="161" t="s">
        <v>52</v>
      </c>
      <c r="D15" s="28" t="s">
        <v>53</v>
      </c>
      <c r="E15" s="23">
        <f>60212.92</f>
        <v>60212.92</v>
      </c>
      <c r="F15" s="208">
        <v>62404.980266666658</v>
      </c>
      <c r="G15" s="23">
        <f t="shared" si="0"/>
        <v>2192.06026666666</v>
      </c>
      <c r="H15" s="180"/>
      <c r="I15" s="180"/>
    </row>
    <row r="16" spans="1:9" ht="20.100000000000001" customHeight="1">
      <c r="A16" s="28">
        <v>11</v>
      </c>
      <c r="B16" s="160" t="s">
        <v>54</v>
      </c>
      <c r="C16" s="20" t="s">
        <v>55</v>
      </c>
      <c r="D16" s="24" t="s">
        <v>56</v>
      </c>
      <c r="E16" s="23">
        <f>52638.9</f>
        <v>52638.9</v>
      </c>
      <c r="F16" s="208">
        <v>54186.609434666672</v>
      </c>
      <c r="G16" s="23">
        <f t="shared" si="0"/>
        <v>1547.7094346666709</v>
      </c>
      <c r="H16" s="180"/>
      <c r="I16" s="180"/>
    </row>
    <row r="17" spans="1:9" ht="19.5" customHeight="1">
      <c r="A17" s="28">
        <v>12</v>
      </c>
      <c r="B17" s="158" t="s">
        <v>57</v>
      </c>
      <c r="C17" s="20" t="s">
        <v>58</v>
      </c>
      <c r="D17" s="28" t="s">
        <v>56</v>
      </c>
      <c r="E17" s="23">
        <f>43380</f>
        <v>43380</v>
      </c>
      <c r="F17" s="208">
        <v>44734.339388666653</v>
      </c>
      <c r="G17" s="23">
        <f t="shared" si="0"/>
        <v>1354.3393886666527</v>
      </c>
      <c r="H17" s="180"/>
      <c r="I17" s="180"/>
    </row>
    <row r="18" spans="1:9" ht="19.5" customHeight="1">
      <c r="A18" s="28">
        <v>13</v>
      </c>
      <c r="B18" s="158" t="s">
        <v>59</v>
      </c>
      <c r="C18" s="20" t="s">
        <v>60</v>
      </c>
      <c r="D18" s="28" t="s">
        <v>56</v>
      </c>
      <c r="E18" s="23">
        <f>85278.9</f>
        <v>85278.9</v>
      </c>
      <c r="F18" s="208">
        <v>86826.60943466665</v>
      </c>
      <c r="G18" s="23">
        <f t="shared" si="0"/>
        <v>1547.7094346666563</v>
      </c>
      <c r="H18" s="180"/>
      <c r="I18" s="180"/>
    </row>
    <row r="19" spans="1:9" ht="20.100000000000001" customHeight="1">
      <c r="A19" s="28">
        <v>14</v>
      </c>
      <c r="B19" s="156" t="s">
        <v>61</v>
      </c>
      <c r="C19" s="20" t="s">
        <v>58</v>
      </c>
      <c r="D19" s="181" t="s">
        <v>56</v>
      </c>
      <c r="E19" s="25" t="e">
        <f>#REF!</f>
        <v>#REF!</v>
      </c>
      <c r="F19" s="208">
        <v>44006.616588666657</v>
      </c>
      <c r="G19" s="23" t="e">
        <f t="shared" si="0"/>
        <v>#REF!</v>
      </c>
      <c r="H19" s="180"/>
      <c r="I19" s="180"/>
    </row>
    <row r="20" spans="1:9" ht="20.100000000000001" customHeight="1">
      <c r="A20" s="28">
        <v>15</v>
      </c>
      <c r="B20" s="156" t="s">
        <v>62</v>
      </c>
      <c r="C20" s="161" t="s">
        <v>63</v>
      </c>
      <c r="D20" s="181" t="s">
        <v>64</v>
      </c>
      <c r="E20" s="25">
        <f>46673.26</f>
        <v>46673.26</v>
      </c>
      <c r="F20" s="208">
        <v>46666.666666666664</v>
      </c>
      <c r="G20" s="23">
        <f t="shared" si="0"/>
        <v>-6.5933333333377959</v>
      </c>
      <c r="H20" s="180"/>
      <c r="I20" s="180"/>
    </row>
    <row r="21" spans="1:9" ht="20.100000000000001" customHeight="1">
      <c r="A21" s="28">
        <v>16</v>
      </c>
      <c r="B21" s="157" t="s">
        <v>65</v>
      </c>
      <c r="C21" s="20" t="s">
        <v>66</v>
      </c>
      <c r="D21" s="181" t="s">
        <v>67</v>
      </c>
      <c r="E21" s="25">
        <f>63364.81</f>
        <v>63364.81</v>
      </c>
      <c r="F21" s="208">
        <v>64913.263658666656</v>
      </c>
      <c r="G21" s="23">
        <f t="shared" si="0"/>
        <v>1548.4536586666582</v>
      </c>
      <c r="H21" s="180"/>
      <c r="I21" s="180"/>
    </row>
    <row r="22" spans="1:9" ht="20.100000000000001" customHeight="1">
      <c r="A22" s="28">
        <v>17</v>
      </c>
      <c r="B22" s="156" t="s">
        <v>68</v>
      </c>
      <c r="C22" s="161" t="s">
        <v>69</v>
      </c>
      <c r="D22" s="181" t="s">
        <v>70</v>
      </c>
      <c r="E22" s="25">
        <f>31848.56</f>
        <v>31848.560000000001</v>
      </c>
      <c r="F22" s="208">
        <v>34871.967414666666</v>
      </c>
      <c r="G22" s="23">
        <f t="shared" si="0"/>
        <v>3023.4074146666644</v>
      </c>
      <c r="H22" s="180"/>
      <c r="I22" s="180"/>
    </row>
    <row r="23" spans="1:9" ht="18.75" customHeight="1">
      <c r="A23" s="28">
        <v>18</v>
      </c>
      <c r="B23" s="156" t="s">
        <v>71</v>
      </c>
      <c r="C23" s="161" t="s">
        <v>72</v>
      </c>
      <c r="D23" s="181" t="s">
        <v>73</v>
      </c>
      <c r="E23" s="25" t="e">
        <f>#REF!</f>
        <v>#REF!</v>
      </c>
      <c r="F23" s="208">
        <v>32008.563458666671</v>
      </c>
      <c r="G23" s="23" t="e">
        <f t="shared" si="0"/>
        <v>#REF!</v>
      </c>
      <c r="H23" s="180"/>
      <c r="I23" s="180"/>
    </row>
    <row r="24" spans="1:9" ht="18.75" customHeight="1">
      <c r="A24" s="28">
        <v>19</v>
      </c>
      <c r="B24" s="156" t="s">
        <v>74</v>
      </c>
      <c r="C24" s="20" t="s">
        <v>75</v>
      </c>
      <c r="D24" s="181" t="s">
        <v>73</v>
      </c>
      <c r="E24" s="25" t="e">
        <f>#REF!</f>
        <v>#REF!</v>
      </c>
      <c r="F24" s="208">
        <v>32098.951098666672</v>
      </c>
      <c r="G24" s="23" t="e">
        <f t="shared" si="0"/>
        <v>#REF!</v>
      </c>
      <c r="H24" s="180"/>
      <c r="I24" s="180"/>
    </row>
    <row r="25" spans="1:9" ht="18.75" customHeight="1">
      <c r="A25" s="28">
        <v>20</v>
      </c>
      <c r="B25" s="157" t="s">
        <v>258</v>
      </c>
      <c r="C25" s="20" t="s">
        <v>384</v>
      </c>
      <c r="D25" s="181" t="s">
        <v>256</v>
      </c>
      <c r="E25" s="25">
        <f>27105.99</f>
        <v>27105.99</v>
      </c>
      <c r="F25" s="208">
        <v>27873.079686666664</v>
      </c>
      <c r="G25" s="23">
        <f t="shared" si="0"/>
        <v>767.0896866666626</v>
      </c>
      <c r="H25" s="180"/>
      <c r="I25" s="180"/>
    </row>
    <row r="26" spans="1:9" ht="18.75" customHeight="1">
      <c r="A26" s="28">
        <v>21</v>
      </c>
      <c r="B26" s="157" t="s">
        <v>76</v>
      </c>
      <c r="C26" s="161" t="s">
        <v>77</v>
      </c>
      <c r="D26" s="181" t="s">
        <v>78</v>
      </c>
      <c r="E26" s="179">
        <f>26339.08</f>
        <v>26339.08</v>
      </c>
      <c r="F26" s="208">
        <v>27105.986562666669</v>
      </c>
      <c r="G26" s="23">
        <f t="shared" si="0"/>
        <v>766.90656266666701</v>
      </c>
      <c r="H26" s="180"/>
      <c r="I26" s="180"/>
    </row>
    <row r="27" spans="1:9" ht="18.75" customHeight="1">
      <c r="A27" s="28">
        <v>22</v>
      </c>
      <c r="B27" s="20" t="s">
        <v>79</v>
      </c>
      <c r="C27" s="20" t="s">
        <v>80</v>
      </c>
      <c r="D27" s="28" t="s">
        <v>81</v>
      </c>
      <c r="E27" s="25">
        <v>21640.95</v>
      </c>
      <c r="F27" s="208">
        <v>21640.952862666669</v>
      </c>
      <c r="G27" s="23">
        <f t="shared" si="0"/>
        <v>2.8626666680793278E-3</v>
      </c>
      <c r="H27" s="180"/>
      <c r="I27" s="180"/>
    </row>
    <row r="28" spans="1:9" ht="18.75" customHeight="1">
      <c r="A28" s="28">
        <v>23</v>
      </c>
      <c r="B28" s="157" t="s">
        <v>82</v>
      </c>
      <c r="C28" s="161" t="s">
        <v>80</v>
      </c>
      <c r="D28" s="181" t="s">
        <v>81</v>
      </c>
      <c r="E28" s="25">
        <f>21640.95</f>
        <v>21640.95</v>
      </c>
      <c r="F28" s="208">
        <v>22338.48260466666</v>
      </c>
      <c r="G28" s="23">
        <f t="shared" si="0"/>
        <v>697.53260466665961</v>
      </c>
      <c r="H28" s="180"/>
      <c r="I28" s="180"/>
    </row>
    <row r="29" spans="1:9" ht="18.75" customHeight="1">
      <c r="A29" s="28">
        <v>24</v>
      </c>
      <c r="B29" s="156" t="s">
        <v>83</v>
      </c>
      <c r="C29" s="161" t="s">
        <v>84</v>
      </c>
      <c r="D29" s="181" t="s">
        <v>81</v>
      </c>
      <c r="E29" s="25">
        <v>21640.95</v>
      </c>
      <c r="F29" s="208">
        <v>22338.48260466666</v>
      </c>
      <c r="G29" s="23">
        <f t="shared" si="0"/>
        <v>697.53260466665961</v>
      </c>
      <c r="H29" s="180"/>
      <c r="I29" s="180"/>
    </row>
    <row r="30" spans="1:9" ht="18.75" customHeight="1">
      <c r="A30" s="28">
        <v>25</v>
      </c>
      <c r="B30" s="157" t="s">
        <v>85</v>
      </c>
      <c r="C30" s="161" t="s">
        <v>86</v>
      </c>
      <c r="D30" s="181" t="s">
        <v>87</v>
      </c>
      <c r="E30" s="25">
        <f>17572.89</f>
        <v>17572.89</v>
      </c>
      <c r="F30" s="208">
        <v>18102.902732666666</v>
      </c>
      <c r="G30" s="23">
        <f t="shared" si="0"/>
        <v>530.01273266666612</v>
      </c>
      <c r="H30" s="180"/>
      <c r="I30" s="180"/>
    </row>
    <row r="31" spans="1:9" ht="18.75" customHeight="1">
      <c r="A31" s="28">
        <v>26</v>
      </c>
      <c r="B31" s="156" t="s">
        <v>88</v>
      </c>
      <c r="C31" s="112" t="s">
        <v>89</v>
      </c>
      <c r="D31" s="181" t="s">
        <v>90</v>
      </c>
      <c r="E31" s="179">
        <f>17572.89</f>
        <v>17572.89</v>
      </c>
      <c r="F31" s="208">
        <v>18102.902732666666</v>
      </c>
      <c r="G31" s="23">
        <f t="shared" si="0"/>
        <v>530.01273266666612</v>
      </c>
      <c r="H31" s="180"/>
      <c r="I31" s="180"/>
    </row>
    <row r="32" spans="1:9" ht="18.75" customHeight="1">
      <c r="A32" s="28">
        <v>27</v>
      </c>
      <c r="B32" s="157" t="s">
        <v>91</v>
      </c>
      <c r="C32" s="20" t="s">
        <v>92</v>
      </c>
      <c r="D32" s="28" t="s">
        <v>90</v>
      </c>
      <c r="E32" s="25">
        <f>17572.89</f>
        <v>17572.89</v>
      </c>
      <c r="F32" s="208">
        <v>18102.902732666666</v>
      </c>
      <c r="G32" s="23">
        <f t="shared" si="0"/>
        <v>530.01273266666612</v>
      </c>
      <c r="H32" s="180"/>
      <c r="I32" s="180"/>
    </row>
    <row r="33" spans="1:9" ht="18.75" customHeight="1">
      <c r="A33" s="28">
        <v>28</v>
      </c>
      <c r="B33" s="157" t="s">
        <v>93</v>
      </c>
      <c r="C33" s="112" t="s">
        <v>94</v>
      </c>
      <c r="D33" s="181" t="s">
        <v>81</v>
      </c>
      <c r="E33" s="179">
        <v>21640.95</v>
      </c>
      <c r="F33" s="208">
        <v>22338.48260466666</v>
      </c>
      <c r="G33" s="23">
        <f t="shared" si="0"/>
        <v>697.53260466665961</v>
      </c>
      <c r="H33" s="180"/>
      <c r="I33" s="180"/>
    </row>
    <row r="34" spans="1:9" ht="18.75" customHeight="1">
      <c r="A34" s="28">
        <v>29</v>
      </c>
      <c r="B34" s="157" t="s">
        <v>95</v>
      </c>
      <c r="C34" s="20" t="s">
        <v>385</v>
      </c>
      <c r="D34" s="28" t="s">
        <v>97</v>
      </c>
      <c r="E34" s="25">
        <f>16512.68</f>
        <v>16512.68</v>
      </c>
      <c r="F34" s="208">
        <v>17042.713866666669</v>
      </c>
      <c r="G34" s="23">
        <f t="shared" si="0"/>
        <v>530.03386666666847</v>
      </c>
      <c r="H34" s="180"/>
      <c r="I34" s="180"/>
    </row>
    <row r="35" spans="1:9" ht="18.75" customHeight="1">
      <c r="A35" s="28">
        <v>30</v>
      </c>
      <c r="B35" s="157" t="s">
        <v>98</v>
      </c>
      <c r="C35" s="161" t="s">
        <v>77</v>
      </c>
      <c r="D35" s="181" t="s">
        <v>97</v>
      </c>
      <c r="E35" s="25">
        <f t="shared" ref="E35:E36" si="1">16512.68</f>
        <v>16512.68</v>
      </c>
      <c r="F35" s="208">
        <v>17042.865866666671</v>
      </c>
      <c r="G35" s="23">
        <f t="shared" si="0"/>
        <v>530.18586666667034</v>
      </c>
      <c r="H35" s="180"/>
      <c r="I35" s="180"/>
    </row>
    <row r="36" spans="1:9" ht="18.75" customHeight="1">
      <c r="A36" s="28">
        <v>31</v>
      </c>
      <c r="B36" s="157" t="s">
        <v>99</v>
      </c>
      <c r="C36" s="161" t="s">
        <v>77</v>
      </c>
      <c r="D36" s="181" t="s">
        <v>97</v>
      </c>
      <c r="E36" s="25">
        <f t="shared" si="1"/>
        <v>16512.68</v>
      </c>
      <c r="F36" s="208">
        <v>17043.017866666672</v>
      </c>
      <c r="G36" s="23">
        <f t="shared" si="0"/>
        <v>530.3378666666722</v>
      </c>
      <c r="H36" s="180"/>
      <c r="I36" s="180"/>
    </row>
    <row r="37" spans="1:9" ht="26.25" customHeight="1">
      <c r="A37" s="28"/>
      <c r="B37" s="159" t="s">
        <v>100</v>
      </c>
      <c r="C37" s="29">
        <v>31</v>
      </c>
      <c r="D37" s="181"/>
      <c r="E37" s="183" t="e">
        <f t="shared" ref="E37" si="2">SUM(E6:E36)</f>
        <v>#REF!</v>
      </c>
      <c r="F37" s="183">
        <f t="shared" ref="F37" si="3">SUM(F6:F36)</f>
        <v>1716067.6634466664</v>
      </c>
      <c r="G37" s="183" t="e">
        <f t="shared" ref="G37" si="4">SUM(G6:G36)</f>
        <v>#REF!</v>
      </c>
      <c r="H37" s="180"/>
      <c r="I37" s="180"/>
    </row>
    <row r="38" spans="1:9" ht="18.75" customHeight="1">
      <c r="A38" s="28"/>
      <c r="B38" s="123"/>
      <c r="C38" s="20"/>
      <c r="D38" s="181"/>
      <c r="E38" s="183"/>
      <c r="F38" s="220"/>
      <c r="G38" s="183"/>
      <c r="H38" s="180"/>
      <c r="I38" s="180"/>
    </row>
    <row r="39" spans="1:9" ht="18.75" customHeight="1">
      <c r="A39" s="28"/>
      <c r="B39" s="159" t="s">
        <v>101</v>
      </c>
      <c r="C39" s="20"/>
      <c r="D39" s="181"/>
      <c r="E39" s="25"/>
      <c r="F39" s="208"/>
      <c r="G39" s="23"/>
      <c r="H39" s="180"/>
      <c r="I39" s="180"/>
    </row>
    <row r="40" spans="1:9" ht="18.75" customHeight="1">
      <c r="A40" s="28">
        <v>1</v>
      </c>
      <c r="B40" s="157" t="s">
        <v>102</v>
      </c>
      <c r="C40" s="20" t="s">
        <v>103</v>
      </c>
      <c r="D40" s="28" t="s">
        <v>104</v>
      </c>
      <c r="E40" s="25">
        <f>156349.82</f>
        <v>156349.82</v>
      </c>
      <c r="F40" s="208">
        <v>161106.80685866668</v>
      </c>
      <c r="G40" s="23">
        <f>F40-E40</f>
        <v>4756.9868586666707</v>
      </c>
      <c r="H40" s="180"/>
      <c r="I40" s="180"/>
    </row>
    <row r="41" spans="1:9" ht="18.75" customHeight="1">
      <c r="A41" s="28">
        <v>2</v>
      </c>
      <c r="B41" s="157" t="s">
        <v>105</v>
      </c>
      <c r="C41" s="20" t="s">
        <v>106</v>
      </c>
      <c r="D41" s="28" t="s">
        <v>107</v>
      </c>
      <c r="E41" s="25">
        <f>16512.68</f>
        <v>16512.68</v>
      </c>
      <c r="F41" s="208">
        <v>16512.68219066667</v>
      </c>
      <c r="G41" s="23">
        <f>F41-E41</f>
        <v>2.1906666697759647E-3</v>
      </c>
      <c r="H41" s="180"/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172862.5</v>
      </c>
      <c r="F42" s="220">
        <f>SUM(F40:F41)</f>
        <v>177619.48904933335</v>
      </c>
      <c r="G42" s="220">
        <f>SUM(G40:G41)</f>
        <v>4756.9890493333405</v>
      </c>
      <c r="H42" s="180"/>
      <c r="I42" s="180"/>
    </row>
    <row r="43" spans="1:9" ht="20.100000000000001" customHeight="1">
      <c r="A43" s="28"/>
      <c r="B43" s="158"/>
      <c r="C43" s="20"/>
      <c r="D43" s="28"/>
      <c r="E43" s="183"/>
      <c r="F43" s="208"/>
      <c r="G43" s="23"/>
      <c r="H43" s="180"/>
      <c r="I43" s="180"/>
    </row>
    <row r="44" spans="1:9" ht="20.100000000000001" customHeight="1">
      <c r="A44" s="28"/>
      <c r="B44" s="185" t="s">
        <v>108</v>
      </c>
      <c r="C44" s="170"/>
      <c r="D44" s="174"/>
      <c r="E44" s="23"/>
      <c r="F44" s="208"/>
      <c r="G44" s="23"/>
      <c r="H44" s="180"/>
      <c r="I44" s="180"/>
    </row>
    <row r="45" spans="1:9" ht="20.100000000000001" customHeight="1">
      <c r="A45" s="28">
        <v>1</v>
      </c>
      <c r="B45" s="156" t="s">
        <v>109</v>
      </c>
      <c r="C45" s="20" t="s">
        <v>110</v>
      </c>
      <c r="D45" s="28" t="s">
        <v>104</v>
      </c>
      <c r="E45" s="25">
        <f>180306.81</f>
        <v>180306.81</v>
      </c>
      <c r="F45" s="208">
        <v>180306.80685866671</v>
      </c>
      <c r="G45" s="23">
        <f>F45-E45</f>
        <v>-3.1413332908414304E-3</v>
      </c>
      <c r="H45" s="180"/>
      <c r="I45" s="180"/>
    </row>
    <row r="46" spans="1:9" ht="20.100000000000001" customHeight="1">
      <c r="A46" s="28">
        <v>2</v>
      </c>
      <c r="B46" s="156" t="s">
        <v>111</v>
      </c>
      <c r="C46" s="20" t="s">
        <v>112</v>
      </c>
      <c r="D46" s="28" t="s">
        <v>50</v>
      </c>
      <c r="E46" s="25">
        <f>79956.94</f>
        <v>79956.94</v>
      </c>
      <c r="F46" s="208">
        <v>79956.939146666657</v>
      </c>
      <c r="G46" s="23">
        <f t="shared" ref="G46:G56" si="5">F46-E46</f>
        <v>-8.5333334573078901E-4</v>
      </c>
      <c r="H46" s="180"/>
      <c r="I46" s="180"/>
    </row>
    <row r="47" spans="1:9" ht="20.100000000000001" customHeight="1">
      <c r="A47" s="28">
        <v>3</v>
      </c>
      <c r="B47" s="156" t="s">
        <v>113</v>
      </c>
      <c r="C47" s="20" t="s">
        <v>114</v>
      </c>
      <c r="D47" s="28" t="s">
        <v>50</v>
      </c>
      <c r="E47" s="25">
        <f>79956.94</f>
        <v>79956.94</v>
      </c>
      <c r="F47" s="208">
        <v>79956.939146666657</v>
      </c>
      <c r="G47" s="23">
        <f t="shared" si="5"/>
        <v>-8.5333334573078901E-4</v>
      </c>
      <c r="H47" s="180"/>
      <c r="I47" s="180"/>
    </row>
    <row r="48" spans="1:9" ht="20.100000000000001" customHeight="1">
      <c r="A48" s="28">
        <v>4</v>
      </c>
      <c r="B48" s="156" t="s">
        <v>115</v>
      </c>
      <c r="C48" s="20" t="s">
        <v>114</v>
      </c>
      <c r="D48" s="28" t="s">
        <v>50</v>
      </c>
      <c r="E48" s="25">
        <f>77764.98</f>
        <v>77764.98</v>
      </c>
      <c r="F48" s="208">
        <v>79956.939146666657</v>
      </c>
      <c r="G48" s="23">
        <f t="shared" si="5"/>
        <v>2191.9591466666607</v>
      </c>
      <c r="H48" s="180"/>
      <c r="I48" s="180"/>
    </row>
    <row r="49" spans="1:9" ht="20.100000000000001" customHeight="1">
      <c r="A49" s="28">
        <v>5</v>
      </c>
      <c r="B49" s="156" t="s">
        <v>116</v>
      </c>
      <c r="C49" s="20" t="s">
        <v>114</v>
      </c>
      <c r="D49" s="28" t="s">
        <v>117</v>
      </c>
      <c r="E49" s="25" t="e">
        <f>#REF!</f>
        <v>#REF!</v>
      </c>
      <c r="F49" s="208">
        <v>70061.519786666671</v>
      </c>
      <c r="G49" s="23" t="e">
        <f t="shared" si="5"/>
        <v>#REF!</v>
      </c>
      <c r="H49" s="180"/>
      <c r="I49" s="180"/>
    </row>
    <row r="50" spans="1:9" ht="20.100000000000001" customHeight="1">
      <c r="A50" s="28">
        <v>6</v>
      </c>
      <c r="B50" s="156" t="s">
        <v>118</v>
      </c>
      <c r="C50" s="20" t="s">
        <v>119</v>
      </c>
      <c r="D50" s="28" t="s">
        <v>56</v>
      </c>
      <c r="E50" s="25">
        <f>56478.9</f>
        <v>56478.9</v>
      </c>
      <c r="F50" s="208">
        <v>57889.864794666668</v>
      </c>
      <c r="G50" s="23">
        <f t="shared" si="5"/>
        <v>1410.9647946666664</v>
      </c>
      <c r="H50" s="180"/>
      <c r="I50" s="180"/>
    </row>
    <row r="51" spans="1:9" ht="20.100000000000001" customHeight="1">
      <c r="A51" s="28">
        <v>7</v>
      </c>
      <c r="B51" s="158" t="s">
        <v>120</v>
      </c>
      <c r="C51" s="20" t="s">
        <v>121</v>
      </c>
      <c r="D51" s="24" t="s">
        <v>56</v>
      </c>
      <c r="E51" s="23">
        <f>56478.9</f>
        <v>56478.9</v>
      </c>
      <c r="F51" s="208">
        <v>58026.609434666672</v>
      </c>
      <c r="G51" s="23">
        <f t="shared" si="5"/>
        <v>1547.7094346666709</v>
      </c>
      <c r="H51" s="180"/>
      <c r="I51" s="180"/>
    </row>
    <row r="52" spans="1:9" ht="20.100000000000001" customHeight="1">
      <c r="A52" s="28">
        <v>8</v>
      </c>
      <c r="B52" s="156" t="s">
        <v>122</v>
      </c>
      <c r="C52" s="20" t="s">
        <v>121</v>
      </c>
      <c r="D52" s="28" t="s">
        <v>123</v>
      </c>
      <c r="E52" s="25" t="e">
        <f>#REF!</f>
        <v>#REF!</v>
      </c>
      <c r="F52" s="208">
        <v>55518.902906666663</v>
      </c>
      <c r="G52" s="23" t="e">
        <f t="shared" si="5"/>
        <v>#REF!</v>
      </c>
      <c r="H52" s="180"/>
      <c r="I52" s="180"/>
    </row>
    <row r="53" spans="1:9" ht="20.100000000000001" customHeight="1">
      <c r="A53" s="28">
        <v>9</v>
      </c>
      <c r="B53" s="156" t="s">
        <v>124</v>
      </c>
      <c r="C53" s="20" t="s">
        <v>125</v>
      </c>
      <c r="D53" s="28" t="s">
        <v>126</v>
      </c>
      <c r="E53" s="25">
        <f>48052.11</f>
        <v>48052.11</v>
      </c>
      <c r="F53" s="208">
        <v>49548.776186666662</v>
      </c>
      <c r="G53" s="23">
        <f t="shared" si="5"/>
        <v>1496.6661866666618</v>
      </c>
      <c r="H53" s="180"/>
      <c r="I53" s="180"/>
    </row>
    <row r="54" spans="1:9" ht="20.100000000000001" customHeight="1">
      <c r="A54" s="28">
        <v>10</v>
      </c>
      <c r="B54" s="156" t="s">
        <v>127</v>
      </c>
      <c r="C54" s="20" t="s">
        <v>128</v>
      </c>
      <c r="D54" s="28" t="s">
        <v>129</v>
      </c>
      <c r="E54" s="25">
        <f>28360.95</f>
        <v>28360.95</v>
      </c>
      <c r="F54" s="208">
        <v>28360.952862666662</v>
      </c>
      <c r="G54" s="23">
        <f t="shared" si="5"/>
        <v>2.8626666608033702E-3</v>
      </c>
      <c r="H54" s="180"/>
      <c r="I54" s="180"/>
    </row>
    <row r="55" spans="1:9" ht="20.100000000000001" customHeight="1">
      <c r="A55" s="28">
        <v>11</v>
      </c>
      <c r="B55" s="156" t="s">
        <v>130</v>
      </c>
      <c r="C55" s="20" t="s">
        <v>128</v>
      </c>
      <c r="D55" s="28" t="s">
        <v>129</v>
      </c>
      <c r="E55" s="25">
        <f>28360.95</f>
        <v>28360.95</v>
      </c>
      <c r="F55" s="208">
        <v>28360.952862666662</v>
      </c>
      <c r="G55" s="23">
        <f t="shared" si="5"/>
        <v>2.8626666608033702E-3</v>
      </c>
      <c r="H55" s="180"/>
      <c r="I55" s="180"/>
    </row>
    <row r="56" spans="1:9" ht="20.100000000000001" customHeight="1">
      <c r="A56" s="28">
        <v>12</v>
      </c>
      <c r="B56" s="156" t="s">
        <v>131</v>
      </c>
      <c r="C56" s="20" t="s">
        <v>128</v>
      </c>
      <c r="D56" s="28" t="s">
        <v>129</v>
      </c>
      <c r="E56" s="25">
        <f>28360.95</f>
        <v>28360.95</v>
      </c>
      <c r="F56" s="208">
        <v>28360.952862666662</v>
      </c>
      <c r="G56" s="23">
        <f t="shared" si="5"/>
        <v>2.8626666608033702E-3</v>
      </c>
      <c r="H56" s="180"/>
      <c r="I56" s="180"/>
    </row>
    <row r="57" spans="1:9" ht="25.5" customHeight="1">
      <c r="A57" s="28"/>
      <c r="B57" s="159" t="s">
        <v>100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80"/>
      <c r="I57" s="180"/>
    </row>
    <row r="58" spans="1:9" ht="20.100000000000001" customHeight="1">
      <c r="A58" s="28"/>
      <c r="B58" s="123"/>
      <c r="C58" s="29"/>
      <c r="D58" s="29"/>
      <c r="E58" s="30"/>
      <c r="F58" s="222"/>
      <c r="G58" s="30"/>
      <c r="H58" s="180"/>
      <c r="I58" s="180"/>
    </row>
    <row r="59" spans="1:9" ht="20.100000000000001" customHeight="1">
      <c r="A59" s="28"/>
      <c r="B59" s="159" t="s">
        <v>132</v>
      </c>
      <c r="C59" s="29"/>
      <c r="D59" s="29"/>
      <c r="E59" s="30"/>
      <c r="F59" s="222"/>
      <c r="G59" s="30"/>
      <c r="H59" s="180"/>
      <c r="I59" s="180"/>
    </row>
    <row r="60" spans="1:9" ht="20.100000000000001" customHeight="1">
      <c r="A60" s="28">
        <v>1</v>
      </c>
      <c r="B60" s="156" t="s">
        <v>133</v>
      </c>
      <c r="C60" s="161" t="s">
        <v>134</v>
      </c>
      <c r="D60" s="181" t="s">
        <v>104</v>
      </c>
      <c r="E60" s="25">
        <f>180306.81</f>
        <v>180306.81</v>
      </c>
      <c r="F60" s="208">
        <f>'[3]August 2022  (2)'!$AA$56</f>
        <v>180306.80685866671</v>
      </c>
      <c r="G60" s="23">
        <f>F60-E60</f>
        <v>-3.1413332908414304E-3</v>
      </c>
      <c r="H60" s="180"/>
      <c r="I60" s="180"/>
    </row>
    <row r="61" spans="1:9" ht="20.100000000000001" customHeight="1">
      <c r="A61" s="28"/>
      <c r="B61" s="159" t="s">
        <v>100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80"/>
      <c r="I61" s="180"/>
    </row>
    <row r="62" spans="1:9" ht="20.100000000000001" customHeight="1">
      <c r="A62" s="28"/>
      <c r="B62" s="159"/>
      <c r="C62" s="29"/>
      <c r="D62" s="29"/>
      <c r="E62" s="30"/>
      <c r="F62" s="222"/>
      <c r="G62" s="30"/>
      <c r="H62" s="180"/>
      <c r="I62" s="180"/>
    </row>
    <row r="63" spans="1:9" ht="20.100000000000001" customHeight="1">
      <c r="A63" s="28"/>
      <c r="B63" s="159" t="s">
        <v>135</v>
      </c>
      <c r="C63" s="29"/>
      <c r="D63" s="29"/>
      <c r="E63" s="30"/>
      <c r="F63" s="222"/>
      <c r="G63" s="30"/>
      <c r="H63" s="180"/>
      <c r="I63" s="180"/>
    </row>
    <row r="64" spans="1:9" ht="20.100000000000001" customHeight="1">
      <c r="A64" s="28">
        <v>1</v>
      </c>
      <c r="B64" s="156" t="s">
        <v>136</v>
      </c>
      <c r="C64" s="112" t="s">
        <v>137</v>
      </c>
      <c r="D64" s="28" t="s">
        <v>104</v>
      </c>
      <c r="E64" s="25">
        <f>180306.81</f>
        <v>180306.81</v>
      </c>
      <c r="F64" s="209">
        <v>180306.80685866671</v>
      </c>
      <c r="G64" s="25">
        <f>F64-E64</f>
        <v>-3.1413332908414304E-3</v>
      </c>
      <c r="H64" s="180"/>
      <c r="I64" s="180"/>
    </row>
    <row r="65" spans="1:9" ht="20.100000000000001" customHeight="1">
      <c r="A65" s="28">
        <v>2</v>
      </c>
      <c r="B65" s="157" t="s">
        <v>138</v>
      </c>
      <c r="C65" s="112" t="s">
        <v>139</v>
      </c>
      <c r="D65" s="181" t="s">
        <v>140</v>
      </c>
      <c r="E65" s="25">
        <v>75572.92</v>
      </c>
      <c r="F65" s="209">
        <v>75572.915690666661</v>
      </c>
      <c r="G65" s="25">
        <f t="shared" ref="G65:G76" si="7">F65-E65</f>
        <v>-4.3093333370052278E-3</v>
      </c>
      <c r="H65" s="180"/>
      <c r="I65" s="180"/>
    </row>
    <row r="66" spans="1:9" ht="20.100000000000001" customHeight="1">
      <c r="A66" s="28">
        <v>3</v>
      </c>
      <c r="B66" s="156" t="s">
        <v>141</v>
      </c>
      <c r="C66" s="20" t="s">
        <v>142</v>
      </c>
      <c r="D66" s="28" t="s">
        <v>126</v>
      </c>
      <c r="E66" s="25">
        <f>48170.87</f>
        <v>48170.87</v>
      </c>
      <c r="F66" s="209">
        <v>49548.776186666662</v>
      </c>
      <c r="G66" s="25">
        <f t="shared" si="7"/>
        <v>1377.9061866666598</v>
      </c>
      <c r="H66" s="180"/>
      <c r="I66" s="180"/>
    </row>
    <row r="67" spans="1:9" ht="20.100000000000001" customHeight="1">
      <c r="A67" s="28">
        <v>4</v>
      </c>
      <c r="B67" s="157" t="s">
        <v>143</v>
      </c>
      <c r="C67" s="112" t="s">
        <v>142</v>
      </c>
      <c r="D67" s="181" t="s">
        <v>64</v>
      </c>
      <c r="E67" s="25">
        <f>46673.26</f>
        <v>46673.26</v>
      </c>
      <c r="F67" s="209">
        <v>48170.870282666663</v>
      </c>
      <c r="G67" s="25">
        <f t="shared" si="7"/>
        <v>1497.6102826666611</v>
      </c>
      <c r="H67" s="180"/>
      <c r="I67" s="180"/>
    </row>
    <row r="68" spans="1:9" ht="20.100000000000001" customHeight="1">
      <c r="A68" s="28">
        <v>5</v>
      </c>
      <c r="B68" s="158" t="s">
        <v>144</v>
      </c>
      <c r="C68" s="112" t="s">
        <v>121</v>
      </c>
      <c r="D68" s="181" t="s">
        <v>56</v>
      </c>
      <c r="E68" s="23">
        <v>56478.9</v>
      </c>
      <c r="F68" s="209">
        <v>58026.609434666672</v>
      </c>
      <c r="G68" s="25">
        <f t="shared" si="7"/>
        <v>1547.7094346666709</v>
      </c>
      <c r="H68" s="180"/>
      <c r="I68" s="180"/>
    </row>
    <row r="69" spans="1:9" ht="20.100000000000001" customHeight="1">
      <c r="A69" s="28">
        <v>6</v>
      </c>
      <c r="B69" s="156" t="s">
        <v>145</v>
      </c>
      <c r="C69" s="20" t="s">
        <v>128</v>
      </c>
      <c r="D69" s="28" t="s">
        <v>146</v>
      </c>
      <c r="E69" s="25">
        <v>36127.269999999997</v>
      </c>
      <c r="F69" s="209">
        <v>37661.421354666665</v>
      </c>
      <c r="G69" s="25">
        <f t="shared" si="7"/>
        <v>1534.1513546666683</v>
      </c>
      <c r="H69" s="180"/>
      <c r="I69" s="180"/>
    </row>
    <row r="70" spans="1:9" ht="20.100000000000001" customHeight="1">
      <c r="A70" s="28">
        <v>7</v>
      </c>
      <c r="B70" s="156" t="s">
        <v>147</v>
      </c>
      <c r="C70" s="112" t="s">
        <v>148</v>
      </c>
      <c r="D70" s="181" t="s">
        <v>70</v>
      </c>
      <c r="E70" s="25">
        <v>41248.559999999998</v>
      </c>
      <c r="F70" s="209">
        <v>43278.494774666666</v>
      </c>
      <c r="G70" s="25">
        <f t="shared" si="7"/>
        <v>2029.9347746666681</v>
      </c>
      <c r="H70" s="180"/>
      <c r="I70" s="180"/>
    </row>
    <row r="71" spans="1:9" ht="20.100000000000001" customHeight="1">
      <c r="A71" s="28">
        <v>8</v>
      </c>
      <c r="B71" s="156" t="s">
        <v>149</v>
      </c>
      <c r="C71" s="112" t="s">
        <v>148</v>
      </c>
      <c r="D71" s="181" t="s">
        <v>150</v>
      </c>
      <c r="E71" s="25">
        <f>40149.18</f>
        <v>40149.18</v>
      </c>
      <c r="F71" s="209">
        <v>40149.175266666673</v>
      </c>
      <c r="G71" s="25">
        <f t="shared" si="7"/>
        <v>-4.7333333277492784E-3</v>
      </c>
      <c r="H71" s="180"/>
      <c r="I71" s="180"/>
    </row>
    <row r="72" spans="1:9" ht="20.100000000000001" customHeight="1">
      <c r="A72" s="28">
        <v>9</v>
      </c>
      <c r="B72" s="156" t="s">
        <v>151</v>
      </c>
      <c r="C72" s="112" t="s">
        <v>148</v>
      </c>
      <c r="D72" s="181" t="s">
        <v>150</v>
      </c>
      <c r="E72" s="25">
        <f>40149.18</f>
        <v>40149.18</v>
      </c>
      <c r="F72" s="209">
        <v>40149.175266666673</v>
      </c>
      <c r="G72" s="25">
        <f t="shared" si="7"/>
        <v>-4.7333333277492784E-3</v>
      </c>
      <c r="H72" s="180"/>
      <c r="I72" s="180"/>
    </row>
    <row r="73" spans="1:9" ht="20.100000000000001" customHeight="1">
      <c r="A73" s="28">
        <v>10</v>
      </c>
      <c r="B73" s="156" t="s">
        <v>152</v>
      </c>
      <c r="C73" s="20" t="s">
        <v>153</v>
      </c>
      <c r="D73" s="28" t="s">
        <v>73</v>
      </c>
      <c r="E73" s="25" t="e">
        <f>#REF!</f>
        <v>#REF!</v>
      </c>
      <c r="F73" s="209">
        <f>'[3]August 2022  (2)'!$Z$69</f>
        <v>41338.951098666665</v>
      </c>
      <c r="G73" s="25" t="e">
        <f t="shared" si="7"/>
        <v>#REF!</v>
      </c>
      <c r="H73" s="180"/>
      <c r="I73" s="180"/>
    </row>
    <row r="74" spans="1:9" ht="20.100000000000001" customHeight="1">
      <c r="A74" s="28">
        <v>11</v>
      </c>
      <c r="B74" s="156" t="s">
        <v>154</v>
      </c>
      <c r="C74" s="112" t="s">
        <v>128</v>
      </c>
      <c r="D74" s="28" t="s">
        <v>155</v>
      </c>
      <c r="E74" s="25">
        <f>32291.82</f>
        <v>32291.82</v>
      </c>
      <c r="F74" s="209">
        <v>33059.078406666667</v>
      </c>
      <c r="G74" s="25">
        <f t="shared" si="7"/>
        <v>767.25840666666772</v>
      </c>
      <c r="H74" s="180"/>
      <c r="I74" s="180"/>
    </row>
    <row r="75" spans="1:9" ht="20.100000000000001" customHeight="1">
      <c r="A75" s="28">
        <v>12</v>
      </c>
      <c r="B75" s="156" t="s">
        <v>156</v>
      </c>
      <c r="C75" s="112" t="s">
        <v>157</v>
      </c>
      <c r="D75" s="28" t="s">
        <v>81</v>
      </c>
      <c r="E75" s="25">
        <f>24685.95</f>
        <v>24685.95</v>
      </c>
      <c r="F75" s="209">
        <v>29058.48260466666</v>
      </c>
      <c r="G75" s="25">
        <f t="shared" si="7"/>
        <v>4372.5326046666596</v>
      </c>
      <c r="H75" s="180"/>
      <c r="I75" s="180"/>
    </row>
    <row r="76" spans="1:9" ht="20.100000000000001" customHeight="1">
      <c r="A76" s="28">
        <v>13</v>
      </c>
      <c r="B76" s="158" t="s">
        <v>158</v>
      </c>
      <c r="C76" s="112" t="s">
        <v>157</v>
      </c>
      <c r="D76" s="28" t="s">
        <v>97</v>
      </c>
      <c r="E76" s="25">
        <f>24685.95</f>
        <v>24685.95</v>
      </c>
      <c r="F76" s="209">
        <v>25271.771466666669</v>
      </c>
      <c r="G76" s="25">
        <f t="shared" si="7"/>
        <v>585.82146666666813</v>
      </c>
      <c r="H76" s="180"/>
      <c r="I76" s="180"/>
    </row>
    <row r="77" spans="1:9" ht="20.100000000000001" customHeight="1">
      <c r="A77" s="28"/>
      <c r="B77" s="159" t="s">
        <v>100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80"/>
      <c r="I77" s="180"/>
    </row>
    <row r="78" spans="1:9" ht="20.100000000000001" customHeight="1">
      <c r="A78" s="28"/>
      <c r="B78" s="123"/>
      <c r="C78" s="29"/>
      <c r="D78" s="29"/>
      <c r="E78" s="30"/>
      <c r="F78" s="222"/>
      <c r="G78" s="30"/>
      <c r="H78" s="180"/>
      <c r="I78" s="180"/>
    </row>
    <row r="79" spans="1:9" ht="20.100000000000001" customHeight="1">
      <c r="A79" s="28"/>
      <c r="B79" s="159" t="s">
        <v>159</v>
      </c>
      <c r="C79" s="29"/>
      <c r="D79" s="29"/>
      <c r="E79" s="30"/>
      <c r="F79" s="222"/>
      <c r="G79" s="30"/>
      <c r="H79" s="180"/>
      <c r="I79" s="180"/>
    </row>
    <row r="80" spans="1:9" ht="20.100000000000001" customHeight="1">
      <c r="A80" s="28">
        <v>1</v>
      </c>
      <c r="B80" s="156" t="s">
        <v>160</v>
      </c>
      <c r="C80" s="20" t="s">
        <v>161</v>
      </c>
      <c r="D80" s="28" t="s">
        <v>104</v>
      </c>
      <c r="E80" s="25">
        <f>180306.81</f>
        <v>180306.81</v>
      </c>
      <c r="F80" s="208">
        <v>180306.80685866671</v>
      </c>
      <c r="G80" s="23">
        <f>F80-E80</f>
        <v>-3.1413332908414304E-3</v>
      </c>
      <c r="H80" s="180"/>
      <c r="I80" s="180"/>
    </row>
    <row r="81" spans="1:9" ht="20.100000000000001" customHeight="1">
      <c r="A81" s="28">
        <v>2</v>
      </c>
      <c r="B81" s="158" t="s">
        <v>162</v>
      </c>
      <c r="C81" s="20" t="s">
        <v>163</v>
      </c>
      <c r="D81" s="181" t="s">
        <v>140</v>
      </c>
      <c r="E81" s="25">
        <f>75572.92</f>
        <v>75572.92</v>
      </c>
      <c r="F81" s="208">
        <v>75572.915690666661</v>
      </c>
      <c r="G81" s="23">
        <f t="shared" ref="G81:G84" si="9">F81-E81</f>
        <v>-4.3093333370052278E-3</v>
      </c>
      <c r="H81" s="180"/>
      <c r="I81" s="180"/>
    </row>
    <row r="82" spans="1:9" ht="20.100000000000001" customHeight="1">
      <c r="A82" s="28">
        <v>3</v>
      </c>
      <c r="B82" s="158" t="s">
        <v>164</v>
      </c>
      <c r="C82" s="20" t="s">
        <v>165</v>
      </c>
      <c r="D82" s="181" t="s">
        <v>140</v>
      </c>
      <c r="E82" s="25">
        <f>75572.92</f>
        <v>75572.92</v>
      </c>
      <c r="F82" s="208">
        <v>75572.915690666661</v>
      </c>
      <c r="G82" s="23">
        <f t="shared" si="9"/>
        <v>-4.3093333370052278E-3</v>
      </c>
      <c r="H82" s="180"/>
      <c r="I82" s="180"/>
    </row>
    <row r="83" spans="1:9" ht="20.100000000000001" customHeight="1">
      <c r="A83" s="28">
        <v>4</v>
      </c>
      <c r="B83" s="156" t="s">
        <v>166</v>
      </c>
      <c r="C83" s="20" t="s">
        <v>167</v>
      </c>
      <c r="D83" s="181" t="s">
        <v>126</v>
      </c>
      <c r="E83" s="25">
        <v>48170.87</v>
      </c>
      <c r="F83" s="208">
        <v>49548.776186666662</v>
      </c>
      <c r="G83" s="23">
        <f t="shared" si="9"/>
        <v>1377.9061866666598</v>
      </c>
      <c r="H83" s="180"/>
      <c r="I83" s="180"/>
    </row>
    <row r="84" spans="1:9" ht="20.100000000000001" customHeight="1">
      <c r="A84" s="28">
        <v>5</v>
      </c>
      <c r="B84" s="156" t="s">
        <v>168</v>
      </c>
      <c r="C84" s="20" t="s">
        <v>169</v>
      </c>
      <c r="D84" s="28" t="s">
        <v>155</v>
      </c>
      <c r="E84" s="25">
        <f>32291.82</f>
        <v>32291.82</v>
      </c>
      <c r="F84" s="208">
        <v>33059.078406666667</v>
      </c>
      <c r="G84" s="23">
        <f t="shared" si="9"/>
        <v>767.25840666666772</v>
      </c>
      <c r="H84" s="180"/>
      <c r="I84" s="180"/>
    </row>
    <row r="85" spans="1:9" ht="20.100000000000001" customHeight="1">
      <c r="A85" s="28"/>
      <c r="B85" s="159" t="s">
        <v>100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80"/>
      <c r="I85" s="180"/>
    </row>
    <row r="86" spans="1:9" ht="20.100000000000001" customHeight="1">
      <c r="A86" s="28"/>
      <c r="B86" s="159"/>
      <c r="C86" s="29"/>
      <c r="D86" s="29"/>
      <c r="E86" s="30"/>
      <c r="F86" s="208"/>
      <c r="G86" s="23"/>
      <c r="H86" s="180"/>
      <c r="I86" s="180"/>
    </row>
    <row r="87" spans="1:9" ht="20.100000000000001" customHeight="1">
      <c r="A87" s="28"/>
      <c r="B87" s="159" t="s">
        <v>170</v>
      </c>
      <c r="C87" s="186"/>
      <c r="D87" s="29"/>
      <c r="E87" s="30"/>
      <c r="F87" s="208"/>
      <c r="G87" s="23"/>
      <c r="H87" s="180"/>
      <c r="I87" s="180"/>
    </row>
    <row r="88" spans="1:9" ht="23.25" customHeight="1">
      <c r="A88" s="28">
        <v>1</v>
      </c>
      <c r="B88" s="156" t="s">
        <v>171</v>
      </c>
      <c r="C88" s="20" t="s">
        <v>172</v>
      </c>
      <c r="D88" s="28" t="s">
        <v>33</v>
      </c>
      <c r="E88" s="25">
        <f>97273.51</f>
        <v>97273.51</v>
      </c>
      <c r="F88" s="208">
        <v>99907.951418666678</v>
      </c>
      <c r="G88" s="23">
        <f>F88-E88</f>
        <v>2634.4414186666836</v>
      </c>
      <c r="H88" s="180"/>
      <c r="I88" s="180"/>
    </row>
    <row r="89" spans="1:9" ht="20.100000000000001" customHeight="1">
      <c r="A89" s="28">
        <v>2</v>
      </c>
      <c r="B89" s="156" t="s">
        <v>173</v>
      </c>
      <c r="C89" s="20" t="s">
        <v>114</v>
      </c>
      <c r="D89" s="28" t="s">
        <v>50</v>
      </c>
      <c r="E89" s="25">
        <f>79956.94</f>
        <v>79956.94</v>
      </c>
      <c r="F89" s="208">
        <v>79956.939146666657</v>
      </c>
      <c r="G89" s="23">
        <f t="shared" ref="G89:G98" si="11">F89-E89</f>
        <v>-8.5333334573078901E-4</v>
      </c>
      <c r="H89" s="180"/>
      <c r="I89" s="180"/>
    </row>
    <row r="90" spans="1:9" ht="20.100000000000001" customHeight="1">
      <c r="A90" s="28">
        <v>3</v>
      </c>
      <c r="B90" s="156" t="s">
        <v>174</v>
      </c>
      <c r="C90" s="20" t="s">
        <v>114</v>
      </c>
      <c r="D90" s="28" t="s">
        <v>50</v>
      </c>
      <c r="E90" s="25">
        <f>79796.1</f>
        <v>79796.100000000006</v>
      </c>
      <c r="F90" s="208">
        <v>79796.103146666646</v>
      </c>
      <c r="G90" s="23">
        <f t="shared" si="11"/>
        <v>3.146666640532203E-3</v>
      </c>
      <c r="H90" s="180"/>
      <c r="I90" s="180"/>
    </row>
    <row r="91" spans="1:9" ht="20.100000000000001" customHeight="1">
      <c r="A91" s="28">
        <v>4</v>
      </c>
      <c r="B91" s="158" t="s">
        <v>175</v>
      </c>
      <c r="C91" s="20" t="s">
        <v>121</v>
      </c>
      <c r="D91" s="28" t="s">
        <v>176</v>
      </c>
      <c r="E91" s="23">
        <f>57894.08</f>
        <v>57894.080000000002</v>
      </c>
      <c r="F91" s="208">
        <v>59441.782042666666</v>
      </c>
      <c r="G91" s="23">
        <f t="shared" si="11"/>
        <v>1547.7020426666641</v>
      </c>
      <c r="H91" s="180"/>
      <c r="I91" s="180"/>
    </row>
    <row r="92" spans="1:9" ht="20.100000000000001" customHeight="1">
      <c r="A92" s="28">
        <v>5</v>
      </c>
      <c r="B92" s="156" t="s">
        <v>177</v>
      </c>
      <c r="C92" s="20" t="s">
        <v>119</v>
      </c>
      <c r="D92" s="28" t="s">
        <v>56</v>
      </c>
      <c r="E92" s="23">
        <f>56478.9</f>
        <v>56478.9</v>
      </c>
      <c r="F92" s="208">
        <v>58026.609434666672</v>
      </c>
      <c r="G92" s="23">
        <f t="shared" si="11"/>
        <v>1547.7094346666709</v>
      </c>
      <c r="H92" s="180"/>
      <c r="I92" s="180"/>
    </row>
    <row r="93" spans="1:9" ht="21.6" customHeight="1">
      <c r="A93" s="28">
        <v>6</v>
      </c>
      <c r="B93" s="156" t="s">
        <v>178</v>
      </c>
      <c r="C93" s="20" t="s">
        <v>125</v>
      </c>
      <c r="D93" s="181" t="s">
        <v>126</v>
      </c>
      <c r="E93" s="25">
        <f>48170.87</f>
        <v>48170.87</v>
      </c>
      <c r="F93" s="208">
        <v>49548.776186666662</v>
      </c>
      <c r="G93" s="23">
        <f t="shared" si="11"/>
        <v>1377.9061866666598</v>
      </c>
      <c r="H93" s="180"/>
      <c r="I93" s="180"/>
    </row>
    <row r="94" spans="1:9" ht="21.6" customHeight="1">
      <c r="A94" s="28">
        <v>7</v>
      </c>
      <c r="B94" s="156" t="s">
        <v>179</v>
      </c>
      <c r="C94" s="161" t="s">
        <v>142</v>
      </c>
      <c r="D94" s="181" t="s">
        <v>64</v>
      </c>
      <c r="E94" s="25">
        <f>46673.26</f>
        <v>46673.26</v>
      </c>
      <c r="F94" s="208">
        <v>48170.870282666663</v>
      </c>
      <c r="G94" s="23">
        <f t="shared" si="11"/>
        <v>1497.6102826666611</v>
      </c>
      <c r="H94" s="180"/>
      <c r="I94" s="180"/>
    </row>
    <row r="95" spans="1:9" ht="21.6" customHeight="1">
      <c r="A95" s="28">
        <v>8</v>
      </c>
      <c r="B95" s="156" t="s">
        <v>180</v>
      </c>
      <c r="C95" s="161" t="s">
        <v>142</v>
      </c>
      <c r="D95" s="181" t="s">
        <v>64</v>
      </c>
      <c r="E95" s="25">
        <f>46673.26</f>
        <v>46673.26</v>
      </c>
      <c r="F95" s="208">
        <v>48170.870282666663</v>
      </c>
      <c r="G95" s="23">
        <f t="shared" si="11"/>
        <v>1497.6102826666611</v>
      </c>
      <c r="H95" s="180"/>
      <c r="I95" s="180"/>
    </row>
    <row r="96" spans="1:9" ht="21.6" customHeight="1">
      <c r="A96" s="28">
        <v>9</v>
      </c>
      <c r="B96" s="156" t="s">
        <v>181</v>
      </c>
      <c r="C96" s="112" t="s">
        <v>148</v>
      </c>
      <c r="D96" s="181" t="s">
        <v>150</v>
      </c>
      <c r="E96" s="25">
        <f>40149.18</f>
        <v>40149.18</v>
      </c>
      <c r="F96" s="209">
        <v>40149.175266666673</v>
      </c>
      <c r="G96" s="23">
        <f t="shared" si="11"/>
        <v>-4.7333333277492784E-3</v>
      </c>
      <c r="H96" s="180"/>
      <c r="I96" s="180"/>
    </row>
    <row r="97" spans="1:9" ht="21.6" customHeight="1">
      <c r="A97" s="28">
        <v>10</v>
      </c>
      <c r="B97" s="156" t="s">
        <v>182</v>
      </c>
      <c r="C97" s="20" t="s">
        <v>183</v>
      </c>
      <c r="D97" s="28" t="s">
        <v>184</v>
      </c>
      <c r="E97" s="25">
        <v>0</v>
      </c>
      <c r="F97" s="208">
        <v>0</v>
      </c>
      <c r="G97" s="23">
        <f t="shared" si="11"/>
        <v>0</v>
      </c>
      <c r="H97" s="180"/>
      <c r="I97" s="180"/>
    </row>
    <row r="98" spans="1:9" ht="21.6" customHeight="1">
      <c r="A98" s="28">
        <v>11</v>
      </c>
      <c r="B98" s="156" t="s">
        <v>185</v>
      </c>
      <c r="C98" s="112" t="s">
        <v>186</v>
      </c>
      <c r="D98" s="181" t="s">
        <v>97</v>
      </c>
      <c r="E98" s="25">
        <f>24685.95</f>
        <v>24685.95</v>
      </c>
      <c r="F98" s="209">
        <v>24749.797062666661</v>
      </c>
      <c r="G98" s="23">
        <f t="shared" si="11"/>
        <v>63.847062666660349</v>
      </c>
      <c r="H98" s="180"/>
      <c r="I98" s="180"/>
    </row>
    <row r="99" spans="1:9" ht="20.100000000000001" customHeight="1">
      <c r="A99" s="28"/>
      <c r="B99" s="159" t="s">
        <v>100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80"/>
      <c r="I99" s="180"/>
    </row>
    <row r="100" spans="1:9" ht="20.100000000000001" customHeight="1">
      <c r="A100" s="28"/>
      <c r="B100" s="123"/>
      <c r="C100" s="29"/>
      <c r="D100" s="29"/>
      <c r="E100" s="30"/>
      <c r="F100" s="222"/>
      <c r="G100" s="30"/>
      <c r="H100" s="180"/>
      <c r="I100" s="180"/>
    </row>
    <row r="101" spans="1:9" ht="20.100000000000001" customHeight="1">
      <c r="A101" s="28"/>
      <c r="B101" s="159" t="s">
        <v>187</v>
      </c>
      <c r="C101" s="29"/>
      <c r="D101" s="29"/>
      <c r="E101" s="30"/>
      <c r="F101" s="222"/>
      <c r="G101" s="30"/>
      <c r="H101" s="180"/>
      <c r="I101" s="180"/>
    </row>
    <row r="102" spans="1:9" ht="20.100000000000001" customHeight="1">
      <c r="A102" s="28">
        <v>1</v>
      </c>
      <c r="B102" s="157" t="s">
        <v>188</v>
      </c>
      <c r="C102" s="28" t="s">
        <v>189</v>
      </c>
      <c r="D102" s="181" t="s">
        <v>41</v>
      </c>
      <c r="E102" s="25">
        <f>79993.51</f>
        <v>79993.509999999995</v>
      </c>
      <c r="F102" s="208">
        <v>79993.513850666655</v>
      </c>
      <c r="G102" s="23">
        <f>F102-E102</f>
        <v>3.8506666605826467E-3</v>
      </c>
      <c r="H102" s="180"/>
      <c r="I102" s="180"/>
    </row>
    <row r="103" spans="1:9" ht="20.100000000000001" customHeight="1">
      <c r="A103" s="28">
        <v>2</v>
      </c>
      <c r="B103" s="156" t="s">
        <v>190</v>
      </c>
      <c r="C103" s="20" t="s">
        <v>191</v>
      </c>
      <c r="D103" s="28" t="s">
        <v>56</v>
      </c>
      <c r="E103" s="23">
        <f>43380.1</f>
        <v>43380.1</v>
      </c>
      <c r="F103" s="208">
        <v>44734.339388666674</v>
      </c>
      <c r="G103" s="23">
        <f t="shared" ref="G103:G105" si="13">F103-E103</f>
        <v>1354.2393886666759</v>
      </c>
      <c r="H103" s="180"/>
      <c r="I103" s="180"/>
    </row>
    <row r="104" spans="1:9" ht="20.100000000000001" customHeight="1">
      <c r="A104" s="28">
        <v>3</v>
      </c>
      <c r="B104" s="157" t="s">
        <v>192</v>
      </c>
      <c r="C104" s="20" t="s">
        <v>193</v>
      </c>
      <c r="D104" s="181" t="s">
        <v>64</v>
      </c>
      <c r="E104" s="25">
        <f>38272.44</f>
        <v>38272.44</v>
      </c>
      <c r="F104" s="208">
        <v>39582.844830666661</v>
      </c>
      <c r="G104" s="23">
        <f t="shared" si="13"/>
        <v>1310.4048306666591</v>
      </c>
      <c r="H104" s="180"/>
      <c r="I104" s="180"/>
    </row>
    <row r="105" spans="1:9" ht="20.100000000000001" customHeight="1">
      <c r="A105" s="28">
        <v>4</v>
      </c>
      <c r="B105" s="156" t="s">
        <v>194</v>
      </c>
      <c r="C105" s="20" t="s">
        <v>195</v>
      </c>
      <c r="D105" s="181" t="s">
        <v>73</v>
      </c>
      <c r="E105" s="25" t="e">
        <f>#REF!</f>
        <v>#REF!</v>
      </c>
      <c r="F105" s="208">
        <v>32098.951098666672</v>
      </c>
      <c r="G105" s="23" t="e">
        <f t="shared" si="13"/>
        <v>#REF!</v>
      </c>
      <c r="H105" s="180"/>
      <c r="I105" s="180"/>
    </row>
    <row r="106" spans="1:9" ht="20.100000000000001" customHeight="1">
      <c r="A106" s="20"/>
      <c r="B106" s="159" t="s">
        <v>100</v>
      </c>
      <c r="C106" s="29">
        <v>4</v>
      </c>
      <c r="D106" s="187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80"/>
      <c r="I106" s="180"/>
    </row>
    <row r="107" spans="1:9" ht="20.100000000000001" customHeight="1">
      <c r="A107" s="20"/>
      <c r="B107" s="123"/>
      <c r="C107" s="29"/>
      <c r="D107" s="187"/>
      <c r="E107" s="30"/>
      <c r="F107" s="222"/>
      <c r="G107" s="30"/>
      <c r="H107" s="180"/>
      <c r="I107" s="180"/>
    </row>
    <row r="108" spans="1:9" ht="20.100000000000001" customHeight="1">
      <c r="A108" s="20"/>
      <c r="B108" s="159" t="s">
        <v>196</v>
      </c>
      <c r="C108" s="20"/>
      <c r="D108" s="20"/>
      <c r="E108" s="20"/>
      <c r="F108" s="223"/>
      <c r="G108" s="20"/>
      <c r="H108" s="180"/>
      <c r="I108" s="180"/>
    </row>
    <row r="109" spans="1:9" ht="20.100000000000001" customHeight="1">
      <c r="A109" s="20">
        <v>1</v>
      </c>
      <c r="B109" s="156" t="s">
        <v>197</v>
      </c>
      <c r="C109" s="161" t="s">
        <v>198</v>
      </c>
      <c r="D109" s="181" t="s">
        <v>104</v>
      </c>
      <c r="E109" s="25">
        <f>180306.81</f>
        <v>180306.81</v>
      </c>
      <c r="F109" s="208">
        <v>180145.9708586667</v>
      </c>
      <c r="G109" s="23">
        <f>F109-E109</f>
        <v>-160.83914133330109</v>
      </c>
      <c r="H109" s="180"/>
      <c r="I109" s="180"/>
    </row>
    <row r="110" spans="1:9" ht="20.100000000000001" customHeight="1">
      <c r="A110" s="20">
        <v>2</v>
      </c>
      <c r="B110" s="156" t="s">
        <v>199</v>
      </c>
      <c r="C110" s="20" t="s">
        <v>200</v>
      </c>
      <c r="D110" s="24" t="s">
        <v>41</v>
      </c>
      <c r="E110" s="25" t="e">
        <f>#REF!</f>
        <v>#REF!</v>
      </c>
      <c r="F110" s="208">
        <v>97147.085210666657</v>
      </c>
      <c r="G110" s="23" t="e">
        <f t="shared" ref="G110:G115" si="15">F110-E110</f>
        <v>#REF!</v>
      </c>
      <c r="H110" s="180"/>
      <c r="I110" s="180"/>
    </row>
    <row r="111" spans="1:9" ht="20.100000000000001" customHeight="1">
      <c r="A111" s="20">
        <v>3</v>
      </c>
      <c r="B111" s="156" t="s">
        <v>201</v>
      </c>
      <c r="C111" s="20" t="s">
        <v>202</v>
      </c>
      <c r="D111" s="28" t="s">
        <v>203</v>
      </c>
      <c r="E111" s="23">
        <f>58814.67</f>
        <v>58814.67</v>
      </c>
      <c r="F111" s="208">
        <v>58941.101743466657</v>
      </c>
      <c r="G111" s="23">
        <f t="shared" si="15"/>
        <v>126.4317434666591</v>
      </c>
      <c r="H111" s="180"/>
      <c r="I111" s="180"/>
    </row>
    <row r="112" spans="1:9" ht="20.100000000000001" customHeight="1">
      <c r="A112" s="20">
        <v>4</v>
      </c>
      <c r="B112" s="156" t="s">
        <v>204</v>
      </c>
      <c r="C112" s="20" t="s">
        <v>202</v>
      </c>
      <c r="D112" s="28" t="s">
        <v>203</v>
      </c>
      <c r="E112" s="23">
        <f>57194.24</f>
        <v>57194.239999999998</v>
      </c>
      <c r="F112" s="208">
        <v>58941.101743466657</v>
      </c>
      <c r="G112" s="23">
        <f t="shared" si="15"/>
        <v>1746.8617434666594</v>
      </c>
      <c r="H112" s="180"/>
      <c r="I112" s="180"/>
    </row>
    <row r="113" spans="1:9" ht="20.100000000000001" customHeight="1">
      <c r="A113" s="20">
        <v>5</v>
      </c>
      <c r="B113" s="156" t="s">
        <v>205</v>
      </c>
      <c r="C113" s="20" t="s">
        <v>206</v>
      </c>
      <c r="D113" s="181" t="s">
        <v>207</v>
      </c>
      <c r="E113" s="25">
        <f>30699.58</f>
        <v>30699.58</v>
      </c>
      <c r="F113" s="208">
        <v>31285.603203306662</v>
      </c>
      <c r="G113" s="23">
        <f t="shared" si="15"/>
        <v>586.02320330666043</v>
      </c>
      <c r="H113" s="180"/>
      <c r="I113" s="180"/>
    </row>
    <row r="114" spans="1:9" ht="20.100000000000001" customHeight="1">
      <c r="A114" s="20">
        <v>6</v>
      </c>
      <c r="B114" s="157" t="s">
        <v>208</v>
      </c>
      <c r="C114" s="20" t="s">
        <v>206</v>
      </c>
      <c r="D114" s="28" t="s">
        <v>90</v>
      </c>
      <c r="E114" s="25">
        <f>30049.31</f>
        <v>30049.31</v>
      </c>
      <c r="F114" s="208">
        <v>30635.120688666666</v>
      </c>
      <c r="G114" s="23">
        <f t="shared" si="15"/>
        <v>585.81068866666465</v>
      </c>
      <c r="H114" s="180"/>
      <c r="I114" s="180"/>
    </row>
    <row r="115" spans="1:9" ht="20.100000000000001" customHeight="1">
      <c r="A115" s="20">
        <v>7</v>
      </c>
      <c r="B115" s="157" t="s">
        <v>209</v>
      </c>
      <c r="C115" s="20" t="s">
        <v>206</v>
      </c>
      <c r="D115" s="181" t="s">
        <v>97</v>
      </c>
      <c r="E115" s="25">
        <f>28813.07</f>
        <v>28813.07</v>
      </c>
      <c r="F115" s="208">
        <v>29055.584161426657</v>
      </c>
      <c r="G115" s="23">
        <f t="shared" si="15"/>
        <v>242.51416142665767</v>
      </c>
      <c r="H115" s="180"/>
      <c r="I115" s="180"/>
    </row>
    <row r="116" spans="1:9" ht="20.100000000000001" customHeight="1">
      <c r="A116" s="20"/>
      <c r="B116" s="159" t="s">
        <v>100</v>
      </c>
      <c r="C116" s="29">
        <v>7</v>
      </c>
      <c r="D116" s="20"/>
      <c r="E116" s="188" t="e">
        <f t="shared" ref="E116:G116" si="16">SUM(E109:E115)</f>
        <v>#REF!</v>
      </c>
      <c r="F116" s="188">
        <f t="shared" si="16"/>
        <v>486151.56760966667</v>
      </c>
      <c r="G116" s="188" t="e">
        <f t="shared" si="16"/>
        <v>#REF!</v>
      </c>
      <c r="H116" s="180"/>
      <c r="I116" s="180"/>
    </row>
    <row r="117" spans="1:9" ht="20.100000000000001" customHeight="1">
      <c r="A117" s="20"/>
      <c r="B117" s="123"/>
      <c r="C117" s="28"/>
      <c r="D117" s="20"/>
      <c r="E117" s="189"/>
      <c r="F117" s="210"/>
      <c r="G117" s="189"/>
      <c r="H117" s="180"/>
      <c r="I117" s="180"/>
    </row>
    <row r="118" spans="1:9" ht="20.100000000000001" customHeight="1">
      <c r="A118" s="20"/>
      <c r="B118" s="159" t="s">
        <v>210</v>
      </c>
      <c r="C118" s="29"/>
      <c r="D118" s="29"/>
      <c r="E118" s="30"/>
      <c r="F118" s="208"/>
      <c r="G118" s="23"/>
      <c r="H118" s="180"/>
      <c r="I118" s="180"/>
    </row>
    <row r="119" spans="1:9" ht="20.100000000000001" customHeight="1">
      <c r="A119" s="20">
        <v>1</v>
      </c>
      <c r="B119" s="156" t="s">
        <v>211</v>
      </c>
      <c r="C119" s="161" t="s">
        <v>212</v>
      </c>
      <c r="D119" s="181" t="s">
        <v>104</v>
      </c>
      <c r="E119" s="25">
        <f>179914.45</f>
        <v>179914.45</v>
      </c>
      <c r="F119" s="208">
        <v>179914.4546986667</v>
      </c>
      <c r="G119" s="23">
        <f>F119-E119</f>
        <v>4.6986666857264936E-3</v>
      </c>
      <c r="H119" s="180"/>
      <c r="I119" s="180"/>
    </row>
    <row r="120" spans="1:9" ht="20.100000000000001" customHeight="1">
      <c r="A120" s="20" t="s">
        <v>213</v>
      </c>
      <c r="B120" s="156" t="s">
        <v>214</v>
      </c>
      <c r="C120" s="161" t="s">
        <v>215</v>
      </c>
      <c r="D120" s="181" t="s">
        <v>33</v>
      </c>
      <c r="E120" s="25">
        <f>101827.95</f>
        <v>101827.95</v>
      </c>
      <c r="F120" s="208">
        <v>101827.95141866668</v>
      </c>
      <c r="G120" s="23">
        <f t="shared" ref="G120:G129" si="17">F120-E120</f>
        <v>1.4186666812747717E-3</v>
      </c>
      <c r="H120" s="180"/>
      <c r="I120" s="180"/>
    </row>
    <row r="121" spans="1:9" ht="20.100000000000001" customHeight="1">
      <c r="A121" s="20">
        <v>3</v>
      </c>
      <c r="B121" s="156" t="s">
        <v>216</v>
      </c>
      <c r="C121" s="161" t="s">
        <v>217</v>
      </c>
      <c r="D121" s="181" t="s">
        <v>50</v>
      </c>
      <c r="E121" s="25">
        <f>83636.1</f>
        <v>83636.100000000006</v>
      </c>
      <c r="F121" s="208">
        <v>83636.103146666646</v>
      </c>
      <c r="G121" s="23">
        <f t="shared" si="17"/>
        <v>3.146666640532203E-3</v>
      </c>
      <c r="H121" s="180"/>
      <c r="I121" s="180"/>
    </row>
    <row r="122" spans="1:9" ht="20.100000000000001" customHeight="1">
      <c r="A122" s="20">
        <v>4</v>
      </c>
      <c r="B122" s="158" t="s">
        <v>218</v>
      </c>
      <c r="C122" s="161" t="s">
        <v>217</v>
      </c>
      <c r="D122" s="181" t="s">
        <v>50</v>
      </c>
      <c r="E122" s="23">
        <f>64436.1</f>
        <v>64436.1</v>
      </c>
      <c r="F122" s="208">
        <v>64436.103146666661</v>
      </c>
      <c r="G122" s="23">
        <f t="shared" si="17"/>
        <v>3.1466666623600759E-3</v>
      </c>
      <c r="H122" s="180"/>
      <c r="I122" s="180"/>
    </row>
    <row r="123" spans="1:9" ht="20.100000000000001" customHeight="1">
      <c r="A123" s="20">
        <v>5</v>
      </c>
      <c r="B123" s="158" t="s">
        <v>219</v>
      </c>
      <c r="C123" s="161" t="s">
        <v>217</v>
      </c>
      <c r="D123" s="181" t="s">
        <v>220</v>
      </c>
      <c r="E123" s="25">
        <f>60212.92</f>
        <v>60212.92</v>
      </c>
      <c r="F123" s="208">
        <v>60212.915690666669</v>
      </c>
      <c r="G123" s="23">
        <f t="shared" si="17"/>
        <v>-4.3093333297292702E-3</v>
      </c>
      <c r="H123" s="180"/>
      <c r="I123" s="180"/>
    </row>
    <row r="124" spans="1:9" ht="20.100000000000001" customHeight="1">
      <c r="A124" s="20">
        <v>6</v>
      </c>
      <c r="B124" s="156" t="s">
        <v>221</v>
      </c>
      <c r="C124" s="161" t="s">
        <v>222</v>
      </c>
      <c r="D124" s="181" t="s">
        <v>123</v>
      </c>
      <c r="E124" s="25" t="e">
        <f>#REF!</f>
        <v>#REF!</v>
      </c>
      <c r="F124" s="208">
        <v>42652.373376666663</v>
      </c>
      <c r="G124" s="23" t="e">
        <f t="shared" si="17"/>
        <v>#REF!</v>
      </c>
      <c r="H124" s="180"/>
      <c r="I124" s="180"/>
    </row>
    <row r="125" spans="1:9" ht="20.100000000000001" customHeight="1">
      <c r="A125" s="20">
        <v>7</v>
      </c>
      <c r="B125" s="156" t="s">
        <v>223</v>
      </c>
      <c r="C125" s="161" t="s">
        <v>224</v>
      </c>
      <c r="D125" s="181" t="s">
        <v>126</v>
      </c>
      <c r="E125" s="25">
        <f>44518.93</f>
        <v>44518.93</v>
      </c>
      <c r="F125" s="208">
        <v>45724.599176666663</v>
      </c>
      <c r="G125" s="23">
        <f t="shared" si="17"/>
        <v>1205.6691766666627</v>
      </c>
      <c r="H125" s="180"/>
      <c r="I125" s="180"/>
    </row>
    <row r="126" spans="1:9" ht="20.100000000000001" customHeight="1">
      <c r="A126" s="20">
        <v>8</v>
      </c>
      <c r="B126" s="156" t="s">
        <v>225</v>
      </c>
      <c r="C126" s="161" t="s">
        <v>226</v>
      </c>
      <c r="D126" s="181" t="s">
        <v>126</v>
      </c>
      <c r="E126" s="25">
        <f>39478.93</f>
        <v>39478.93</v>
      </c>
      <c r="F126" s="208">
        <v>40684.599176666663</v>
      </c>
      <c r="G126" s="23">
        <f t="shared" si="17"/>
        <v>1205.6691766666627</v>
      </c>
      <c r="H126" s="180"/>
      <c r="I126" s="180"/>
    </row>
    <row r="127" spans="1:9" ht="20.100000000000001" customHeight="1">
      <c r="A127" s="20">
        <v>9</v>
      </c>
      <c r="B127" s="157" t="s">
        <v>227</v>
      </c>
      <c r="C127" s="161" t="s">
        <v>228</v>
      </c>
      <c r="D127" s="181" t="s">
        <v>229</v>
      </c>
      <c r="E127" s="25">
        <f>38272.44</f>
        <v>38272.44</v>
      </c>
      <c r="F127" s="208">
        <v>39582.844830666661</v>
      </c>
      <c r="G127" s="23">
        <f t="shared" si="17"/>
        <v>1310.4048306666591</v>
      </c>
      <c r="H127" s="180"/>
      <c r="I127" s="180"/>
    </row>
    <row r="128" spans="1:9" ht="20.100000000000001" customHeight="1">
      <c r="A128" s="20">
        <v>10</v>
      </c>
      <c r="B128" s="156" t="s">
        <v>230</v>
      </c>
      <c r="C128" s="161" t="s">
        <v>231</v>
      </c>
      <c r="D128" s="28" t="s">
        <v>81</v>
      </c>
      <c r="E128" s="25">
        <f>21640.95</f>
        <v>21640.95</v>
      </c>
      <c r="F128" s="208">
        <v>22338.48260466666</v>
      </c>
      <c r="G128" s="23">
        <f t="shared" si="17"/>
        <v>697.53260466665961</v>
      </c>
      <c r="H128" s="180"/>
      <c r="I128" s="180"/>
    </row>
    <row r="129" spans="1:9" ht="20.100000000000001" customHeight="1">
      <c r="A129" s="20">
        <v>11</v>
      </c>
      <c r="B129" s="157" t="s">
        <v>232</v>
      </c>
      <c r="C129" s="161" t="s">
        <v>233</v>
      </c>
      <c r="D129" s="181" t="s">
        <v>97</v>
      </c>
      <c r="E129" s="25">
        <f>25245.23</f>
        <v>25245.23</v>
      </c>
      <c r="F129" s="208">
        <v>17042.713866666661</v>
      </c>
      <c r="G129" s="23">
        <f t="shared" si="17"/>
        <v>-8202.5161333333381</v>
      </c>
      <c r="H129" s="180"/>
      <c r="I129" s="180"/>
    </row>
    <row r="130" spans="1:9" ht="20.100000000000001" customHeight="1">
      <c r="A130" s="20"/>
      <c r="B130" s="159" t="s">
        <v>100</v>
      </c>
      <c r="C130" s="187" t="s">
        <v>234</v>
      </c>
      <c r="D130" s="181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80"/>
      <c r="I130" s="180"/>
    </row>
    <row r="131" spans="1:9" ht="20.100000000000001" customHeight="1">
      <c r="A131" s="20"/>
      <c r="B131" s="123"/>
      <c r="C131" s="187"/>
      <c r="D131" s="181"/>
      <c r="E131" s="30"/>
      <c r="F131" s="226"/>
      <c r="G131" s="182"/>
      <c r="H131" s="180"/>
      <c r="I131" s="180"/>
    </row>
    <row r="132" spans="1:9" ht="20.100000000000001" customHeight="1">
      <c r="A132" s="20"/>
      <c r="B132" s="159" t="s">
        <v>235</v>
      </c>
      <c r="C132" s="161"/>
      <c r="D132" s="181"/>
      <c r="E132" s="25"/>
      <c r="F132" s="208"/>
      <c r="G132" s="23"/>
      <c r="H132" s="180"/>
      <c r="I132" s="180"/>
    </row>
    <row r="133" spans="1:9" ht="20.100000000000001" customHeight="1">
      <c r="A133" s="191">
        <v>1</v>
      </c>
      <c r="B133" s="156" t="s">
        <v>236</v>
      </c>
      <c r="C133" s="161" t="s">
        <v>237</v>
      </c>
      <c r="D133" s="181" t="s">
        <v>104</v>
      </c>
      <c r="E133" s="25">
        <f>161106.81</f>
        <v>161106.81</v>
      </c>
      <c r="F133" s="208">
        <v>161106.80685866668</v>
      </c>
      <c r="G133" s="23">
        <f>F133-E133</f>
        <v>-3.1413333199452609E-3</v>
      </c>
      <c r="H133" s="180"/>
      <c r="I133" s="180"/>
    </row>
    <row r="134" spans="1:9" ht="20.100000000000001" customHeight="1">
      <c r="A134" s="191">
        <v>2</v>
      </c>
      <c r="B134" s="156" t="s">
        <v>238</v>
      </c>
      <c r="C134" s="161" t="s">
        <v>239</v>
      </c>
      <c r="D134" s="181" t="s">
        <v>33</v>
      </c>
      <c r="E134" s="23">
        <v>82627.95</v>
      </c>
      <c r="F134" s="208">
        <v>82467.115418666668</v>
      </c>
      <c r="G134" s="23">
        <f t="shared" ref="G134:G187" si="19">F134-E134</f>
        <v>-160.83458133332897</v>
      </c>
      <c r="H134" s="180"/>
      <c r="I134" s="180"/>
    </row>
    <row r="135" spans="1:9" ht="20.100000000000001" customHeight="1">
      <c r="A135" s="191">
        <v>3</v>
      </c>
      <c r="B135" s="158" t="s">
        <v>240</v>
      </c>
      <c r="C135" s="20" t="s">
        <v>241</v>
      </c>
      <c r="D135" s="24" t="s">
        <v>41</v>
      </c>
      <c r="E135" s="23" t="e">
        <f>#REF!</f>
        <v>#REF!</v>
      </c>
      <c r="F135" s="208">
        <v>89465.197050666669</v>
      </c>
      <c r="G135" s="23" t="e">
        <f t="shared" si="19"/>
        <v>#REF!</v>
      </c>
      <c r="H135" s="180"/>
      <c r="I135" s="180"/>
    </row>
    <row r="136" spans="1:9" ht="20.100000000000001" customHeight="1">
      <c r="A136" s="191">
        <v>4</v>
      </c>
      <c r="B136" s="156" t="s">
        <v>242</v>
      </c>
      <c r="C136" s="161" t="s">
        <v>243</v>
      </c>
      <c r="D136" s="181" t="s">
        <v>56</v>
      </c>
      <c r="E136" s="25">
        <f>43380.1</f>
        <v>43380.1</v>
      </c>
      <c r="F136" s="208">
        <v>44734.339388666674</v>
      </c>
      <c r="G136" s="23">
        <f t="shared" si="19"/>
        <v>1354.2393886666759</v>
      </c>
      <c r="H136" s="180"/>
      <c r="I136" s="180"/>
    </row>
    <row r="137" spans="1:9" ht="20.100000000000001" customHeight="1">
      <c r="A137" s="191">
        <v>5</v>
      </c>
      <c r="B137" s="156" t="s">
        <v>244</v>
      </c>
      <c r="C137" s="20" t="s">
        <v>245</v>
      </c>
      <c r="D137" s="181" t="s">
        <v>56</v>
      </c>
      <c r="E137" s="25">
        <f>43380.1</f>
        <v>43380.1</v>
      </c>
      <c r="F137" s="208">
        <v>44846.616588666679</v>
      </c>
      <c r="G137" s="23">
        <f t="shared" si="19"/>
        <v>1466.51658866668</v>
      </c>
      <c r="H137" s="180"/>
      <c r="I137" s="180"/>
    </row>
    <row r="138" spans="1:9" ht="20.100000000000001" customHeight="1">
      <c r="A138" s="191">
        <v>6</v>
      </c>
      <c r="B138" s="156" t="s">
        <v>246</v>
      </c>
      <c r="C138" s="20" t="s">
        <v>247</v>
      </c>
      <c r="D138" s="181" t="s">
        <v>126</v>
      </c>
      <c r="E138" s="25">
        <f>39582.84</f>
        <v>39582.839999999997</v>
      </c>
      <c r="F138" s="208">
        <v>40698.124856666655</v>
      </c>
      <c r="G138" s="23">
        <f t="shared" si="19"/>
        <v>1115.284856666658</v>
      </c>
      <c r="H138" s="180"/>
      <c r="I138" s="180"/>
    </row>
    <row r="139" spans="1:9" ht="20.100000000000001" customHeight="1">
      <c r="A139" s="191">
        <v>7</v>
      </c>
      <c r="B139" s="156" t="s">
        <v>248</v>
      </c>
      <c r="C139" s="161" t="s">
        <v>249</v>
      </c>
      <c r="D139" s="181" t="s">
        <v>70</v>
      </c>
      <c r="E139" s="25">
        <f>32848.56</f>
        <v>32848.559999999998</v>
      </c>
      <c r="F139" s="208">
        <v>34968.882414666667</v>
      </c>
      <c r="G139" s="23">
        <f t="shared" si="19"/>
        <v>2120.3224146666689</v>
      </c>
      <c r="H139" s="180"/>
      <c r="I139" s="180"/>
    </row>
    <row r="140" spans="1:9" ht="20.100000000000001" customHeight="1">
      <c r="A140" s="191">
        <v>8</v>
      </c>
      <c r="B140" s="156" t="s">
        <v>250</v>
      </c>
      <c r="C140" s="161" t="s">
        <v>249</v>
      </c>
      <c r="D140" s="181" t="s">
        <v>70</v>
      </c>
      <c r="E140" s="25">
        <f>32938.95</f>
        <v>32938.949999999997</v>
      </c>
      <c r="F140" s="208">
        <v>34968.882414666667</v>
      </c>
      <c r="G140" s="23">
        <f t="shared" si="19"/>
        <v>2029.9324146666695</v>
      </c>
      <c r="H140" s="180"/>
      <c r="I140" s="180"/>
    </row>
    <row r="141" spans="1:9" ht="20.100000000000001" customHeight="1">
      <c r="A141" s="191">
        <v>9</v>
      </c>
      <c r="B141" s="156" t="s">
        <v>251</v>
      </c>
      <c r="C141" s="20" t="s">
        <v>247</v>
      </c>
      <c r="D141" s="181" t="s">
        <v>70</v>
      </c>
      <c r="E141" s="25">
        <f>32938.95</f>
        <v>32938.949999999997</v>
      </c>
      <c r="F141" s="208">
        <v>34968.882414666667</v>
      </c>
      <c r="G141" s="23">
        <f t="shared" si="19"/>
        <v>2029.9324146666695</v>
      </c>
      <c r="H141" s="180"/>
      <c r="I141" s="180"/>
    </row>
    <row r="142" spans="1:9" ht="20.100000000000001" customHeight="1">
      <c r="A142" s="191">
        <v>10</v>
      </c>
      <c r="B142" s="156" t="s">
        <v>252</v>
      </c>
      <c r="C142" s="161" t="s">
        <v>253</v>
      </c>
      <c r="D142" s="181" t="s">
        <v>73</v>
      </c>
      <c r="E142" s="25" t="e">
        <f>#REF!</f>
        <v>#REF!</v>
      </c>
      <c r="F142" s="208">
        <v>32022.168238666676</v>
      </c>
      <c r="G142" s="23" t="e">
        <f t="shared" si="19"/>
        <v>#REF!</v>
      </c>
      <c r="H142" s="180"/>
      <c r="I142" s="180"/>
    </row>
    <row r="143" spans="1:9" ht="20.100000000000001" customHeight="1">
      <c r="A143" s="191">
        <v>11</v>
      </c>
      <c r="B143" s="156" t="s">
        <v>254</v>
      </c>
      <c r="C143" s="161" t="s">
        <v>255</v>
      </c>
      <c r="D143" s="181" t="s">
        <v>256</v>
      </c>
      <c r="E143" s="25">
        <f>27029.2</f>
        <v>27029.200000000001</v>
      </c>
      <c r="F143" s="208">
        <v>27794.206626666662</v>
      </c>
      <c r="G143" s="23">
        <f t="shared" si="19"/>
        <v>765.00662666666176</v>
      </c>
      <c r="H143" s="180"/>
      <c r="I143" s="180"/>
    </row>
    <row r="144" spans="1:9" ht="20.100000000000001" customHeight="1">
      <c r="A144" s="191">
        <v>12</v>
      </c>
      <c r="B144" s="156" t="s">
        <v>257</v>
      </c>
      <c r="C144" s="161" t="s">
        <v>253</v>
      </c>
      <c r="D144" s="181" t="s">
        <v>70</v>
      </c>
      <c r="E144" s="25" t="e">
        <f>#REF!</f>
        <v>#REF!</v>
      </c>
      <c r="F144" s="208">
        <v>34128.882414666667</v>
      </c>
      <c r="G144" s="23" t="e">
        <f t="shared" si="19"/>
        <v>#REF!</v>
      </c>
      <c r="H144" s="180"/>
      <c r="I144" s="180"/>
    </row>
    <row r="145" spans="1:9" ht="20.100000000000001" customHeight="1">
      <c r="A145" s="191">
        <v>13</v>
      </c>
      <c r="B145" s="156" t="s">
        <v>260</v>
      </c>
      <c r="C145" s="20" t="s">
        <v>261</v>
      </c>
      <c r="D145" s="181" t="s">
        <v>155</v>
      </c>
      <c r="E145" s="25">
        <f>26339.08</f>
        <v>26339.08</v>
      </c>
      <c r="F145" s="208">
        <v>27031.29334266666</v>
      </c>
      <c r="G145" s="23">
        <f t="shared" si="19"/>
        <v>692.21334266665872</v>
      </c>
      <c r="H145" s="180"/>
      <c r="I145" s="180"/>
    </row>
    <row r="146" spans="1:9" ht="20.100000000000001" customHeight="1">
      <c r="A146" s="191">
        <v>14</v>
      </c>
      <c r="B146" s="156" t="s">
        <v>262</v>
      </c>
      <c r="C146" s="20" t="s">
        <v>261</v>
      </c>
      <c r="D146" s="181" t="s">
        <v>78</v>
      </c>
      <c r="E146" s="25">
        <f>26264.39</f>
        <v>26264.39</v>
      </c>
      <c r="F146" s="208">
        <v>27105.986562666658</v>
      </c>
      <c r="G146" s="23">
        <f t="shared" si="19"/>
        <v>841.59656266665843</v>
      </c>
      <c r="H146" s="180"/>
      <c r="I146" s="180"/>
    </row>
    <row r="147" spans="1:9" ht="20.100000000000001" customHeight="1">
      <c r="A147" s="191">
        <v>15</v>
      </c>
      <c r="B147" s="156" t="s">
        <v>263</v>
      </c>
      <c r="C147" s="20" t="s">
        <v>261</v>
      </c>
      <c r="D147" s="181" t="s">
        <v>78</v>
      </c>
      <c r="E147" s="25">
        <f>26339.08</f>
        <v>26339.08</v>
      </c>
      <c r="F147" s="208">
        <v>27105.986562666658</v>
      </c>
      <c r="G147" s="23">
        <f t="shared" si="19"/>
        <v>766.9065626666561</v>
      </c>
      <c r="H147" s="180"/>
      <c r="I147" s="180"/>
    </row>
    <row r="148" spans="1:9" ht="20.100000000000001" customHeight="1">
      <c r="A148" s="191">
        <v>16</v>
      </c>
      <c r="B148" s="156" t="s">
        <v>264</v>
      </c>
      <c r="C148" s="161" t="s">
        <v>265</v>
      </c>
      <c r="D148" s="181" t="s">
        <v>184</v>
      </c>
      <c r="E148" s="25">
        <f>25571.82</f>
        <v>25571.82</v>
      </c>
      <c r="F148" s="208">
        <v>25571.815728666668</v>
      </c>
      <c r="G148" s="23">
        <f t="shared" si="19"/>
        <v>-4.2713333314168267E-3</v>
      </c>
      <c r="H148" s="180"/>
      <c r="I148" s="180"/>
    </row>
    <row r="149" spans="1:9" ht="20.100000000000001" customHeight="1">
      <c r="A149" s="191">
        <v>17</v>
      </c>
      <c r="B149" s="156" t="s">
        <v>266</v>
      </c>
      <c r="C149" s="161" t="s">
        <v>259</v>
      </c>
      <c r="D149" s="28" t="s">
        <v>129</v>
      </c>
      <c r="E149" s="25">
        <f>21640.95</f>
        <v>21640.95</v>
      </c>
      <c r="F149" s="208">
        <v>21640.952862666669</v>
      </c>
      <c r="G149" s="23">
        <f t="shared" si="19"/>
        <v>2.8626666680793278E-3</v>
      </c>
      <c r="H149" s="180"/>
      <c r="I149" s="180"/>
    </row>
    <row r="150" spans="1:9" ht="20.100000000000001" customHeight="1">
      <c r="A150" s="191">
        <v>18</v>
      </c>
      <c r="B150" s="156" t="s">
        <v>267</v>
      </c>
      <c r="C150" s="161" t="s">
        <v>268</v>
      </c>
      <c r="D150" s="181" t="s">
        <v>155</v>
      </c>
      <c r="E150" s="25" t="e">
        <f>#REF!</f>
        <v>#REF!</v>
      </c>
      <c r="F150" s="208">
        <v>27105.986562666658</v>
      </c>
      <c r="G150" s="23" t="e">
        <f t="shared" si="19"/>
        <v>#REF!</v>
      </c>
      <c r="H150" s="180"/>
      <c r="I150" s="180"/>
    </row>
    <row r="151" spans="1:9" ht="20.100000000000001" customHeight="1">
      <c r="A151" s="191">
        <v>19</v>
      </c>
      <c r="B151" s="156" t="s">
        <v>269</v>
      </c>
      <c r="C151" s="161" t="s">
        <v>270</v>
      </c>
      <c r="D151" s="181" t="s">
        <v>81</v>
      </c>
      <c r="E151" s="25">
        <v>21640.95</v>
      </c>
      <c r="F151" s="208">
        <v>22281.815364666661</v>
      </c>
      <c r="G151" s="23">
        <f t="shared" si="19"/>
        <v>640.86536466666075</v>
      </c>
      <c r="H151" s="180"/>
      <c r="I151" s="180"/>
    </row>
    <row r="152" spans="1:9" ht="20.100000000000001" customHeight="1">
      <c r="A152" s="191">
        <v>20</v>
      </c>
      <c r="B152" s="156" t="s">
        <v>271</v>
      </c>
      <c r="C152" s="161" t="s">
        <v>272</v>
      </c>
      <c r="D152" s="181" t="s">
        <v>155</v>
      </c>
      <c r="E152" s="25">
        <v>25571.708040666661</v>
      </c>
      <c r="F152" s="208">
        <v>27105.986562666658</v>
      </c>
      <c r="G152" s="23">
        <f t="shared" si="19"/>
        <v>1534.2785219999969</v>
      </c>
      <c r="H152" s="180"/>
      <c r="I152" s="180"/>
    </row>
    <row r="153" spans="1:9" ht="20.100000000000001" customHeight="1">
      <c r="A153" s="191">
        <v>21</v>
      </c>
      <c r="B153" s="156" t="s">
        <v>273</v>
      </c>
      <c r="C153" s="161" t="s">
        <v>274</v>
      </c>
      <c r="D153" s="181" t="s">
        <v>81</v>
      </c>
      <c r="E153" s="25">
        <f>18102.9+3538.05</f>
        <v>21640.95</v>
      </c>
      <c r="F153" s="208">
        <v>22338.48260466666</v>
      </c>
      <c r="G153" s="23">
        <f t="shared" si="19"/>
        <v>697.53260466665961</v>
      </c>
      <c r="H153" s="180"/>
      <c r="I153" s="180"/>
    </row>
    <row r="154" spans="1:9" ht="20.100000000000001" customHeight="1">
      <c r="A154" s="191">
        <v>22</v>
      </c>
      <c r="B154" s="157" t="s">
        <v>275</v>
      </c>
      <c r="C154" s="161" t="s">
        <v>276</v>
      </c>
      <c r="D154" s="181" t="s">
        <v>87</v>
      </c>
      <c r="E154" s="25">
        <f>17572.89</f>
        <v>17572.89</v>
      </c>
      <c r="F154" s="208">
        <v>18102.902732666666</v>
      </c>
      <c r="G154" s="23">
        <f t="shared" si="19"/>
        <v>530.01273266666612</v>
      </c>
      <c r="H154" s="180"/>
      <c r="I154" s="180"/>
    </row>
    <row r="155" spans="1:9" ht="20.100000000000001" customHeight="1">
      <c r="A155" s="191">
        <v>23</v>
      </c>
      <c r="B155" s="157" t="s">
        <v>277</v>
      </c>
      <c r="C155" s="161" t="s">
        <v>278</v>
      </c>
      <c r="D155" s="181" t="s">
        <v>97</v>
      </c>
      <c r="E155" s="25">
        <f>16512.68</f>
        <v>16512.68</v>
      </c>
      <c r="F155" s="208">
        <v>17042.713866666661</v>
      </c>
      <c r="G155" s="23">
        <f t="shared" si="19"/>
        <v>530.0338666666612</v>
      </c>
      <c r="H155" s="180"/>
      <c r="I155" s="180"/>
    </row>
    <row r="156" spans="1:9" ht="20.100000000000001" customHeight="1">
      <c r="A156" s="191">
        <v>24</v>
      </c>
      <c r="B156" s="157" t="s">
        <v>279</v>
      </c>
      <c r="C156" s="161" t="s">
        <v>278</v>
      </c>
      <c r="D156" s="181" t="s">
        <v>107</v>
      </c>
      <c r="E156" s="25">
        <f>16512.68</f>
        <v>16512.68</v>
      </c>
      <c r="F156" s="208">
        <v>16512.68219066667</v>
      </c>
      <c r="G156" s="23">
        <f t="shared" si="19"/>
        <v>2.1906666697759647E-3</v>
      </c>
      <c r="H156" s="180"/>
      <c r="I156" s="180"/>
    </row>
    <row r="157" spans="1:9" ht="20.100000000000001" customHeight="1">
      <c r="A157" s="191">
        <v>25</v>
      </c>
      <c r="B157" s="157" t="s">
        <v>280</v>
      </c>
      <c r="C157" s="161" t="s">
        <v>276</v>
      </c>
      <c r="D157" s="181" t="s">
        <v>107</v>
      </c>
      <c r="E157" s="25">
        <f t="shared" ref="E157:E158" si="20">16512.68</f>
        <v>16512.68</v>
      </c>
      <c r="F157" s="208">
        <v>16514.228790666668</v>
      </c>
      <c r="G157" s="23">
        <f t="shared" si="19"/>
        <v>1.5487906666676281</v>
      </c>
      <c r="H157" s="180"/>
      <c r="I157" s="180"/>
    </row>
    <row r="158" spans="1:9" ht="20.100000000000001" customHeight="1">
      <c r="A158" s="191">
        <v>26</v>
      </c>
      <c r="B158" s="157" t="s">
        <v>281</v>
      </c>
      <c r="C158" s="161" t="s">
        <v>282</v>
      </c>
      <c r="D158" s="181" t="s">
        <v>97</v>
      </c>
      <c r="E158" s="25">
        <f t="shared" si="20"/>
        <v>16512.68</v>
      </c>
      <c r="F158" s="208">
        <v>17043.017866666662</v>
      </c>
      <c r="G158" s="23">
        <f t="shared" si="19"/>
        <v>530.33786666666128</v>
      </c>
      <c r="H158" s="180"/>
      <c r="I158" s="180"/>
    </row>
    <row r="159" spans="1:9" ht="20.100000000000001" customHeight="1">
      <c r="A159" s="191">
        <v>27</v>
      </c>
      <c r="B159" s="157" t="s">
        <v>283</v>
      </c>
      <c r="C159" s="161" t="s">
        <v>284</v>
      </c>
      <c r="D159" s="181" t="s">
        <v>97</v>
      </c>
      <c r="E159" s="25">
        <f>16512.68</f>
        <v>16512.68</v>
      </c>
      <c r="F159" s="208">
        <v>17008.323359999995</v>
      </c>
      <c r="G159" s="23">
        <f t="shared" si="19"/>
        <v>495.64335999999457</v>
      </c>
      <c r="H159" s="180"/>
      <c r="I159" s="180"/>
    </row>
    <row r="160" spans="1:9" ht="20.100000000000001" customHeight="1">
      <c r="A160" s="191">
        <v>28</v>
      </c>
      <c r="B160" s="156" t="s">
        <v>285</v>
      </c>
      <c r="C160" s="161" t="s">
        <v>286</v>
      </c>
      <c r="D160" s="181" t="s">
        <v>287</v>
      </c>
      <c r="E160" s="23">
        <f>9117.05</f>
        <v>9117.0499999999993</v>
      </c>
      <c r="F160" s="208">
        <v>10776.457626666665</v>
      </c>
      <c r="G160" s="23">
        <f t="shared" si="19"/>
        <v>1659.4076266666652</v>
      </c>
      <c r="H160" s="180"/>
      <c r="I160" s="180"/>
    </row>
    <row r="161" spans="1:9" ht="20.100000000000001" customHeight="1">
      <c r="A161" s="191">
        <v>29</v>
      </c>
      <c r="B161" s="156" t="s">
        <v>288</v>
      </c>
      <c r="C161" s="161" t="s">
        <v>286</v>
      </c>
      <c r="D161" s="181" t="s">
        <v>287</v>
      </c>
      <c r="E161" s="23">
        <f>9504.2</f>
        <v>9504.2000000000007</v>
      </c>
      <c r="F161" s="208">
        <v>11232.457626666665</v>
      </c>
      <c r="G161" s="23">
        <f t="shared" si="19"/>
        <v>1728.2576266666638</v>
      </c>
      <c r="H161" s="180"/>
      <c r="I161" s="180"/>
    </row>
    <row r="162" spans="1:9" ht="20.100000000000001" customHeight="1">
      <c r="A162" s="191">
        <v>30</v>
      </c>
      <c r="B162" s="156" t="s">
        <v>289</v>
      </c>
      <c r="C162" s="161" t="s">
        <v>286</v>
      </c>
      <c r="D162" s="181" t="s">
        <v>287</v>
      </c>
      <c r="E162" s="23">
        <f>9144.2</f>
        <v>9144.2000000000007</v>
      </c>
      <c r="F162" s="208">
        <v>10776.457626666665</v>
      </c>
      <c r="G162" s="23">
        <f t="shared" si="19"/>
        <v>1632.2576266666638</v>
      </c>
      <c r="H162" s="180"/>
      <c r="I162" s="180"/>
    </row>
    <row r="163" spans="1:9" ht="20.100000000000001" customHeight="1">
      <c r="A163" s="191">
        <v>31</v>
      </c>
      <c r="B163" s="156" t="s">
        <v>290</v>
      </c>
      <c r="C163" s="161" t="s">
        <v>286</v>
      </c>
      <c r="D163" s="181" t="s">
        <v>287</v>
      </c>
      <c r="E163" s="23">
        <f>9144.2</f>
        <v>9144.2000000000007</v>
      </c>
      <c r="F163" s="208">
        <v>10776.457626666665</v>
      </c>
      <c r="G163" s="23">
        <f t="shared" si="19"/>
        <v>1632.2576266666638</v>
      </c>
      <c r="H163" s="180"/>
      <c r="I163" s="180"/>
    </row>
    <row r="164" spans="1:9" ht="20.100000000000001" customHeight="1">
      <c r="A164" s="191">
        <v>32</v>
      </c>
      <c r="B164" s="156" t="s">
        <v>291</v>
      </c>
      <c r="C164" s="161" t="s">
        <v>286</v>
      </c>
      <c r="D164" s="181" t="s">
        <v>287</v>
      </c>
      <c r="E164" s="23">
        <f>9117.05</f>
        <v>9117.0499999999993</v>
      </c>
      <c r="F164" s="208">
        <v>10743.737199999998</v>
      </c>
      <c r="G164" s="23">
        <f t="shared" si="19"/>
        <v>1626.6871999999985</v>
      </c>
      <c r="H164" s="180"/>
      <c r="I164" s="180"/>
    </row>
    <row r="165" spans="1:9" ht="20.100000000000001" customHeight="1">
      <c r="A165" s="191">
        <v>33</v>
      </c>
      <c r="B165" s="156" t="s">
        <v>292</v>
      </c>
      <c r="C165" s="161" t="s">
        <v>286</v>
      </c>
      <c r="D165" s="181" t="s">
        <v>287</v>
      </c>
      <c r="E165" s="23">
        <f>9144.2</f>
        <v>9144.2000000000007</v>
      </c>
      <c r="F165" s="208">
        <v>10776.457626666665</v>
      </c>
      <c r="G165" s="23">
        <f t="shared" si="19"/>
        <v>1632.2576266666638</v>
      </c>
      <c r="H165" s="180"/>
      <c r="I165" s="180"/>
    </row>
    <row r="166" spans="1:9" ht="20.100000000000001" customHeight="1">
      <c r="A166" s="191">
        <v>34</v>
      </c>
      <c r="B166" s="156" t="s">
        <v>293</v>
      </c>
      <c r="C166" s="161" t="s">
        <v>286</v>
      </c>
      <c r="D166" s="181" t="s">
        <v>294</v>
      </c>
      <c r="E166" s="23">
        <v>9152.6</v>
      </c>
      <c r="F166" s="208">
        <v>9504.2041399999998</v>
      </c>
      <c r="G166" s="23">
        <f t="shared" si="19"/>
        <v>351.60413999999946</v>
      </c>
      <c r="H166" s="180"/>
      <c r="I166" s="180"/>
    </row>
    <row r="167" spans="1:9" ht="20.100000000000001" customHeight="1">
      <c r="A167" s="191">
        <v>35</v>
      </c>
      <c r="B167" s="156" t="s">
        <v>295</v>
      </c>
      <c r="C167" s="161" t="s">
        <v>286</v>
      </c>
      <c r="D167" s="181" t="s">
        <v>294</v>
      </c>
      <c r="E167" s="23">
        <v>8792.6</v>
      </c>
      <c r="F167" s="208">
        <v>9144.2041399999998</v>
      </c>
      <c r="G167" s="23">
        <f t="shared" si="19"/>
        <v>351.60413999999946</v>
      </c>
      <c r="H167" s="180"/>
      <c r="I167" s="180"/>
    </row>
    <row r="168" spans="1:9" ht="20.100000000000001" customHeight="1">
      <c r="A168" s="191">
        <v>36</v>
      </c>
      <c r="B168" s="156" t="s">
        <v>296</v>
      </c>
      <c r="C168" s="161" t="s">
        <v>286</v>
      </c>
      <c r="D168" s="181" t="s">
        <v>294</v>
      </c>
      <c r="E168" s="23">
        <v>8792.6</v>
      </c>
      <c r="F168" s="208">
        <v>9144.2041399999998</v>
      </c>
      <c r="G168" s="23">
        <f t="shared" si="19"/>
        <v>351.60413999999946</v>
      </c>
      <c r="H168" s="180"/>
      <c r="I168" s="180"/>
    </row>
    <row r="169" spans="1:9" ht="20.100000000000001" customHeight="1">
      <c r="A169" s="191">
        <v>37</v>
      </c>
      <c r="B169" s="158" t="s">
        <v>297</v>
      </c>
      <c r="C169" s="161" t="s">
        <v>286</v>
      </c>
      <c r="D169" s="181" t="s">
        <v>294</v>
      </c>
      <c r="E169" s="23">
        <v>9152.6</v>
      </c>
      <c r="F169" s="208">
        <v>9504.2041399999998</v>
      </c>
      <c r="G169" s="23">
        <f t="shared" si="19"/>
        <v>351.60413999999946</v>
      </c>
      <c r="H169" s="180"/>
      <c r="I169" s="180"/>
    </row>
    <row r="170" spans="1:9" ht="20.100000000000001" customHeight="1">
      <c r="A170" s="191">
        <v>38</v>
      </c>
      <c r="B170" s="156" t="s">
        <v>298</v>
      </c>
      <c r="C170" s="161" t="s">
        <v>286</v>
      </c>
      <c r="D170" s="181" t="s">
        <v>294</v>
      </c>
      <c r="E170" s="23">
        <v>8792.6</v>
      </c>
      <c r="F170" s="208">
        <v>9144.2041399999998</v>
      </c>
      <c r="G170" s="23">
        <f t="shared" si="19"/>
        <v>351.60413999999946</v>
      </c>
      <c r="H170" s="180"/>
      <c r="I170" s="180"/>
    </row>
    <row r="171" spans="1:9" ht="20.100000000000001" customHeight="1">
      <c r="A171" s="191">
        <v>39</v>
      </c>
      <c r="B171" s="157" t="s">
        <v>299</v>
      </c>
      <c r="C171" s="161" t="s">
        <v>286</v>
      </c>
      <c r="D171" s="181" t="s">
        <v>294</v>
      </c>
      <c r="E171" s="23">
        <v>8792.6</v>
      </c>
      <c r="F171" s="208">
        <v>9144.2041399999998</v>
      </c>
      <c r="G171" s="23">
        <f t="shared" si="19"/>
        <v>351.60413999999946</v>
      </c>
      <c r="H171" s="180"/>
      <c r="I171" s="180"/>
    </row>
    <row r="172" spans="1:9" ht="20.100000000000001" customHeight="1">
      <c r="A172" s="191">
        <v>40</v>
      </c>
      <c r="B172" s="157" t="s">
        <v>300</v>
      </c>
      <c r="C172" s="161" t="s">
        <v>286</v>
      </c>
      <c r="D172" s="181" t="s">
        <v>294</v>
      </c>
      <c r="E172" s="23">
        <v>9152.6</v>
      </c>
      <c r="F172" s="208">
        <v>9504.2041399999998</v>
      </c>
      <c r="G172" s="23">
        <f t="shared" si="19"/>
        <v>351.60413999999946</v>
      </c>
      <c r="H172" s="180"/>
      <c r="I172" s="180"/>
    </row>
    <row r="173" spans="1:9" ht="20.100000000000001" customHeight="1">
      <c r="A173" s="191">
        <v>41</v>
      </c>
      <c r="B173" s="156" t="s">
        <v>301</v>
      </c>
      <c r="C173" s="161" t="s">
        <v>302</v>
      </c>
      <c r="D173" s="181" t="s">
        <v>303</v>
      </c>
      <c r="E173" s="23">
        <f>4227.52</f>
        <v>4227.5200000000004</v>
      </c>
      <c r="F173" s="208">
        <v>4365.3307546666683</v>
      </c>
      <c r="G173" s="23">
        <f t="shared" si="19"/>
        <v>137.81075466666789</v>
      </c>
      <c r="H173" s="180"/>
      <c r="I173" s="180"/>
    </row>
    <row r="174" spans="1:9" ht="20.100000000000001" customHeight="1">
      <c r="A174" s="191">
        <v>42</v>
      </c>
      <c r="B174" s="156" t="s">
        <v>304</v>
      </c>
      <c r="C174" s="161" t="s">
        <v>302</v>
      </c>
      <c r="D174" s="181" t="s">
        <v>303</v>
      </c>
      <c r="E174" s="23">
        <f>4227.52</f>
        <v>4227.5200000000004</v>
      </c>
      <c r="F174" s="208">
        <v>4365.3307546666683</v>
      </c>
      <c r="G174" s="23">
        <f t="shared" si="19"/>
        <v>137.81075466666789</v>
      </c>
      <c r="H174" s="180"/>
      <c r="I174" s="180"/>
    </row>
    <row r="175" spans="1:9" ht="20.100000000000001" customHeight="1">
      <c r="A175" s="191">
        <v>43</v>
      </c>
      <c r="B175" s="157" t="s">
        <v>305</v>
      </c>
      <c r="C175" s="161" t="s">
        <v>302</v>
      </c>
      <c r="D175" s="181" t="s">
        <v>306</v>
      </c>
      <c r="E175" s="23">
        <f>4365.33</f>
        <v>4365.33</v>
      </c>
      <c r="F175" s="208">
        <v>4504.4109199999994</v>
      </c>
      <c r="G175" s="23">
        <f t="shared" si="19"/>
        <v>139.08091999999942</v>
      </c>
      <c r="H175" s="180"/>
      <c r="I175" s="180"/>
    </row>
    <row r="176" spans="1:9" ht="20.100000000000001" customHeight="1">
      <c r="A176" s="191">
        <v>44</v>
      </c>
      <c r="B176" s="156" t="s">
        <v>307</v>
      </c>
      <c r="C176" s="161" t="s">
        <v>302</v>
      </c>
      <c r="D176" s="181" t="s">
        <v>308</v>
      </c>
      <c r="E176" s="23">
        <f>4089.72</f>
        <v>4089.72</v>
      </c>
      <c r="F176" s="208">
        <v>4227.5237226666677</v>
      </c>
      <c r="G176" s="23">
        <f t="shared" si="19"/>
        <v>137.80372266666791</v>
      </c>
      <c r="H176" s="180"/>
      <c r="I176" s="180"/>
    </row>
    <row r="177" spans="1:9" ht="20.100000000000001" customHeight="1">
      <c r="A177" s="191">
        <v>45</v>
      </c>
      <c r="B177" s="156" t="s">
        <v>309</v>
      </c>
      <c r="C177" s="161" t="s">
        <v>310</v>
      </c>
      <c r="D177" s="181" t="s">
        <v>311</v>
      </c>
      <c r="E177" s="23">
        <f>3951.8</f>
        <v>3951.8</v>
      </c>
      <c r="F177" s="208">
        <v>4089.716690666668</v>
      </c>
      <c r="G177" s="23">
        <f t="shared" si="19"/>
        <v>137.91669066666782</v>
      </c>
      <c r="H177" s="180"/>
      <c r="I177" s="180"/>
    </row>
    <row r="178" spans="1:9" ht="20.100000000000001" customHeight="1">
      <c r="A178" s="191">
        <v>46</v>
      </c>
      <c r="B178" s="156" t="s">
        <v>312</v>
      </c>
      <c r="C178" s="161" t="s">
        <v>310</v>
      </c>
      <c r="D178" s="181" t="s">
        <v>311</v>
      </c>
      <c r="E178" s="23">
        <f>3687.8</f>
        <v>3687.8</v>
      </c>
      <c r="F178" s="208">
        <v>3825.716690666668</v>
      </c>
      <c r="G178" s="23">
        <f t="shared" si="19"/>
        <v>137.91669066666782</v>
      </c>
      <c r="H178" s="180"/>
      <c r="I178" s="180"/>
    </row>
    <row r="179" spans="1:9" ht="20.100000000000001" customHeight="1">
      <c r="A179" s="191">
        <v>47</v>
      </c>
      <c r="B179" s="156" t="s">
        <v>313</v>
      </c>
      <c r="C179" s="161" t="s">
        <v>310</v>
      </c>
      <c r="D179" s="181" t="s">
        <v>311</v>
      </c>
      <c r="E179" s="23">
        <f>3951.8</f>
        <v>3951.8</v>
      </c>
      <c r="F179" s="208">
        <v>4089.716690666668</v>
      </c>
      <c r="G179" s="23">
        <f t="shared" si="19"/>
        <v>137.91669066666782</v>
      </c>
      <c r="H179" s="180"/>
      <c r="I179" s="180"/>
    </row>
    <row r="180" spans="1:9" ht="20.100000000000001" customHeight="1">
      <c r="A180" s="191">
        <v>48</v>
      </c>
      <c r="B180" s="156" t="s">
        <v>314</v>
      </c>
      <c r="C180" s="161" t="s">
        <v>310</v>
      </c>
      <c r="D180" s="181" t="s">
        <v>311</v>
      </c>
      <c r="E180" s="23">
        <f>3687.8</f>
        <v>3687.8</v>
      </c>
      <c r="F180" s="208">
        <v>3825.716690666668</v>
      </c>
      <c r="G180" s="23">
        <f t="shared" si="19"/>
        <v>137.91669066666782</v>
      </c>
      <c r="H180" s="180"/>
      <c r="I180" s="180"/>
    </row>
    <row r="181" spans="1:9" ht="20.100000000000001" customHeight="1">
      <c r="A181" s="191">
        <v>49</v>
      </c>
      <c r="B181" s="156" t="s">
        <v>315</v>
      </c>
      <c r="C181" s="161" t="s">
        <v>310</v>
      </c>
      <c r="D181" s="181" t="s">
        <v>311</v>
      </c>
      <c r="E181" s="23">
        <f>3951.8</f>
        <v>3951.8</v>
      </c>
      <c r="F181" s="208">
        <v>4089.716690666668</v>
      </c>
      <c r="G181" s="23">
        <f t="shared" si="19"/>
        <v>137.91669066666782</v>
      </c>
      <c r="H181" s="180"/>
      <c r="I181" s="180"/>
    </row>
    <row r="182" spans="1:9" ht="20.100000000000001" customHeight="1">
      <c r="A182" s="191">
        <v>50</v>
      </c>
      <c r="B182" s="157" t="s">
        <v>316</v>
      </c>
      <c r="C182" s="161" t="s">
        <v>310</v>
      </c>
      <c r="D182" s="181" t="s">
        <v>311</v>
      </c>
      <c r="E182" s="23">
        <f>3687.8</f>
        <v>3687.8</v>
      </c>
      <c r="F182" s="208">
        <v>3825.716690666668</v>
      </c>
      <c r="G182" s="23">
        <f t="shared" si="19"/>
        <v>137.91669066666782</v>
      </c>
      <c r="H182" s="180"/>
      <c r="I182" s="180"/>
    </row>
    <row r="183" spans="1:9" ht="20.100000000000001" customHeight="1">
      <c r="A183" s="191">
        <v>51</v>
      </c>
      <c r="B183" s="157" t="s">
        <v>317</v>
      </c>
      <c r="C183" s="161" t="s">
        <v>310</v>
      </c>
      <c r="D183" s="181" t="s">
        <v>311</v>
      </c>
      <c r="E183" s="23">
        <f>3951.8</f>
        <v>3951.8</v>
      </c>
      <c r="F183" s="208">
        <v>4089.716690666668</v>
      </c>
      <c r="G183" s="23">
        <f t="shared" si="19"/>
        <v>137.91669066666782</v>
      </c>
      <c r="H183" s="180"/>
      <c r="I183" s="180"/>
    </row>
    <row r="184" spans="1:9" ht="20.100000000000001" customHeight="1">
      <c r="A184" s="191">
        <v>52</v>
      </c>
      <c r="B184" s="156" t="s">
        <v>318</v>
      </c>
      <c r="C184" s="161" t="s">
        <v>302</v>
      </c>
      <c r="D184" s="181" t="s">
        <v>311</v>
      </c>
      <c r="E184" s="23">
        <f>3951.8</f>
        <v>3951.8</v>
      </c>
      <c r="F184" s="208">
        <v>4089.716690666668</v>
      </c>
      <c r="G184" s="23">
        <f t="shared" si="19"/>
        <v>137.91669066666782</v>
      </c>
      <c r="H184" s="180"/>
      <c r="I184" s="180"/>
    </row>
    <row r="185" spans="1:9" ht="20.100000000000001" customHeight="1">
      <c r="A185" s="191">
        <v>53</v>
      </c>
      <c r="B185" s="156" t="s">
        <v>319</v>
      </c>
      <c r="C185" s="161" t="s">
        <v>302</v>
      </c>
      <c r="D185" s="181" t="s">
        <v>311</v>
      </c>
      <c r="E185" s="23">
        <f>3951.8</f>
        <v>3951.8</v>
      </c>
      <c r="F185" s="208">
        <v>4089.716690666668</v>
      </c>
      <c r="G185" s="23">
        <f t="shared" si="19"/>
        <v>137.91669066666782</v>
      </c>
      <c r="H185" s="180"/>
      <c r="I185" s="180"/>
    </row>
    <row r="186" spans="1:9" ht="20.100000000000001" customHeight="1">
      <c r="A186" s="191">
        <v>54</v>
      </c>
      <c r="B186" s="157" t="s">
        <v>320</v>
      </c>
      <c r="C186" s="161" t="s">
        <v>310</v>
      </c>
      <c r="D186" s="181" t="s">
        <v>321</v>
      </c>
      <c r="E186" s="23">
        <f>3183.66</f>
        <v>3183.66</v>
      </c>
      <c r="F186" s="208">
        <v>3064.8720786666654</v>
      </c>
      <c r="G186" s="23">
        <f t="shared" si="19"/>
        <v>-118.78792133333445</v>
      </c>
      <c r="H186" s="180"/>
      <c r="I186" s="180"/>
    </row>
    <row r="187" spans="1:9" ht="20.100000000000001" customHeight="1">
      <c r="A187" s="191">
        <v>55</v>
      </c>
      <c r="B187" s="157" t="s">
        <v>322</v>
      </c>
      <c r="C187" s="161" t="s">
        <v>310</v>
      </c>
      <c r="D187" s="181" t="s">
        <v>323</v>
      </c>
      <c r="E187" s="23">
        <f>2972.91</f>
        <v>2972.91</v>
      </c>
      <c r="F187" s="208">
        <v>3091.5368486666671</v>
      </c>
      <c r="G187" s="23">
        <f t="shared" si="19"/>
        <v>118.62684866666723</v>
      </c>
      <c r="H187" s="180"/>
      <c r="I187" s="180"/>
    </row>
    <row r="188" spans="1:9" ht="20.100000000000001" customHeight="1">
      <c r="A188" s="191"/>
      <c r="B188" s="177" t="s">
        <v>100</v>
      </c>
      <c r="C188" s="193" t="s">
        <v>386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80"/>
      <c r="I188" s="180"/>
    </row>
    <row r="189" spans="1:9" ht="20.100000000000001" customHeight="1">
      <c r="A189" s="20"/>
      <c r="B189" s="194" t="s">
        <v>325</v>
      </c>
      <c r="C189" s="195">
        <f>C37+C42+C57+C61+C77+C85+C99+C106+C116+C130+C188+2</f>
        <v>154</v>
      </c>
      <c r="D189" s="196"/>
      <c r="E189" s="197" t="e">
        <f>E37+E42+E57+E61+E77+E85+E99+E106+E116+E130+E188</f>
        <v>#REF!</v>
      </c>
      <c r="F189" s="197">
        <f t="shared" ref="F189:G189" si="22">F37+F42+F57+F61+F77+F85+F99+F106+F116+F130+F188</f>
        <v>7135974.5583150014</v>
      </c>
      <c r="G189" s="197" t="e">
        <f t="shared" si="22"/>
        <v>#REF!</v>
      </c>
      <c r="H189" s="180"/>
      <c r="I189" s="180"/>
    </row>
    <row r="190" spans="1:9" ht="20.100000000000001" customHeight="1">
      <c r="B190" s="198"/>
      <c r="D190" s="199"/>
      <c r="E190" s="201"/>
      <c r="F190" s="201"/>
      <c r="G190" s="201"/>
      <c r="I190" s="202"/>
    </row>
    <row r="191" spans="1:9" ht="65.25" customHeight="1">
      <c r="B191" s="198"/>
      <c r="C191" s="199"/>
      <c r="D191" s="199"/>
      <c r="E191" s="201"/>
      <c r="F191" s="201"/>
      <c r="G191" s="201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bottomRight" activeCell="D191" sqref="D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7" width="14.85546875" style="164" customWidth="1"/>
    <col min="8" max="8" width="17.7109375" style="164" customWidth="1"/>
    <col min="9" max="9" width="21.7109375" style="164" customWidth="1"/>
    <col min="10" max="16384" width="9.140625" style="164"/>
  </cols>
  <sheetData>
    <row r="1" spans="1:9" ht="27" customHeight="1">
      <c r="A1" s="321" t="s">
        <v>0</v>
      </c>
      <c r="B1" s="321"/>
      <c r="C1" s="321"/>
      <c r="D1" s="321"/>
      <c r="E1" s="321"/>
    </row>
    <row r="2" spans="1:9" ht="33.75" customHeight="1">
      <c r="A2" s="165" t="s">
        <v>1</v>
      </c>
      <c r="B2" s="166"/>
      <c r="C2" s="165"/>
      <c r="D2" s="165"/>
      <c r="E2" s="167"/>
      <c r="F2" s="169"/>
      <c r="G2" s="169"/>
      <c r="H2" s="169"/>
    </row>
    <row r="3" spans="1:9" ht="9.75" customHeight="1">
      <c r="E3" s="163" t="e">
        <f>'[1]FEB 08'!E11/'[1]FEB 08'!M11</f>
        <v>#REF!</v>
      </c>
    </row>
    <row r="4" spans="1:9" ht="45" customHeight="1">
      <c r="A4" s="20"/>
      <c r="B4" s="170" t="s">
        <v>2</v>
      </c>
      <c r="C4" s="171" t="s">
        <v>3</v>
      </c>
      <c r="D4" s="172" t="s">
        <v>4</v>
      </c>
      <c r="E4" s="173" t="s">
        <v>5</v>
      </c>
      <c r="F4" s="173" t="s">
        <v>387</v>
      </c>
      <c r="G4" s="173" t="s">
        <v>388</v>
      </c>
      <c r="H4" s="174" t="s">
        <v>389</v>
      </c>
    </row>
    <row r="5" spans="1:9" ht="20.100000000000001" customHeight="1">
      <c r="A5" s="176" t="s">
        <v>26</v>
      </c>
      <c r="B5" s="177" t="s">
        <v>27</v>
      </c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</row>
    <row r="6" spans="1:9" ht="20.100000000000001" customHeight="1">
      <c r="A6" s="28">
        <v>1</v>
      </c>
      <c r="B6" s="156" t="s">
        <v>28</v>
      </c>
      <c r="C6" s="161" t="s">
        <v>29</v>
      </c>
      <c r="D6" s="161" t="s">
        <v>30</v>
      </c>
      <c r="E6" s="23">
        <v>160488.75</v>
      </c>
      <c r="F6" s="23"/>
      <c r="G6" s="23"/>
      <c r="H6" s="23"/>
      <c r="I6" s="180"/>
    </row>
    <row r="7" spans="1:9" ht="20.100000000000001" customHeight="1">
      <c r="A7" s="28">
        <v>2</v>
      </c>
      <c r="B7" s="156" t="s">
        <v>31</v>
      </c>
      <c r="C7" s="20" t="s">
        <v>32</v>
      </c>
      <c r="D7" s="28" t="s">
        <v>33</v>
      </c>
      <c r="E7" s="25">
        <f>42653.17</f>
        <v>42653.17</v>
      </c>
      <c r="F7" s="23">
        <f>0.025*E7</f>
        <v>1066.32925</v>
      </c>
      <c r="G7" s="23">
        <f>'[4]April 2022'!$H$26</f>
        <v>1028.9422500000001</v>
      </c>
      <c r="H7" s="25">
        <f>F7-G7</f>
        <v>37.386999999999944</v>
      </c>
      <c r="I7" s="180"/>
    </row>
    <row r="8" spans="1:9" ht="20.100000000000001" customHeight="1">
      <c r="A8" s="28">
        <v>3</v>
      </c>
      <c r="B8" s="158" t="s">
        <v>34</v>
      </c>
      <c r="C8" s="20" t="s">
        <v>35</v>
      </c>
      <c r="D8" s="28" t="s">
        <v>33</v>
      </c>
      <c r="E8" s="23">
        <f>42653.17</f>
        <v>42653.17</v>
      </c>
      <c r="F8" s="23"/>
      <c r="G8" s="23"/>
      <c r="H8" s="25">
        <f t="shared" ref="H8:H71" si="0">F8-G8</f>
        <v>0</v>
      </c>
      <c r="I8" s="180"/>
    </row>
    <row r="9" spans="1:9" ht="20.100000000000001" customHeight="1">
      <c r="A9" s="28">
        <v>4</v>
      </c>
      <c r="B9" s="156" t="s">
        <v>36</v>
      </c>
      <c r="C9" s="161" t="s">
        <v>37</v>
      </c>
      <c r="D9" s="28" t="s">
        <v>38</v>
      </c>
      <c r="E9" s="23">
        <f>42653.17</f>
        <v>42653.17</v>
      </c>
      <c r="F9" s="23"/>
      <c r="G9" s="23"/>
      <c r="H9" s="25">
        <f t="shared" si="0"/>
        <v>0</v>
      </c>
      <c r="I9" s="180"/>
    </row>
    <row r="10" spans="1:9" ht="20.100000000000001" customHeight="1">
      <c r="A10" s="28">
        <v>5</v>
      </c>
      <c r="B10" s="158" t="s">
        <v>39</v>
      </c>
      <c r="C10" s="20" t="s">
        <v>40</v>
      </c>
      <c r="D10" s="181" t="s">
        <v>41</v>
      </c>
      <c r="E10" s="25">
        <v>41157.69</v>
      </c>
      <c r="F10" s="23"/>
      <c r="G10" s="23"/>
      <c r="H10" s="25">
        <f t="shared" si="0"/>
        <v>0</v>
      </c>
      <c r="I10" s="180"/>
    </row>
    <row r="11" spans="1:9" ht="20.100000000000001" customHeight="1">
      <c r="A11" s="28">
        <v>6</v>
      </c>
      <c r="B11" s="158" t="s">
        <v>42</v>
      </c>
      <c r="C11" s="20" t="s">
        <v>43</v>
      </c>
      <c r="D11" s="24" t="s">
        <v>41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80"/>
    </row>
    <row r="12" spans="1:9" ht="20.100000000000001" customHeight="1">
      <c r="A12" s="28">
        <v>7</v>
      </c>
      <c r="B12" s="156" t="s">
        <v>44</v>
      </c>
      <c r="C12" s="112" t="s">
        <v>45</v>
      </c>
      <c r="D12" s="24" t="s">
        <v>41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80"/>
    </row>
    <row r="13" spans="1:9" ht="20.100000000000001" customHeight="1">
      <c r="A13" s="28">
        <v>8</v>
      </c>
      <c r="B13" s="158" t="s">
        <v>46</v>
      </c>
      <c r="C13" s="20" t="s">
        <v>47</v>
      </c>
      <c r="D13" s="24" t="s">
        <v>41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80"/>
    </row>
    <row r="14" spans="1:9" ht="20.100000000000001" customHeight="1">
      <c r="A14" s="28">
        <v>9</v>
      </c>
      <c r="B14" s="156" t="s">
        <v>48</v>
      </c>
      <c r="C14" s="161" t="s">
        <v>49</v>
      </c>
      <c r="D14" s="181" t="s">
        <v>50</v>
      </c>
      <c r="E14" s="25">
        <v>33507.5</v>
      </c>
      <c r="F14" s="23">
        <f>0.025*E14</f>
        <v>837.6875</v>
      </c>
      <c r="G14" s="23">
        <f>'[4]April 2022'!$H$28</f>
        <v>837.6875</v>
      </c>
      <c r="H14" s="25">
        <f t="shared" si="0"/>
        <v>0</v>
      </c>
      <c r="I14" s="180"/>
    </row>
    <row r="15" spans="1:9" ht="20.100000000000001" customHeight="1">
      <c r="A15" s="28">
        <v>10</v>
      </c>
      <c r="B15" s="157" t="s">
        <v>51</v>
      </c>
      <c r="C15" s="161" t="s">
        <v>52</v>
      </c>
      <c r="D15" s="28" t="s">
        <v>53</v>
      </c>
      <c r="E15" s="23">
        <v>32263.200000000001</v>
      </c>
      <c r="F15" s="23"/>
      <c r="G15" s="23"/>
      <c r="H15" s="25">
        <f t="shared" si="0"/>
        <v>0</v>
      </c>
      <c r="I15" s="180"/>
    </row>
    <row r="16" spans="1:9" ht="20.100000000000001" customHeight="1">
      <c r="A16" s="28">
        <v>11</v>
      </c>
      <c r="B16" s="160" t="s">
        <v>54</v>
      </c>
      <c r="C16" s="20" t="s">
        <v>55</v>
      </c>
      <c r="D16" s="24" t="s">
        <v>56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80"/>
    </row>
    <row r="17" spans="1:9" ht="19.5" customHeight="1">
      <c r="A17" s="28">
        <v>12</v>
      </c>
      <c r="B17" s="158" t="s">
        <v>57</v>
      </c>
      <c r="C17" s="20" t="s">
        <v>58</v>
      </c>
      <c r="D17" s="28" t="s">
        <v>56</v>
      </c>
      <c r="E17" s="25">
        <v>27611.23</v>
      </c>
      <c r="F17" s="23">
        <f>0.025*E17</f>
        <v>690.28075000000001</v>
      </c>
      <c r="G17" s="23">
        <f>'[4]April 2022'!$H$27</f>
        <v>668.31625000000008</v>
      </c>
      <c r="H17" s="25">
        <f t="shared" si="0"/>
        <v>21.96449999999993</v>
      </c>
      <c r="I17" s="180"/>
    </row>
    <row r="18" spans="1:9" ht="19.5" customHeight="1">
      <c r="A18" s="28">
        <v>13</v>
      </c>
      <c r="B18" s="158" t="s">
        <v>59</v>
      </c>
      <c r="C18" s="20" t="s">
        <v>60</v>
      </c>
      <c r="D18" s="28" t="s">
        <v>56</v>
      </c>
      <c r="E18" s="25">
        <v>27611.23</v>
      </c>
      <c r="F18" s="23"/>
      <c r="G18" s="23"/>
      <c r="H18" s="25">
        <f t="shared" si="0"/>
        <v>0</v>
      </c>
      <c r="I18" s="180"/>
    </row>
    <row r="19" spans="1:9" ht="20.100000000000001" customHeight="1">
      <c r="A19" s="28">
        <v>14</v>
      </c>
      <c r="B19" s="156" t="s">
        <v>61</v>
      </c>
      <c r="C19" s="20" t="s">
        <v>58</v>
      </c>
      <c r="D19" s="181" t="s">
        <v>56</v>
      </c>
      <c r="E19" s="25">
        <v>27611.23</v>
      </c>
      <c r="F19" s="23"/>
      <c r="G19" s="23"/>
      <c r="H19" s="25">
        <f t="shared" si="0"/>
        <v>0</v>
      </c>
      <c r="I19" s="180"/>
    </row>
    <row r="20" spans="1:9" ht="20.100000000000001" customHeight="1">
      <c r="A20" s="28">
        <v>15</v>
      </c>
      <c r="B20" s="156" t="s">
        <v>62</v>
      </c>
      <c r="C20" s="161" t="s">
        <v>63</v>
      </c>
      <c r="D20" s="181" t="s">
        <v>64</v>
      </c>
      <c r="E20" s="25">
        <v>24741.26</v>
      </c>
      <c r="F20" s="23"/>
      <c r="G20" s="23"/>
      <c r="H20" s="25">
        <f t="shared" si="0"/>
        <v>0</v>
      </c>
      <c r="I20" s="180"/>
    </row>
    <row r="21" spans="1:9" ht="20.100000000000001" customHeight="1">
      <c r="A21" s="28">
        <v>16</v>
      </c>
      <c r="B21" s="157" t="s">
        <v>65</v>
      </c>
      <c r="C21" s="20" t="s">
        <v>66</v>
      </c>
      <c r="D21" s="181" t="s">
        <v>67</v>
      </c>
      <c r="E21" s="25">
        <f>23891.12</f>
        <v>23891.119999999999</v>
      </c>
      <c r="F21" s="25">
        <f>0.025*E21</f>
        <v>597.27800000000002</v>
      </c>
      <c r="G21" s="25">
        <f>'[4]April 2022'!$H$52</f>
        <v>576.87475000000006</v>
      </c>
      <c r="H21" s="25">
        <f t="shared" si="0"/>
        <v>20.403249999999957</v>
      </c>
      <c r="I21" s="180"/>
    </row>
    <row r="22" spans="1:9" ht="20.100000000000001" customHeight="1">
      <c r="A22" s="28">
        <v>17</v>
      </c>
      <c r="B22" s="156" t="s">
        <v>68</v>
      </c>
      <c r="C22" s="161" t="s">
        <v>69</v>
      </c>
      <c r="D22" s="181" t="s">
        <v>70</v>
      </c>
      <c r="E22" s="25">
        <f>22837.82</f>
        <v>22837.82</v>
      </c>
      <c r="F22" s="25">
        <f>0.025*E22</f>
        <v>570.94550000000004</v>
      </c>
      <c r="G22" s="23">
        <f>'[4]April 2022'!$H$45</f>
        <v>538.02200000000005</v>
      </c>
      <c r="H22" s="25">
        <f t="shared" si="0"/>
        <v>32.92349999999999</v>
      </c>
      <c r="I22" s="180"/>
    </row>
    <row r="23" spans="1:9" ht="18.75" customHeight="1">
      <c r="A23" s="28">
        <v>18</v>
      </c>
      <c r="B23" s="156" t="s">
        <v>71</v>
      </c>
      <c r="C23" s="161" t="s">
        <v>72</v>
      </c>
      <c r="D23" s="181" t="s">
        <v>73</v>
      </c>
      <c r="E23" s="25">
        <v>21520.880000000001</v>
      </c>
      <c r="F23" s="23"/>
      <c r="G23" s="23"/>
      <c r="H23" s="25">
        <f t="shared" si="0"/>
        <v>0</v>
      </c>
      <c r="I23" s="180"/>
    </row>
    <row r="24" spans="1:9" ht="18.75" customHeight="1">
      <c r="A24" s="28">
        <v>19</v>
      </c>
      <c r="B24" s="156" t="s">
        <v>74</v>
      </c>
      <c r="C24" s="20" t="s">
        <v>75</v>
      </c>
      <c r="D24" s="181" t="s">
        <v>73</v>
      </c>
      <c r="E24" s="25">
        <v>21520.880000000001</v>
      </c>
      <c r="F24" s="23"/>
      <c r="G24" s="23"/>
      <c r="H24" s="25">
        <f t="shared" si="0"/>
        <v>0</v>
      </c>
      <c r="I24" s="180"/>
    </row>
    <row r="25" spans="1:9" ht="18.75" customHeight="1">
      <c r="A25" s="28">
        <v>20</v>
      </c>
      <c r="B25" s="157" t="s">
        <v>258</v>
      </c>
      <c r="C25" s="20" t="s">
        <v>384</v>
      </c>
      <c r="D25" s="181" t="s">
        <v>256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80"/>
    </row>
    <row r="26" spans="1:9" ht="18.75" customHeight="1">
      <c r="A26" s="28">
        <v>21</v>
      </c>
      <c r="B26" s="157" t="s">
        <v>76</v>
      </c>
      <c r="C26" s="161" t="s">
        <v>77</v>
      </c>
      <c r="D26" s="181" t="s">
        <v>78</v>
      </c>
      <c r="E26" s="25">
        <v>18281.64</v>
      </c>
      <c r="F26" s="25"/>
      <c r="G26" s="25"/>
      <c r="H26" s="25">
        <f t="shared" si="0"/>
        <v>0</v>
      </c>
      <c r="I26" s="180"/>
    </row>
    <row r="27" spans="1:9" ht="18.75" customHeight="1">
      <c r="A27" s="28">
        <v>22</v>
      </c>
      <c r="B27" s="20" t="s">
        <v>79</v>
      </c>
      <c r="C27" s="20" t="s">
        <v>80</v>
      </c>
      <c r="D27" s="28" t="s">
        <v>81</v>
      </c>
      <c r="E27" s="205">
        <v>14736.14</v>
      </c>
      <c r="F27" s="23"/>
      <c r="G27" s="23"/>
      <c r="H27" s="25">
        <f t="shared" si="0"/>
        <v>0</v>
      </c>
      <c r="I27" s="180"/>
    </row>
    <row r="28" spans="1:9" ht="18.75" customHeight="1">
      <c r="A28" s="28">
        <v>23</v>
      </c>
      <c r="B28" s="157" t="s">
        <v>82</v>
      </c>
      <c r="C28" s="161" t="s">
        <v>80</v>
      </c>
      <c r="D28" s="181" t="s">
        <v>81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80"/>
    </row>
    <row r="29" spans="1:9" ht="18.75" customHeight="1">
      <c r="A29" s="28">
        <v>24</v>
      </c>
      <c r="B29" s="156" t="s">
        <v>83</v>
      </c>
      <c r="C29" s="161" t="s">
        <v>84</v>
      </c>
      <c r="D29" s="181" t="s">
        <v>81</v>
      </c>
      <c r="E29" s="25">
        <f t="shared" si="2"/>
        <v>15188.67</v>
      </c>
      <c r="F29" s="23"/>
      <c r="G29" s="23"/>
      <c r="H29" s="25">
        <f t="shared" si="0"/>
        <v>0</v>
      </c>
      <c r="I29" s="180"/>
    </row>
    <row r="30" spans="1:9" ht="18.75" customHeight="1">
      <c r="A30" s="28">
        <v>25</v>
      </c>
      <c r="B30" s="157" t="s">
        <v>85</v>
      </c>
      <c r="C30" s="161" t="s">
        <v>86</v>
      </c>
      <c r="D30" s="181" t="s">
        <v>87</v>
      </c>
      <c r="E30" s="179">
        <v>13492.21</v>
      </c>
      <c r="F30" s="23"/>
      <c r="G30" s="23"/>
      <c r="H30" s="25">
        <f t="shared" si="0"/>
        <v>0</v>
      </c>
      <c r="I30" s="180"/>
    </row>
    <row r="31" spans="1:9" ht="18.75" customHeight="1">
      <c r="A31" s="28">
        <v>26</v>
      </c>
      <c r="B31" s="156" t="s">
        <v>88</v>
      </c>
      <c r="C31" s="112" t="s">
        <v>89</v>
      </c>
      <c r="D31" s="181" t="s">
        <v>90</v>
      </c>
      <c r="E31" s="25">
        <v>13492.21</v>
      </c>
      <c r="F31" s="23"/>
      <c r="G31" s="23"/>
      <c r="H31" s="25">
        <f t="shared" si="0"/>
        <v>0</v>
      </c>
      <c r="I31" s="180"/>
    </row>
    <row r="32" spans="1:9" ht="18.75" customHeight="1">
      <c r="A32" s="28">
        <v>27</v>
      </c>
      <c r="B32" s="157" t="s">
        <v>91</v>
      </c>
      <c r="C32" s="20" t="s">
        <v>92</v>
      </c>
      <c r="D32" s="28" t="s">
        <v>90</v>
      </c>
      <c r="E32" s="25">
        <v>13492.21</v>
      </c>
      <c r="F32" s="23"/>
      <c r="G32" s="23"/>
      <c r="H32" s="25">
        <f t="shared" si="0"/>
        <v>0</v>
      </c>
      <c r="I32" s="180"/>
    </row>
    <row r="33" spans="1:9" ht="18.75" customHeight="1">
      <c r="A33" s="28">
        <v>28</v>
      </c>
      <c r="B33" s="157" t="s">
        <v>93</v>
      </c>
      <c r="C33" s="112" t="s">
        <v>94</v>
      </c>
      <c r="D33" s="181" t="s">
        <v>81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80"/>
    </row>
    <row r="34" spans="1:9" ht="18.75" customHeight="1">
      <c r="A34" s="28">
        <v>29</v>
      </c>
      <c r="B34" s="157" t="s">
        <v>95</v>
      </c>
      <c r="C34" s="20" t="s">
        <v>385</v>
      </c>
      <c r="D34" s="28" t="s">
        <v>97</v>
      </c>
      <c r="E34" s="25">
        <f>12732</f>
        <v>12732</v>
      </c>
      <c r="F34" s="23"/>
      <c r="G34" s="23"/>
      <c r="H34" s="25">
        <f t="shared" si="0"/>
        <v>0</v>
      </c>
      <c r="I34" s="180"/>
    </row>
    <row r="35" spans="1:9" ht="18.75" customHeight="1">
      <c r="A35" s="28">
        <v>30</v>
      </c>
      <c r="B35" s="157" t="s">
        <v>98</v>
      </c>
      <c r="C35" s="161" t="s">
        <v>77</v>
      </c>
      <c r="D35" s="181" t="s">
        <v>97</v>
      </c>
      <c r="E35" s="25">
        <f>12732</f>
        <v>12732</v>
      </c>
      <c r="F35" s="23"/>
      <c r="G35" s="23"/>
      <c r="H35" s="25">
        <f t="shared" si="0"/>
        <v>0</v>
      </c>
      <c r="I35" s="180"/>
    </row>
    <row r="36" spans="1:9" ht="18.75" customHeight="1">
      <c r="A36" s="28">
        <v>31</v>
      </c>
      <c r="B36" s="157" t="s">
        <v>99</v>
      </c>
      <c r="C36" s="161" t="s">
        <v>77</v>
      </c>
      <c r="D36" s="181" t="s">
        <v>97</v>
      </c>
      <c r="E36" s="25">
        <f>12732</f>
        <v>12732</v>
      </c>
      <c r="F36" s="23"/>
      <c r="G36" s="23"/>
      <c r="H36" s="25">
        <f t="shared" si="0"/>
        <v>0</v>
      </c>
      <c r="I36" s="180"/>
    </row>
    <row r="37" spans="1:9" ht="26.25" customHeight="1">
      <c r="A37" s="28"/>
      <c r="B37" s="159" t="s">
        <v>100</v>
      </c>
      <c r="C37" s="29">
        <v>31</v>
      </c>
      <c r="D37" s="181"/>
      <c r="E37" s="183">
        <f t="shared" ref="E37" si="3">SUM(E6:E36)</f>
        <v>919842.32</v>
      </c>
      <c r="F37" s="183">
        <f>SUM(F6:F36)</f>
        <v>6849.3477499999999</v>
      </c>
      <c r="G37" s="183">
        <f t="shared" ref="G37" si="4">SUM(G6:G36)</f>
        <v>6736.665</v>
      </c>
      <c r="H37" s="30">
        <f t="shared" si="0"/>
        <v>112.68274999999994</v>
      </c>
      <c r="I37" s="180"/>
    </row>
    <row r="38" spans="1:9" ht="18.75" customHeight="1">
      <c r="A38" s="28"/>
      <c r="B38" s="123"/>
      <c r="C38" s="20"/>
      <c r="D38" s="181"/>
      <c r="E38" s="183"/>
      <c r="F38" s="183"/>
      <c r="G38" s="183"/>
      <c r="H38" s="25">
        <f t="shared" si="0"/>
        <v>0</v>
      </c>
      <c r="I38" s="180"/>
    </row>
    <row r="39" spans="1:9" ht="18.75" customHeight="1">
      <c r="A39" s="28"/>
      <c r="B39" s="159" t="s">
        <v>101</v>
      </c>
      <c r="C39" s="20"/>
      <c r="D39" s="181"/>
      <c r="E39" s="25"/>
      <c r="F39" s="23"/>
      <c r="G39" s="23"/>
      <c r="H39" s="25">
        <f t="shared" si="0"/>
        <v>0</v>
      </c>
      <c r="I39" s="180"/>
    </row>
    <row r="40" spans="1:9" ht="18.75" customHeight="1">
      <c r="A40" s="28">
        <v>1</v>
      </c>
      <c r="B40" s="157" t="s">
        <v>102</v>
      </c>
      <c r="C40" s="20" t="s">
        <v>103</v>
      </c>
      <c r="D40" s="28" t="s">
        <v>104</v>
      </c>
      <c r="E40" s="25">
        <v>81740.02</v>
      </c>
      <c r="F40" s="23"/>
      <c r="G40" s="23"/>
      <c r="H40" s="25">
        <f t="shared" si="0"/>
        <v>0</v>
      </c>
      <c r="I40" s="180"/>
    </row>
    <row r="41" spans="1:9" ht="18.75" customHeight="1">
      <c r="A41" s="28">
        <v>2</v>
      </c>
      <c r="B41" s="157" t="s">
        <v>105</v>
      </c>
      <c r="C41" s="20" t="s">
        <v>106</v>
      </c>
      <c r="D41" s="28" t="s">
        <v>107</v>
      </c>
      <c r="E41" s="205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94091.96</v>
      </c>
      <c r="F42" s="183">
        <f>SUM(F40:F41)</f>
        <v>0</v>
      </c>
      <c r="G42" s="183">
        <f>SUM(G40:G41)</f>
        <v>0</v>
      </c>
      <c r="H42" s="25">
        <f t="shared" si="0"/>
        <v>0</v>
      </c>
      <c r="I42" s="180"/>
    </row>
    <row r="43" spans="1:9" ht="20.100000000000001" customHeight="1">
      <c r="A43" s="28"/>
      <c r="B43" s="158"/>
      <c r="C43" s="20"/>
      <c r="D43" s="28"/>
      <c r="E43" s="183"/>
      <c r="F43" s="183"/>
      <c r="G43" s="183"/>
      <c r="H43" s="25">
        <f t="shared" si="0"/>
        <v>0</v>
      </c>
      <c r="I43" s="180"/>
    </row>
    <row r="44" spans="1:9" ht="20.100000000000001" customHeight="1">
      <c r="A44" s="28"/>
      <c r="B44" s="185" t="s">
        <v>108</v>
      </c>
      <c r="C44" s="170"/>
      <c r="D44" s="174"/>
      <c r="E44" s="183"/>
      <c r="F44" s="23"/>
      <c r="G44" s="23"/>
      <c r="H44" s="25">
        <f t="shared" si="0"/>
        <v>0</v>
      </c>
      <c r="I44" s="180"/>
    </row>
    <row r="45" spans="1:9" ht="20.100000000000001" customHeight="1">
      <c r="A45" s="28">
        <v>1</v>
      </c>
      <c r="B45" s="156" t="s">
        <v>109</v>
      </c>
      <c r="C45" s="20" t="s">
        <v>110</v>
      </c>
      <c r="D45" s="28" t="s">
        <v>104</v>
      </c>
      <c r="E45" s="25">
        <v>81740.02</v>
      </c>
      <c r="F45" s="23"/>
      <c r="G45" s="23"/>
      <c r="H45" s="25">
        <f t="shared" si="0"/>
        <v>0</v>
      </c>
      <c r="I45" s="180"/>
    </row>
    <row r="46" spans="1:9" ht="20.100000000000001" customHeight="1">
      <c r="A46" s="28">
        <v>2</v>
      </c>
      <c r="B46" s="156" t="s">
        <v>111</v>
      </c>
      <c r="C46" s="20" t="s">
        <v>112</v>
      </c>
      <c r="D46" s="28" t="s">
        <v>50</v>
      </c>
      <c r="E46" s="25">
        <v>33507.5</v>
      </c>
      <c r="F46" s="23"/>
      <c r="G46" s="23"/>
      <c r="H46" s="25">
        <f t="shared" si="0"/>
        <v>0</v>
      </c>
      <c r="I46" s="180"/>
    </row>
    <row r="47" spans="1:9" ht="20.100000000000001" customHeight="1">
      <c r="A47" s="28">
        <v>3</v>
      </c>
      <c r="B47" s="156" t="s">
        <v>113</v>
      </c>
      <c r="C47" s="20" t="s">
        <v>114</v>
      </c>
      <c r="D47" s="28" t="s">
        <v>50</v>
      </c>
      <c r="E47" s="25">
        <v>33507.5</v>
      </c>
      <c r="F47" s="23"/>
      <c r="G47" s="23"/>
      <c r="H47" s="25">
        <f t="shared" si="0"/>
        <v>0</v>
      </c>
      <c r="I47" s="180"/>
    </row>
    <row r="48" spans="1:9" ht="20.100000000000001" customHeight="1">
      <c r="A48" s="28">
        <v>4</v>
      </c>
      <c r="B48" s="156" t="s">
        <v>115</v>
      </c>
      <c r="C48" s="20" t="s">
        <v>114</v>
      </c>
      <c r="D48" s="28" t="s">
        <v>50</v>
      </c>
      <c r="E48" s="25">
        <v>33507.5</v>
      </c>
      <c r="F48" s="23"/>
      <c r="G48" s="23"/>
      <c r="H48" s="25">
        <f t="shared" si="0"/>
        <v>0</v>
      </c>
      <c r="I48" s="180"/>
    </row>
    <row r="49" spans="1:9" ht="20.100000000000001" customHeight="1">
      <c r="A49" s="28">
        <v>5</v>
      </c>
      <c r="B49" s="156" t="s">
        <v>116</v>
      </c>
      <c r="C49" s="20" t="s">
        <v>114</v>
      </c>
      <c r="D49" s="28" t="s">
        <v>117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80"/>
    </row>
    <row r="50" spans="1:9" ht="20.100000000000001" customHeight="1">
      <c r="A50" s="28">
        <v>6</v>
      </c>
      <c r="B50" s="156" t="s">
        <v>118</v>
      </c>
      <c r="C50" s="20" t="s">
        <v>119</v>
      </c>
      <c r="D50" s="28" t="s">
        <v>56</v>
      </c>
      <c r="E50" s="25">
        <v>27611.23</v>
      </c>
      <c r="F50" s="23"/>
      <c r="G50" s="23"/>
      <c r="H50" s="25">
        <f t="shared" si="0"/>
        <v>0</v>
      </c>
      <c r="I50" s="180"/>
    </row>
    <row r="51" spans="1:9" ht="20.100000000000001" customHeight="1">
      <c r="A51" s="28">
        <v>7</v>
      </c>
      <c r="B51" s="158" t="s">
        <v>120</v>
      </c>
      <c r="C51" s="20" t="s">
        <v>121</v>
      </c>
      <c r="D51" s="24" t="s">
        <v>56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80"/>
    </row>
    <row r="52" spans="1:9" ht="20.100000000000001" customHeight="1">
      <c r="A52" s="28">
        <v>8</v>
      </c>
      <c r="B52" s="156" t="s">
        <v>122</v>
      </c>
      <c r="C52" s="20" t="s">
        <v>121</v>
      </c>
      <c r="D52" s="28" t="s">
        <v>123</v>
      </c>
      <c r="E52" s="25">
        <v>26732.65</v>
      </c>
      <c r="F52" s="23"/>
      <c r="G52" s="23"/>
      <c r="H52" s="25">
        <f t="shared" si="0"/>
        <v>0</v>
      </c>
      <c r="I52" s="180"/>
    </row>
    <row r="53" spans="1:9" ht="20.100000000000001" customHeight="1">
      <c r="A53" s="28">
        <v>9</v>
      </c>
      <c r="B53" s="156" t="s">
        <v>124</v>
      </c>
      <c r="C53" s="20" t="s">
        <v>125</v>
      </c>
      <c r="D53" s="28" t="s">
        <v>126</v>
      </c>
      <c r="E53" s="25">
        <v>25523.45</v>
      </c>
      <c r="F53" s="23">
        <f>0.025*E53</f>
        <v>638.08625000000006</v>
      </c>
      <c r="G53" s="23">
        <f>'[4]April 2022'!$H$46</f>
        <v>618.53150000000005</v>
      </c>
      <c r="H53" s="25">
        <f t="shared" si="0"/>
        <v>19.554750000000013</v>
      </c>
      <c r="I53" s="180"/>
    </row>
    <row r="54" spans="1:9" ht="20.100000000000001" customHeight="1">
      <c r="A54" s="28">
        <v>10</v>
      </c>
      <c r="B54" s="156" t="s">
        <v>127</v>
      </c>
      <c r="C54" s="20" t="s">
        <v>128</v>
      </c>
      <c r="D54" s="28" t="s">
        <v>129</v>
      </c>
      <c r="E54" s="205">
        <f>14736.14</f>
        <v>14736.14</v>
      </c>
      <c r="F54" s="23"/>
      <c r="G54" s="23"/>
      <c r="H54" s="25">
        <f t="shared" si="0"/>
        <v>0</v>
      </c>
      <c r="I54" s="180"/>
    </row>
    <row r="55" spans="1:9" ht="20.100000000000001" customHeight="1">
      <c r="A55" s="28">
        <v>11</v>
      </c>
      <c r="B55" s="156" t="s">
        <v>130</v>
      </c>
      <c r="C55" s="20" t="s">
        <v>128</v>
      </c>
      <c r="D55" s="28" t="s">
        <v>129</v>
      </c>
      <c r="E55" s="205">
        <f>14736.14</f>
        <v>14736.14</v>
      </c>
      <c r="F55" s="23"/>
      <c r="G55" s="23"/>
      <c r="H55" s="25">
        <f t="shared" si="0"/>
        <v>0</v>
      </c>
      <c r="I55" s="180"/>
    </row>
    <row r="56" spans="1:9" ht="20.100000000000001" customHeight="1">
      <c r="A56" s="28">
        <v>12</v>
      </c>
      <c r="B56" s="156" t="s">
        <v>131</v>
      </c>
      <c r="C56" s="20" t="s">
        <v>128</v>
      </c>
      <c r="D56" s="28" t="s">
        <v>129</v>
      </c>
      <c r="E56" s="205">
        <f>14736.14</f>
        <v>14736.14</v>
      </c>
      <c r="F56" s="23"/>
      <c r="G56" s="23"/>
      <c r="H56" s="25">
        <f t="shared" si="0"/>
        <v>0</v>
      </c>
      <c r="I56" s="180"/>
    </row>
    <row r="57" spans="1:9" ht="25.5" customHeight="1">
      <c r="A57" s="28"/>
      <c r="B57" s="159" t="s">
        <v>100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80"/>
    </row>
    <row r="58" spans="1:9" ht="20.100000000000001" customHeight="1">
      <c r="A58" s="28"/>
      <c r="B58" s="123"/>
      <c r="C58" s="29"/>
      <c r="D58" s="29"/>
      <c r="E58" s="30"/>
      <c r="F58" s="30"/>
      <c r="G58" s="30"/>
      <c r="H58" s="25">
        <f t="shared" si="0"/>
        <v>0</v>
      </c>
      <c r="I58" s="180"/>
    </row>
    <row r="59" spans="1:9" ht="20.100000000000001" customHeight="1">
      <c r="A59" s="28"/>
      <c r="B59" s="159" t="s">
        <v>132</v>
      </c>
      <c r="C59" s="29"/>
      <c r="D59" s="29"/>
      <c r="E59" s="30"/>
      <c r="F59" s="30"/>
      <c r="G59" s="30"/>
      <c r="H59" s="25">
        <f t="shared" si="0"/>
        <v>0</v>
      </c>
      <c r="I59" s="180"/>
    </row>
    <row r="60" spans="1:9" ht="20.100000000000001" customHeight="1">
      <c r="A60" s="28">
        <v>1</v>
      </c>
      <c r="B60" s="156" t="s">
        <v>133</v>
      </c>
      <c r="C60" s="161" t="s">
        <v>134</v>
      </c>
      <c r="D60" s="181" t="s">
        <v>104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80"/>
    </row>
    <row r="61" spans="1:9" ht="20.100000000000001" customHeight="1">
      <c r="A61" s="28"/>
      <c r="B61" s="159" t="s">
        <v>100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80"/>
    </row>
    <row r="62" spans="1:9" ht="20.100000000000001" customHeight="1">
      <c r="A62" s="28"/>
      <c r="B62" s="159"/>
      <c r="C62" s="29"/>
      <c r="D62" s="29"/>
      <c r="E62" s="30"/>
      <c r="F62" s="30"/>
      <c r="G62" s="30"/>
      <c r="H62" s="25">
        <f t="shared" si="0"/>
        <v>0</v>
      </c>
      <c r="I62" s="180"/>
    </row>
    <row r="63" spans="1:9" ht="20.100000000000001" customHeight="1">
      <c r="A63" s="28"/>
      <c r="B63" s="159" t="s">
        <v>135</v>
      </c>
      <c r="C63" s="29"/>
      <c r="D63" s="29"/>
      <c r="E63" s="30"/>
      <c r="F63" s="30"/>
      <c r="G63" s="30"/>
      <c r="H63" s="25">
        <f t="shared" si="0"/>
        <v>0</v>
      </c>
      <c r="I63" s="180"/>
    </row>
    <row r="64" spans="1:9" ht="20.100000000000001" customHeight="1">
      <c r="A64" s="28">
        <v>1</v>
      </c>
      <c r="B64" s="156" t="s">
        <v>136</v>
      </c>
      <c r="C64" s="112" t="s">
        <v>137</v>
      </c>
      <c r="D64" s="28" t="s">
        <v>104</v>
      </c>
      <c r="E64" s="25">
        <v>81740.02</v>
      </c>
      <c r="F64" s="25"/>
      <c r="G64" s="25"/>
      <c r="H64" s="25">
        <f t="shared" si="0"/>
        <v>0</v>
      </c>
      <c r="I64" s="180"/>
    </row>
    <row r="65" spans="1:9" ht="20.100000000000001" customHeight="1">
      <c r="A65" s="28">
        <v>2</v>
      </c>
      <c r="B65" s="157" t="s">
        <v>138</v>
      </c>
      <c r="C65" s="112" t="s">
        <v>139</v>
      </c>
      <c r="D65" s="181" t="s">
        <v>140</v>
      </c>
      <c r="E65" s="204">
        <v>31018.84</v>
      </c>
      <c r="F65" s="23"/>
      <c r="G65" s="23"/>
      <c r="H65" s="25">
        <f t="shared" si="0"/>
        <v>0</v>
      </c>
      <c r="I65" s="180"/>
    </row>
    <row r="66" spans="1:9" ht="20.100000000000001" customHeight="1">
      <c r="A66" s="28">
        <v>3</v>
      </c>
      <c r="B66" s="156" t="s">
        <v>141</v>
      </c>
      <c r="C66" s="20" t="s">
        <v>142</v>
      </c>
      <c r="D66" s="28" t="s">
        <v>126</v>
      </c>
      <c r="E66" s="25">
        <v>25523.45</v>
      </c>
      <c r="F66" s="25"/>
      <c r="G66" s="25"/>
      <c r="H66" s="25">
        <f t="shared" si="0"/>
        <v>0</v>
      </c>
      <c r="I66" s="180"/>
    </row>
    <row r="67" spans="1:9" ht="20.100000000000001" customHeight="1">
      <c r="A67" s="28">
        <v>4</v>
      </c>
      <c r="B67" s="157" t="s">
        <v>143</v>
      </c>
      <c r="C67" s="112" t="s">
        <v>142</v>
      </c>
      <c r="D67" s="181" t="s">
        <v>64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80"/>
    </row>
    <row r="68" spans="1:9" ht="20.100000000000001" customHeight="1">
      <c r="A68" s="28">
        <v>5</v>
      </c>
      <c r="B68" s="158" t="s">
        <v>144</v>
      </c>
      <c r="C68" s="112" t="s">
        <v>121</v>
      </c>
      <c r="D68" s="181" t="s">
        <v>56</v>
      </c>
      <c r="E68" s="25">
        <v>27611.23</v>
      </c>
      <c r="F68" s="23"/>
      <c r="G68" s="23"/>
      <c r="H68" s="25">
        <f t="shared" si="0"/>
        <v>0</v>
      </c>
      <c r="I68" s="180"/>
    </row>
    <row r="69" spans="1:9" ht="20.100000000000001" customHeight="1">
      <c r="A69" s="28">
        <v>6</v>
      </c>
      <c r="B69" s="156" t="s">
        <v>145</v>
      </c>
      <c r="C69" s="20" t="s">
        <v>128</v>
      </c>
      <c r="D69" s="28" t="s">
        <v>146</v>
      </c>
      <c r="E69" s="25">
        <f>20769.92</f>
        <v>20769.919999999998</v>
      </c>
      <c r="F69" s="23"/>
      <c r="G69" s="23"/>
      <c r="H69" s="25">
        <f t="shared" si="0"/>
        <v>0</v>
      </c>
      <c r="I69" s="180"/>
    </row>
    <row r="70" spans="1:9" ht="20.100000000000001" customHeight="1">
      <c r="A70" s="28">
        <v>7</v>
      </c>
      <c r="B70" s="156" t="s">
        <v>147</v>
      </c>
      <c r="C70" s="112" t="s">
        <v>148</v>
      </c>
      <c r="D70" s="181" t="s">
        <v>70</v>
      </c>
      <c r="E70" s="25">
        <f>22837.82</f>
        <v>22837.82</v>
      </c>
      <c r="F70" s="23">
        <f>0.025*E70</f>
        <v>570.94550000000004</v>
      </c>
      <c r="G70" s="23">
        <f>'[4]April 2022'!$H$41</f>
        <v>538.02200000000005</v>
      </c>
      <c r="H70" s="25">
        <f t="shared" si="0"/>
        <v>32.92349999999999</v>
      </c>
      <c r="I70" s="180"/>
    </row>
    <row r="71" spans="1:9" ht="20.100000000000001" customHeight="1">
      <c r="A71" s="28">
        <v>8</v>
      </c>
      <c r="B71" s="156" t="s">
        <v>149</v>
      </c>
      <c r="C71" s="112" t="s">
        <v>148</v>
      </c>
      <c r="D71" s="181" t="s">
        <v>150</v>
      </c>
      <c r="E71" s="258">
        <v>20749</v>
      </c>
      <c r="F71" s="23"/>
      <c r="G71" s="23"/>
      <c r="H71" s="25">
        <f t="shared" si="0"/>
        <v>0</v>
      </c>
      <c r="I71" s="180"/>
    </row>
    <row r="72" spans="1:9" ht="20.100000000000001" customHeight="1">
      <c r="A72" s="28">
        <v>9</v>
      </c>
      <c r="B72" s="156" t="s">
        <v>151</v>
      </c>
      <c r="C72" s="112" t="s">
        <v>148</v>
      </c>
      <c r="D72" s="181" t="s">
        <v>150</v>
      </c>
      <c r="E72" s="258">
        <v>20749</v>
      </c>
      <c r="F72" s="23"/>
      <c r="G72" s="23"/>
      <c r="H72" s="25">
        <f t="shared" ref="H72:H135" si="6">F72-G72</f>
        <v>0</v>
      </c>
      <c r="I72" s="180"/>
    </row>
    <row r="73" spans="1:9" ht="20.100000000000001" customHeight="1">
      <c r="A73" s="28">
        <v>10</v>
      </c>
      <c r="B73" s="156" t="s">
        <v>152</v>
      </c>
      <c r="C73" s="20" t="s">
        <v>153</v>
      </c>
      <c r="D73" s="28" t="s">
        <v>73</v>
      </c>
      <c r="E73" s="25">
        <v>21520.880000000001</v>
      </c>
      <c r="F73" s="23"/>
      <c r="G73" s="23"/>
      <c r="H73" s="25">
        <f t="shared" si="6"/>
        <v>0</v>
      </c>
      <c r="I73" s="180"/>
    </row>
    <row r="74" spans="1:9" ht="20.100000000000001" customHeight="1">
      <c r="A74" s="28">
        <v>11</v>
      </c>
      <c r="B74" s="156" t="s">
        <v>154</v>
      </c>
      <c r="C74" s="112" t="s">
        <v>128</v>
      </c>
      <c r="D74" s="28" t="s">
        <v>155</v>
      </c>
      <c r="E74" s="25">
        <v>17784.099999999999</v>
      </c>
      <c r="F74" s="23"/>
      <c r="G74" s="23"/>
      <c r="H74" s="25">
        <f t="shared" si="6"/>
        <v>0</v>
      </c>
      <c r="I74" s="180"/>
    </row>
    <row r="75" spans="1:9" ht="20.100000000000001" customHeight="1">
      <c r="A75" s="28">
        <v>12</v>
      </c>
      <c r="B75" s="156" t="s">
        <v>156</v>
      </c>
      <c r="C75" s="112" t="s">
        <v>157</v>
      </c>
      <c r="D75" s="28" t="s">
        <v>81</v>
      </c>
      <c r="E75" s="25">
        <f>15188.67</f>
        <v>15188.67</v>
      </c>
      <c r="F75" s="23"/>
      <c r="G75" s="23"/>
      <c r="H75" s="25">
        <f t="shared" si="6"/>
        <v>0</v>
      </c>
      <c r="I75" s="180"/>
    </row>
    <row r="76" spans="1:9" ht="20.100000000000001" customHeight="1">
      <c r="A76" s="28">
        <v>13</v>
      </c>
      <c r="B76" s="158" t="s">
        <v>158</v>
      </c>
      <c r="C76" s="112" t="s">
        <v>157</v>
      </c>
      <c r="D76" s="28" t="s">
        <v>97</v>
      </c>
      <c r="E76" s="25">
        <f>12732</f>
        <v>12732</v>
      </c>
      <c r="F76" s="23"/>
      <c r="G76" s="23"/>
      <c r="H76" s="25">
        <f t="shared" si="6"/>
        <v>0</v>
      </c>
      <c r="I76" s="180"/>
    </row>
    <row r="77" spans="1:9" ht="20.100000000000001" customHeight="1">
      <c r="A77" s="28"/>
      <c r="B77" s="159" t="s">
        <v>100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80"/>
    </row>
    <row r="78" spans="1:9" ht="20.100000000000001" customHeight="1">
      <c r="A78" s="28"/>
      <c r="B78" s="123"/>
      <c r="C78" s="29"/>
      <c r="D78" s="29"/>
      <c r="E78" s="30"/>
      <c r="F78" s="30"/>
      <c r="G78" s="30"/>
      <c r="H78" s="25">
        <f t="shared" si="6"/>
        <v>0</v>
      </c>
      <c r="I78" s="180"/>
    </row>
    <row r="79" spans="1:9" ht="20.100000000000001" customHeight="1">
      <c r="A79" s="28"/>
      <c r="B79" s="159" t="s">
        <v>159</v>
      </c>
      <c r="C79" s="29"/>
      <c r="D79" s="29"/>
      <c r="E79" s="30"/>
      <c r="F79" s="30"/>
      <c r="G79" s="30"/>
      <c r="H79" s="25">
        <f t="shared" si="6"/>
        <v>0</v>
      </c>
      <c r="I79" s="180"/>
    </row>
    <row r="80" spans="1:9" ht="20.100000000000001" customHeight="1">
      <c r="A80" s="28">
        <v>1</v>
      </c>
      <c r="B80" s="156" t="s">
        <v>160</v>
      </c>
      <c r="C80" s="20" t="s">
        <v>161</v>
      </c>
      <c r="D80" s="28" t="s">
        <v>104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80"/>
    </row>
    <row r="81" spans="1:9" ht="20.100000000000001" customHeight="1">
      <c r="A81" s="28">
        <v>2</v>
      </c>
      <c r="B81" s="158" t="s">
        <v>162</v>
      </c>
      <c r="C81" s="20" t="s">
        <v>163</v>
      </c>
      <c r="D81" s="181" t="s">
        <v>140</v>
      </c>
      <c r="E81" s="259">
        <v>31018.84</v>
      </c>
      <c r="F81" s="23">
        <v>0</v>
      </c>
      <c r="G81" s="23">
        <v>0</v>
      </c>
      <c r="H81" s="25">
        <f t="shared" si="6"/>
        <v>0</v>
      </c>
      <c r="I81" s="180"/>
    </row>
    <row r="82" spans="1:9" ht="20.100000000000001" customHeight="1">
      <c r="A82" s="28">
        <v>3</v>
      </c>
      <c r="B82" s="158" t="s">
        <v>164</v>
      </c>
      <c r="C82" s="20" t="s">
        <v>165</v>
      </c>
      <c r="D82" s="181" t="s">
        <v>140</v>
      </c>
      <c r="E82" s="259">
        <v>31018.84</v>
      </c>
      <c r="F82" s="23">
        <v>0</v>
      </c>
      <c r="G82" s="23">
        <v>0</v>
      </c>
      <c r="H82" s="25">
        <f t="shared" si="6"/>
        <v>0</v>
      </c>
      <c r="I82" s="180"/>
    </row>
    <row r="83" spans="1:9" ht="20.100000000000001" customHeight="1">
      <c r="A83" s="28">
        <v>4</v>
      </c>
      <c r="B83" s="156" t="s">
        <v>166</v>
      </c>
      <c r="C83" s="20" t="s">
        <v>167</v>
      </c>
      <c r="D83" s="181" t="s">
        <v>126</v>
      </c>
      <c r="E83" s="25">
        <v>25523.45</v>
      </c>
      <c r="F83" s="23">
        <f>0.025*E83</f>
        <v>638.08625000000006</v>
      </c>
      <c r="G83" s="23">
        <f>'[4]April 2022'!$H$38</f>
        <v>618.53150000000005</v>
      </c>
      <c r="H83" s="25">
        <f t="shared" si="6"/>
        <v>19.554750000000013</v>
      </c>
      <c r="I83" s="180"/>
    </row>
    <row r="84" spans="1:9" ht="20.100000000000001" customHeight="1">
      <c r="A84" s="28">
        <v>5</v>
      </c>
      <c r="B84" s="156" t="s">
        <v>168</v>
      </c>
      <c r="C84" s="20" t="s">
        <v>169</v>
      </c>
      <c r="D84" s="28" t="s">
        <v>155</v>
      </c>
      <c r="E84" s="25">
        <v>17784.099999999999</v>
      </c>
      <c r="F84" s="23"/>
      <c r="G84" s="23"/>
      <c r="H84" s="25">
        <f t="shared" si="6"/>
        <v>0</v>
      </c>
      <c r="I84" s="180"/>
    </row>
    <row r="85" spans="1:9" ht="20.100000000000001" customHeight="1">
      <c r="A85" s="28"/>
      <c r="B85" s="159" t="s">
        <v>100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80"/>
    </row>
    <row r="86" spans="1:9" ht="20.100000000000001" customHeight="1">
      <c r="A86" s="28"/>
      <c r="B86" s="159"/>
      <c r="C86" s="29"/>
      <c r="D86" s="29"/>
      <c r="E86" s="30"/>
      <c r="F86" s="182"/>
      <c r="G86" s="182"/>
      <c r="H86" s="25">
        <f t="shared" si="6"/>
        <v>0</v>
      </c>
      <c r="I86" s="180"/>
    </row>
    <row r="87" spans="1:9" ht="20.100000000000001" customHeight="1">
      <c r="A87" s="28"/>
      <c r="B87" s="159" t="s">
        <v>170</v>
      </c>
      <c r="C87" s="186"/>
      <c r="D87" s="29"/>
      <c r="E87" s="30"/>
      <c r="F87" s="182"/>
      <c r="G87" s="182"/>
      <c r="H87" s="25">
        <f t="shared" si="6"/>
        <v>0</v>
      </c>
      <c r="I87" s="180"/>
    </row>
    <row r="88" spans="1:9" ht="23.25" customHeight="1">
      <c r="A88" s="28">
        <v>1</v>
      </c>
      <c r="B88" s="156" t="s">
        <v>171</v>
      </c>
      <c r="C88" s="20" t="s">
        <v>172</v>
      </c>
      <c r="D88" s="28" t="s">
        <v>33</v>
      </c>
      <c r="E88" s="25">
        <v>42653.17</v>
      </c>
      <c r="F88" s="23"/>
      <c r="G88" s="23"/>
      <c r="H88" s="25">
        <f t="shared" si="6"/>
        <v>0</v>
      </c>
      <c r="I88" s="180"/>
    </row>
    <row r="89" spans="1:9" ht="20.100000000000001" customHeight="1">
      <c r="A89" s="28">
        <v>2</v>
      </c>
      <c r="B89" s="156" t="s">
        <v>173</v>
      </c>
      <c r="C89" s="20" t="s">
        <v>114</v>
      </c>
      <c r="D89" s="28" t="s">
        <v>50</v>
      </c>
      <c r="E89" s="25">
        <v>33507.5</v>
      </c>
      <c r="F89" s="23"/>
      <c r="G89" s="23"/>
      <c r="H89" s="25">
        <f t="shared" si="6"/>
        <v>0</v>
      </c>
      <c r="I89" s="180"/>
    </row>
    <row r="90" spans="1:9" ht="20.100000000000001" customHeight="1">
      <c r="A90" s="28">
        <v>3</v>
      </c>
      <c r="B90" s="156" t="s">
        <v>174</v>
      </c>
      <c r="C90" s="20" t="s">
        <v>114</v>
      </c>
      <c r="D90" s="28" t="s">
        <v>50</v>
      </c>
      <c r="E90" s="25">
        <v>33507.5</v>
      </c>
      <c r="F90" s="23">
        <f>0.025*E90</f>
        <v>837.6875</v>
      </c>
      <c r="G90" s="23">
        <f>'[4]April 2022'!$H$37</f>
        <v>837.6875</v>
      </c>
      <c r="H90" s="25">
        <f t="shared" si="6"/>
        <v>0</v>
      </c>
      <c r="I90" s="180"/>
    </row>
    <row r="91" spans="1:9" ht="20.100000000000001" customHeight="1">
      <c r="A91" s="28">
        <v>4</v>
      </c>
      <c r="B91" s="158" t="s">
        <v>175</v>
      </c>
      <c r="C91" s="20" t="s">
        <v>121</v>
      </c>
      <c r="D91" s="28" t="s">
        <v>176</v>
      </c>
      <c r="E91" s="25">
        <f>28489.81</f>
        <v>28489.81</v>
      </c>
      <c r="F91" s="23">
        <f>0.025*E91</f>
        <v>712.24525000000006</v>
      </c>
      <c r="G91" s="23">
        <f>'[4]April 2022'!$H$44</f>
        <v>690.28075000000001</v>
      </c>
      <c r="H91" s="25">
        <f t="shared" si="6"/>
        <v>21.964500000000044</v>
      </c>
      <c r="I91" s="180"/>
    </row>
    <row r="92" spans="1:9" ht="20.100000000000001" customHeight="1">
      <c r="A92" s="28">
        <v>5</v>
      </c>
      <c r="B92" s="156" t="s">
        <v>177</v>
      </c>
      <c r="C92" s="20" t="s">
        <v>119</v>
      </c>
      <c r="D92" s="28" t="s">
        <v>56</v>
      </c>
      <c r="E92" s="25">
        <v>27611.23</v>
      </c>
      <c r="F92" s="23"/>
      <c r="G92" s="23"/>
      <c r="H92" s="25">
        <f t="shared" si="6"/>
        <v>0</v>
      </c>
      <c r="I92" s="180"/>
    </row>
    <row r="93" spans="1:9" ht="21.6" customHeight="1">
      <c r="A93" s="28">
        <v>6</v>
      </c>
      <c r="B93" s="156" t="s">
        <v>178</v>
      </c>
      <c r="C93" s="20" t="s">
        <v>125</v>
      </c>
      <c r="D93" s="181" t="s">
        <v>126</v>
      </c>
      <c r="E93" s="25">
        <v>25523.45</v>
      </c>
      <c r="F93" s="23"/>
      <c r="G93" s="23"/>
      <c r="H93" s="25">
        <f t="shared" si="6"/>
        <v>0</v>
      </c>
      <c r="I93" s="180"/>
    </row>
    <row r="94" spans="1:9" ht="21.6" customHeight="1">
      <c r="A94" s="28">
        <v>7</v>
      </c>
      <c r="B94" s="156" t="s">
        <v>179</v>
      </c>
      <c r="C94" s="161" t="s">
        <v>142</v>
      </c>
      <c r="D94" s="181" t="s">
        <v>64</v>
      </c>
      <c r="E94" s="25">
        <v>24741.26</v>
      </c>
      <c r="F94" s="23"/>
      <c r="G94" s="23"/>
      <c r="H94" s="25">
        <f t="shared" si="6"/>
        <v>0</v>
      </c>
      <c r="I94" s="180"/>
    </row>
    <row r="95" spans="1:9" ht="21.6" customHeight="1">
      <c r="A95" s="28">
        <v>8</v>
      </c>
      <c r="B95" s="156" t="s">
        <v>180</v>
      </c>
      <c r="C95" s="161" t="s">
        <v>142</v>
      </c>
      <c r="D95" s="181" t="s">
        <v>64</v>
      </c>
      <c r="E95" s="25">
        <v>24741.26</v>
      </c>
      <c r="F95" s="23"/>
      <c r="G95" s="23"/>
      <c r="H95" s="25">
        <f t="shared" si="6"/>
        <v>0</v>
      </c>
      <c r="I95" s="180"/>
    </row>
    <row r="96" spans="1:9" ht="21.6" customHeight="1">
      <c r="A96" s="28">
        <v>9</v>
      </c>
      <c r="B96" s="156" t="s">
        <v>181</v>
      </c>
      <c r="C96" s="112" t="s">
        <v>148</v>
      </c>
      <c r="D96" s="181" t="s">
        <v>150</v>
      </c>
      <c r="E96" s="258">
        <f>20749</f>
        <v>20749</v>
      </c>
      <c r="F96" s="23"/>
      <c r="G96" s="23"/>
      <c r="H96" s="25">
        <f t="shared" si="6"/>
        <v>0</v>
      </c>
      <c r="I96" s="180"/>
    </row>
    <row r="97" spans="1:9" ht="21.6" customHeight="1">
      <c r="A97" s="28">
        <v>10</v>
      </c>
      <c r="B97" s="156" t="s">
        <v>182</v>
      </c>
      <c r="C97" s="20" t="s">
        <v>183</v>
      </c>
      <c r="D97" s="28" t="s">
        <v>184</v>
      </c>
      <c r="E97" s="258">
        <v>0</v>
      </c>
      <c r="F97" s="23"/>
      <c r="G97" s="23"/>
      <c r="H97" s="25">
        <f t="shared" si="6"/>
        <v>0</v>
      </c>
      <c r="I97" s="180"/>
    </row>
    <row r="98" spans="1:9" ht="21.6" customHeight="1">
      <c r="A98" s="28">
        <v>11</v>
      </c>
      <c r="B98" s="156" t="s">
        <v>185</v>
      </c>
      <c r="C98" s="112" t="s">
        <v>186</v>
      </c>
      <c r="D98" s="181" t="s">
        <v>97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80"/>
    </row>
    <row r="99" spans="1:9" ht="20.100000000000001" customHeight="1">
      <c r="A99" s="28"/>
      <c r="B99" s="159" t="s">
        <v>100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80"/>
    </row>
    <row r="100" spans="1:9" ht="20.100000000000001" customHeight="1">
      <c r="A100" s="28"/>
      <c r="B100" s="123"/>
      <c r="C100" s="29"/>
      <c r="D100" s="29"/>
      <c r="E100" s="30"/>
      <c r="F100" s="30"/>
      <c r="G100" s="30"/>
      <c r="H100" s="25">
        <f t="shared" si="6"/>
        <v>0</v>
      </c>
      <c r="I100" s="180"/>
    </row>
    <row r="101" spans="1:9" ht="20.100000000000001" customHeight="1">
      <c r="A101" s="28"/>
      <c r="B101" s="159" t="s">
        <v>187</v>
      </c>
      <c r="C101" s="29"/>
      <c r="D101" s="29"/>
      <c r="E101" s="30"/>
      <c r="F101" s="30"/>
      <c r="G101" s="30"/>
      <c r="H101" s="25">
        <f t="shared" si="6"/>
        <v>0</v>
      </c>
      <c r="I101" s="180"/>
    </row>
    <row r="102" spans="1:9" ht="20.100000000000001" customHeight="1">
      <c r="A102" s="28">
        <v>1</v>
      </c>
      <c r="B102" s="157" t="s">
        <v>188</v>
      </c>
      <c r="C102" s="28" t="s">
        <v>189</v>
      </c>
      <c r="D102" s="181" t="s">
        <v>41</v>
      </c>
      <c r="E102" s="258">
        <v>41157.69</v>
      </c>
      <c r="F102" s="23"/>
      <c r="G102" s="23"/>
      <c r="H102" s="25">
        <f t="shared" si="6"/>
        <v>0</v>
      </c>
      <c r="I102" s="180"/>
    </row>
    <row r="103" spans="1:9" ht="20.100000000000001" customHeight="1">
      <c r="A103" s="28">
        <v>2</v>
      </c>
      <c r="B103" s="156" t="s">
        <v>190</v>
      </c>
      <c r="C103" s="20" t="s">
        <v>191</v>
      </c>
      <c r="D103" s="28" t="s">
        <v>56</v>
      </c>
      <c r="E103" s="25">
        <v>27611.23</v>
      </c>
      <c r="F103" s="23">
        <f>0.025*E103</f>
        <v>690.28075000000001</v>
      </c>
      <c r="G103" s="23">
        <f>'[4]April 2022'!$H$54</f>
        <v>668.31625000000008</v>
      </c>
      <c r="H103" s="25">
        <f t="shared" si="6"/>
        <v>21.96449999999993</v>
      </c>
      <c r="I103" s="180"/>
    </row>
    <row r="104" spans="1:9" ht="20.100000000000001" customHeight="1">
      <c r="A104" s="28">
        <v>3</v>
      </c>
      <c r="B104" s="157" t="s">
        <v>192</v>
      </c>
      <c r="C104" s="20" t="s">
        <v>193</v>
      </c>
      <c r="D104" s="181" t="s">
        <v>64</v>
      </c>
      <c r="E104" s="25">
        <v>24741.26</v>
      </c>
      <c r="F104" s="23"/>
      <c r="G104" s="23"/>
      <c r="H104" s="25">
        <f t="shared" si="6"/>
        <v>0</v>
      </c>
      <c r="I104" s="180"/>
    </row>
    <row r="105" spans="1:9" ht="20.100000000000001" customHeight="1">
      <c r="A105" s="28">
        <v>4</v>
      </c>
      <c r="B105" s="156" t="s">
        <v>194</v>
      </c>
      <c r="C105" s="20" t="s">
        <v>195</v>
      </c>
      <c r="D105" s="181" t="s">
        <v>73</v>
      </c>
      <c r="E105" s="25">
        <v>21520.880000000001</v>
      </c>
      <c r="F105" s="23"/>
      <c r="G105" s="23"/>
      <c r="H105" s="25">
        <f t="shared" si="6"/>
        <v>0</v>
      </c>
      <c r="I105" s="180"/>
    </row>
    <row r="106" spans="1:9" ht="20.100000000000001" customHeight="1">
      <c r="A106" s="20"/>
      <c r="B106" s="159" t="s">
        <v>100</v>
      </c>
      <c r="C106" s="29">
        <v>4</v>
      </c>
      <c r="D106" s="187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80"/>
    </row>
    <row r="107" spans="1:9" ht="20.100000000000001" customHeight="1">
      <c r="A107" s="20"/>
      <c r="B107" s="123"/>
      <c r="C107" s="29"/>
      <c r="D107" s="187"/>
      <c r="E107" s="30"/>
      <c r="F107" s="30"/>
      <c r="G107" s="30"/>
      <c r="H107" s="25">
        <f t="shared" si="6"/>
        <v>0</v>
      </c>
      <c r="I107" s="180"/>
    </row>
    <row r="108" spans="1:9" ht="20.100000000000001" customHeight="1">
      <c r="A108" s="20"/>
      <c r="B108" s="159" t="s">
        <v>196</v>
      </c>
      <c r="C108" s="20"/>
      <c r="D108" s="20"/>
      <c r="E108" s="20"/>
      <c r="F108" s="20"/>
      <c r="G108" s="20"/>
      <c r="H108" s="25">
        <f t="shared" si="6"/>
        <v>0</v>
      </c>
      <c r="I108" s="180"/>
    </row>
    <row r="109" spans="1:9" ht="20.100000000000001" customHeight="1">
      <c r="A109" s="20">
        <v>1</v>
      </c>
      <c r="B109" s="156" t="s">
        <v>197</v>
      </c>
      <c r="C109" s="161" t="s">
        <v>198</v>
      </c>
      <c r="D109" s="181" t="s">
        <v>104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80"/>
    </row>
    <row r="110" spans="1:9" ht="20.100000000000001" customHeight="1">
      <c r="A110" s="20">
        <v>2</v>
      </c>
      <c r="B110" s="156" t="s">
        <v>199</v>
      </c>
      <c r="C110" s="20" t="s">
        <v>200</v>
      </c>
      <c r="D110" s="24" t="s">
        <v>41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80"/>
    </row>
    <row r="111" spans="1:9" ht="20.100000000000001" customHeight="1">
      <c r="A111" s="20">
        <v>3</v>
      </c>
      <c r="B111" s="156" t="s">
        <v>201</v>
      </c>
      <c r="C111" s="20" t="s">
        <v>202</v>
      </c>
      <c r="D111" s="28" t="s">
        <v>203</v>
      </c>
      <c r="E111" s="25">
        <v>26339.3</v>
      </c>
      <c r="F111" s="23">
        <f>0.025*E111</f>
        <v>658.48250000000007</v>
      </c>
      <c r="G111" s="23">
        <f>'[4]April 2022'!$H$35</f>
        <v>658.48250000000007</v>
      </c>
      <c r="H111" s="25">
        <f t="shared" si="6"/>
        <v>0</v>
      </c>
      <c r="I111" s="180"/>
    </row>
    <row r="112" spans="1:9" ht="20.100000000000001" customHeight="1">
      <c r="A112" s="20">
        <v>4</v>
      </c>
      <c r="B112" s="156" t="s">
        <v>204</v>
      </c>
      <c r="C112" s="20" t="s">
        <v>202</v>
      </c>
      <c r="D112" s="28" t="s">
        <v>203</v>
      </c>
      <c r="E112" s="25">
        <v>26339.3</v>
      </c>
      <c r="F112" s="23"/>
      <c r="G112" s="23"/>
      <c r="H112" s="25">
        <f t="shared" si="6"/>
        <v>0</v>
      </c>
      <c r="I112" s="180"/>
    </row>
    <row r="113" spans="1:9" ht="20.100000000000001" customHeight="1">
      <c r="A113" s="20">
        <v>5</v>
      </c>
      <c r="B113" s="156" t="s">
        <v>205</v>
      </c>
      <c r="C113" s="20" t="s">
        <v>206</v>
      </c>
      <c r="D113" s="181" t="s">
        <v>207</v>
      </c>
      <c r="E113" s="179">
        <f>13872.4</f>
        <v>13872.4</v>
      </c>
      <c r="F113" s="23"/>
      <c r="G113" s="23"/>
      <c r="H113" s="25">
        <f t="shared" si="6"/>
        <v>0</v>
      </c>
      <c r="I113" s="180"/>
    </row>
    <row r="114" spans="1:9" ht="20.100000000000001" customHeight="1">
      <c r="A114" s="20">
        <v>6</v>
      </c>
      <c r="B114" s="157" t="s">
        <v>208</v>
      </c>
      <c r="C114" s="20" t="s">
        <v>206</v>
      </c>
      <c r="D114" s="28" t="s">
        <v>90</v>
      </c>
      <c r="E114" s="25">
        <v>13492.21</v>
      </c>
      <c r="F114" s="23"/>
      <c r="G114" s="23"/>
      <c r="H114" s="25">
        <f t="shared" si="6"/>
        <v>0</v>
      </c>
      <c r="I114" s="180"/>
    </row>
    <row r="115" spans="1:9" ht="20.100000000000001" customHeight="1">
      <c r="A115" s="20">
        <v>7</v>
      </c>
      <c r="B115" s="157" t="s">
        <v>209</v>
      </c>
      <c r="C115" s="20" t="s">
        <v>206</v>
      </c>
      <c r="D115" s="181" t="s">
        <v>97</v>
      </c>
      <c r="E115" s="179">
        <f>12732</f>
        <v>12732</v>
      </c>
      <c r="F115" s="23"/>
      <c r="G115" s="23"/>
      <c r="H115" s="25">
        <f t="shared" si="6"/>
        <v>0</v>
      </c>
      <c r="I115" s="180"/>
    </row>
    <row r="116" spans="1:9" ht="20.100000000000001" customHeight="1">
      <c r="A116" s="20"/>
      <c r="B116" s="159" t="s">
        <v>100</v>
      </c>
      <c r="C116" s="29">
        <v>7</v>
      </c>
      <c r="D116" s="20"/>
      <c r="E116" s="188">
        <f>SUM(E109:E115)</f>
        <v>215672.91999999998</v>
      </c>
      <c r="F116" s="188">
        <f t="shared" ref="F116:G116" si="11">SUM(F109:F115)</f>
        <v>1687.4247500000001</v>
      </c>
      <c r="G116" s="188">
        <f t="shared" si="11"/>
        <v>1687.4247500000001</v>
      </c>
      <c r="H116" s="25">
        <f t="shared" si="6"/>
        <v>0</v>
      </c>
      <c r="I116" s="180"/>
    </row>
    <row r="117" spans="1:9" ht="20.100000000000001" customHeight="1">
      <c r="A117" s="20"/>
      <c r="B117" s="123"/>
      <c r="C117" s="28"/>
      <c r="D117" s="20"/>
      <c r="E117" s="189"/>
      <c r="F117" s="189"/>
      <c r="G117" s="189"/>
      <c r="H117" s="25">
        <f t="shared" si="6"/>
        <v>0</v>
      </c>
      <c r="I117" s="180"/>
    </row>
    <row r="118" spans="1:9" ht="20.100000000000001" customHeight="1">
      <c r="A118" s="20"/>
      <c r="B118" s="159" t="s">
        <v>210</v>
      </c>
      <c r="C118" s="29"/>
      <c r="D118" s="29"/>
      <c r="E118" s="30"/>
      <c r="F118" s="182"/>
      <c r="G118" s="182"/>
      <c r="H118" s="25">
        <f t="shared" si="6"/>
        <v>0</v>
      </c>
      <c r="I118" s="180"/>
    </row>
    <row r="119" spans="1:9" ht="20.100000000000001" customHeight="1">
      <c r="A119" s="20">
        <v>1</v>
      </c>
      <c r="B119" s="156" t="s">
        <v>211</v>
      </c>
      <c r="C119" s="161" t="s">
        <v>212</v>
      </c>
      <c r="D119" s="181" t="s">
        <v>104</v>
      </c>
      <c r="E119" s="25">
        <v>81740.02</v>
      </c>
      <c r="F119" s="23">
        <f>0.025*E119</f>
        <v>2043.5005000000001</v>
      </c>
      <c r="G119" s="23">
        <f>'[4]April 2022'!$H$21</f>
        <v>2043.5005000000001</v>
      </c>
      <c r="H119" s="25">
        <f t="shared" si="6"/>
        <v>0</v>
      </c>
      <c r="I119" s="180"/>
    </row>
    <row r="120" spans="1:9" ht="20.100000000000001" customHeight="1">
      <c r="A120" s="20" t="s">
        <v>213</v>
      </c>
      <c r="B120" s="156" t="s">
        <v>214</v>
      </c>
      <c r="C120" s="161" t="s">
        <v>215</v>
      </c>
      <c r="D120" s="181" t="s">
        <v>33</v>
      </c>
      <c r="E120" s="25">
        <v>42653.17</v>
      </c>
      <c r="F120" s="23"/>
      <c r="G120" s="23"/>
      <c r="H120" s="25">
        <f t="shared" si="6"/>
        <v>0</v>
      </c>
      <c r="I120" s="180"/>
    </row>
    <row r="121" spans="1:9" ht="20.100000000000001" customHeight="1">
      <c r="A121" s="20">
        <v>3</v>
      </c>
      <c r="B121" s="156" t="s">
        <v>216</v>
      </c>
      <c r="C121" s="161" t="s">
        <v>217</v>
      </c>
      <c r="D121" s="181" t="s">
        <v>50</v>
      </c>
      <c r="E121" s="25">
        <v>33507.5</v>
      </c>
      <c r="F121" s="23">
        <f>0.025*E121</f>
        <v>837.6875</v>
      </c>
      <c r="G121" s="23">
        <f>'[4]April 2022'!$H$20</f>
        <v>837.6875</v>
      </c>
      <c r="H121" s="25">
        <f t="shared" si="6"/>
        <v>0</v>
      </c>
      <c r="I121" s="180"/>
    </row>
    <row r="122" spans="1:9" ht="20.100000000000001" customHeight="1">
      <c r="A122" s="20">
        <v>4</v>
      </c>
      <c r="B122" s="158" t="s">
        <v>218</v>
      </c>
      <c r="C122" s="161" t="s">
        <v>217</v>
      </c>
      <c r="D122" s="181" t="s">
        <v>50</v>
      </c>
      <c r="E122" s="25">
        <v>33507.5</v>
      </c>
      <c r="F122" s="23">
        <f>0.025*E122</f>
        <v>837.6875</v>
      </c>
      <c r="G122" s="23">
        <f>'[4]April 2022'!$H$22</f>
        <v>837.6875</v>
      </c>
      <c r="H122" s="25">
        <f t="shared" si="6"/>
        <v>0</v>
      </c>
      <c r="I122" s="180"/>
    </row>
    <row r="123" spans="1:9" ht="20.100000000000001" customHeight="1">
      <c r="A123" s="20">
        <v>5</v>
      </c>
      <c r="B123" s="158" t="s">
        <v>219</v>
      </c>
      <c r="C123" s="161" t="s">
        <v>217</v>
      </c>
      <c r="D123" s="181" t="s">
        <v>220</v>
      </c>
      <c r="E123" s="258">
        <v>31018.84</v>
      </c>
      <c r="F123" s="23"/>
      <c r="G123" s="23"/>
      <c r="H123" s="25">
        <f t="shared" si="6"/>
        <v>0</v>
      </c>
      <c r="I123" s="180"/>
    </row>
    <row r="124" spans="1:9" ht="20.100000000000001" customHeight="1">
      <c r="A124" s="20">
        <v>6</v>
      </c>
      <c r="B124" s="156" t="s">
        <v>221</v>
      </c>
      <c r="C124" s="161" t="s">
        <v>222</v>
      </c>
      <c r="D124" s="181" t="s">
        <v>123</v>
      </c>
      <c r="E124" s="25">
        <v>26732.65</v>
      </c>
      <c r="F124" s="23"/>
      <c r="G124" s="23"/>
      <c r="H124" s="25">
        <f t="shared" si="6"/>
        <v>0</v>
      </c>
      <c r="I124" s="180"/>
    </row>
    <row r="125" spans="1:9" ht="20.100000000000001" customHeight="1">
      <c r="A125" s="20">
        <v>7</v>
      </c>
      <c r="B125" s="156" t="s">
        <v>223</v>
      </c>
      <c r="C125" s="161" t="s">
        <v>224</v>
      </c>
      <c r="D125" s="181" t="s">
        <v>126</v>
      </c>
      <c r="E125" s="25">
        <v>25523.45</v>
      </c>
      <c r="F125" s="23">
        <f>0.025*E125</f>
        <v>638.08625000000006</v>
      </c>
      <c r="G125" s="23">
        <f>'[4]April 2022'!$H$48</f>
        <v>618.53150000000005</v>
      </c>
      <c r="H125" s="25">
        <f t="shared" si="6"/>
        <v>19.554750000000013</v>
      </c>
      <c r="I125" s="180"/>
    </row>
    <row r="126" spans="1:9" ht="20.100000000000001" customHeight="1">
      <c r="A126" s="20">
        <v>8</v>
      </c>
      <c r="B126" s="156" t="s">
        <v>225</v>
      </c>
      <c r="C126" s="161" t="s">
        <v>226</v>
      </c>
      <c r="D126" s="181" t="s">
        <v>126</v>
      </c>
      <c r="E126" s="25">
        <v>25523.45</v>
      </c>
      <c r="F126" s="23">
        <f>0.025*E126</f>
        <v>638.08625000000006</v>
      </c>
      <c r="G126" s="23">
        <f>'[4]April 2022'!$H$24</f>
        <v>618.53150000000005</v>
      </c>
      <c r="H126" s="25">
        <f t="shared" si="6"/>
        <v>19.554750000000013</v>
      </c>
      <c r="I126" s="180"/>
    </row>
    <row r="127" spans="1:9" ht="20.100000000000001" customHeight="1">
      <c r="A127" s="20">
        <v>9</v>
      </c>
      <c r="B127" s="157" t="s">
        <v>227</v>
      </c>
      <c r="C127" s="161" t="s">
        <v>228</v>
      </c>
      <c r="D127" s="181" t="s">
        <v>229</v>
      </c>
      <c r="E127" s="25">
        <v>24741.26</v>
      </c>
      <c r="F127" s="23"/>
      <c r="G127" s="23"/>
      <c r="H127" s="25">
        <f t="shared" si="6"/>
        <v>0</v>
      </c>
      <c r="I127" s="180"/>
    </row>
    <row r="128" spans="1:9" ht="20.100000000000001" customHeight="1">
      <c r="A128" s="20">
        <v>10</v>
      </c>
      <c r="B128" s="156" t="s">
        <v>230</v>
      </c>
      <c r="C128" s="161" t="s">
        <v>231</v>
      </c>
      <c r="D128" s="28" t="s">
        <v>81</v>
      </c>
      <c r="E128" s="25">
        <f>15188.67</f>
        <v>15188.67</v>
      </c>
      <c r="F128" s="23"/>
      <c r="G128" s="23"/>
      <c r="H128" s="25">
        <f t="shared" si="6"/>
        <v>0</v>
      </c>
      <c r="I128" s="180"/>
    </row>
    <row r="129" spans="1:9" ht="20.100000000000001" customHeight="1">
      <c r="A129" s="20">
        <v>11</v>
      </c>
      <c r="B129" s="157" t="s">
        <v>232</v>
      </c>
      <c r="C129" s="161" t="s">
        <v>233</v>
      </c>
      <c r="D129" s="181" t="s">
        <v>97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80"/>
    </row>
    <row r="130" spans="1:9" ht="20.100000000000001" customHeight="1">
      <c r="A130" s="20"/>
      <c r="B130" s="159" t="s">
        <v>100</v>
      </c>
      <c r="C130" s="187" t="s">
        <v>234</v>
      </c>
      <c r="D130" s="181"/>
      <c r="E130" s="30">
        <f t="shared" ref="E130" si="12">SUM(E119:E129)</f>
        <v>352868.51</v>
      </c>
      <c r="F130" s="190">
        <f t="shared" ref="F130:G130" si="13">SUM(F119:F129)</f>
        <v>4995.0480000000007</v>
      </c>
      <c r="G130" s="190">
        <f t="shared" si="13"/>
        <v>4955.9385000000002</v>
      </c>
      <c r="H130" s="30">
        <f t="shared" si="6"/>
        <v>39.10950000000048</v>
      </c>
      <c r="I130" s="180"/>
    </row>
    <row r="131" spans="1:9" ht="20.100000000000001" customHeight="1">
      <c r="A131" s="20"/>
      <c r="B131" s="123"/>
      <c r="C131" s="187"/>
      <c r="D131" s="181"/>
      <c r="E131" s="30"/>
      <c r="F131" s="182"/>
      <c r="G131" s="182"/>
      <c r="H131" s="25">
        <f t="shared" si="6"/>
        <v>0</v>
      </c>
      <c r="I131" s="180"/>
    </row>
    <row r="132" spans="1:9" ht="20.100000000000001" customHeight="1">
      <c r="A132" s="20"/>
      <c r="B132" s="159" t="s">
        <v>235</v>
      </c>
      <c r="C132" s="161"/>
      <c r="D132" s="181"/>
      <c r="E132" s="25"/>
      <c r="F132" s="23"/>
      <c r="G132" s="23"/>
      <c r="H132" s="25">
        <f t="shared" si="6"/>
        <v>0</v>
      </c>
      <c r="I132" s="180"/>
    </row>
    <row r="133" spans="1:9" ht="20.100000000000001" customHeight="1">
      <c r="A133" s="191">
        <v>1</v>
      </c>
      <c r="B133" s="156" t="s">
        <v>236</v>
      </c>
      <c r="C133" s="161" t="s">
        <v>237</v>
      </c>
      <c r="D133" s="181" t="s">
        <v>104</v>
      </c>
      <c r="E133" s="25">
        <v>81740.02</v>
      </c>
      <c r="F133" s="23"/>
      <c r="G133" s="23"/>
      <c r="H133" s="25">
        <f t="shared" si="6"/>
        <v>0</v>
      </c>
      <c r="I133" s="180"/>
    </row>
    <row r="134" spans="1:9" ht="20.100000000000001" customHeight="1">
      <c r="A134" s="191">
        <v>2</v>
      </c>
      <c r="B134" s="156" t="s">
        <v>238</v>
      </c>
      <c r="C134" s="161" t="s">
        <v>239</v>
      </c>
      <c r="D134" s="181" t="s">
        <v>33</v>
      </c>
      <c r="E134" s="25">
        <v>42653.17</v>
      </c>
      <c r="H134" s="25">
        <f t="shared" si="6"/>
        <v>0</v>
      </c>
      <c r="I134" s="180"/>
    </row>
    <row r="135" spans="1:9" ht="20.100000000000001" customHeight="1">
      <c r="A135" s="191">
        <v>3</v>
      </c>
      <c r="B135" s="158" t="s">
        <v>240</v>
      </c>
      <c r="C135" s="20" t="s">
        <v>241</v>
      </c>
      <c r="D135" s="24" t="s">
        <v>41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80"/>
    </row>
    <row r="136" spans="1:9" ht="20.100000000000001" customHeight="1">
      <c r="A136" s="191">
        <v>4</v>
      </c>
      <c r="B136" s="156" t="s">
        <v>242</v>
      </c>
      <c r="C136" s="161" t="s">
        <v>243</v>
      </c>
      <c r="D136" s="181" t="s">
        <v>56</v>
      </c>
      <c r="E136" s="25">
        <v>27611.23</v>
      </c>
      <c r="F136" s="23">
        <f>0.025*E136</f>
        <v>690.28075000000001</v>
      </c>
      <c r="G136" s="23">
        <f>'[4]April 2022'!$H$47</f>
        <v>668.31625000000008</v>
      </c>
      <c r="H136" s="25">
        <f t="shared" ref="H136:H189" si="14">F136-G136</f>
        <v>21.96449999999993</v>
      </c>
      <c r="I136" s="180"/>
    </row>
    <row r="137" spans="1:9" ht="20.100000000000001" customHeight="1">
      <c r="A137" s="191">
        <v>5</v>
      </c>
      <c r="B137" s="156" t="s">
        <v>244</v>
      </c>
      <c r="C137" s="20" t="s">
        <v>245</v>
      </c>
      <c r="D137" s="181" t="s">
        <v>56</v>
      </c>
      <c r="E137" s="25">
        <v>27611.23</v>
      </c>
      <c r="F137" s="23">
        <f>0.025*E137</f>
        <v>690.28075000000001</v>
      </c>
      <c r="G137" s="23">
        <f>'[4]April 2022'!$H$50</f>
        <v>668.31625000000008</v>
      </c>
      <c r="H137" s="25">
        <f t="shared" si="14"/>
        <v>21.96449999999993</v>
      </c>
      <c r="I137" s="180"/>
    </row>
    <row r="138" spans="1:9" ht="20.100000000000001" customHeight="1">
      <c r="A138" s="191">
        <v>6</v>
      </c>
      <c r="B138" s="156" t="s">
        <v>246</v>
      </c>
      <c r="C138" s="20" t="s">
        <v>247</v>
      </c>
      <c r="D138" s="181" t="s">
        <v>126</v>
      </c>
      <c r="E138" s="25">
        <v>25523.45</v>
      </c>
      <c r="F138" s="23"/>
      <c r="G138" s="23"/>
      <c r="H138" s="25">
        <f t="shared" si="14"/>
        <v>0</v>
      </c>
      <c r="I138" s="180"/>
    </row>
    <row r="139" spans="1:9" ht="20.100000000000001" customHeight="1">
      <c r="A139" s="191">
        <v>7</v>
      </c>
      <c r="B139" s="156" t="s">
        <v>248</v>
      </c>
      <c r="C139" s="161" t="s">
        <v>249</v>
      </c>
      <c r="D139" s="181" t="s">
        <v>70</v>
      </c>
      <c r="E139" s="25">
        <f>22837.82</f>
        <v>22837.82</v>
      </c>
      <c r="F139" s="23">
        <f>0.025*E139</f>
        <v>570.94550000000004</v>
      </c>
      <c r="G139" s="23">
        <f>'[4]April 2022'!$H$40</f>
        <v>538.02200000000005</v>
      </c>
      <c r="H139" s="25">
        <f t="shared" si="14"/>
        <v>32.92349999999999</v>
      </c>
      <c r="I139" s="180"/>
    </row>
    <row r="140" spans="1:9" ht="20.100000000000001" customHeight="1">
      <c r="A140" s="191">
        <v>8</v>
      </c>
      <c r="B140" s="156" t="s">
        <v>250</v>
      </c>
      <c r="C140" s="161" t="s">
        <v>249</v>
      </c>
      <c r="D140" s="181" t="s">
        <v>70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80"/>
    </row>
    <row r="141" spans="1:9" ht="20.100000000000001" customHeight="1">
      <c r="A141" s="191">
        <v>9</v>
      </c>
      <c r="B141" s="156" t="s">
        <v>251</v>
      </c>
      <c r="C141" s="20" t="s">
        <v>247</v>
      </c>
      <c r="D141" s="181" t="s">
        <v>70</v>
      </c>
      <c r="E141" s="25">
        <f t="shared" si="15"/>
        <v>22837.82</v>
      </c>
      <c r="F141" s="23"/>
      <c r="G141" s="23"/>
      <c r="H141" s="25">
        <f t="shared" si="14"/>
        <v>0</v>
      </c>
      <c r="I141" s="180"/>
    </row>
    <row r="142" spans="1:9" ht="20.100000000000001" customHeight="1">
      <c r="A142" s="191">
        <v>10</v>
      </c>
      <c r="B142" s="156" t="s">
        <v>252</v>
      </c>
      <c r="C142" s="161" t="s">
        <v>253</v>
      </c>
      <c r="D142" s="181" t="s">
        <v>73</v>
      </c>
      <c r="E142" s="25">
        <v>21520.880000000001</v>
      </c>
      <c r="F142" s="23"/>
      <c r="G142" s="23"/>
      <c r="H142" s="25">
        <f t="shared" si="14"/>
        <v>0</v>
      </c>
      <c r="I142" s="180"/>
    </row>
    <row r="143" spans="1:9" ht="20.100000000000001" customHeight="1">
      <c r="A143" s="191">
        <v>11</v>
      </c>
      <c r="B143" s="156" t="s">
        <v>254</v>
      </c>
      <c r="C143" s="161" t="s">
        <v>255</v>
      </c>
      <c r="D143" s="181" t="s">
        <v>256</v>
      </c>
      <c r="E143" s="179">
        <v>18779.3</v>
      </c>
      <c r="F143" s="23">
        <f>0.025*E143</f>
        <v>469.48250000000002</v>
      </c>
      <c r="G143" s="23">
        <f>'[4]April 2022'!$H$43</f>
        <v>457.041</v>
      </c>
      <c r="H143" s="25">
        <f t="shared" si="14"/>
        <v>12.441500000000019</v>
      </c>
      <c r="I143" s="180"/>
    </row>
    <row r="144" spans="1:9" ht="20.100000000000001" customHeight="1">
      <c r="A144" s="191">
        <v>12</v>
      </c>
      <c r="B144" s="156" t="s">
        <v>257</v>
      </c>
      <c r="C144" s="161" t="s">
        <v>253</v>
      </c>
      <c r="D144" s="181" t="s">
        <v>70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80"/>
    </row>
    <row r="145" spans="1:9" ht="20.100000000000001" customHeight="1">
      <c r="A145" s="191">
        <v>13</v>
      </c>
      <c r="B145" s="156" t="s">
        <v>260</v>
      </c>
      <c r="C145" s="20" t="s">
        <v>261</v>
      </c>
      <c r="D145" s="181" t="s">
        <v>155</v>
      </c>
      <c r="E145" s="179">
        <v>18281.64</v>
      </c>
      <c r="F145" s="23"/>
      <c r="G145" s="23"/>
      <c r="H145" s="25">
        <f t="shared" si="14"/>
        <v>0</v>
      </c>
      <c r="I145" s="180"/>
    </row>
    <row r="146" spans="1:9" ht="20.100000000000001" customHeight="1">
      <c r="A146" s="191">
        <v>14</v>
      </c>
      <c r="B146" s="156" t="s">
        <v>262</v>
      </c>
      <c r="C146" s="20" t="s">
        <v>261</v>
      </c>
      <c r="D146" s="181" t="s">
        <v>78</v>
      </c>
      <c r="E146" s="179">
        <v>18281.64</v>
      </c>
      <c r="F146" s="23">
        <f>0.025*E146</f>
        <v>457.041</v>
      </c>
      <c r="G146" s="23">
        <f>'[4]April 2022'!$H$36</f>
        <v>444.60249999999996</v>
      </c>
      <c r="H146" s="25">
        <f t="shared" si="14"/>
        <v>12.438500000000033</v>
      </c>
      <c r="I146" s="180"/>
    </row>
    <row r="147" spans="1:9" ht="20.100000000000001" customHeight="1">
      <c r="A147" s="191">
        <v>15</v>
      </c>
      <c r="B147" s="156" t="s">
        <v>263</v>
      </c>
      <c r="C147" s="20" t="s">
        <v>261</v>
      </c>
      <c r="D147" s="181" t="s">
        <v>78</v>
      </c>
      <c r="E147" s="179">
        <v>18281.64</v>
      </c>
      <c r="F147" s="23"/>
      <c r="G147" s="23"/>
      <c r="H147" s="25">
        <f t="shared" si="14"/>
        <v>0</v>
      </c>
      <c r="I147" s="180"/>
    </row>
    <row r="148" spans="1:9" ht="20.100000000000001" customHeight="1">
      <c r="A148" s="191">
        <v>16</v>
      </c>
      <c r="B148" s="156" t="s">
        <v>264</v>
      </c>
      <c r="C148" s="161" t="s">
        <v>265</v>
      </c>
      <c r="D148" s="181" t="s">
        <v>184</v>
      </c>
      <c r="E148" s="260">
        <f>17286.33</f>
        <v>17286.330000000002</v>
      </c>
      <c r="F148" s="23"/>
      <c r="G148" s="23"/>
      <c r="H148" s="25">
        <f t="shared" si="14"/>
        <v>0</v>
      </c>
      <c r="I148" s="180"/>
    </row>
    <row r="149" spans="1:9" ht="20.100000000000001" customHeight="1">
      <c r="A149" s="191">
        <v>17</v>
      </c>
      <c r="B149" s="156" t="s">
        <v>266</v>
      </c>
      <c r="C149" s="161" t="s">
        <v>259</v>
      </c>
      <c r="D149" s="28" t="s">
        <v>129</v>
      </c>
      <c r="E149" s="258">
        <f>14736.14</f>
        <v>14736.14</v>
      </c>
      <c r="F149" s="23"/>
      <c r="G149" s="23"/>
      <c r="H149" s="25">
        <f t="shared" si="14"/>
        <v>0</v>
      </c>
      <c r="I149" s="180"/>
    </row>
    <row r="150" spans="1:9" ht="20.100000000000001" customHeight="1">
      <c r="A150" s="191">
        <v>18</v>
      </c>
      <c r="B150" s="156" t="s">
        <v>267</v>
      </c>
      <c r="C150" s="161" t="s">
        <v>268</v>
      </c>
      <c r="D150" s="181" t="s">
        <v>155</v>
      </c>
      <c r="E150" s="179">
        <v>18281.64</v>
      </c>
      <c r="F150" s="23"/>
      <c r="G150" s="23"/>
      <c r="H150" s="25">
        <f t="shared" si="14"/>
        <v>0</v>
      </c>
      <c r="I150" s="180"/>
    </row>
    <row r="151" spans="1:9" ht="20.100000000000001" customHeight="1">
      <c r="A151" s="191">
        <v>19</v>
      </c>
      <c r="B151" s="156" t="s">
        <v>269</v>
      </c>
      <c r="C151" s="161" t="s">
        <v>270</v>
      </c>
      <c r="D151" s="181" t="s">
        <v>81</v>
      </c>
      <c r="E151" s="179">
        <f>15188.67</f>
        <v>15188.67</v>
      </c>
      <c r="F151" s="23"/>
      <c r="G151" s="23"/>
      <c r="H151" s="25">
        <f t="shared" si="14"/>
        <v>0</v>
      </c>
      <c r="I151" s="180"/>
    </row>
    <row r="152" spans="1:9" ht="20.100000000000001" customHeight="1">
      <c r="A152" s="191">
        <v>20</v>
      </c>
      <c r="B152" s="156" t="s">
        <v>271</v>
      </c>
      <c r="C152" s="161" t="s">
        <v>272</v>
      </c>
      <c r="D152" s="181" t="s">
        <v>155</v>
      </c>
      <c r="E152" s="179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80"/>
    </row>
    <row r="153" spans="1:9" ht="20.100000000000001" customHeight="1">
      <c r="A153" s="191">
        <v>21</v>
      </c>
      <c r="B153" s="156" t="s">
        <v>273</v>
      </c>
      <c r="C153" s="161" t="s">
        <v>274</v>
      </c>
      <c r="D153" s="181" t="s">
        <v>81</v>
      </c>
      <c r="E153" s="179">
        <v>15188.67</v>
      </c>
      <c r="F153" s="23"/>
      <c r="G153" s="23"/>
      <c r="H153" s="25">
        <f t="shared" si="14"/>
        <v>0</v>
      </c>
      <c r="I153" s="180"/>
    </row>
    <row r="154" spans="1:9" ht="20.100000000000001" customHeight="1">
      <c r="A154" s="191">
        <v>22</v>
      </c>
      <c r="B154" s="157" t="s">
        <v>275</v>
      </c>
      <c r="C154" s="161" t="s">
        <v>276</v>
      </c>
      <c r="D154" s="181" t="s">
        <v>87</v>
      </c>
      <c r="E154" s="179">
        <v>13492.21</v>
      </c>
      <c r="F154" s="23"/>
      <c r="G154" s="23"/>
      <c r="H154" s="25">
        <f t="shared" si="14"/>
        <v>0</v>
      </c>
      <c r="I154" s="180"/>
    </row>
    <row r="155" spans="1:9" ht="20.100000000000001" customHeight="1">
      <c r="A155" s="191">
        <v>23</v>
      </c>
      <c r="B155" s="157" t="s">
        <v>277</v>
      </c>
      <c r="C155" s="161" t="s">
        <v>278</v>
      </c>
      <c r="D155" s="181" t="s">
        <v>97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80"/>
    </row>
    <row r="156" spans="1:9" ht="20.100000000000001" customHeight="1">
      <c r="A156" s="191">
        <v>24</v>
      </c>
      <c r="B156" s="157" t="s">
        <v>279</v>
      </c>
      <c r="C156" s="161" t="s">
        <v>278</v>
      </c>
      <c r="D156" s="181" t="s">
        <v>107</v>
      </c>
      <c r="E156" s="258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80"/>
    </row>
    <row r="157" spans="1:9" ht="20.100000000000001" customHeight="1">
      <c r="A157" s="191">
        <v>25</v>
      </c>
      <c r="B157" s="157" t="s">
        <v>280</v>
      </c>
      <c r="C157" s="161" t="s">
        <v>276</v>
      </c>
      <c r="D157" s="181" t="s">
        <v>107</v>
      </c>
      <c r="E157" s="258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80"/>
    </row>
    <row r="158" spans="1:9" ht="20.100000000000001" customHeight="1">
      <c r="A158" s="191">
        <v>26</v>
      </c>
      <c r="B158" s="157" t="s">
        <v>281</v>
      </c>
      <c r="C158" s="161" t="s">
        <v>282</v>
      </c>
      <c r="D158" s="181" t="s">
        <v>97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80"/>
    </row>
    <row r="159" spans="1:9" ht="20.100000000000001" customHeight="1">
      <c r="A159" s="191">
        <v>27</v>
      </c>
      <c r="B159" s="157" t="s">
        <v>283</v>
      </c>
      <c r="C159" s="161" t="s">
        <v>284</v>
      </c>
      <c r="D159" s="181" t="s">
        <v>97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80"/>
    </row>
    <row r="160" spans="1:9" ht="20.100000000000001" customHeight="1">
      <c r="A160" s="191">
        <v>28</v>
      </c>
      <c r="B160" s="156" t="s">
        <v>285</v>
      </c>
      <c r="C160" s="161" t="s">
        <v>286</v>
      </c>
      <c r="D160" s="181" t="s">
        <v>287</v>
      </c>
      <c r="E160" s="192">
        <f>10527.6</f>
        <v>10527.6</v>
      </c>
      <c r="F160" s="23">
        <f>0.025*E160</f>
        <v>263.19</v>
      </c>
      <c r="G160" s="23">
        <f>'[4]April 2022'!$H$39</f>
        <v>226.2535</v>
      </c>
      <c r="H160" s="25">
        <f t="shared" si="14"/>
        <v>36.936499999999995</v>
      </c>
      <c r="I160" s="180"/>
    </row>
    <row r="161" spans="1:9" ht="20.100000000000001" customHeight="1">
      <c r="A161" s="191">
        <v>29</v>
      </c>
      <c r="B161" s="156" t="s">
        <v>288</v>
      </c>
      <c r="C161" s="161" t="s">
        <v>286</v>
      </c>
      <c r="D161" s="181" t="s">
        <v>287</v>
      </c>
      <c r="E161" s="192">
        <f t="shared" ref="E161:E165" si="16">10527.6</f>
        <v>10527.6</v>
      </c>
      <c r="F161" s="23"/>
      <c r="G161" s="23"/>
      <c r="H161" s="25">
        <f t="shared" si="14"/>
        <v>0</v>
      </c>
      <c r="I161" s="180"/>
    </row>
    <row r="162" spans="1:9" ht="20.100000000000001" customHeight="1">
      <c r="A162" s="191">
        <v>30</v>
      </c>
      <c r="B162" s="156" t="s">
        <v>289</v>
      </c>
      <c r="C162" s="161" t="s">
        <v>286</v>
      </c>
      <c r="D162" s="181" t="s">
        <v>287</v>
      </c>
      <c r="E162" s="192">
        <f t="shared" si="16"/>
        <v>10527.6</v>
      </c>
      <c r="F162" s="23"/>
      <c r="G162" s="23"/>
      <c r="H162" s="25">
        <f t="shared" si="14"/>
        <v>0</v>
      </c>
      <c r="I162" s="180"/>
    </row>
    <row r="163" spans="1:9" ht="20.100000000000001" customHeight="1">
      <c r="A163" s="191">
        <v>31</v>
      </c>
      <c r="B163" s="156" t="s">
        <v>290</v>
      </c>
      <c r="C163" s="161" t="s">
        <v>286</v>
      </c>
      <c r="D163" s="181" t="s">
        <v>287</v>
      </c>
      <c r="E163" s="192">
        <f t="shared" si="16"/>
        <v>10527.6</v>
      </c>
      <c r="F163" s="23"/>
      <c r="G163" s="23"/>
      <c r="H163" s="25">
        <f t="shared" si="14"/>
        <v>0</v>
      </c>
      <c r="I163" s="180"/>
    </row>
    <row r="164" spans="1:9" ht="20.100000000000001" customHeight="1">
      <c r="A164" s="191">
        <v>32</v>
      </c>
      <c r="B164" s="156" t="s">
        <v>291</v>
      </c>
      <c r="C164" s="161" t="s">
        <v>286</v>
      </c>
      <c r="D164" s="181" t="s">
        <v>287</v>
      </c>
      <c r="E164" s="192">
        <f t="shared" si="16"/>
        <v>10527.6</v>
      </c>
      <c r="F164" s="23">
        <v>263.19</v>
      </c>
      <c r="G164" s="23">
        <f>'[4]April 2022'!$H$51</f>
        <v>226.2535</v>
      </c>
      <c r="H164" s="25">
        <f t="shared" si="14"/>
        <v>36.936499999999995</v>
      </c>
      <c r="I164" s="180"/>
    </row>
    <row r="165" spans="1:9" ht="20.100000000000001" customHeight="1">
      <c r="A165" s="191">
        <v>33</v>
      </c>
      <c r="B165" s="156" t="s">
        <v>292</v>
      </c>
      <c r="C165" s="161" t="s">
        <v>286</v>
      </c>
      <c r="D165" s="181" t="s">
        <v>287</v>
      </c>
      <c r="E165" s="192">
        <f t="shared" si="16"/>
        <v>10527.6</v>
      </c>
      <c r="F165" s="23"/>
      <c r="G165" s="23"/>
      <c r="H165" s="25">
        <f t="shared" si="14"/>
        <v>0</v>
      </c>
      <c r="I165" s="180"/>
    </row>
    <row r="166" spans="1:9" ht="20.100000000000001" customHeight="1">
      <c r="A166" s="191">
        <v>34</v>
      </c>
      <c r="B166" s="156" t="s">
        <v>293</v>
      </c>
      <c r="C166" s="161" t="s">
        <v>286</v>
      </c>
      <c r="D166" s="181" t="s">
        <v>294</v>
      </c>
      <c r="E166" s="25">
        <v>9050.14</v>
      </c>
      <c r="F166" s="23"/>
      <c r="G166" s="23"/>
      <c r="H166" s="25">
        <f t="shared" si="14"/>
        <v>0</v>
      </c>
      <c r="I166" s="180"/>
    </row>
    <row r="167" spans="1:9" ht="20.100000000000001" customHeight="1">
      <c r="A167" s="191">
        <v>35</v>
      </c>
      <c r="B167" s="156" t="s">
        <v>295</v>
      </c>
      <c r="C167" s="161" t="s">
        <v>286</v>
      </c>
      <c r="D167" s="181" t="s">
        <v>294</v>
      </c>
      <c r="E167" s="25">
        <v>9050.14</v>
      </c>
      <c r="F167" s="23"/>
      <c r="G167" s="23"/>
      <c r="H167" s="25">
        <f t="shared" si="14"/>
        <v>0</v>
      </c>
      <c r="I167" s="180"/>
    </row>
    <row r="168" spans="1:9" ht="20.100000000000001" customHeight="1">
      <c r="A168" s="191">
        <v>36</v>
      </c>
      <c r="B168" s="156" t="s">
        <v>296</v>
      </c>
      <c r="C168" s="161" t="s">
        <v>286</v>
      </c>
      <c r="D168" s="181" t="s">
        <v>294</v>
      </c>
      <c r="E168" s="25">
        <v>9050.14</v>
      </c>
      <c r="F168" s="23"/>
      <c r="G168" s="23"/>
      <c r="H168" s="25">
        <f t="shared" si="14"/>
        <v>0</v>
      </c>
      <c r="I168" s="180"/>
    </row>
    <row r="169" spans="1:9" ht="20.100000000000001" customHeight="1">
      <c r="A169" s="191">
        <v>37</v>
      </c>
      <c r="B169" s="158" t="s">
        <v>297</v>
      </c>
      <c r="C169" s="161" t="s">
        <v>286</v>
      </c>
      <c r="D169" s="181" t="s">
        <v>294</v>
      </c>
      <c r="E169" s="25">
        <v>9050.14</v>
      </c>
      <c r="F169" s="23"/>
      <c r="G169" s="23"/>
      <c r="H169" s="25">
        <f t="shared" si="14"/>
        <v>0</v>
      </c>
      <c r="I169" s="180"/>
    </row>
    <row r="170" spans="1:9" ht="20.100000000000001" customHeight="1">
      <c r="A170" s="191">
        <v>38</v>
      </c>
      <c r="B170" s="156" t="s">
        <v>298</v>
      </c>
      <c r="C170" s="161" t="s">
        <v>286</v>
      </c>
      <c r="D170" s="181" t="s">
        <v>294</v>
      </c>
      <c r="E170" s="25">
        <v>9050.14</v>
      </c>
      <c r="F170" s="23"/>
      <c r="G170" s="23"/>
      <c r="H170" s="25">
        <f t="shared" si="14"/>
        <v>0</v>
      </c>
      <c r="I170" s="180"/>
    </row>
    <row r="171" spans="1:9" ht="20.100000000000001" customHeight="1">
      <c r="A171" s="191">
        <v>39</v>
      </c>
      <c r="B171" s="157" t="s">
        <v>299</v>
      </c>
      <c r="C171" s="161" t="s">
        <v>286</v>
      </c>
      <c r="D171" s="181" t="s">
        <v>294</v>
      </c>
      <c r="E171" s="25">
        <v>9050.14</v>
      </c>
      <c r="F171" s="23"/>
      <c r="G171" s="23"/>
      <c r="H171" s="25">
        <f t="shared" si="14"/>
        <v>0</v>
      </c>
      <c r="I171" s="180"/>
    </row>
    <row r="172" spans="1:9" ht="20.100000000000001" customHeight="1">
      <c r="A172" s="191">
        <v>40</v>
      </c>
      <c r="B172" s="157" t="s">
        <v>300</v>
      </c>
      <c r="C172" s="161" t="s">
        <v>286</v>
      </c>
      <c r="D172" s="181" t="s">
        <v>294</v>
      </c>
      <c r="E172" s="25">
        <v>9050.14</v>
      </c>
      <c r="F172" s="23"/>
      <c r="G172" s="23"/>
      <c r="H172" s="25">
        <f t="shared" si="14"/>
        <v>0</v>
      </c>
      <c r="I172" s="180"/>
    </row>
    <row r="173" spans="1:9" ht="20.100000000000001" customHeight="1">
      <c r="A173" s="191">
        <v>41</v>
      </c>
      <c r="B173" s="156" t="s">
        <v>301</v>
      </c>
      <c r="C173" s="161" t="s">
        <v>302</v>
      </c>
      <c r="D173" s="181" t="s">
        <v>303</v>
      </c>
      <c r="E173" s="25">
        <v>5428.12</v>
      </c>
      <c r="F173" s="23"/>
      <c r="G173" s="23"/>
      <c r="H173" s="25">
        <f t="shared" si="14"/>
        <v>0</v>
      </c>
      <c r="I173" s="180"/>
    </row>
    <row r="174" spans="1:9" ht="20.100000000000001" customHeight="1">
      <c r="A174" s="191">
        <v>42</v>
      </c>
      <c r="B174" s="156" t="s">
        <v>304</v>
      </c>
      <c r="C174" s="161" t="s">
        <v>302</v>
      </c>
      <c r="D174" s="181" t="s">
        <v>303</v>
      </c>
      <c r="E174" s="25">
        <v>5428.12</v>
      </c>
      <c r="F174" s="23"/>
      <c r="G174" s="23"/>
      <c r="H174" s="25">
        <f t="shared" si="14"/>
        <v>0</v>
      </c>
      <c r="I174" s="180"/>
    </row>
    <row r="175" spans="1:9" ht="20.100000000000001" customHeight="1">
      <c r="A175" s="191">
        <v>43</v>
      </c>
      <c r="B175" s="157" t="s">
        <v>305</v>
      </c>
      <c r="C175" s="161" t="s">
        <v>302</v>
      </c>
      <c r="D175" s="181" t="s">
        <v>306</v>
      </c>
      <c r="E175" s="25">
        <f>5598.92</f>
        <v>5598.92</v>
      </c>
      <c r="F175" s="23"/>
      <c r="G175" s="23"/>
      <c r="H175" s="25">
        <f t="shared" si="14"/>
        <v>0</v>
      </c>
      <c r="I175" s="180"/>
    </row>
    <row r="176" spans="1:9" ht="20.100000000000001" customHeight="1">
      <c r="A176" s="191">
        <v>44</v>
      </c>
      <c r="B176" s="156" t="s">
        <v>307</v>
      </c>
      <c r="C176" s="161" t="s">
        <v>302</v>
      </c>
      <c r="D176" s="181" t="s">
        <v>308</v>
      </c>
      <c r="E176" s="25">
        <v>5257.44</v>
      </c>
      <c r="F176" s="23"/>
      <c r="G176" s="23"/>
      <c r="H176" s="25">
        <f t="shared" si="14"/>
        <v>0</v>
      </c>
      <c r="I176" s="180"/>
    </row>
    <row r="177" spans="1:9" ht="20.100000000000001" customHeight="1">
      <c r="A177" s="191">
        <v>45</v>
      </c>
      <c r="B177" s="156" t="s">
        <v>309</v>
      </c>
      <c r="C177" s="161" t="s">
        <v>310</v>
      </c>
      <c r="D177" s="181" t="s">
        <v>311</v>
      </c>
      <c r="E177" s="25">
        <v>5086.76</v>
      </c>
      <c r="F177" s="23"/>
      <c r="G177" s="23"/>
      <c r="H177" s="25">
        <f t="shared" si="14"/>
        <v>0</v>
      </c>
      <c r="I177" s="180"/>
    </row>
    <row r="178" spans="1:9" ht="20.100000000000001" customHeight="1">
      <c r="A178" s="191">
        <v>46</v>
      </c>
      <c r="B178" s="156" t="s">
        <v>312</v>
      </c>
      <c r="C178" s="161" t="s">
        <v>310</v>
      </c>
      <c r="D178" s="181" t="s">
        <v>311</v>
      </c>
      <c r="E178" s="25">
        <v>5086.76</v>
      </c>
      <c r="F178" s="23"/>
      <c r="G178" s="23"/>
      <c r="H178" s="25">
        <f t="shared" si="14"/>
        <v>0</v>
      </c>
      <c r="I178" s="180"/>
    </row>
    <row r="179" spans="1:9" ht="20.100000000000001" customHeight="1">
      <c r="A179" s="191">
        <v>47</v>
      </c>
      <c r="B179" s="156" t="s">
        <v>313</v>
      </c>
      <c r="C179" s="161" t="s">
        <v>310</v>
      </c>
      <c r="D179" s="181" t="s">
        <v>311</v>
      </c>
      <c r="E179" s="25">
        <v>5086.76</v>
      </c>
      <c r="F179" s="23"/>
      <c r="G179" s="23"/>
      <c r="H179" s="25">
        <f t="shared" si="14"/>
        <v>0</v>
      </c>
      <c r="I179" s="180"/>
    </row>
    <row r="180" spans="1:9" ht="20.100000000000001" customHeight="1">
      <c r="A180" s="191">
        <v>48</v>
      </c>
      <c r="B180" s="156" t="s">
        <v>314</v>
      </c>
      <c r="C180" s="161" t="s">
        <v>310</v>
      </c>
      <c r="D180" s="181" t="s">
        <v>311</v>
      </c>
      <c r="E180" s="25">
        <v>5086.76</v>
      </c>
      <c r="F180" s="23"/>
      <c r="G180" s="23"/>
      <c r="H180" s="25">
        <f t="shared" si="14"/>
        <v>0</v>
      </c>
      <c r="I180" s="180"/>
    </row>
    <row r="181" spans="1:9" ht="20.100000000000001" customHeight="1">
      <c r="A181" s="191">
        <v>49</v>
      </c>
      <c r="B181" s="156" t="s">
        <v>315</v>
      </c>
      <c r="C181" s="161" t="s">
        <v>310</v>
      </c>
      <c r="D181" s="181" t="s">
        <v>311</v>
      </c>
      <c r="E181" s="25">
        <v>5086.76</v>
      </c>
      <c r="F181" s="23"/>
      <c r="G181" s="23"/>
      <c r="H181" s="25">
        <f t="shared" si="14"/>
        <v>0</v>
      </c>
      <c r="I181" s="180"/>
    </row>
    <row r="182" spans="1:9" ht="20.100000000000001" customHeight="1">
      <c r="A182" s="191">
        <v>50</v>
      </c>
      <c r="B182" s="157" t="s">
        <v>316</v>
      </c>
      <c r="C182" s="161" t="s">
        <v>310</v>
      </c>
      <c r="D182" s="181" t="s">
        <v>311</v>
      </c>
      <c r="E182" s="25">
        <v>5086.76</v>
      </c>
      <c r="F182" s="23"/>
      <c r="G182" s="23"/>
      <c r="H182" s="25">
        <f t="shared" si="14"/>
        <v>0</v>
      </c>
      <c r="I182" s="180"/>
    </row>
    <row r="183" spans="1:9" ht="20.100000000000001" customHeight="1">
      <c r="A183" s="191">
        <v>51</v>
      </c>
      <c r="B183" s="157" t="s">
        <v>317</v>
      </c>
      <c r="C183" s="161" t="s">
        <v>310</v>
      </c>
      <c r="D183" s="181" t="s">
        <v>311</v>
      </c>
      <c r="E183" s="25">
        <v>5086.76</v>
      </c>
      <c r="F183" s="23"/>
      <c r="G183" s="23"/>
      <c r="H183" s="25">
        <f t="shared" si="14"/>
        <v>0</v>
      </c>
      <c r="I183" s="180"/>
    </row>
    <row r="184" spans="1:9" ht="20.100000000000001" customHeight="1">
      <c r="A184" s="191">
        <v>52</v>
      </c>
      <c r="B184" s="156" t="s">
        <v>318</v>
      </c>
      <c r="C184" s="161" t="s">
        <v>302</v>
      </c>
      <c r="D184" s="181" t="s">
        <v>311</v>
      </c>
      <c r="E184" s="25">
        <v>5086.76</v>
      </c>
      <c r="F184" s="23"/>
      <c r="G184" s="23"/>
      <c r="H184" s="25">
        <f t="shared" si="14"/>
        <v>0</v>
      </c>
      <c r="I184" s="180"/>
    </row>
    <row r="185" spans="1:9" ht="20.100000000000001" customHeight="1">
      <c r="A185" s="191">
        <v>53</v>
      </c>
      <c r="B185" s="156" t="s">
        <v>319</v>
      </c>
      <c r="C185" s="161" t="s">
        <v>302</v>
      </c>
      <c r="D185" s="181" t="s">
        <v>311</v>
      </c>
      <c r="E185" s="25">
        <v>5086.76</v>
      </c>
      <c r="F185" s="23"/>
      <c r="G185" s="23"/>
      <c r="H185" s="25">
        <f t="shared" si="14"/>
        <v>0</v>
      </c>
      <c r="I185" s="180"/>
    </row>
    <row r="186" spans="1:9" ht="20.100000000000001" customHeight="1">
      <c r="A186" s="191">
        <v>54</v>
      </c>
      <c r="B186" s="157" t="s">
        <v>320</v>
      </c>
      <c r="C186" s="161" t="s">
        <v>310</v>
      </c>
      <c r="D186" s="181" t="s">
        <v>321</v>
      </c>
      <c r="E186" s="25">
        <f>4689.38</f>
        <v>4689.38</v>
      </c>
      <c r="F186" s="23"/>
      <c r="G186" s="23"/>
      <c r="H186" s="25">
        <f t="shared" si="14"/>
        <v>0</v>
      </c>
      <c r="I186" s="180"/>
    </row>
    <row r="187" spans="1:9" ht="20.100000000000001" customHeight="1">
      <c r="A187" s="191">
        <v>55</v>
      </c>
      <c r="B187" s="157" t="s">
        <v>322</v>
      </c>
      <c r="C187" s="161" t="s">
        <v>310</v>
      </c>
      <c r="D187" s="181" t="s">
        <v>323</v>
      </c>
      <c r="E187" s="179">
        <f>4395.43</f>
        <v>4395.43</v>
      </c>
      <c r="F187" s="23"/>
      <c r="G187" s="23"/>
      <c r="H187" s="25">
        <f t="shared" si="14"/>
        <v>0</v>
      </c>
      <c r="I187" s="180"/>
    </row>
    <row r="188" spans="1:9" ht="20.100000000000001" customHeight="1">
      <c r="A188" s="191"/>
      <c r="B188" s="177" t="s">
        <v>100</v>
      </c>
      <c r="C188" s="193" t="s">
        <v>386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80"/>
    </row>
    <row r="189" spans="1:9" ht="20.100000000000001" customHeight="1">
      <c r="A189" s="20"/>
      <c r="B189" s="194" t="s">
        <v>325</v>
      </c>
      <c r="C189" s="195">
        <f>C37+C42+C57+C61+C77+C85+C99+C106+C116+C130+C188+2</f>
        <v>154</v>
      </c>
      <c r="D189" s="196"/>
      <c r="E189" s="197">
        <v>3773721.59</v>
      </c>
      <c r="F189" s="197">
        <f>F37+F42+F57+F61+F77+F85+F99+F106+F116+F130+F188</f>
        <v>23887.071250000001</v>
      </c>
      <c r="G189" s="197">
        <f>G37+G42+G57+G61+G77+G85+G99+G106+G116+G130+G188</f>
        <v>23429.459500000001</v>
      </c>
      <c r="H189" s="30">
        <f t="shared" si="14"/>
        <v>457.61175000000003</v>
      </c>
      <c r="I189" s="180"/>
    </row>
    <row r="190" spans="1:9" ht="20.100000000000001" customHeight="1">
      <c r="B190" s="198"/>
      <c r="D190" s="199"/>
      <c r="E190" s="199"/>
      <c r="F190" s="200"/>
      <c r="G190" s="200"/>
      <c r="H190" s="201"/>
      <c r="I190" s="202"/>
    </row>
    <row r="191" spans="1:9" ht="65.25" customHeight="1">
      <c r="B191" s="198"/>
      <c r="C191" s="199"/>
      <c r="D191" s="199"/>
      <c r="E191" s="199"/>
      <c r="F191" s="200"/>
      <c r="G191" s="200"/>
      <c r="H191" s="20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61" t="s">
        <v>0</v>
      </c>
    </row>
    <row r="2" spans="1:28">
      <c r="A2" s="261" t="s">
        <v>390</v>
      </c>
    </row>
    <row r="3" spans="1:28">
      <c r="A3" s="261" t="s">
        <v>391</v>
      </c>
    </row>
    <row r="4" spans="1:28" ht="90" customHeight="1">
      <c r="A4" s="262" t="s">
        <v>392</v>
      </c>
      <c r="B4" s="262" t="s">
        <v>393</v>
      </c>
      <c r="C4" s="262" t="s">
        <v>394</v>
      </c>
      <c r="D4" s="262" t="s">
        <v>395</v>
      </c>
      <c r="E4" s="262" t="s">
        <v>396</v>
      </c>
      <c r="F4" s="262" t="s">
        <v>397</v>
      </c>
      <c r="G4" s="262" t="s">
        <v>398</v>
      </c>
      <c r="H4" s="262" t="s">
        <v>399</v>
      </c>
      <c r="I4" s="262" t="s">
        <v>400</v>
      </c>
      <c r="J4" s="262"/>
      <c r="K4" s="262"/>
      <c r="L4" s="262"/>
      <c r="M4" s="262" t="s">
        <v>401</v>
      </c>
      <c r="N4" s="262" t="s">
        <v>402</v>
      </c>
      <c r="O4" s="262" t="s">
        <v>403</v>
      </c>
      <c r="P4" s="262" t="s">
        <v>404</v>
      </c>
      <c r="Q4" s="262" t="s">
        <v>405</v>
      </c>
      <c r="R4" s="262" t="s">
        <v>406</v>
      </c>
      <c r="S4" s="262" t="s">
        <v>407</v>
      </c>
      <c r="T4" s="262" t="s">
        <v>408</v>
      </c>
      <c r="U4" s="262" t="s">
        <v>409</v>
      </c>
      <c r="V4" s="262" t="s">
        <v>410</v>
      </c>
      <c r="W4" s="262"/>
      <c r="X4" s="262" t="s">
        <v>411</v>
      </c>
      <c r="Y4" s="262" t="s">
        <v>412</v>
      </c>
      <c r="Z4" s="262" t="s">
        <v>413</v>
      </c>
      <c r="AA4" s="262" t="s">
        <v>414</v>
      </c>
      <c r="AB4" s="262" t="s">
        <v>415</v>
      </c>
    </row>
    <row r="5" spans="1:28">
      <c r="A5">
        <v>1</v>
      </c>
      <c r="B5" s="34" t="s">
        <v>28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31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34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36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39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42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44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46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48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51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54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57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59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61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62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65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68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71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74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258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76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79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82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83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85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88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91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93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95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98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99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102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105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109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111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113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115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116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118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120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122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124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127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130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131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133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416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136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138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141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143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144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145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147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149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151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152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154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156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158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160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162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164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166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168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171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173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174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175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177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178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179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180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181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182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185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188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190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192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194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197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199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201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204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205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208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209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211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214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216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218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219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221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223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225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227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230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232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236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238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240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242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244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246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248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250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251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252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254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257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260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262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263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264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266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267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269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271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273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275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277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279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280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281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283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285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288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289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290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291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292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293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295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296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297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298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299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300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301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304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305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307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309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312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313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314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315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316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317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318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319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320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322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8"/>
      <c r="C1" s="108"/>
      <c r="D1" s="108"/>
      <c r="E1" s="108"/>
      <c r="L1" s="1" t="s">
        <v>417</v>
      </c>
    </row>
    <row r="2" spans="1:12" ht="5.25" customHeight="1">
      <c r="F2" s="43"/>
      <c r="G2" s="43"/>
    </row>
    <row r="3" spans="1:12" ht="20.100000000000001" customHeight="1">
      <c r="B3" s="274" t="s">
        <v>418</v>
      </c>
      <c r="C3" s="274"/>
      <c r="D3" s="274"/>
      <c r="E3" s="44"/>
      <c r="F3" s="46"/>
      <c r="G3" s="46"/>
    </row>
    <row r="4" spans="1:12" ht="2.25" customHeight="1"/>
    <row r="5" spans="1:12" ht="20.100000000000001" customHeight="1">
      <c r="B5" s="44" t="s">
        <v>2</v>
      </c>
      <c r="C5" s="100"/>
      <c r="D5" s="100"/>
      <c r="E5" s="100"/>
      <c r="F5" s="275"/>
      <c r="G5" s="275"/>
    </row>
    <row r="6" spans="1:12" ht="26.45" customHeight="1">
      <c r="A6" s="32"/>
      <c r="B6" s="107"/>
      <c r="C6" s="107" t="s">
        <v>3</v>
      </c>
      <c r="D6" s="107" t="s">
        <v>419</v>
      </c>
      <c r="E6" s="107"/>
      <c r="F6" s="7"/>
      <c r="G6" s="7"/>
    </row>
    <row r="7" spans="1:12" ht="37.15" customHeight="1">
      <c r="A7" s="32"/>
      <c r="B7" s="21"/>
      <c r="C7" s="107"/>
      <c r="D7" s="107" t="s">
        <v>420</v>
      </c>
      <c r="E7" s="49" t="s">
        <v>421</v>
      </c>
      <c r="F7" s="49" t="s">
        <v>422</v>
      </c>
      <c r="G7" s="2" t="s">
        <v>389</v>
      </c>
    </row>
    <row r="8" spans="1:12" ht="20.100000000000001" customHeight="1">
      <c r="A8" s="21" t="s">
        <v>26</v>
      </c>
      <c r="B8" s="138" t="s">
        <v>27</v>
      </c>
      <c r="C8" s="60"/>
      <c r="D8" s="60"/>
      <c r="E8" s="50" t="s">
        <v>25</v>
      </c>
      <c r="F8" s="50" t="s">
        <v>25</v>
      </c>
      <c r="G8" s="50" t="s">
        <v>25</v>
      </c>
    </row>
    <row r="9" spans="1:12" ht="20.100000000000001" customHeight="1">
      <c r="A9" s="3">
        <v>1</v>
      </c>
      <c r="B9" s="127" t="s">
        <v>28</v>
      </c>
      <c r="C9" s="94" t="s">
        <v>29</v>
      </c>
      <c r="D9" s="94" t="s">
        <v>30</v>
      </c>
      <c r="E9" s="144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7" t="s">
        <v>423</v>
      </c>
      <c r="C10" s="94" t="s">
        <v>424</v>
      </c>
      <c r="D10" s="55" t="s">
        <v>104</v>
      </c>
      <c r="E10" s="145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7" t="s">
        <v>31</v>
      </c>
      <c r="C11" s="32" t="s">
        <v>425</v>
      </c>
      <c r="D11" s="3" t="s">
        <v>41</v>
      </c>
      <c r="E11" s="145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8" t="s">
        <v>34</v>
      </c>
      <c r="C12" s="40" t="s">
        <v>35</v>
      </c>
      <c r="D12" s="62" t="s">
        <v>41</v>
      </c>
      <c r="E12" s="146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7" t="s">
        <v>36</v>
      </c>
      <c r="C13" s="94" t="s">
        <v>37</v>
      </c>
      <c r="D13" s="3" t="s">
        <v>426</v>
      </c>
      <c r="E13" s="145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8" t="s">
        <v>39</v>
      </c>
      <c r="C14" s="32" t="s">
        <v>40</v>
      </c>
      <c r="D14" s="55" t="s">
        <v>140</v>
      </c>
      <c r="E14" s="145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8" t="s">
        <v>42</v>
      </c>
      <c r="C15" s="32" t="s">
        <v>427</v>
      </c>
      <c r="D15" s="37" t="s">
        <v>50</v>
      </c>
      <c r="E15" s="145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9" t="s">
        <v>44</v>
      </c>
      <c r="C16" s="112" t="s">
        <v>139</v>
      </c>
      <c r="D16" s="28" t="s">
        <v>50</v>
      </c>
      <c r="E16" s="147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8" t="s">
        <v>46</v>
      </c>
      <c r="C17" s="32" t="s">
        <v>428</v>
      </c>
      <c r="D17" s="3" t="s">
        <v>50</v>
      </c>
      <c r="E17" s="145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30" t="s">
        <v>48</v>
      </c>
      <c r="C18" s="94" t="s">
        <v>429</v>
      </c>
      <c r="D18" s="55" t="s">
        <v>50</v>
      </c>
      <c r="E18" s="145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9" t="s">
        <v>51</v>
      </c>
      <c r="C19" s="94" t="s">
        <v>52</v>
      </c>
      <c r="D19" s="11" t="s">
        <v>140</v>
      </c>
      <c r="E19" s="148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1" t="s">
        <v>54</v>
      </c>
      <c r="C20" s="40" t="s">
        <v>55</v>
      </c>
      <c r="D20" s="41" t="s">
        <v>123</v>
      </c>
      <c r="E20" s="146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8" t="s">
        <v>57</v>
      </c>
      <c r="C21" s="40" t="s">
        <v>58</v>
      </c>
      <c r="D21" s="3" t="s">
        <v>123</v>
      </c>
      <c r="E21" s="145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8" t="s">
        <v>59</v>
      </c>
      <c r="C22" s="32" t="s">
        <v>60</v>
      </c>
      <c r="D22" s="3" t="s">
        <v>123</v>
      </c>
      <c r="E22" s="145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7" t="s">
        <v>61</v>
      </c>
      <c r="C23" s="40" t="s">
        <v>430</v>
      </c>
      <c r="D23" s="55" t="s">
        <v>203</v>
      </c>
      <c r="E23" s="145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30" t="s">
        <v>166</v>
      </c>
      <c r="C24" s="32" t="s">
        <v>167</v>
      </c>
      <c r="D24" s="55" t="s">
        <v>64</v>
      </c>
      <c r="E24" s="145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7" t="s">
        <v>62</v>
      </c>
      <c r="C25" s="94" t="s">
        <v>63</v>
      </c>
      <c r="D25" s="55" t="s">
        <v>431</v>
      </c>
      <c r="E25" s="145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9" t="s">
        <v>65</v>
      </c>
      <c r="C26" s="32" t="s">
        <v>66</v>
      </c>
      <c r="D26" s="55" t="s">
        <v>432</v>
      </c>
      <c r="E26" s="145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7" t="s">
        <v>68</v>
      </c>
      <c r="C27" s="94" t="s">
        <v>69</v>
      </c>
      <c r="D27" s="55" t="s">
        <v>73</v>
      </c>
      <c r="E27" s="145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7" t="s">
        <v>71</v>
      </c>
      <c r="C28" s="94" t="s">
        <v>433</v>
      </c>
      <c r="D28" s="55" t="s">
        <v>256</v>
      </c>
      <c r="E28" s="145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7" t="s">
        <v>74</v>
      </c>
      <c r="C29" s="32" t="s">
        <v>434</v>
      </c>
      <c r="D29" s="55" t="s">
        <v>256</v>
      </c>
      <c r="E29" s="145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9" t="s">
        <v>258</v>
      </c>
      <c r="C30" s="32" t="s">
        <v>384</v>
      </c>
      <c r="D30" s="55" t="s">
        <v>78</v>
      </c>
      <c r="E30" s="145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9" t="s">
        <v>76</v>
      </c>
      <c r="C31" s="94" t="s">
        <v>77</v>
      </c>
      <c r="D31" s="55" t="s">
        <v>155</v>
      </c>
      <c r="E31" s="145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79</v>
      </c>
      <c r="C32" s="1" t="s">
        <v>80</v>
      </c>
      <c r="D32" s="3" t="s">
        <v>129</v>
      </c>
      <c r="E32" s="145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9" t="s">
        <v>82</v>
      </c>
      <c r="C33" s="94" t="s">
        <v>80</v>
      </c>
      <c r="D33" s="55" t="s">
        <v>87</v>
      </c>
      <c r="E33" s="145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7" t="s">
        <v>83</v>
      </c>
      <c r="C34" s="94" t="s">
        <v>86</v>
      </c>
      <c r="D34" s="55" t="s">
        <v>90</v>
      </c>
      <c r="E34" s="145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9" t="s">
        <v>85</v>
      </c>
      <c r="C35" s="94" t="s">
        <v>86</v>
      </c>
      <c r="D35" s="55" t="s">
        <v>435</v>
      </c>
      <c r="E35" s="145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9" t="s">
        <v>88</v>
      </c>
      <c r="C36" s="112" t="s">
        <v>89</v>
      </c>
      <c r="D36" s="55" t="s">
        <v>436</v>
      </c>
      <c r="E36" s="145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9" t="s">
        <v>91</v>
      </c>
      <c r="C37" s="32" t="s">
        <v>92</v>
      </c>
      <c r="D37" s="3" t="s">
        <v>436</v>
      </c>
      <c r="E37" s="145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20" t="s">
        <v>93</v>
      </c>
      <c r="C38" s="112" t="s">
        <v>94</v>
      </c>
      <c r="D38" s="55" t="s">
        <v>107</v>
      </c>
      <c r="E38" s="145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20" t="s">
        <v>437</v>
      </c>
      <c r="C39" s="112" t="s">
        <v>94</v>
      </c>
      <c r="D39" s="55" t="s">
        <v>107</v>
      </c>
      <c r="E39" s="145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9" t="s">
        <v>95</v>
      </c>
      <c r="C40" s="32" t="s">
        <v>385</v>
      </c>
      <c r="D40" s="3" t="s">
        <v>107</v>
      </c>
      <c r="E40" s="145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9" t="s">
        <v>98</v>
      </c>
      <c r="C41" s="94" t="s">
        <v>77</v>
      </c>
      <c r="D41" s="55" t="s">
        <v>107</v>
      </c>
      <c r="E41" s="145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9" t="s">
        <v>99</v>
      </c>
      <c r="C42" s="94" t="s">
        <v>77</v>
      </c>
      <c r="D42" s="55" t="s">
        <v>107</v>
      </c>
      <c r="E42" s="145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2" t="s">
        <v>100</v>
      </c>
      <c r="C43" s="7">
        <v>33</v>
      </c>
      <c r="D43" s="55"/>
      <c r="E43" s="151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1"/>
      <c r="C44" s="32"/>
      <c r="D44" s="55"/>
      <c r="E44" s="145"/>
      <c r="F44" s="57"/>
      <c r="G44" s="35">
        <f t="shared" si="0"/>
        <v>0</v>
      </c>
    </row>
    <row r="45" spans="1:8" ht="18.75" customHeight="1">
      <c r="A45" s="3"/>
      <c r="B45" s="132" t="s">
        <v>101</v>
      </c>
      <c r="C45" s="32"/>
      <c r="D45" s="55"/>
      <c r="E45" s="145"/>
      <c r="F45" s="51"/>
      <c r="G45" s="35">
        <f t="shared" si="0"/>
        <v>0</v>
      </c>
    </row>
    <row r="46" spans="1:8" ht="18.75" customHeight="1">
      <c r="A46" s="3">
        <v>1</v>
      </c>
      <c r="B46" s="119" t="s">
        <v>102</v>
      </c>
      <c r="C46" s="32" t="s">
        <v>103</v>
      </c>
      <c r="D46" s="3" t="s">
        <v>438</v>
      </c>
      <c r="E46" s="145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9" t="s">
        <v>105</v>
      </c>
      <c r="C47" s="32" t="s">
        <v>106</v>
      </c>
      <c r="D47" s="3" t="s">
        <v>107</v>
      </c>
      <c r="E47" s="145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2"/>
      <c r="C48" s="7">
        <v>2</v>
      </c>
      <c r="D48" s="3"/>
      <c r="E48" s="151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8"/>
      <c r="C49" s="32"/>
      <c r="D49" s="3"/>
      <c r="E49" s="145"/>
      <c r="F49" s="57"/>
      <c r="G49" s="35">
        <f t="shared" si="0"/>
        <v>0</v>
      </c>
    </row>
    <row r="50" spans="1:8" ht="20.100000000000001" customHeight="1">
      <c r="A50" s="3"/>
      <c r="B50" s="133" t="s">
        <v>108</v>
      </c>
      <c r="C50" s="111"/>
      <c r="D50" s="2"/>
      <c r="E50" s="149"/>
      <c r="F50" s="35"/>
      <c r="G50" s="35">
        <f t="shared" si="0"/>
        <v>0</v>
      </c>
    </row>
    <row r="51" spans="1:8" ht="20.100000000000001" customHeight="1">
      <c r="A51" s="3">
        <v>1</v>
      </c>
      <c r="B51" s="127" t="s">
        <v>109</v>
      </c>
      <c r="C51" s="32" t="s">
        <v>110</v>
      </c>
      <c r="D51" s="3" t="s">
        <v>104</v>
      </c>
      <c r="E51" s="145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7" t="s">
        <v>111</v>
      </c>
      <c r="C52" s="32" t="s">
        <v>112</v>
      </c>
      <c r="D52" s="3" t="s">
        <v>50</v>
      </c>
      <c r="E52" s="145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7" t="s">
        <v>113</v>
      </c>
      <c r="C53" s="32" t="s">
        <v>114</v>
      </c>
      <c r="D53" s="3" t="s">
        <v>50</v>
      </c>
      <c r="E53" s="145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7" t="s">
        <v>115</v>
      </c>
      <c r="C54" s="32" t="s">
        <v>114</v>
      </c>
      <c r="D54" s="3" t="s">
        <v>117</v>
      </c>
      <c r="E54" s="145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7" t="s">
        <v>116</v>
      </c>
      <c r="C55" s="32" t="s">
        <v>119</v>
      </c>
      <c r="D55" s="3" t="s">
        <v>176</v>
      </c>
      <c r="E55" s="145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7" t="s">
        <v>118</v>
      </c>
      <c r="C56" s="32" t="s">
        <v>119</v>
      </c>
      <c r="D56" s="3" t="s">
        <v>123</v>
      </c>
      <c r="E56" s="145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4" t="s">
        <v>120</v>
      </c>
      <c r="C57" s="32" t="s">
        <v>121</v>
      </c>
      <c r="D57" s="24" t="s">
        <v>123</v>
      </c>
      <c r="E57" s="147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7" t="s">
        <v>122</v>
      </c>
      <c r="C58" s="32" t="s">
        <v>142</v>
      </c>
      <c r="D58" s="3" t="s">
        <v>126</v>
      </c>
      <c r="E58" s="145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9" t="s">
        <v>124</v>
      </c>
      <c r="C59" s="32" t="s">
        <v>125</v>
      </c>
      <c r="D59" s="28" t="s">
        <v>64</v>
      </c>
      <c r="E59" s="147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9" t="s">
        <v>127</v>
      </c>
      <c r="C60" s="32" t="s">
        <v>128</v>
      </c>
      <c r="D60" s="3" t="s">
        <v>129</v>
      </c>
      <c r="E60" s="145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9" t="s">
        <v>130</v>
      </c>
      <c r="C61" s="32" t="s">
        <v>128</v>
      </c>
      <c r="D61" s="3" t="s">
        <v>129</v>
      </c>
      <c r="E61" s="145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9" t="s">
        <v>131</v>
      </c>
      <c r="C62" s="32" t="s">
        <v>128</v>
      </c>
      <c r="D62" s="3" t="s">
        <v>129</v>
      </c>
      <c r="E62" s="145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5" t="s">
        <v>100</v>
      </c>
      <c r="C63" s="29">
        <v>11</v>
      </c>
      <c r="D63" s="29"/>
      <c r="E63" s="150">
        <f>SUM(E51:E62)</f>
        <v>144709.44</v>
      </c>
      <c r="F63" s="150">
        <f t="shared" ref="F63:G63" si="3">SUM(F51:F62)</f>
        <v>765745.82516129024</v>
      </c>
      <c r="G63" s="150">
        <f t="shared" si="3"/>
        <v>621036.38516129018</v>
      </c>
      <c r="H63" s="72"/>
    </row>
    <row r="64" spans="1:8" ht="20.100000000000001" customHeight="1">
      <c r="A64" s="3"/>
      <c r="B64" s="123"/>
      <c r="C64" s="29"/>
      <c r="D64" s="29"/>
      <c r="E64" s="150"/>
      <c r="F64" s="30"/>
      <c r="G64" s="35">
        <f t="shared" si="0"/>
        <v>0</v>
      </c>
    </row>
    <row r="65" spans="1:8" ht="20.100000000000001" customHeight="1">
      <c r="A65" s="3"/>
      <c r="B65" s="135" t="s">
        <v>132</v>
      </c>
      <c r="C65" s="29"/>
      <c r="D65" s="29"/>
      <c r="E65" s="150"/>
      <c r="F65" s="30"/>
      <c r="G65" s="35">
        <f t="shared" si="0"/>
        <v>0</v>
      </c>
    </row>
    <row r="66" spans="1:8" ht="20.100000000000001" customHeight="1">
      <c r="A66" s="3">
        <v>1</v>
      </c>
      <c r="B66" s="127" t="s">
        <v>133</v>
      </c>
      <c r="C66" s="94" t="s">
        <v>134</v>
      </c>
      <c r="D66" s="55" t="s">
        <v>104</v>
      </c>
      <c r="E66" s="145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9" t="s">
        <v>416</v>
      </c>
      <c r="C67" s="94" t="s">
        <v>439</v>
      </c>
      <c r="D67" s="55" t="s">
        <v>53</v>
      </c>
      <c r="E67" s="145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5" t="s">
        <v>100</v>
      </c>
      <c r="C68" s="29">
        <v>2</v>
      </c>
      <c r="D68" s="29"/>
      <c r="E68" s="150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5"/>
      <c r="C69" s="29"/>
      <c r="D69" s="29"/>
      <c r="E69" s="150"/>
      <c r="F69" s="30"/>
      <c r="G69" s="35">
        <f t="shared" si="0"/>
        <v>0</v>
      </c>
    </row>
    <row r="70" spans="1:8" ht="20.100000000000001" customHeight="1">
      <c r="A70" s="3"/>
      <c r="B70" s="135" t="s">
        <v>440</v>
      </c>
      <c r="C70" s="29"/>
      <c r="D70" s="29"/>
      <c r="E70" s="150"/>
      <c r="F70" s="30"/>
      <c r="G70" s="35">
        <f t="shared" si="0"/>
        <v>0</v>
      </c>
    </row>
    <row r="71" spans="1:8" ht="20.100000000000001" customHeight="1">
      <c r="A71" s="3">
        <v>1</v>
      </c>
      <c r="B71" s="129" t="s">
        <v>136</v>
      </c>
      <c r="C71" s="112" t="s">
        <v>137</v>
      </c>
      <c r="D71" s="28" t="s">
        <v>104</v>
      </c>
      <c r="E71" s="147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20" t="s">
        <v>138</v>
      </c>
      <c r="C72" s="112" t="s">
        <v>139</v>
      </c>
      <c r="D72" s="55" t="s">
        <v>140</v>
      </c>
      <c r="E72" s="145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9" t="s">
        <v>141</v>
      </c>
      <c r="C73" s="32" t="s">
        <v>142</v>
      </c>
      <c r="D73" s="28" t="s">
        <v>64</v>
      </c>
      <c r="E73" s="147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20" t="s">
        <v>143</v>
      </c>
      <c r="C74" s="112" t="s">
        <v>142</v>
      </c>
      <c r="D74" s="55" t="s">
        <v>431</v>
      </c>
      <c r="E74" s="145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8" t="s">
        <v>144</v>
      </c>
      <c r="C75" s="112" t="s">
        <v>121</v>
      </c>
      <c r="D75" s="55" t="s">
        <v>123</v>
      </c>
      <c r="E75" s="145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9" t="s">
        <v>145</v>
      </c>
      <c r="C76" s="20" t="s">
        <v>128</v>
      </c>
      <c r="D76" s="28" t="s">
        <v>441</v>
      </c>
      <c r="E76" s="147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30" t="s">
        <v>147</v>
      </c>
      <c r="C77" s="112" t="s">
        <v>148</v>
      </c>
      <c r="D77" s="55" t="s">
        <v>73</v>
      </c>
      <c r="E77" s="145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7" t="s">
        <v>149</v>
      </c>
      <c r="C78" s="112" t="s">
        <v>148</v>
      </c>
      <c r="D78" s="55" t="s">
        <v>150</v>
      </c>
      <c r="E78" s="145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7" t="s">
        <v>151</v>
      </c>
      <c r="C79" s="112" t="s">
        <v>148</v>
      </c>
      <c r="D79" s="55" t="s">
        <v>150</v>
      </c>
      <c r="E79" s="145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7" t="s">
        <v>152</v>
      </c>
      <c r="C80" s="32" t="s">
        <v>169</v>
      </c>
      <c r="D80" s="3" t="s">
        <v>256</v>
      </c>
      <c r="E80" s="145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9" t="s">
        <v>154</v>
      </c>
      <c r="C81" s="112" t="s">
        <v>128</v>
      </c>
      <c r="D81" s="3" t="s">
        <v>184</v>
      </c>
      <c r="E81" s="145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9" t="s">
        <v>156</v>
      </c>
      <c r="C82" s="112" t="s">
        <v>157</v>
      </c>
      <c r="D82" s="3" t="s">
        <v>129</v>
      </c>
      <c r="E82" s="145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8" t="s">
        <v>158</v>
      </c>
      <c r="C83" s="112" t="s">
        <v>157</v>
      </c>
      <c r="D83" s="3" t="s">
        <v>107</v>
      </c>
      <c r="E83" s="145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5" t="s">
        <v>100</v>
      </c>
      <c r="C84" s="29">
        <v>13</v>
      </c>
      <c r="D84" s="29"/>
      <c r="E84" s="150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4"/>
      <c r="C85" s="29"/>
      <c r="D85" s="29"/>
      <c r="E85" s="150"/>
      <c r="F85" s="30"/>
      <c r="G85" s="35">
        <f t="shared" si="5"/>
        <v>0</v>
      </c>
    </row>
    <row r="86" spans="1:8" ht="20.100000000000001" customHeight="1">
      <c r="A86" s="3"/>
      <c r="B86" s="135" t="s">
        <v>442</v>
      </c>
      <c r="C86" s="29"/>
      <c r="D86" s="29"/>
      <c r="E86" s="150"/>
      <c r="F86" s="30"/>
      <c r="G86" s="35">
        <f t="shared" si="5"/>
        <v>0</v>
      </c>
    </row>
    <row r="87" spans="1:8" ht="20.100000000000001" customHeight="1">
      <c r="A87" s="3">
        <v>1</v>
      </c>
      <c r="B87" s="127" t="s">
        <v>160</v>
      </c>
      <c r="C87" s="32" t="s">
        <v>161</v>
      </c>
      <c r="D87" s="3" t="s">
        <v>104</v>
      </c>
      <c r="E87" s="145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5" t="s">
        <v>162</v>
      </c>
      <c r="C88" s="1" t="s">
        <v>163</v>
      </c>
      <c r="D88" s="55" t="s">
        <v>140</v>
      </c>
      <c r="E88" s="145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5" t="s">
        <v>164</v>
      </c>
      <c r="C89" s="1" t="s">
        <v>165</v>
      </c>
      <c r="D89" s="55" t="s">
        <v>140</v>
      </c>
      <c r="E89" s="145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7" t="s">
        <v>168</v>
      </c>
      <c r="C90" s="32" t="s">
        <v>169</v>
      </c>
      <c r="D90" s="3" t="s">
        <v>184</v>
      </c>
      <c r="E90" s="145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5" t="s">
        <v>100</v>
      </c>
      <c r="C91" s="29">
        <v>4</v>
      </c>
      <c r="D91" s="29"/>
      <c r="E91" s="150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6"/>
      <c r="C92" s="7"/>
      <c r="D92" s="7"/>
      <c r="E92" s="151"/>
      <c r="F92" s="38"/>
      <c r="G92" s="35">
        <f t="shared" si="5"/>
        <v>0</v>
      </c>
    </row>
    <row r="93" spans="1:8" ht="20.100000000000001" customHeight="1">
      <c r="A93" s="3"/>
      <c r="B93" s="136" t="s">
        <v>443</v>
      </c>
      <c r="C93" s="58"/>
      <c r="D93" s="7"/>
      <c r="E93" s="151"/>
      <c r="F93" s="38"/>
      <c r="G93" s="35">
        <f t="shared" si="5"/>
        <v>0</v>
      </c>
    </row>
    <row r="94" spans="1:8" ht="20.100000000000001" customHeight="1">
      <c r="A94" s="3">
        <v>1</v>
      </c>
      <c r="B94" s="127" t="s">
        <v>444</v>
      </c>
      <c r="C94" s="32" t="s">
        <v>172</v>
      </c>
      <c r="D94" s="3" t="s">
        <v>41</v>
      </c>
      <c r="E94" s="145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7" t="s">
        <v>173</v>
      </c>
      <c r="C95" s="32" t="s">
        <v>114</v>
      </c>
      <c r="D95" s="3" t="s">
        <v>50</v>
      </c>
      <c r="E95" s="145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7" t="s">
        <v>174</v>
      </c>
      <c r="C96" s="32" t="s">
        <v>114</v>
      </c>
      <c r="D96" s="3" t="s">
        <v>50</v>
      </c>
      <c r="E96" s="145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8" t="s">
        <v>175</v>
      </c>
      <c r="C97" s="32" t="s">
        <v>121</v>
      </c>
      <c r="D97" s="3" t="s">
        <v>56</v>
      </c>
      <c r="E97" s="145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9" t="s">
        <v>177</v>
      </c>
      <c r="C98" s="32" t="s">
        <v>119</v>
      </c>
      <c r="D98" s="3" t="s">
        <v>123</v>
      </c>
      <c r="E98" s="145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9" t="s">
        <v>445</v>
      </c>
      <c r="C99" s="32" t="s">
        <v>119</v>
      </c>
      <c r="D99" s="3" t="s">
        <v>446</v>
      </c>
      <c r="E99" s="145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30" t="s">
        <v>178</v>
      </c>
      <c r="C100" s="32" t="s">
        <v>125</v>
      </c>
      <c r="D100" s="55" t="s">
        <v>64</v>
      </c>
      <c r="E100" s="145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7" t="s">
        <v>179</v>
      </c>
      <c r="C101" s="94" t="s">
        <v>142</v>
      </c>
      <c r="D101" s="55" t="s">
        <v>431</v>
      </c>
      <c r="E101" s="145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7" t="s">
        <v>180</v>
      </c>
      <c r="C102" s="94" t="s">
        <v>142</v>
      </c>
      <c r="D102" s="55" t="s">
        <v>431</v>
      </c>
      <c r="E102" s="145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7" t="s">
        <v>181</v>
      </c>
      <c r="C103" s="112" t="s">
        <v>148</v>
      </c>
      <c r="D103" s="55" t="s">
        <v>150</v>
      </c>
      <c r="E103" s="145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7" t="s">
        <v>182</v>
      </c>
      <c r="C104" s="32" t="s">
        <v>128</v>
      </c>
      <c r="D104" s="3" t="s">
        <v>129</v>
      </c>
      <c r="E104" s="145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7" t="s">
        <v>185</v>
      </c>
      <c r="C105" s="112" t="s">
        <v>186</v>
      </c>
      <c r="D105" s="55" t="s">
        <v>107</v>
      </c>
      <c r="E105" s="145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2" t="s">
        <v>100</v>
      </c>
      <c r="C106" s="7">
        <v>12</v>
      </c>
      <c r="D106" s="7"/>
      <c r="E106" s="151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1"/>
      <c r="C107" s="7"/>
      <c r="D107" s="7"/>
      <c r="E107" s="151"/>
      <c r="F107" s="38"/>
      <c r="G107" s="35">
        <f t="shared" si="5"/>
        <v>0</v>
      </c>
    </row>
    <row r="108" spans="1:8" ht="20.100000000000001" customHeight="1">
      <c r="A108" s="3"/>
      <c r="B108" s="132" t="s">
        <v>447</v>
      </c>
      <c r="C108" s="7"/>
      <c r="D108" s="7"/>
      <c r="E108" s="151"/>
      <c r="F108" s="38"/>
      <c r="G108" s="35">
        <f t="shared" si="5"/>
        <v>0</v>
      </c>
    </row>
    <row r="109" spans="1:8" ht="20.100000000000001" customHeight="1">
      <c r="A109" s="3">
        <v>1</v>
      </c>
      <c r="B109" s="119" t="s">
        <v>188</v>
      </c>
      <c r="C109" s="3" t="s">
        <v>189</v>
      </c>
      <c r="D109" s="55" t="s">
        <v>41</v>
      </c>
      <c r="E109" s="145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9" t="s">
        <v>190</v>
      </c>
      <c r="C110" s="20" t="s">
        <v>191</v>
      </c>
      <c r="D110" s="28" t="s">
        <v>123</v>
      </c>
      <c r="E110" s="147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20" t="s">
        <v>192</v>
      </c>
      <c r="C111" s="20" t="s">
        <v>193</v>
      </c>
      <c r="D111" s="55" t="s">
        <v>431</v>
      </c>
      <c r="E111" s="145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7" t="s">
        <v>194</v>
      </c>
      <c r="C112" s="32" t="s">
        <v>448</v>
      </c>
      <c r="D112" s="55" t="s">
        <v>449</v>
      </c>
      <c r="E112" s="145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2" t="s">
        <v>100</v>
      </c>
      <c r="C113" s="7">
        <v>4</v>
      </c>
      <c r="D113" s="110"/>
      <c r="E113" s="151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1"/>
      <c r="C114" s="7"/>
      <c r="D114" s="110"/>
      <c r="E114" s="151"/>
      <c r="F114" s="30"/>
      <c r="G114" s="35">
        <f t="shared" si="5"/>
        <v>0</v>
      </c>
    </row>
    <row r="115" spans="1:8" ht="20.100000000000001" customHeight="1">
      <c r="A115" s="32"/>
      <c r="B115" s="132" t="s">
        <v>450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7" t="s">
        <v>197</v>
      </c>
      <c r="C116" s="94" t="s">
        <v>198</v>
      </c>
      <c r="D116" s="55" t="s">
        <v>104</v>
      </c>
      <c r="E116" s="145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7" t="s">
        <v>199</v>
      </c>
      <c r="C117" s="32" t="s">
        <v>200</v>
      </c>
      <c r="D117" s="3" t="s">
        <v>50</v>
      </c>
      <c r="E117" s="145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7" t="s">
        <v>201</v>
      </c>
      <c r="C118" s="32" t="s">
        <v>202</v>
      </c>
      <c r="D118" s="3" t="s">
        <v>203</v>
      </c>
      <c r="E118" s="145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9" t="s">
        <v>204</v>
      </c>
      <c r="C119" s="32" t="s">
        <v>202</v>
      </c>
      <c r="D119" s="28" t="s">
        <v>126</v>
      </c>
      <c r="E119" s="147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7" t="s">
        <v>205</v>
      </c>
      <c r="C120" s="1" t="s">
        <v>206</v>
      </c>
      <c r="D120" s="55" t="s">
        <v>90</v>
      </c>
      <c r="E120" s="145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20" t="s">
        <v>208</v>
      </c>
      <c r="C121" s="1" t="s">
        <v>206</v>
      </c>
      <c r="D121" s="3" t="s">
        <v>436</v>
      </c>
      <c r="E121" s="145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9" t="s">
        <v>209</v>
      </c>
      <c r="C122" s="1" t="s">
        <v>206</v>
      </c>
      <c r="D122" s="55" t="s">
        <v>107</v>
      </c>
      <c r="E122" s="145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2" t="s">
        <v>100</v>
      </c>
      <c r="C123" s="7">
        <v>7</v>
      </c>
      <c r="D123" s="32"/>
      <c r="E123" s="152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1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2" t="s">
        <v>451</v>
      </c>
      <c r="C125" s="7"/>
      <c r="D125" s="7"/>
      <c r="E125" s="151"/>
      <c r="F125" s="38"/>
      <c r="G125" s="35">
        <f t="shared" si="5"/>
        <v>0</v>
      </c>
    </row>
    <row r="126" spans="1:8" ht="20.100000000000001" customHeight="1">
      <c r="A126" s="32">
        <v>1</v>
      </c>
      <c r="B126" s="130" t="s">
        <v>211</v>
      </c>
      <c r="C126" s="94" t="s">
        <v>212</v>
      </c>
      <c r="D126" s="55" t="s">
        <v>104</v>
      </c>
      <c r="E126" s="145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30" t="s">
        <v>214</v>
      </c>
      <c r="C127" s="94" t="s">
        <v>215</v>
      </c>
      <c r="D127" s="55" t="s">
        <v>33</v>
      </c>
      <c r="E127" s="145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30" t="s">
        <v>216</v>
      </c>
      <c r="C128" s="94" t="s">
        <v>217</v>
      </c>
      <c r="D128" s="55" t="s">
        <v>50</v>
      </c>
      <c r="E128" s="145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2" t="s">
        <v>218</v>
      </c>
      <c r="C129" s="94" t="s">
        <v>217</v>
      </c>
      <c r="D129" s="55" t="s">
        <v>50</v>
      </c>
      <c r="E129" s="145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5" t="s">
        <v>219</v>
      </c>
      <c r="C130" s="94" t="s">
        <v>217</v>
      </c>
      <c r="D130" s="55" t="s">
        <v>220</v>
      </c>
      <c r="E130" s="145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30" t="s">
        <v>221</v>
      </c>
      <c r="C131" s="94" t="s">
        <v>228</v>
      </c>
      <c r="D131" s="55" t="s">
        <v>126</v>
      </c>
      <c r="E131" s="145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30" t="s">
        <v>223</v>
      </c>
      <c r="C132" s="94" t="s">
        <v>224</v>
      </c>
      <c r="D132" s="55" t="s">
        <v>64</v>
      </c>
      <c r="E132" s="145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30" t="s">
        <v>225</v>
      </c>
      <c r="C133" s="94" t="s">
        <v>226</v>
      </c>
      <c r="D133" s="55" t="s">
        <v>64</v>
      </c>
      <c r="E133" s="145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9" t="s">
        <v>227</v>
      </c>
      <c r="C134" s="94" t="s">
        <v>228</v>
      </c>
      <c r="D134" s="55" t="s">
        <v>67</v>
      </c>
      <c r="E134" s="145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7" t="s">
        <v>230</v>
      </c>
      <c r="C135" s="94" t="s">
        <v>231</v>
      </c>
      <c r="D135" s="3" t="s">
        <v>129</v>
      </c>
      <c r="E135" s="145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9" t="s">
        <v>232</v>
      </c>
      <c r="C136" s="94" t="s">
        <v>233</v>
      </c>
      <c r="D136" s="55" t="s">
        <v>107</v>
      </c>
      <c r="E136" s="145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2" t="s">
        <v>100</v>
      </c>
      <c r="C137" s="110" t="s">
        <v>234</v>
      </c>
      <c r="D137" s="55"/>
      <c r="E137" s="153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1"/>
      <c r="C138" s="110"/>
      <c r="D138" s="55"/>
      <c r="E138" s="145"/>
      <c r="F138" s="38"/>
      <c r="G138" s="35">
        <f t="shared" si="5"/>
        <v>0</v>
      </c>
    </row>
    <row r="139" spans="1:8" ht="20.100000000000001" customHeight="1">
      <c r="A139" s="32"/>
      <c r="B139" s="132" t="s">
        <v>452</v>
      </c>
      <c r="C139" s="94"/>
      <c r="D139" s="55"/>
      <c r="E139" s="145"/>
      <c r="F139" s="51"/>
      <c r="G139" s="35">
        <f t="shared" si="5"/>
        <v>0</v>
      </c>
    </row>
    <row r="140" spans="1:8" ht="20.100000000000001" customHeight="1">
      <c r="A140" s="141">
        <v>1</v>
      </c>
      <c r="B140" s="130" t="s">
        <v>453</v>
      </c>
      <c r="C140" s="94" t="s">
        <v>454</v>
      </c>
      <c r="D140" s="55" t="s">
        <v>104</v>
      </c>
      <c r="E140" s="145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1">
        <v>2</v>
      </c>
      <c r="B141" s="130" t="s">
        <v>236</v>
      </c>
      <c r="C141" s="94" t="s">
        <v>237</v>
      </c>
      <c r="D141" s="55" t="s">
        <v>104</v>
      </c>
      <c r="E141" s="145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1">
        <v>3</v>
      </c>
      <c r="B142" s="130" t="s">
        <v>238</v>
      </c>
      <c r="C142" s="94" t="s">
        <v>239</v>
      </c>
      <c r="D142" s="55" t="s">
        <v>33</v>
      </c>
      <c r="E142" s="145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1">
        <v>4</v>
      </c>
      <c r="B143" s="134" t="s">
        <v>240</v>
      </c>
      <c r="C143" s="20" t="s">
        <v>455</v>
      </c>
      <c r="D143" s="24" t="s">
        <v>50</v>
      </c>
      <c r="E143" s="147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1">
        <v>5</v>
      </c>
      <c r="B144" s="134" t="s">
        <v>456</v>
      </c>
      <c r="C144" s="20" t="s">
        <v>457</v>
      </c>
      <c r="D144" s="24" t="s">
        <v>50</v>
      </c>
      <c r="E144" s="147">
        <v>15548.33</v>
      </c>
      <c r="F144" s="23"/>
      <c r="G144" s="35">
        <f t="shared" si="12"/>
        <v>-15548.33</v>
      </c>
    </row>
    <row r="145" spans="1:7" ht="20.100000000000001" customHeight="1">
      <c r="A145" s="141">
        <v>6</v>
      </c>
      <c r="B145" s="130" t="s">
        <v>242</v>
      </c>
      <c r="C145" s="94" t="s">
        <v>243</v>
      </c>
      <c r="D145" s="55" t="s">
        <v>123</v>
      </c>
      <c r="E145" s="145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1">
        <v>7</v>
      </c>
      <c r="B146" s="130" t="s">
        <v>244</v>
      </c>
      <c r="C146" s="32" t="s">
        <v>245</v>
      </c>
      <c r="D146" s="55" t="s">
        <v>123</v>
      </c>
      <c r="E146" s="145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1">
        <v>8</v>
      </c>
      <c r="B147" s="130" t="s">
        <v>246</v>
      </c>
      <c r="C147" s="32" t="s">
        <v>247</v>
      </c>
      <c r="D147" s="55" t="s">
        <v>64</v>
      </c>
      <c r="E147" s="145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1">
        <v>9</v>
      </c>
      <c r="B148" s="127" t="s">
        <v>248</v>
      </c>
      <c r="C148" s="94" t="s">
        <v>249</v>
      </c>
      <c r="D148" s="55" t="s">
        <v>73</v>
      </c>
      <c r="E148" s="145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1">
        <v>10</v>
      </c>
      <c r="B149" s="130" t="s">
        <v>250</v>
      </c>
      <c r="C149" s="94" t="s">
        <v>249</v>
      </c>
      <c r="D149" s="55" t="s">
        <v>73</v>
      </c>
      <c r="E149" s="145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1">
        <v>11</v>
      </c>
      <c r="B150" s="127" t="s">
        <v>251</v>
      </c>
      <c r="C150" s="32" t="s">
        <v>247</v>
      </c>
      <c r="D150" s="55" t="s">
        <v>73</v>
      </c>
      <c r="E150" s="145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1">
        <v>12</v>
      </c>
      <c r="B151" s="127" t="s">
        <v>252</v>
      </c>
      <c r="C151" s="32" t="s">
        <v>261</v>
      </c>
      <c r="D151" s="55" t="s">
        <v>256</v>
      </c>
      <c r="E151" s="145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1">
        <v>13</v>
      </c>
      <c r="B152" s="127" t="s">
        <v>254</v>
      </c>
      <c r="C152" s="94" t="s">
        <v>255</v>
      </c>
      <c r="D152" s="55" t="s">
        <v>78</v>
      </c>
      <c r="E152" s="145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1">
        <v>14</v>
      </c>
      <c r="B153" s="127" t="s">
        <v>257</v>
      </c>
      <c r="C153" s="94" t="s">
        <v>278</v>
      </c>
      <c r="D153" s="55" t="s">
        <v>256</v>
      </c>
      <c r="E153" s="145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1">
        <v>15</v>
      </c>
      <c r="B154" s="127" t="s">
        <v>458</v>
      </c>
      <c r="C154" s="32" t="s">
        <v>261</v>
      </c>
      <c r="D154" s="55" t="s">
        <v>155</v>
      </c>
      <c r="E154" s="145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1">
        <v>16</v>
      </c>
      <c r="B155" s="127" t="s">
        <v>459</v>
      </c>
      <c r="C155" s="32" t="s">
        <v>261</v>
      </c>
      <c r="D155" s="55" t="s">
        <v>155</v>
      </c>
      <c r="E155" s="145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1">
        <v>17</v>
      </c>
      <c r="B156" s="127" t="s">
        <v>263</v>
      </c>
      <c r="C156" s="32" t="s">
        <v>261</v>
      </c>
      <c r="D156" s="55" t="s">
        <v>155</v>
      </c>
      <c r="E156" s="145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1">
        <v>18</v>
      </c>
      <c r="B157" s="127" t="s">
        <v>264</v>
      </c>
      <c r="C157" s="94" t="s">
        <v>265</v>
      </c>
      <c r="D157" s="55" t="s">
        <v>184</v>
      </c>
      <c r="E157" s="145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1">
        <v>19</v>
      </c>
      <c r="B158" s="127" t="s">
        <v>266</v>
      </c>
      <c r="C158" s="94" t="s">
        <v>259</v>
      </c>
      <c r="D158" s="3" t="s">
        <v>129</v>
      </c>
      <c r="E158" s="145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1">
        <v>20</v>
      </c>
      <c r="B159" s="127" t="s">
        <v>267</v>
      </c>
      <c r="C159" s="94" t="s">
        <v>278</v>
      </c>
      <c r="D159" s="55" t="s">
        <v>90</v>
      </c>
      <c r="E159" s="145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1">
        <v>21</v>
      </c>
      <c r="B160" s="127" t="s">
        <v>269</v>
      </c>
      <c r="C160" s="94" t="s">
        <v>460</v>
      </c>
      <c r="D160" s="55" t="s">
        <v>90</v>
      </c>
      <c r="E160" s="145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1">
        <v>22</v>
      </c>
      <c r="B161" s="127" t="s">
        <v>271</v>
      </c>
      <c r="C161" s="94" t="s">
        <v>278</v>
      </c>
      <c r="D161" s="55" t="s">
        <v>90</v>
      </c>
      <c r="E161" s="145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1">
        <v>23</v>
      </c>
      <c r="B162" s="127" t="s">
        <v>273</v>
      </c>
      <c r="C162" s="94" t="s">
        <v>274</v>
      </c>
      <c r="D162" s="55" t="s">
        <v>90</v>
      </c>
      <c r="E162" s="145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1">
        <v>24</v>
      </c>
      <c r="B163" s="119" t="s">
        <v>275</v>
      </c>
      <c r="C163" s="94" t="s">
        <v>276</v>
      </c>
      <c r="D163" s="55" t="s">
        <v>435</v>
      </c>
      <c r="E163" s="145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1">
        <v>25</v>
      </c>
      <c r="B164" s="119" t="s">
        <v>277</v>
      </c>
      <c r="C164" s="94" t="s">
        <v>278</v>
      </c>
      <c r="D164" s="55" t="s">
        <v>107</v>
      </c>
      <c r="E164" s="145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1">
        <v>26</v>
      </c>
      <c r="B165" s="119" t="s">
        <v>279</v>
      </c>
      <c r="C165" s="94" t="s">
        <v>278</v>
      </c>
      <c r="D165" s="55" t="s">
        <v>107</v>
      </c>
      <c r="E165" s="145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1">
        <v>27</v>
      </c>
      <c r="B166" s="119" t="s">
        <v>280</v>
      </c>
      <c r="C166" s="94" t="s">
        <v>276</v>
      </c>
      <c r="D166" s="55" t="s">
        <v>107</v>
      </c>
      <c r="E166" s="145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1">
        <v>28</v>
      </c>
      <c r="B167" s="119" t="s">
        <v>281</v>
      </c>
      <c r="C167" s="94" t="s">
        <v>282</v>
      </c>
      <c r="D167" s="55" t="s">
        <v>107</v>
      </c>
      <c r="E167" s="145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1">
        <v>29</v>
      </c>
      <c r="B168" s="119" t="s">
        <v>283</v>
      </c>
      <c r="C168" s="94" t="s">
        <v>284</v>
      </c>
      <c r="D168" s="55" t="s">
        <v>107</v>
      </c>
      <c r="E168" s="145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1">
        <v>30</v>
      </c>
      <c r="B169" s="130" t="s">
        <v>285</v>
      </c>
      <c r="C169" s="94" t="s">
        <v>286</v>
      </c>
      <c r="D169" s="55" t="s">
        <v>294</v>
      </c>
      <c r="E169" s="145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1">
        <v>31</v>
      </c>
      <c r="B170" s="130" t="s">
        <v>288</v>
      </c>
      <c r="C170" s="94" t="s">
        <v>286</v>
      </c>
      <c r="D170" s="55" t="s">
        <v>294</v>
      </c>
      <c r="E170" s="145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1">
        <v>32</v>
      </c>
      <c r="B171" s="130" t="s">
        <v>289</v>
      </c>
      <c r="C171" s="94" t="s">
        <v>286</v>
      </c>
      <c r="D171" s="55" t="s">
        <v>294</v>
      </c>
      <c r="E171" s="145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1">
        <v>33</v>
      </c>
      <c r="B172" s="130" t="s">
        <v>461</v>
      </c>
      <c r="C172" s="94" t="s">
        <v>286</v>
      </c>
      <c r="D172" s="55" t="s">
        <v>294</v>
      </c>
      <c r="E172" s="145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1">
        <v>34</v>
      </c>
      <c r="B173" s="130" t="s">
        <v>290</v>
      </c>
      <c r="C173" s="94" t="s">
        <v>286</v>
      </c>
      <c r="D173" s="55" t="s">
        <v>294</v>
      </c>
      <c r="E173" s="145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1">
        <v>35</v>
      </c>
      <c r="B174" s="130" t="s">
        <v>291</v>
      </c>
      <c r="C174" s="94" t="s">
        <v>286</v>
      </c>
      <c r="D174" s="55" t="s">
        <v>294</v>
      </c>
      <c r="E174" s="145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1">
        <v>36</v>
      </c>
      <c r="B175" s="130" t="s">
        <v>292</v>
      </c>
      <c r="C175" s="94" t="s">
        <v>286</v>
      </c>
      <c r="D175" s="55" t="s">
        <v>294</v>
      </c>
      <c r="E175" s="145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1">
        <v>37</v>
      </c>
      <c r="B176" s="130" t="s">
        <v>293</v>
      </c>
      <c r="C176" s="94" t="s">
        <v>302</v>
      </c>
      <c r="D176" s="55" t="s">
        <v>462</v>
      </c>
      <c r="E176" s="145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1">
        <v>38</v>
      </c>
      <c r="B177" s="130" t="s">
        <v>295</v>
      </c>
      <c r="C177" s="94" t="s">
        <v>302</v>
      </c>
      <c r="D177" s="55" t="s">
        <v>462</v>
      </c>
      <c r="E177" s="145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1">
        <v>39</v>
      </c>
      <c r="B178" s="130" t="s">
        <v>296</v>
      </c>
      <c r="C178" s="94" t="s">
        <v>302</v>
      </c>
      <c r="D178" s="55" t="s">
        <v>462</v>
      </c>
      <c r="E178" s="145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1">
        <v>40</v>
      </c>
      <c r="B179" s="122" t="s">
        <v>297</v>
      </c>
      <c r="C179" s="94" t="s">
        <v>302</v>
      </c>
      <c r="D179" s="55" t="s">
        <v>462</v>
      </c>
      <c r="E179" s="145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1">
        <v>41</v>
      </c>
      <c r="B180" s="127" t="s">
        <v>298</v>
      </c>
      <c r="C180" s="94" t="s">
        <v>302</v>
      </c>
      <c r="D180" s="55" t="s">
        <v>462</v>
      </c>
      <c r="E180" s="145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1">
        <v>42</v>
      </c>
      <c r="B181" s="126" t="s">
        <v>299</v>
      </c>
      <c r="C181" s="94" t="s">
        <v>302</v>
      </c>
      <c r="D181" s="55" t="s">
        <v>462</v>
      </c>
      <c r="E181" s="145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1">
        <v>43</v>
      </c>
      <c r="B182" s="126" t="s">
        <v>300</v>
      </c>
      <c r="C182" s="94" t="s">
        <v>302</v>
      </c>
      <c r="D182" s="55" t="s">
        <v>462</v>
      </c>
      <c r="E182" s="145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1">
        <v>44</v>
      </c>
      <c r="B183" s="127" t="s">
        <v>301</v>
      </c>
      <c r="C183" s="94" t="s">
        <v>302</v>
      </c>
      <c r="D183" s="55" t="s">
        <v>308</v>
      </c>
      <c r="E183" s="145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1">
        <v>45</v>
      </c>
      <c r="B184" s="127" t="s">
        <v>304</v>
      </c>
      <c r="C184" s="94" t="s">
        <v>302</v>
      </c>
      <c r="D184" s="55" t="s">
        <v>308</v>
      </c>
      <c r="E184" s="145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1">
        <v>46</v>
      </c>
      <c r="B185" s="126" t="s">
        <v>305</v>
      </c>
      <c r="C185" s="94" t="s">
        <v>302</v>
      </c>
      <c r="D185" s="55" t="s">
        <v>303</v>
      </c>
      <c r="E185" s="145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1">
        <v>47</v>
      </c>
      <c r="B186" s="127" t="s">
        <v>307</v>
      </c>
      <c r="C186" s="94" t="s">
        <v>302</v>
      </c>
      <c r="D186" s="55" t="s">
        <v>463</v>
      </c>
      <c r="E186" s="145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1">
        <v>48</v>
      </c>
      <c r="B187" s="127" t="s">
        <v>309</v>
      </c>
      <c r="C187" s="94" t="s">
        <v>310</v>
      </c>
      <c r="D187" s="55" t="s">
        <v>464</v>
      </c>
      <c r="E187" s="145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1">
        <v>49</v>
      </c>
      <c r="B188" s="127" t="s">
        <v>312</v>
      </c>
      <c r="C188" s="94" t="s">
        <v>310</v>
      </c>
      <c r="D188" s="55" t="s">
        <v>464</v>
      </c>
      <c r="E188" s="145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1">
        <v>50</v>
      </c>
      <c r="B189" s="127" t="s">
        <v>313</v>
      </c>
      <c r="C189" s="94" t="s">
        <v>310</v>
      </c>
      <c r="D189" s="55" t="s">
        <v>464</v>
      </c>
      <c r="E189" s="145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1">
        <v>51</v>
      </c>
      <c r="B190" s="127" t="s">
        <v>314</v>
      </c>
      <c r="C190" s="94" t="s">
        <v>310</v>
      </c>
      <c r="D190" s="55" t="s">
        <v>464</v>
      </c>
      <c r="E190" s="145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1">
        <v>52</v>
      </c>
      <c r="B191" s="127" t="s">
        <v>315</v>
      </c>
      <c r="C191" s="94" t="s">
        <v>310</v>
      </c>
      <c r="D191" s="55" t="s">
        <v>464</v>
      </c>
      <c r="E191" s="145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1">
        <v>53</v>
      </c>
      <c r="B192" s="126" t="s">
        <v>316</v>
      </c>
      <c r="C192" s="94" t="s">
        <v>310</v>
      </c>
      <c r="D192" s="55" t="s">
        <v>465</v>
      </c>
      <c r="E192" s="145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1">
        <v>54</v>
      </c>
      <c r="B193" s="126" t="s">
        <v>317</v>
      </c>
      <c r="C193" s="94" t="s">
        <v>310</v>
      </c>
      <c r="D193" s="55" t="s">
        <v>465</v>
      </c>
      <c r="E193" s="145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1">
        <v>55</v>
      </c>
      <c r="B194" s="130" t="s">
        <v>318</v>
      </c>
      <c r="C194" s="94" t="s">
        <v>310</v>
      </c>
      <c r="D194" s="55" t="s">
        <v>466</v>
      </c>
      <c r="E194" s="145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1">
        <v>56</v>
      </c>
      <c r="B195" s="130" t="s">
        <v>319</v>
      </c>
      <c r="C195" s="94" t="s">
        <v>310</v>
      </c>
      <c r="D195" s="55" t="s">
        <v>466</v>
      </c>
      <c r="E195" s="145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1">
        <v>57</v>
      </c>
      <c r="B196" s="126" t="s">
        <v>320</v>
      </c>
      <c r="C196" s="94" t="s">
        <v>310</v>
      </c>
      <c r="D196" s="55" t="s">
        <v>466</v>
      </c>
      <c r="E196" s="145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1">
        <v>58</v>
      </c>
      <c r="B197" s="126" t="s">
        <v>322</v>
      </c>
      <c r="C197" s="94" t="s">
        <v>310</v>
      </c>
      <c r="D197" s="55" t="s">
        <v>467</v>
      </c>
      <c r="E197" s="145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1"/>
      <c r="B198" s="60" t="s">
        <v>100</v>
      </c>
      <c r="C198" s="42" t="s">
        <v>468</v>
      </c>
      <c r="D198" s="36"/>
      <c r="E198" s="154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5" t="s">
        <v>325</v>
      </c>
      <c r="C199" s="61">
        <f>C43+C48+C63+C68+C84+C91+C106+C113+C123+C137+C198</f>
        <v>157</v>
      </c>
      <c r="D199" s="103"/>
      <c r="E199" s="153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4"/>
      <c r="C200" s="105"/>
      <c r="D200" s="104"/>
      <c r="E200" s="104"/>
      <c r="F200" s="59"/>
      <c r="G200" s="59"/>
    </row>
    <row r="201" spans="1:8" ht="20.100000000000001" customHeight="1">
      <c r="A201" s="32"/>
      <c r="B201" s="104"/>
      <c r="C201" s="276" t="s">
        <v>469</v>
      </c>
      <c r="D201" s="276"/>
      <c r="E201" s="140"/>
      <c r="F201" s="59"/>
      <c r="G201" s="59"/>
    </row>
    <row r="202" spans="1:8" ht="20.100000000000001" customHeight="1">
      <c r="A202" s="32"/>
      <c r="B202" s="104"/>
      <c r="C202" s="276"/>
      <c r="D202" s="276"/>
      <c r="E202" s="140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94"/>
  <sheetViews>
    <sheetView view="pageBreakPreview" zoomScaleNormal="100" zoomScaleSheetLayoutView="100" workbookViewId="0">
      <pane xSplit="4" ySplit="9" topLeftCell="Q10" activePane="bottomRight" state="frozen"/>
      <selection pane="bottomRight" activeCell="H7" sqref="H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1" t="s">
        <v>417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274" t="s">
        <v>470</v>
      </c>
      <c r="C3" s="274"/>
      <c r="D3" s="274"/>
      <c r="E3" s="274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274" t="s">
        <v>2</v>
      </c>
      <c r="C5" s="274"/>
      <c r="D5" s="100"/>
      <c r="E5" s="100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275"/>
      <c r="V5" s="275"/>
      <c r="W5" s="275"/>
      <c r="X5" s="275"/>
      <c r="Y5" s="275"/>
      <c r="Z5" s="275"/>
      <c r="AA5" s="100"/>
      <c r="AB5" s="100"/>
    </row>
    <row r="6" spans="1:33" ht="35.450000000000003" customHeight="1">
      <c r="A6" s="32"/>
      <c r="B6" s="277"/>
      <c r="C6" s="277"/>
      <c r="D6" s="107" t="s">
        <v>3</v>
      </c>
      <c r="E6" s="107" t="s">
        <v>419</v>
      </c>
      <c r="F6" s="2" t="s">
        <v>471</v>
      </c>
      <c r="G6" s="32"/>
      <c r="H6" s="2"/>
      <c r="I6" s="2"/>
      <c r="J6" s="2"/>
      <c r="K6" s="2"/>
      <c r="L6" s="2"/>
      <c r="M6" s="2" t="s">
        <v>472</v>
      </c>
      <c r="N6" s="2" t="s">
        <v>473</v>
      </c>
      <c r="O6" s="2" t="s">
        <v>474</v>
      </c>
      <c r="P6" s="2" t="s">
        <v>475</v>
      </c>
      <c r="Q6" s="2" t="s">
        <v>476</v>
      </c>
      <c r="R6" s="2" t="s">
        <v>477</v>
      </c>
      <c r="S6" s="2" t="s">
        <v>478</v>
      </c>
      <c r="T6" s="2" t="s">
        <v>479</v>
      </c>
      <c r="U6" s="2" t="s">
        <v>389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278"/>
      <c r="C7" s="278"/>
      <c r="D7" s="107"/>
      <c r="E7" s="107" t="s">
        <v>420</v>
      </c>
      <c r="F7" s="2" t="s">
        <v>480</v>
      </c>
      <c r="G7" s="49" t="s">
        <v>481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480</v>
      </c>
      <c r="T7" s="49" t="s">
        <v>480</v>
      </c>
      <c r="U7" s="49"/>
      <c r="V7" s="49"/>
      <c r="W7" s="2" t="s">
        <v>381</v>
      </c>
      <c r="X7" s="49" t="s">
        <v>382</v>
      </c>
      <c r="Y7" s="2" t="s">
        <v>389</v>
      </c>
      <c r="Z7" s="2"/>
      <c r="AA7" s="2"/>
      <c r="AB7" s="2"/>
    </row>
    <row r="8" spans="1:33" ht="20.100000000000001" customHeight="1">
      <c r="A8" s="21" t="s">
        <v>26</v>
      </c>
      <c r="B8" s="279" t="s">
        <v>482</v>
      </c>
      <c r="C8" s="279"/>
      <c r="D8" s="60"/>
      <c r="E8" s="60"/>
      <c r="F8" s="50" t="s">
        <v>25</v>
      </c>
      <c r="G8" s="7"/>
      <c r="H8" s="50"/>
      <c r="I8" s="50" t="s">
        <v>25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25</v>
      </c>
      <c r="T8" s="50" t="s">
        <v>25</v>
      </c>
      <c r="U8" s="50" t="s">
        <v>25</v>
      </c>
      <c r="V8" s="50"/>
      <c r="W8" s="50" t="s">
        <v>25</v>
      </c>
      <c r="X8" s="50" t="s">
        <v>25</v>
      </c>
      <c r="Y8" s="50" t="s">
        <v>25</v>
      </c>
      <c r="Z8" s="50"/>
      <c r="AA8" s="50"/>
      <c r="AB8" s="50"/>
    </row>
    <row r="9" spans="1:33" ht="20.100000000000001" customHeight="1">
      <c r="A9" s="3">
        <v>1</v>
      </c>
      <c r="B9" s="285" t="s">
        <v>28</v>
      </c>
      <c r="C9" s="286"/>
      <c r="D9" s="94" t="s">
        <v>29</v>
      </c>
      <c r="E9" s="94" t="s">
        <v>30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285" t="s">
        <v>423</v>
      </c>
      <c r="C10" s="286"/>
      <c r="D10" s="94" t="s">
        <v>424</v>
      </c>
      <c r="E10" s="55" t="s">
        <v>104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280" t="s">
        <v>483</v>
      </c>
      <c r="C11" s="281"/>
      <c r="D11" s="40" t="s">
        <v>484</v>
      </c>
      <c r="E11" s="62" t="s">
        <v>33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285" t="s">
        <v>31</v>
      </c>
      <c r="C12" s="286"/>
      <c r="D12" s="32" t="s">
        <v>425</v>
      </c>
      <c r="E12" s="3" t="s">
        <v>41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280" t="s">
        <v>34</v>
      </c>
      <c r="C13" s="281"/>
      <c r="D13" s="40" t="s">
        <v>35</v>
      </c>
      <c r="E13" s="62" t="s">
        <v>41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285" t="s">
        <v>36</v>
      </c>
      <c r="C14" s="286"/>
      <c r="D14" s="94" t="s">
        <v>37</v>
      </c>
      <c r="E14" s="3" t="s">
        <v>426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280" t="s">
        <v>42</v>
      </c>
      <c r="C15" s="281"/>
      <c r="D15" s="32" t="s">
        <v>427</v>
      </c>
      <c r="E15" s="37" t="s">
        <v>50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282" t="s">
        <v>44</v>
      </c>
      <c r="C16" s="283"/>
      <c r="D16" s="112" t="s">
        <v>139</v>
      </c>
      <c r="E16" s="28" t="s">
        <v>50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280" t="s">
        <v>46</v>
      </c>
      <c r="C17" s="281"/>
      <c r="D17" s="32" t="s">
        <v>428</v>
      </c>
      <c r="E17" s="3" t="s">
        <v>50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284" t="s">
        <v>48</v>
      </c>
      <c r="C18" s="284"/>
      <c r="D18" s="94" t="s">
        <v>429</v>
      </c>
      <c r="E18" s="55" t="s">
        <v>50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7" t="s">
        <v>51</v>
      </c>
      <c r="C19" s="98"/>
      <c r="D19" s="94" t="s">
        <v>52</v>
      </c>
      <c r="E19" s="11" t="s">
        <v>140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280" t="s">
        <v>54</v>
      </c>
      <c r="C20" s="281"/>
      <c r="D20" s="40" t="s">
        <v>55</v>
      </c>
      <c r="E20" s="41" t="s">
        <v>123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280" t="s">
        <v>57</v>
      </c>
      <c r="C21" s="281"/>
      <c r="D21" s="40" t="s">
        <v>58</v>
      </c>
      <c r="E21" s="3" t="s">
        <v>123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280" t="s">
        <v>59</v>
      </c>
      <c r="C22" s="281"/>
      <c r="D22" s="32" t="s">
        <v>60</v>
      </c>
      <c r="E22" s="3" t="s">
        <v>123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285" t="s">
        <v>61</v>
      </c>
      <c r="C23" s="286"/>
      <c r="D23" s="40" t="s">
        <v>430</v>
      </c>
      <c r="E23" s="55" t="s">
        <v>203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280" t="s">
        <v>39</v>
      </c>
      <c r="C24" s="281"/>
      <c r="D24" s="32" t="s">
        <v>485</v>
      </c>
      <c r="E24" s="55" t="s">
        <v>432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285" t="s">
        <v>62</v>
      </c>
      <c r="C25" s="286"/>
      <c r="D25" s="94" t="s">
        <v>63</v>
      </c>
      <c r="E25" s="55" t="s">
        <v>431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285" t="s">
        <v>71</v>
      </c>
      <c r="C26" s="286"/>
      <c r="D26" s="94" t="s">
        <v>433</v>
      </c>
      <c r="E26" s="55" t="s">
        <v>256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285" t="s">
        <v>68</v>
      </c>
      <c r="C27" s="286"/>
      <c r="D27" s="94" t="s">
        <v>69</v>
      </c>
      <c r="E27" s="55" t="s">
        <v>73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7" t="s">
        <v>65</v>
      </c>
      <c r="C28" s="98"/>
      <c r="D28" s="32" t="s">
        <v>66</v>
      </c>
      <c r="E28" s="55" t="s">
        <v>78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7" t="s">
        <v>82</v>
      </c>
      <c r="C29" s="98"/>
      <c r="D29" s="94" t="s">
        <v>80</v>
      </c>
      <c r="E29" s="55" t="s">
        <v>87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7" t="s">
        <v>98</v>
      </c>
      <c r="C30" s="98"/>
      <c r="D30" s="94" t="s">
        <v>77</v>
      </c>
      <c r="E30" s="55" t="s">
        <v>107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7" t="s">
        <v>76</v>
      </c>
      <c r="C31" s="98"/>
      <c r="D31" s="94" t="s">
        <v>77</v>
      </c>
      <c r="E31" s="55" t="s">
        <v>155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284" t="s">
        <v>166</v>
      </c>
      <c r="C32" s="284"/>
      <c r="D32" s="32" t="s">
        <v>167</v>
      </c>
      <c r="E32" s="55" t="s">
        <v>64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285" t="s">
        <v>74</v>
      </c>
      <c r="C33" s="286"/>
      <c r="D33" s="32" t="s">
        <v>434</v>
      </c>
      <c r="E33" s="55" t="s">
        <v>256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7" t="s">
        <v>258</v>
      </c>
      <c r="C34" s="98"/>
      <c r="D34" s="32" t="s">
        <v>384</v>
      </c>
      <c r="E34" s="55" t="s">
        <v>78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285" t="s">
        <v>83</v>
      </c>
      <c r="C35" s="286"/>
      <c r="D35" s="94" t="s">
        <v>86</v>
      </c>
      <c r="E35" s="55" t="s">
        <v>90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7" t="s">
        <v>85</v>
      </c>
      <c r="C36" s="98"/>
      <c r="D36" s="94" t="s">
        <v>86</v>
      </c>
      <c r="E36" s="55" t="s">
        <v>435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282" t="s">
        <v>88</v>
      </c>
      <c r="C37" s="283"/>
      <c r="D37" s="112" t="s">
        <v>89</v>
      </c>
      <c r="E37" s="55" t="s">
        <v>436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5" t="s">
        <v>93</v>
      </c>
      <c r="C38" s="96"/>
      <c r="D38" s="112" t="s">
        <v>94</v>
      </c>
      <c r="E38" s="55" t="s">
        <v>107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287" t="s">
        <v>100</v>
      </c>
      <c r="C39" s="287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9"/>
      <c r="C40" s="99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287" t="s">
        <v>101</v>
      </c>
      <c r="C41" s="287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7" t="s">
        <v>102</v>
      </c>
      <c r="C42" s="98"/>
      <c r="D42" s="32" t="s">
        <v>103</v>
      </c>
      <c r="E42" s="3" t="s">
        <v>438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100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292"/>
      <c r="C44" s="293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294" t="s">
        <v>108</v>
      </c>
      <c r="C45" s="295"/>
      <c r="D45" s="111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285" t="s">
        <v>109</v>
      </c>
      <c r="C46" s="286"/>
      <c r="D46" s="32" t="s">
        <v>110</v>
      </c>
      <c r="E46" s="3" t="s">
        <v>104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285" t="s">
        <v>111</v>
      </c>
      <c r="C47" s="286"/>
      <c r="D47" s="32" t="s">
        <v>112</v>
      </c>
      <c r="E47" s="3" t="s">
        <v>50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285" t="s">
        <v>113</v>
      </c>
      <c r="C48" s="286"/>
      <c r="D48" s="32" t="s">
        <v>114</v>
      </c>
      <c r="E48" s="3" t="s">
        <v>50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285" t="s">
        <v>115</v>
      </c>
      <c r="C49" s="286"/>
      <c r="D49" s="32" t="s">
        <v>114</v>
      </c>
      <c r="E49" s="3" t="s">
        <v>117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285" t="s">
        <v>116</v>
      </c>
      <c r="C50" s="286"/>
      <c r="D50" s="32" t="s">
        <v>119</v>
      </c>
      <c r="E50" s="3" t="s">
        <v>176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285" t="s">
        <v>118</v>
      </c>
      <c r="C51" s="286"/>
      <c r="D51" s="32" t="s">
        <v>119</v>
      </c>
      <c r="E51" s="3" t="s">
        <v>123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288" t="s">
        <v>120</v>
      </c>
      <c r="C52" s="289"/>
      <c r="D52" s="32" t="s">
        <v>121</v>
      </c>
      <c r="E52" s="24" t="s">
        <v>123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285" t="s">
        <v>122</v>
      </c>
      <c r="C53" s="286"/>
      <c r="D53" s="32" t="s">
        <v>142</v>
      </c>
      <c r="E53" s="3" t="s">
        <v>126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290" t="s">
        <v>486</v>
      </c>
      <c r="C54" s="291"/>
      <c r="D54" s="113" t="s">
        <v>121</v>
      </c>
      <c r="E54" s="114" t="s">
        <v>487</v>
      </c>
      <c r="F54" s="115">
        <f>25854.1</f>
        <v>25854.1</v>
      </c>
      <c r="G54" s="115"/>
      <c r="H54" s="115">
        <f t="shared" si="36"/>
        <v>77562.299999999988</v>
      </c>
      <c r="I54" s="115">
        <f t="shared" si="37"/>
        <v>1939.0574999999999</v>
      </c>
      <c r="J54" s="115">
        <v>0</v>
      </c>
      <c r="K54" s="115">
        <f t="shared" si="38"/>
        <v>12927.05</v>
      </c>
      <c r="L54" s="115">
        <f t="shared" si="39"/>
        <v>90489.349999999991</v>
      </c>
      <c r="M54" s="115">
        <f t="shared" si="33"/>
        <v>25854.1</v>
      </c>
      <c r="N54" s="116">
        <v>140000</v>
      </c>
      <c r="O54" s="116"/>
      <c r="P54" s="115">
        <f t="shared" si="34"/>
        <v>2585.41</v>
      </c>
      <c r="Q54" s="115">
        <v>20000</v>
      </c>
      <c r="R54" s="115">
        <v>0</v>
      </c>
      <c r="S54" s="117">
        <f t="shared" si="35"/>
        <v>397211.36749999999</v>
      </c>
      <c r="T54" s="117">
        <v>397211.36749999999</v>
      </c>
      <c r="U54" s="35">
        <f t="shared" si="1"/>
        <v>0</v>
      </c>
      <c r="V54" s="117"/>
      <c r="W54" s="115">
        <v>7709.76</v>
      </c>
      <c r="X54" s="117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282" t="s">
        <v>124</v>
      </c>
      <c r="C55" s="283"/>
      <c r="D55" s="32" t="s">
        <v>125</v>
      </c>
      <c r="E55" s="28" t="s">
        <v>64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296" t="s">
        <v>100</v>
      </c>
      <c r="C56" s="297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9"/>
      <c r="C57" s="109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296" t="s">
        <v>132</v>
      </c>
      <c r="C58" s="297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285" t="s">
        <v>133</v>
      </c>
      <c r="C59" s="286"/>
      <c r="D59" s="94" t="s">
        <v>134</v>
      </c>
      <c r="E59" s="55" t="s">
        <v>104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7" t="s">
        <v>416</v>
      </c>
      <c r="C60" s="98"/>
      <c r="D60" s="94" t="s">
        <v>439</v>
      </c>
      <c r="E60" s="55" t="s">
        <v>53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296" t="s">
        <v>100</v>
      </c>
      <c r="C61" s="297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296"/>
      <c r="C62" s="297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296" t="s">
        <v>440</v>
      </c>
      <c r="C63" s="297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282" t="s">
        <v>136</v>
      </c>
      <c r="C64" s="283"/>
      <c r="D64" s="112" t="s">
        <v>137</v>
      </c>
      <c r="E64" s="28" t="s">
        <v>104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5" t="s">
        <v>138</v>
      </c>
      <c r="C65" s="96"/>
      <c r="D65" s="112" t="s">
        <v>139</v>
      </c>
      <c r="E65" s="55" t="s">
        <v>140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282" t="s">
        <v>488</v>
      </c>
      <c r="C66" s="283"/>
      <c r="D66" s="20" t="s">
        <v>125</v>
      </c>
      <c r="E66" s="28" t="s">
        <v>203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282" t="s">
        <v>141</v>
      </c>
      <c r="C67" s="283"/>
      <c r="D67" s="32" t="s">
        <v>142</v>
      </c>
      <c r="E67" s="28" t="s">
        <v>64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5" t="s">
        <v>489</v>
      </c>
      <c r="C68" s="96"/>
      <c r="D68" s="112" t="s">
        <v>142</v>
      </c>
      <c r="E68" s="55" t="s">
        <v>431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280" t="s">
        <v>144</v>
      </c>
      <c r="C69" s="281"/>
      <c r="D69" s="112" t="s">
        <v>121</v>
      </c>
      <c r="E69" s="55" t="s">
        <v>123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282" t="s">
        <v>145</v>
      </c>
      <c r="C70" s="283"/>
      <c r="D70" s="20" t="s">
        <v>128</v>
      </c>
      <c r="E70" s="28" t="s">
        <v>441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284" t="s">
        <v>147</v>
      </c>
      <c r="C71" s="284"/>
      <c r="D71" s="112" t="s">
        <v>128</v>
      </c>
      <c r="E71" s="55" t="s">
        <v>73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285" t="s">
        <v>152</v>
      </c>
      <c r="C72" s="286"/>
      <c r="D72" s="32" t="s">
        <v>169</v>
      </c>
      <c r="E72" s="3" t="s">
        <v>256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282" t="s">
        <v>154</v>
      </c>
      <c r="C73" s="283"/>
      <c r="D73" s="112" t="s">
        <v>128</v>
      </c>
      <c r="E73" s="3" t="s">
        <v>184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282" t="s">
        <v>156</v>
      </c>
      <c r="C74" s="283"/>
      <c r="D74" s="112" t="s">
        <v>157</v>
      </c>
      <c r="E74" s="3" t="s">
        <v>107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280" t="s">
        <v>158</v>
      </c>
      <c r="C75" s="281"/>
      <c r="D75" s="112" t="s">
        <v>157</v>
      </c>
      <c r="E75" s="3" t="s">
        <v>107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296" t="s">
        <v>100</v>
      </c>
      <c r="C76" s="297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1"/>
      <c r="C77" s="102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296" t="s">
        <v>442</v>
      </c>
      <c r="C78" s="297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285" t="s">
        <v>160</v>
      </c>
      <c r="C79" s="286"/>
      <c r="D79" s="32" t="s">
        <v>161</v>
      </c>
      <c r="E79" s="3" t="s">
        <v>104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162</v>
      </c>
      <c r="D80" s="1" t="s">
        <v>163</v>
      </c>
      <c r="E80" s="55" t="s">
        <v>140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164</v>
      </c>
      <c r="D81" s="1" t="s">
        <v>165</v>
      </c>
      <c r="E81" s="55" t="s">
        <v>140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285" t="s">
        <v>490</v>
      </c>
      <c r="C82" s="286"/>
      <c r="D82" s="32" t="s">
        <v>125</v>
      </c>
      <c r="E82" s="55" t="s">
        <v>64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285" t="s">
        <v>168</v>
      </c>
      <c r="C83" s="286"/>
      <c r="D83" s="32" t="s">
        <v>169</v>
      </c>
      <c r="E83" s="3" t="s">
        <v>184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7" t="s">
        <v>91</v>
      </c>
      <c r="C84" s="98"/>
      <c r="D84" s="32" t="s">
        <v>92</v>
      </c>
      <c r="E84" s="3" t="s">
        <v>436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7" t="s">
        <v>95</v>
      </c>
      <c r="C85" s="98"/>
      <c r="D85" s="32" t="s">
        <v>385</v>
      </c>
      <c r="E85" s="3" t="s">
        <v>107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296" t="s">
        <v>100</v>
      </c>
      <c r="C86" s="297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298"/>
      <c r="C87" s="299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300" t="s">
        <v>443</v>
      </c>
      <c r="C88" s="301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285" t="s">
        <v>444</v>
      </c>
      <c r="C89" s="286"/>
      <c r="D89" s="32" t="s">
        <v>172</v>
      </c>
      <c r="E89" s="3" t="s">
        <v>41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285" t="s">
        <v>173</v>
      </c>
      <c r="C90" s="286"/>
      <c r="D90" s="32" t="s">
        <v>114</v>
      </c>
      <c r="E90" s="3" t="s">
        <v>50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285" t="s">
        <v>174</v>
      </c>
      <c r="C91" s="286"/>
      <c r="D91" s="32" t="s">
        <v>114</v>
      </c>
      <c r="E91" s="3" t="s">
        <v>50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285" t="s">
        <v>491</v>
      </c>
      <c r="C92" s="286"/>
      <c r="D92" s="32" t="s">
        <v>119</v>
      </c>
      <c r="E92" s="3" t="s">
        <v>123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280" t="s">
        <v>175</v>
      </c>
      <c r="C93" s="281"/>
      <c r="D93" s="32" t="s">
        <v>121</v>
      </c>
      <c r="E93" s="3" t="s">
        <v>56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282" t="s">
        <v>177</v>
      </c>
      <c r="C94" s="283"/>
      <c r="D94" s="32" t="s">
        <v>119</v>
      </c>
      <c r="E94" s="3" t="s">
        <v>123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285" t="s">
        <v>492</v>
      </c>
      <c r="C95" s="286"/>
      <c r="D95" s="94" t="s">
        <v>121</v>
      </c>
      <c r="E95" s="55" t="s">
        <v>487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493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284" t="s">
        <v>178</v>
      </c>
      <c r="C96" s="284"/>
      <c r="D96" s="32" t="s">
        <v>125</v>
      </c>
      <c r="E96" s="55" t="s">
        <v>64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285" t="s">
        <v>179</v>
      </c>
      <c r="C97" s="286"/>
      <c r="D97" s="94" t="s">
        <v>142</v>
      </c>
      <c r="E97" s="55" t="s">
        <v>431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285" t="s">
        <v>180</v>
      </c>
      <c r="C98" s="286"/>
      <c r="D98" s="94" t="s">
        <v>142</v>
      </c>
      <c r="E98" s="55" t="s">
        <v>431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287" t="s">
        <v>100</v>
      </c>
      <c r="C99" s="287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9"/>
      <c r="C100" s="99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287" t="s">
        <v>447</v>
      </c>
      <c r="C101" s="287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7" t="s">
        <v>188</v>
      </c>
      <c r="C102" s="98"/>
      <c r="D102" s="3" t="s">
        <v>189</v>
      </c>
      <c r="E102" s="55" t="s">
        <v>41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282" t="s">
        <v>190</v>
      </c>
      <c r="C103" s="283"/>
      <c r="D103" s="20" t="s">
        <v>191</v>
      </c>
      <c r="E103" s="28" t="s">
        <v>123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5" t="s">
        <v>192</v>
      </c>
      <c r="C104" s="96"/>
      <c r="D104" s="20" t="s">
        <v>193</v>
      </c>
      <c r="E104" s="55" t="s">
        <v>431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285" t="s">
        <v>194</v>
      </c>
      <c r="C105" s="286"/>
      <c r="D105" s="32" t="s">
        <v>448</v>
      </c>
      <c r="E105" s="55" t="s">
        <v>449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287" t="s">
        <v>100</v>
      </c>
      <c r="C106" s="287"/>
      <c r="D106" s="7">
        <v>4</v>
      </c>
      <c r="E106" s="110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9"/>
      <c r="C107" s="99"/>
      <c r="D107" s="7"/>
      <c r="E107" s="110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287" t="s">
        <v>450</v>
      </c>
      <c r="C108" s="287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285" t="s">
        <v>197</v>
      </c>
      <c r="C109" s="286"/>
      <c r="D109" s="94" t="s">
        <v>198</v>
      </c>
      <c r="E109" s="55" t="s">
        <v>104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322" t="s">
        <v>199</v>
      </c>
      <c r="C110" s="323"/>
      <c r="D110" s="32" t="s">
        <v>200</v>
      </c>
      <c r="E110" s="3" t="s">
        <v>50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285" t="s">
        <v>201</v>
      </c>
      <c r="C111" s="286"/>
      <c r="D111" s="32" t="s">
        <v>202</v>
      </c>
      <c r="E111" s="3" t="s">
        <v>203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282" t="s">
        <v>204</v>
      </c>
      <c r="C112" s="283"/>
      <c r="D112" s="32" t="s">
        <v>202</v>
      </c>
      <c r="E112" s="28" t="s">
        <v>126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285" t="s">
        <v>205</v>
      </c>
      <c r="C113" s="286"/>
      <c r="D113" s="1" t="s">
        <v>206</v>
      </c>
      <c r="E113" s="55" t="s">
        <v>90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5" t="s">
        <v>208</v>
      </c>
      <c r="C114" s="96"/>
      <c r="D114" s="1" t="s">
        <v>206</v>
      </c>
      <c r="E114" s="3" t="s">
        <v>436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7" t="s">
        <v>209</v>
      </c>
      <c r="C115" s="98"/>
      <c r="D115" s="1" t="s">
        <v>206</v>
      </c>
      <c r="E115" s="55" t="s">
        <v>107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7" t="s">
        <v>494</v>
      </c>
      <c r="C116" s="98"/>
      <c r="D116" s="1" t="s">
        <v>206</v>
      </c>
      <c r="E116" s="55" t="s">
        <v>107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287" t="s">
        <v>100</v>
      </c>
      <c r="C117" s="287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9"/>
      <c r="C118" s="99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287" t="s">
        <v>451</v>
      </c>
      <c r="C119" s="287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284" t="s">
        <v>211</v>
      </c>
      <c r="C120" s="284"/>
      <c r="D120" s="94" t="s">
        <v>212</v>
      </c>
      <c r="E120" s="55" t="s">
        <v>104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284" t="s">
        <v>214</v>
      </c>
      <c r="C121" s="284"/>
      <c r="D121" s="94" t="s">
        <v>215</v>
      </c>
      <c r="E121" s="55" t="s">
        <v>33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284" t="s">
        <v>216</v>
      </c>
      <c r="C122" s="284"/>
      <c r="D122" s="94" t="s">
        <v>217</v>
      </c>
      <c r="E122" s="55" t="s">
        <v>50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302" t="s">
        <v>218</v>
      </c>
      <c r="C123" s="302"/>
      <c r="D123" s="94" t="s">
        <v>217</v>
      </c>
      <c r="E123" s="55" t="s">
        <v>50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219</v>
      </c>
      <c r="D124" s="94" t="s">
        <v>217</v>
      </c>
      <c r="E124" s="55" t="s">
        <v>220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324" t="s">
        <v>221</v>
      </c>
      <c r="C125" s="324"/>
      <c r="D125" s="94" t="s">
        <v>228</v>
      </c>
      <c r="E125" s="55" t="s">
        <v>126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284" t="s">
        <v>223</v>
      </c>
      <c r="C126" s="284"/>
      <c r="D126" s="94" t="s">
        <v>224</v>
      </c>
      <c r="E126" s="55" t="s">
        <v>64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284" t="s">
        <v>225</v>
      </c>
      <c r="C127" s="284"/>
      <c r="D127" s="94" t="s">
        <v>226</v>
      </c>
      <c r="E127" s="55" t="s">
        <v>64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7" t="s">
        <v>227</v>
      </c>
      <c r="C128" s="98"/>
      <c r="D128" s="94" t="s">
        <v>228</v>
      </c>
      <c r="E128" s="55" t="s">
        <v>67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287" t="s">
        <v>100</v>
      </c>
      <c r="C129" s="287"/>
      <c r="D129" s="110" t="s">
        <v>495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9"/>
      <c r="C130" s="99"/>
      <c r="D130" s="110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287" t="s">
        <v>452</v>
      </c>
      <c r="C131" s="287"/>
      <c r="D131" s="94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284" t="s">
        <v>453</v>
      </c>
      <c r="C132" s="284"/>
      <c r="D132" s="94" t="s">
        <v>454</v>
      </c>
      <c r="E132" s="55" t="s">
        <v>104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284" t="s">
        <v>236</v>
      </c>
      <c r="C133" s="284"/>
      <c r="D133" s="94" t="s">
        <v>237</v>
      </c>
      <c r="E133" s="55" t="s">
        <v>104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324" t="s">
        <v>238</v>
      </c>
      <c r="C134" s="324"/>
      <c r="D134" s="94" t="s">
        <v>239</v>
      </c>
      <c r="E134" s="55" t="s">
        <v>33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288" t="s">
        <v>240</v>
      </c>
      <c r="C135" s="289"/>
      <c r="D135" s="20" t="s">
        <v>455</v>
      </c>
      <c r="E135" s="24" t="s">
        <v>50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288" t="s">
        <v>456</v>
      </c>
      <c r="C136" s="289"/>
      <c r="D136" s="20" t="s">
        <v>457</v>
      </c>
      <c r="E136" s="24" t="s">
        <v>50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284" t="s">
        <v>242</v>
      </c>
      <c r="C137" s="284"/>
      <c r="D137" s="94" t="s">
        <v>243</v>
      </c>
      <c r="E137" s="55" t="s">
        <v>123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284" t="s">
        <v>244</v>
      </c>
      <c r="C138" s="284"/>
      <c r="D138" s="32" t="s">
        <v>245</v>
      </c>
      <c r="E138" s="55" t="s">
        <v>123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284" t="s">
        <v>496</v>
      </c>
      <c r="C139" s="284"/>
      <c r="D139" s="32" t="s">
        <v>245</v>
      </c>
      <c r="E139" s="55" t="s">
        <v>123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284" t="s">
        <v>246</v>
      </c>
      <c r="C140" s="284"/>
      <c r="D140" s="32" t="s">
        <v>247</v>
      </c>
      <c r="E140" s="55" t="s">
        <v>64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285" t="s">
        <v>248</v>
      </c>
      <c r="C141" s="286"/>
      <c r="D141" s="94" t="s">
        <v>249</v>
      </c>
      <c r="E141" s="55" t="s">
        <v>73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284" t="s">
        <v>250</v>
      </c>
      <c r="C142" s="284"/>
      <c r="D142" s="94" t="s">
        <v>249</v>
      </c>
      <c r="E142" s="55" t="s">
        <v>73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285" t="s">
        <v>251</v>
      </c>
      <c r="C143" s="286"/>
      <c r="D143" s="32" t="s">
        <v>247</v>
      </c>
      <c r="E143" s="55" t="s">
        <v>73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285" t="s">
        <v>252</v>
      </c>
      <c r="C144" s="286"/>
      <c r="D144" s="32" t="s">
        <v>261</v>
      </c>
      <c r="E144" s="55" t="s">
        <v>256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285" t="s">
        <v>254</v>
      </c>
      <c r="C145" s="286"/>
      <c r="D145" s="94" t="s">
        <v>255</v>
      </c>
      <c r="E145" s="55" t="s">
        <v>78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285" t="s">
        <v>257</v>
      </c>
      <c r="C146" s="286"/>
      <c r="D146" s="94" t="s">
        <v>278</v>
      </c>
      <c r="E146" s="55" t="s">
        <v>256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285" t="s">
        <v>458</v>
      </c>
      <c r="C147" s="286"/>
      <c r="D147" s="32" t="s">
        <v>261</v>
      </c>
      <c r="E147" s="55" t="s">
        <v>155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285" t="s">
        <v>459</v>
      </c>
      <c r="C148" s="286"/>
      <c r="D148" s="32" t="s">
        <v>261</v>
      </c>
      <c r="E148" s="55" t="s">
        <v>155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285" t="s">
        <v>263</v>
      </c>
      <c r="C149" s="286"/>
      <c r="D149" s="32" t="s">
        <v>261</v>
      </c>
      <c r="E149" s="55" t="s">
        <v>155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285" t="s">
        <v>267</v>
      </c>
      <c r="C150" s="286"/>
      <c r="D150" s="94" t="s">
        <v>278</v>
      </c>
      <c r="E150" s="55" t="s">
        <v>90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285" t="s">
        <v>269</v>
      </c>
      <c r="C151" s="286"/>
      <c r="D151" s="94" t="s">
        <v>460</v>
      </c>
      <c r="E151" s="55" t="s">
        <v>90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285" t="s">
        <v>271</v>
      </c>
      <c r="C152" s="286"/>
      <c r="D152" s="94" t="s">
        <v>278</v>
      </c>
      <c r="E152" s="55" t="s">
        <v>90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285" t="s">
        <v>273</v>
      </c>
      <c r="C153" s="286"/>
      <c r="D153" s="94" t="s">
        <v>274</v>
      </c>
      <c r="E153" s="55" t="s">
        <v>90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7" t="s">
        <v>275</v>
      </c>
      <c r="C154" s="98"/>
      <c r="D154" s="94" t="s">
        <v>276</v>
      </c>
      <c r="E154" s="55" t="s">
        <v>435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7" t="s">
        <v>277</v>
      </c>
      <c r="C155" s="98"/>
      <c r="D155" s="94" t="s">
        <v>278</v>
      </c>
      <c r="E155" s="55" t="s">
        <v>107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7" t="s">
        <v>185</v>
      </c>
      <c r="C156" s="98"/>
      <c r="D156" s="94" t="s">
        <v>276</v>
      </c>
      <c r="E156" s="55" t="s">
        <v>107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7" t="s">
        <v>279</v>
      </c>
      <c r="C157" s="98"/>
      <c r="D157" s="94" t="s">
        <v>278</v>
      </c>
      <c r="E157" s="55" t="s">
        <v>107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284" t="s">
        <v>285</v>
      </c>
      <c r="C158" s="284"/>
      <c r="D158" s="94" t="s">
        <v>286</v>
      </c>
      <c r="E158" s="55" t="s">
        <v>294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284" t="s">
        <v>288</v>
      </c>
      <c r="C159" s="284"/>
      <c r="D159" s="94" t="s">
        <v>286</v>
      </c>
      <c r="E159" s="55" t="s">
        <v>294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284" t="s">
        <v>289</v>
      </c>
      <c r="C160" s="284"/>
      <c r="D160" s="94" t="s">
        <v>286</v>
      </c>
      <c r="E160" s="55" t="s">
        <v>294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284" t="s">
        <v>461</v>
      </c>
      <c r="C161" s="284"/>
      <c r="D161" s="94" t="s">
        <v>286</v>
      </c>
      <c r="E161" s="55" t="s">
        <v>294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284" t="s">
        <v>290</v>
      </c>
      <c r="C162" s="284"/>
      <c r="D162" s="94" t="s">
        <v>286</v>
      </c>
      <c r="E162" s="55" t="s">
        <v>294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284" t="s">
        <v>291</v>
      </c>
      <c r="C163" s="284"/>
      <c r="D163" s="94" t="s">
        <v>286</v>
      </c>
      <c r="E163" s="55" t="s">
        <v>294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284" t="s">
        <v>292</v>
      </c>
      <c r="C164" s="284"/>
      <c r="D164" s="94" t="s">
        <v>286</v>
      </c>
      <c r="E164" s="55" t="s">
        <v>294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284" t="s">
        <v>293</v>
      </c>
      <c r="C165" s="284"/>
      <c r="D165" s="94" t="s">
        <v>302</v>
      </c>
      <c r="E165" s="55" t="s">
        <v>462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284" t="s">
        <v>295</v>
      </c>
      <c r="C166" s="284"/>
      <c r="D166" s="94" t="s">
        <v>302</v>
      </c>
      <c r="E166" s="55" t="s">
        <v>462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284" t="s">
        <v>296</v>
      </c>
      <c r="C167" s="284"/>
      <c r="D167" s="94" t="s">
        <v>302</v>
      </c>
      <c r="E167" s="55" t="s">
        <v>462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297</v>
      </c>
      <c r="C168" s="32"/>
      <c r="D168" s="94" t="s">
        <v>302</v>
      </c>
      <c r="E168" s="55" t="s">
        <v>462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285" t="s">
        <v>298</v>
      </c>
      <c r="C169" s="286"/>
      <c r="D169" s="94" t="s">
        <v>302</v>
      </c>
      <c r="E169" s="55" t="s">
        <v>462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4" t="s">
        <v>299</v>
      </c>
      <c r="C170" s="32"/>
      <c r="D170" s="94" t="s">
        <v>302</v>
      </c>
      <c r="E170" s="55" t="s">
        <v>462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4" t="s">
        <v>300</v>
      </c>
      <c r="C171" s="32"/>
      <c r="D171" s="94" t="s">
        <v>302</v>
      </c>
      <c r="E171" s="55" t="s">
        <v>462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285" t="s">
        <v>301</v>
      </c>
      <c r="C172" s="286"/>
      <c r="D172" s="94" t="s">
        <v>302</v>
      </c>
      <c r="E172" s="55" t="s">
        <v>308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285" t="s">
        <v>304</v>
      </c>
      <c r="C173" s="286"/>
      <c r="D173" s="94" t="s">
        <v>302</v>
      </c>
      <c r="E173" s="55" t="s">
        <v>308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4" t="s">
        <v>305</v>
      </c>
      <c r="C174" s="32"/>
      <c r="D174" s="94" t="s">
        <v>302</v>
      </c>
      <c r="E174" s="55" t="s">
        <v>303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285" t="s">
        <v>307</v>
      </c>
      <c r="C175" s="286"/>
      <c r="D175" s="94" t="s">
        <v>302</v>
      </c>
      <c r="E175" s="55" t="s">
        <v>463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285" t="s">
        <v>309</v>
      </c>
      <c r="C176" s="286"/>
      <c r="D176" s="94" t="s">
        <v>310</v>
      </c>
      <c r="E176" s="55" t="s">
        <v>464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285" t="s">
        <v>312</v>
      </c>
      <c r="C177" s="286"/>
      <c r="D177" s="94" t="s">
        <v>310</v>
      </c>
      <c r="E177" s="55" t="s">
        <v>464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285" t="s">
        <v>313</v>
      </c>
      <c r="C178" s="286"/>
      <c r="D178" s="94" t="s">
        <v>310</v>
      </c>
      <c r="E178" s="55" t="s">
        <v>464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285" t="s">
        <v>314</v>
      </c>
      <c r="C179" s="286"/>
      <c r="D179" s="94" t="s">
        <v>310</v>
      </c>
      <c r="E179" s="55" t="s">
        <v>464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285" t="s">
        <v>315</v>
      </c>
      <c r="C180" s="286"/>
      <c r="D180" s="94" t="s">
        <v>310</v>
      </c>
      <c r="E180" s="55" t="s">
        <v>464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305" t="s">
        <v>318</v>
      </c>
      <c r="C181" s="306"/>
      <c r="D181" s="94" t="s">
        <v>310</v>
      </c>
      <c r="E181" s="55" t="s">
        <v>466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307" t="s">
        <v>319</v>
      </c>
      <c r="C182" s="308"/>
      <c r="D182" s="94" t="s">
        <v>310</v>
      </c>
      <c r="E182" s="55" t="s">
        <v>466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6" t="s">
        <v>320</v>
      </c>
      <c r="C183" s="67"/>
      <c r="D183" s="94" t="s">
        <v>310</v>
      </c>
      <c r="E183" s="55" t="s">
        <v>466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6" t="s">
        <v>316</v>
      </c>
      <c r="C184" s="67"/>
      <c r="D184" s="94" t="s">
        <v>310</v>
      </c>
      <c r="E184" s="55" t="s">
        <v>465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6" t="s">
        <v>322</v>
      </c>
      <c r="C185" s="67"/>
      <c r="D185" s="94" t="s">
        <v>310</v>
      </c>
      <c r="E185" s="55" t="s">
        <v>467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6" t="s">
        <v>317</v>
      </c>
      <c r="C186" s="67"/>
      <c r="D186" s="94" t="s">
        <v>310</v>
      </c>
      <c r="E186" s="55" t="s">
        <v>465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100</v>
      </c>
      <c r="D187" s="42" t="s">
        <v>386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309" t="s">
        <v>325</v>
      </c>
      <c r="C188" s="309"/>
      <c r="D188" s="61">
        <f>D39+D43+D56+D61+D76+D86+D99+D106+D117+D129+D187</f>
        <v>148</v>
      </c>
      <c r="E188" s="103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303"/>
      <c r="C189" s="303"/>
      <c r="D189" s="105"/>
      <c r="E189" s="104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303"/>
      <c r="C190" s="303"/>
      <c r="D190" s="276" t="s">
        <v>469</v>
      </c>
      <c r="E190" s="276"/>
      <c r="F190" s="276"/>
      <c r="G190" s="276"/>
      <c r="H190" s="276"/>
      <c r="I190" s="276"/>
      <c r="J190" s="276"/>
      <c r="K190" s="304" t="s">
        <v>497</v>
      </c>
      <c r="L190" s="304"/>
      <c r="M190" s="304"/>
      <c r="N190" s="103"/>
      <c r="O190" s="103"/>
      <c r="P190" s="304" t="s">
        <v>498</v>
      </c>
      <c r="Q190" s="304"/>
      <c r="R190" s="304"/>
      <c r="S190" s="304"/>
      <c r="T190" s="103"/>
      <c r="U190" s="103"/>
      <c r="V190" s="103"/>
      <c r="W190" s="103"/>
      <c r="X190" s="103"/>
      <c r="Y190" s="59"/>
      <c r="Z190" s="59"/>
      <c r="AA190" s="59"/>
      <c r="AB190" s="59"/>
    </row>
    <row r="191" spans="1:28" ht="20.100000000000001" customHeight="1">
      <c r="A191" s="32"/>
      <c r="B191" s="303"/>
      <c r="C191" s="303"/>
      <c r="D191" s="276"/>
      <c r="E191" s="276"/>
      <c r="F191" s="276"/>
      <c r="G191" s="276"/>
      <c r="H191" s="276"/>
      <c r="I191" s="276"/>
      <c r="J191" s="276"/>
      <c r="K191" s="304"/>
      <c r="L191" s="304"/>
      <c r="M191" s="304"/>
      <c r="N191" s="103"/>
      <c r="O191" s="103"/>
      <c r="P191" s="304"/>
      <c r="Q191" s="304"/>
      <c r="R191" s="304"/>
      <c r="S191" s="304"/>
      <c r="T191" s="103"/>
      <c r="U191" s="103"/>
      <c r="V191" s="103"/>
      <c r="W191" s="103"/>
      <c r="X191" s="103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L189" sqref="L18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10" t="s">
        <v>0</v>
      </c>
      <c r="B1" s="310"/>
      <c r="C1" s="310"/>
      <c r="D1" s="310"/>
      <c r="E1" s="310"/>
    </row>
    <row r="2" spans="1:7" ht="33.75" customHeight="1">
      <c r="A2" s="165" t="s">
        <v>499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2</v>
      </c>
      <c r="C4" s="171" t="s">
        <v>3</v>
      </c>
      <c r="D4" s="231" t="s">
        <v>4</v>
      </c>
      <c r="E4" s="175" t="s">
        <v>500</v>
      </c>
      <c r="F4" s="175" t="s">
        <v>501</v>
      </c>
      <c r="G4" s="175" t="s">
        <v>502</v>
      </c>
    </row>
    <row r="5" spans="1:7" ht="20.100000000000001" customHeight="1">
      <c r="A5" s="176" t="s">
        <v>26</v>
      </c>
      <c r="B5" s="177" t="s">
        <v>27</v>
      </c>
      <c r="C5" s="232"/>
      <c r="D5" s="177"/>
      <c r="E5" s="178" t="s">
        <v>25</v>
      </c>
      <c r="F5" s="178" t="s">
        <v>25</v>
      </c>
      <c r="G5" s="178" t="s">
        <v>25</v>
      </c>
    </row>
    <row r="6" spans="1:7" ht="20.100000000000001" customHeight="1">
      <c r="A6" s="28">
        <v>1</v>
      </c>
      <c r="B6" s="156" t="s">
        <v>28</v>
      </c>
      <c r="C6" s="233" t="s">
        <v>29</v>
      </c>
      <c r="D6" s="161" t="s">
        <v>30</v>
      </c>
      <c r="E6" s="244">
        <v>2000000</v>
      </c>
      <c r="F6" s="23">
        <v>0</v>
      </c>
      <c r="G6" s="244">
        <v>2000000</v>
      </c>
    </row>
    <row r="7" spans="1:7" ht="20.100000000000001" customHeight="1">
      <c r="A7" s="28">
        <v>2</v>
      </c>
      <c r="B7" s="156" t="s">
        <v>31</v>
      </c>
      <c r="C7" s="234" t="s">
        <v>32</v>
      </c>
      <c r="D7" s="28" t="s">
        <v>33</v>
      </c>
      <c r="E7" s="244">
        <v>700000</v>
      </c>
      <c r="F7" s="23">
        <v>0</v>
      </c>
      <c r="G7" s="244">
        <v>700000</v>
      </c>
    </row>
    <row r="8" spans="1:7" ht="20.100000000000001" customHeight="1">
      <c r="A8" s="28">
        <v>3</v>
      </c>
      <c r="B8" s="158" t="s">
        <v>34</v>
      </c>
      <c r="C8" s="234" t="s">
        <v>35</v>
      </c>
      <c r="D8" s="28" t="s">
        <v>41</v>
      </c>
      <c r="E8" s="244">
        <f>700000/2</f>
        <v>350000</v>
      </c>
      <c r="F8" s="23">
        <v>0</v>
      </c>
      <c r="G8" s="244">
        <f t="shared" ref="G8:G9" si="0">700000/2</f>
        <v>350000</v>
      </c>
    </row>
    <row r="9" spans="1:7" ht="20.100000000000001" customHeight="1">
      <c r="A9" s="28">
        <v>4</v>
      </c>
      <c r="B9" s="156" t="s">
        <v>36</v>
      </c>
      <c r="C9" s="233" t="s">
        <v>37</v>
      </c>
      <c r="D9" s="28" t="s">
        <v>426</v>
      </c>
      <c r="E9" s="244">
        <f>700000/2</f>
        <v>350000</v>
      </c>
      <c r="F9" s="23">
        <v>0</v>
      </c>
      <c r="G9" s="244">
        <f t="shared" si="0"/>
        <v>350000</v>
      </c>
    </row>
    <row r="10" spans="1:7" ht="20.100000000000001" customHeight="1">
      <c r="A10" s="28">
        <v>5</v>
      </c>
      <c r="B10" s="158" t="s">
        <v>39</v>
      </c>
      <c r="C10" s="234" t="s">
        <v>40</v>
      </c>
      <c r="D10" s="181" t="s">
        <v>503</v>
      </c>
      <c r="E10" s="244">
        <v>700000</v>
      </c>
      <c r="F10" s="23">
        <v>0</v>
      </c>
      <c r="G10" s="244">
        <v>700000</v>
      </c>
    </row>
    <row r="11" spans="1:7" ht="20.100000000000001" customHeight="1">
      <c r="A11" s="28">
        <v>6</v>
      </c>
      <c r="B11" s="158" t="s">
        <v>42</v>
      </c>
      <c r="C11" s="234" t="s">
        <v>43</v>
      </c>
      <c r="D11" s="24" t="s">
        <v>503</v>
      </c>
      <c r="E11" s="244">
        <v>700000</v>
      </c>
      <c r="F11" s="23">
        <v>0</v>
      </c>
      <c r="G11" s="244">
        <v>700000</v>
      </c>
    </row>
    <row r="12" spans="1:7" ht="20.100000000000001" customHeight="1">
      <c r="A12" s="28">
        <v>7</v>
      </c>
      <c r="B12" s="156" t="s">
        <v>44</v>
      </c>
      <c r="C12" s="235" t="s">
        <v>45</v>
      </c>
      <c r="D12" s="24" t="s">
        <v>503</v>
      </c>
      <c r="E12" s="244">
        <v>700000</v>
      </c>
      <c r="F12" s="23">
        <v>0</v>
      </c>
      <c r="G12" s="244">
        <v>700000</v>
      </c>
    </row>
    <row r="13" spans="1:7" ht="20.100000000000001" customHeight="1">
      <c r="A13" s="28">
        <v>8</v>
      </c>
      <c r="B13" s="158" t="s">
        <v>46</v>
      </c>
      <c r="C13" s="234" t="s">
        <v>47</v>
      </c>
      <c r="D13" s="24" t="s">
        <v>503</v>
      </c>
      <c r="E13" s="244">
        <v>700000</v>
      </c>
      <c r="F13" s="23">
        <v>0</v>
      </c>
      <c r="G13" s="244">
        <v>700000</v>
      </c>
    </row>
    <row r="14" spans="1:7" ht="20.100000000000001" customHeight="1">
      <c r="A14" s="28">
        <v>9</v>
      </c>
      <c r="B14" s="156" t="s">
        <v>48</v>
      </c>
      <c r="C14" s="233" t="s">
        <v>49</v>
      </c>
      <c r="D14" s="181" t="s">
        <v>50</v>
      </c>
      <c r="E14" s="244">
        <v>700000</v>
      </c>
      <c r="F14" s="23">
        <v>0</v>
      </c>
      <c r="G14" s="244">
        <v>700000</v>
      </c>
    </row>
    <row r="15" spans="1:7" ht="20.100000000000001" customHeight="1">
      <c r="A15" s="28">
        <v>10</v>
      </c>
      <c r="B15" s="157" t="s">
        <v>51</v>
      </c>
      <c r="C15" s="233" t="s">
        <v>52</v>
      </c>
      <c r="D15" s="28" t="s">
        <v>140</v>
      </c>
      <c r="E15" s="244">
        <v>700000</v>
      </c>
      <c r="F15" s="23">
        <v>0</v>
      </c>
      <c r="G15" s="244">
        <v>700000</v>
      </c>
    </row>
    <row r="16" spans="1:7" ht="20.100000000000001" customHeight="1">
      <c r="A16" s="28">
        <v>11</v>
      </c>
      <c r="B16" s="160" t="s">
        <v>54</v>
      </c>
      <c r="C16" s="234" t="s">
        <v>55</v>
      </c>
      <c r="D16" s="24" t="s">
        <v>123</v>
      </c>
      <c r="E16" s="244">
        <v>500000</v>
      </c>
      <c r="F16" s="23">
        <v>0</v>
      </c>
      <c r="G16" s="244">
        <v>500000</v>
      </c>
    </row>
    <row r="17" spans="1:7" ht="19.5" customHeight="1">
      <c r="A17" s="28">
        <v>12</v>
      </c>
      <c r="B17" s="158" t="s">
        <v>57</v>
      </c>
      <c r="C17" s="234" t="s">
        <v>58</v>
      </c>
      <c r="D17" s="28" t="s">
        <v>123</v>
      </c>
      <c r="E17" s="244">
        <v>500000</v>
      </c>
      <c r="F17" s="23">
        <v>0</v>
      </c>
      <c r="G17" s="244">
        <v>500000</v>
      </c>
    </row>
    <row r="18" spans="1:7" ht="19.5" customHeight="1">
      <c r="A18" s="28">
        <v>13</v>
      </c>
      <c r="B18" s="158" t="s">
        <v>59</v>
      </c>
      <c r="C18" s="234" t="s">
        <v>60</v>
      </c>
      <c r="D18" s="28" t="s">
        <v>123</v>
      </c>
      <c r="E18" s="244">
        <v>500000</v>
      </c>
      <c r="F18" s="23">
        <v>0</v>
      </c>
      <c r="G18" s="244">
        <v>500000</v>
      </c>
    </row>
    <row r="19" spans="1:7" ht="20.100000000000001" customHeight="1">
      <c r="A19" s="28">
        <v>14</v>
      </c>
      <c r="B19" s="156" t="s">
        <v>61</v>
      </c>
      <c r="C19" s="234" t="s">
        <v>58</v>
      </c>
      <c r="D19" s="181" t="s">
        <v>123</v>
      </c>
      <c r="E19" s="244">
        <v>500000</v>
      </c>
      <c r="F19" s="23">
        <v>0</v>
      </c>
      <c r="G19" s="244">
        <v>500000</v>
      </c>
    </row>
    <row r="20" spans="1:7" ht="20.100000000000001" customHeight="1">
      <c r="A20" s="28">
        <v>15</v>
      </c>
      <c r="B20" s="156" t="s">
        <v>62</v>
      </c>
      <c r="C20" s="233" t="s">
        <v>63</v>
      </c>
      <c r="D20" s="181" t="s">
        <v>431</v>
      </c>
      <c r="E20" s="244">
        <v>500000</v>
      </c>
      <c r="F20" s="244">
        <v>500000</v>
      </c>
      <c r="G20" s="23">
        <v>0</v>
      </c>
    </row>
    <row r="21" spans="1:7" ht="20.100000000000001" customHeight="1">
      <c r="A21" s="28">
        <v>16</v>
      </c>
      <c r="B21" s="157" t="s">
        <v>65</v>
      </c>
      <c r="C21" s="234" t="s">
        <v>66</v>
      </c>
      <c r="D21" s="181" t="s">
        <v>432</v>
      </c>
      <c r="E21" s="244">
        <v>500000</v>
      </c>
      <c r="F21" s="244">
        <v>500000</v>
      </c>
      <c r="G21" s="23">
        <v>0</v>
      </c>
    </row>
    <row r="22" spans="1:7" ht="20.100000000000001" customHeight="1">
      <c r="A22" s="28">
        <v>17</v>
      </c>
      <c r="B22" s="156" t="s">
        <v>68</v>
      </c>
      <c r="C22" s="233" t="s">
        <v>69</v>
      </c>
      <c r="D22" s="181" t="s">
        <v>73</v>
      </c>
      <c r="E22" s="244">
        <v>400000</v>
      </c>
      <c r="F22" s="244">
        <v>400000</v>
      </c>
      <c r="G22" s="23">
        <v>0</v>
      </c>
    </row>
    <row r="23" spans="1:7" ht="18.75" customHeight="1">
      <c r="A23" s="28">
        <v>18</v>
      </c>
      <c r="B23" s="156" t="s">
        <v>71</v>
      </c>
      <c r="C23" s="233" t="s">
        <v>72</v>
      </c>
      <c r="D23" s="181" t="s">
        <v>150</v>
      </c>
      <c r="E23" s="244">
        <v>400000</v>
      </c>
      <c r="F23" s="244">
        <v>400000</v>
      </c>
      <c r="G23" s="23">
        <v>0</v>
      </c>
    </row>
    <row r="24" spans="1:7" ht="18.75" customHeight="1">
      <c r="A24" s="28">
        <v>19</v>
      </c>
      <c r="B24" s="156" t="s">
        <v>74</v>
      </c>
      <c r="C24" s="234" t="s">
        <v>75</v>
      </c>
      <c r="D24" s="181" t="s">
        <v>150</v>
      </c>
      <c r="E24" s="244">
        <v>400000</v>
      </c>
      <c r="F24" s="244">
        <v>400000</v>
      </c>
      <c r="G24" s="23">
        <v>0</v>
      </c>
    </row>
    <row r="25" spans="1:7" ht="18.75" customHeight="1">
      <c r="A25" s="28">
        <v>20</v>
      </c>
      <c r="B25" s="157" t="s">
        <v>258</v>
      </c>
      <c r="C25" s="234" t="s">
        <v>384</v>
      </c>
      <c r="D25" s="181" t="s">
        <v>78</v>
      </c>
      <c r="E25" s="244">
        <v>300000</v>
      </c>
      <c r="F25" s="244">
        <v>300000</v>
      </c>
      <c r="G25" s="23">
        <v>0</v>
      </c>
    </row>
    <row r="26" spans="1:7" ht="18.75" customHeight="1">
      <c r="A26" s="28">
        <v>21</v>
      </c>
      <c r="B26" s="157" t="s">
        <v>76</v>
      </c>
      <c r="C26" s="233" t="s">
        <v>77</v>
      </c>
      <c r="D26" s="181" t="s">
        <v>155</v>
      </c>
      <c r="E26" s="244">
        <v>300000</v>
      </c>
      <c r="F26" s="244">
        <v>300000</v>
      </c>
      <c r="G26" s="23">
        <v>0</v>
      </c>
    </row>
    <row r="27" spans="1:7" ht="18.75" customHeight="1">
      <c r="A27" s="28">
        <v>22</v>
      </c>
      <c r="B27" s="20" t="s">
        <v>79</v>
      </c>
      <c r="C27" s="234" t="s">
        <v>80</v>
      </c>
      <c r="D27" s="28" t="s">
        <v>129</v>
      </c>
      <c r="E27" s="244">
        <v>300000</v>
      </c>
      <c r="F27" s="244">
        <v>300000</v>
      </c>
      <c r="G27" s="23">
        <v>0</v>
      </c>
    </row>
    <row r="28" spans="1:7" ht="18.75" customHeight="1">
      <c r="A28" s="28">
        <v>23</v>
      </c>
      <c r="B28" s="157" t="s">
        <v>82</v>
      </c>
      <c r="C28" s="233" t="s">
        <v>80</v>
      </c>
      <c r="D28" s="181" t="s">
        <v>129</v>
      </c>
      <c r="E28" s="244">
        <v>300000</v>
      </c>
      <c r="F28" s="244">
        <v>300000</v>
      </c>
      <c r="G28" s="23">
        <v>0</v>
      </c>
    </row>
    <row r="29" spans="1:7" ht="18.75" customHeight="1">
      <c r="A29" s="28">
        <v>24</v>
      </c>
      <c r="B29" s="156" t="s">
        <v>83</v>
      </c>
      <c r="C29" s="233" t="s">
        <v>84</v>
      </c>
      <c r="D29" s="181" t="s">
        <v>129</v>
      </c>
      <c r="E29" s="244">
        <v>300000</v>
      </c>
      <c r="F29" s="244">
        <v>300000</v>
      </c>
      <c r="G29" s="23">
        <v>0</v>
      </c>
    </row>
    <row r="30" spans="1:7" ht="18.75" customHeight="1">
      <c r="A30" s="28">
        <v>25</v>
      </c>
      <c r="B30" s="157" t="s">
        <v>85</v>
      </c>
      <c r="C30" s="233" t="s">
        <v>86</v>
      </c>
      <c r="D30" s="181" t="s">
        <v>435</v>
      </c>
      <c r="E30" s="244">
        <v>300000</v>
      </c>
      <c r="F30" s="244">
        <v>300000</v>
      </c>
      <c r="G30" s="23">
        <v>0</v>
      </c>
    </row>
    <row r="31" spans="1:7" ht="18.75" customHeight="1">
      <c r="A31" s="28">
        <v>26</v>
      </c>
      <c r="B31" s="156" t="s">
        <v>88</v>
      </c>
      <c r="C31" s="235" t="s">
        <v>89</v>
      </c>
      <c r="D31" s="181" t="s">
        <v>436</v>
      </c>
      <c r="E31" s="244">
        <v>300000</v>
      </c>
      <c r="F31" s="244">
        <v>300000</v>
      </c>
      <c r="G31" s="23">
        <v>0</v>
      </c>
    </row>
    <row r="32" spans="1:7" ht="18.75" customHeight="1">
      <c r="A32" s="28">
        <v>27</v>
      </c>
      <c r="B32" s="157" t="s">
        <v>91</v>
      </c>
      <c r="C32" s="234" t="s">
        <v>92</v>
      </c>
      <c r="D32" s="28" t="s">
        <v>436</v>
      </c>
      <c r="E32" s="244">
        <v>300000</v>
      </c>
      <c r="F32" s="244">
        <v>300000</v>
      </c>
      <c r="G32" s="23">
        <v>0</v>
      </c>
    </row>
    <row r="33" spans="1:7" ht="18.75" customHeight="1">
      <c r="A33" s="28">
        <v>28</v>
      </c>
      <c r="B33" s="157" t="s">
        <v>93</v>
      </c>
      <c r="C33" s="235" t="s">
        <v>94</v>
      </c>
      <c r="D33" s="181" t="s">
        <v>129</v>
      </c>
      <c r="E33" s="244">
        <v>300000</v>
      </c>
      <c r="F33" s="244">
        <v>300000</v>
      </c>
      <c r="G33" s="23">
        <v>0</v>
      </c>
    </row>
    <row r="34" spans="1:7" ht="18.75" customHeight="1">
      <c r="A34" s="28">
        <v>29</v>
      </c>
      <c r="B34" s="157" t="s">
        <v>504</v>
      </c>
      <c r="C34" s="235" t="s">
        <v>94</v>
      </c>
      <c r="D34" s="181" t="s">
        <v>107</v>
      </c>
      <c r="E34" s="244">
        <v>300000</v>
      </c>
      <c r="F34" s="244">
        <v>300000</v>
      </c>
      <c r="G34" s="23">
        <v>0</v>
      </c>
    </row>
    <row r="35" spans="1:7" ht="18.75" customHeight="1">
      <c r="A35" s="28">
        <v>30</v>
      </c>
      <c r="B35" s="157" t="s">
        <v>95</v>
      </c>
      <c r="C35" s="234" t="s">
        <v>385</v>
      </c>
      <c r="D35" s="28" t="s">
        <v>107</v>
      </c>
      <c r="E35" s="244">
        <v>300000</v>
      </c>
      <c r="F35" s="244">
        <v>300000</v>
      </c>
      <c r="G35" s="23">
        <v>0</v>
      </c>
    </row>
    <row r="36" spans="1:7" ht="18.75" customHeight="1">
      <c r="A36" s="28">
        <v>31</v>
      </c>
      <c r="B36" s="157" t="s">
        <v>98</v>
      </c>
      <c r="C36" s="233" t="s">
        <v>77</v>
      </c>
      <c r="D36" s="181" t="s">
        <v>107</v>
      </c>
      <c r="E36" s="244">
        <v>300000</v>
      </c>
      <c r="F36" s="244">
        <v>300000</v>
      </c>
      <c r="G36" s="23">
        <v>0</v>
      </c>
    </row>
    <row r="37" spans="1:7" ht="18.75" customHeight="1">
      <c r="A37" s="28">
        <v>32</v>
      </c>
      <c r="B37" s="157" t="s">
        <v>99</v>
      </c>
      <c r="C37" s="233" t="s">
        <v>77</v>
      </c>
      <c r="D37" s="181" t="s">
        <v>107</v>
      </c>
      <c r="E37" s="244">
        <v>300000</v>
      </c>
      <c r="F37" s="244">
        <v>300000</v>
      </c>
      <c r="G37" s="23">
        <v>0</v>
      </c>
    </row>
    <row r="38" spans="1:7" ht="26.25" customHeight="1">
      <c r="A38" s="28"/>
      <c r="B38" s="159" t="s">
        <v>100</v>
      </c>
      <c r="C38" s="236">
        <v>29</v>
      </c>
      <c r="D38" s="181"/>
      <c r="E38" s="245">
        <f>SUM(E6:E37)</f>
        <v>15700000</v>
      </c>
      <c r="F38" s="245">
        <f>SUM(F6:F37)</f>
        <v>6100000</v>
      </c>
      <c r="G38" s="245">
        <f t="shared" ref="G38" si="1">SUM(G6:G37)</f>
        <v>9600000</v>
      </c>
    </row>
    <row r="39" spans="1:7" ht="18.75" customHeight="1">
      <c r="A39" s="28"/>
      <c r="B39" s="123"/>
      <c r="C39" s="234"/>
      <c r="D39" s="181"/>
      <c r="E39" s="245"/>
      <c r="F39" s="244"/>
      <c r="G39" s="245"/>
    </row>
    <row r="40" spans="1:7" ht="18.75" customHeight="1">
      <c r="A40" s="28"/>
      <c r="B40" s="159" t="s">
        <v>101</v>
      </c>
      <c r="C40" s="234"/>
      <c r="D40" s="181"/>
      <c r="E40" s="244"/>
      <c r="F40" s="244"/>
      <c r="G40" s="244"/>
    </row>
    <row r="41" spans="1:7" ht="18.75" customHeight="1">
      <c r="A41" s="28">
        <v>1</v>
      </c>
      <c r="B41" s="157" t="s">
        <v>102</v>
      </c>
      <c r="C41" s="234" t="s">
        <v>103</v>
      </c>
      <c r="D41" s="28" t="s">
        <v>438</v>
      </c>
      <c r="E41" s="244">
        <v>1000000</v>
      </c>
      <c r="F41" s="23">
        <v>0</v>
      </c>
      <c r="G41" s="244">
        <v>1000000</v>
      </c>
    </row>
    <row r="42" spans="1:7" ht="18.75" customHeight="1">
      <c r="A42" s="28">
        <v>2</v>
      </c>
      <c r="B42" s="157" t="s">
        <v>105</v>
      </c>
      <c r="C42" s="234" t="s">
        <v>106</v>
      </c>
      <c r="D42" s="28" t="s">
        <v>107</v>
      </c>
      <c r="E42" s="244">
        <v>300000</v>
      </c>
      <c r="F42" s="244">
        <v>300000</v>
      </c>
      <c r="G42" s="23">
        <v>0</v>
      </c>
    </row>
    <row r="43" spans="1:7" ht="19.5" customHeight="1">
      <c r="A43" s="28"/>
      <c r="B43" s="158"/>
      <c r="C43" s="236">
        <v>2</v>
      </c>
      <c r="D43" s="28"/>
      <c r="E43" s="245">
        <f>SUM(E41:E42)</f>
        <v>1300000</v>
      </c>
      <c r="F43" s="245">
        <f t="shared" ref="F43:G43" si="2">SUM(F41:F42)</f>
        <v>300000</v>
      </c>
      <c r="G43" s="245">
        <f t="shared" si="2"/>
        <v>1000000</v>
      </c>
    </row>
    <row r="44" spans="1:7" ht="20.100000000000001" customHeight="1">
      <c r="A44" s="28"/>
      <c r="B44" s="158"/>
      <c r="C44" s="234"/>
      <c r="D44" s="28"/>
      <c r="E44" s="244"/>
      <c r="F44" s="244"/>
      <c r="G44" s="244"/>
    </row>
    <row r="45" spans="1:7" ht="20.100000000000001" customHeight="1">
      <c r="A45" s="28"/>
      <c r="B45" s="185" t="s">
        <v>108</v>
      </c>
      <c r="C45" s="237"/>
      <c r="D45" s="174"/>
      <c r="E45" s="244"/>
      <c r="F45" s="244"/>
      <c r="G45" s="244"/>
    </row>
    <row r="46" spans="1:7" ht="20.100000000000001" customHeight="1">
      <c r="A46" s="28">
        <v>1</v>
      </c>
      <c r="B46" s="156" t="s">
        <v>109</v>
      </c>
      <c r="C46" s="234" t="s">
        <v>110</v>
      </c>
      <c r="D46" s="28" t="s">
        <v>104</v>
      </c>
      <c r="E46" s="244">
        <v>1000000</v>
      </c>
      <c r="F46" s="23">
        <v>0</v>
      </c>
      <c r="G46" s="244">
        <v>1000000</v>
      </c>
    </row>
    <row r="47" spans="1:7" ht="20.100000000000001" customHeight="1">
      <c r="A47" s="28">
        <v>2</v>
      </c>
      <c r="B47" s="156" t="s">
        <v>111</v>
      </c>
      <c r="C47" s="234" t="s">
        <v>112</v>
      </c>
      <c r="D47" s="28" t="s">
        <v>50</v>
      </c>
      <c r="E47" s="244">
        <v>700000</v>
      </c>
      <c r="F47" s="23">
        <v>0</v>
      </c>
      <c r="G47" s="244">
        <v>700000</v>
      </c>
    </row>
    <row r="48" spans="1:7" ht="20.100000000000001" customHeight="1">
      <c r="A48" s="28">
        <v>3</v>
      </c>
      <c r="B48" s="156" t="s">
        <v>113</v>
      </c>
      <c r="C48" s="234" t="s">
        <v>114</v>
      </c>
      <c r="D48" s="28" t="s">
        <v>50</v>
      </c>
      <c r="E48" s="244">
        <v>700000</v>
      </c>
      <c r="F48" s="23">
        <v>0</v>
      </c>
      <c r="G48" s="244">
        <v>700000</v>
      </c>
    </row>
    <row r="49" spans="1:7" ht="20.100000000000001" customHeight="1">
      <c r="A49" s="28">
        <v>4</v>
      </c>
      <c r="B49" s="156" t="s">
        <v>115</v>
      </c>
      <c r="C49" s="234" t="s">
        <v>114</v>
      </c>
      <c r="D49" s="28" t="s">
        <v>117</v>
      </c>
      <c r="E49" s="244">
        <v>700000</v>
      </c>
      <c r="F49" s="23">
        <v>0</v>
      </c>
      <c r="G49" s="244">
        <v>700000</v>
      </c>
    </row>
    <row r="50" spans="1:7" ht="20.100000000000001" customHeight="1">
      <c r="A50" s="28">
        <v>5</v>
      </c>
      <c r="B50" s="156" t="s">
        <v>116</v>
      </c>
      <c r="C50" s="234" t="s">
        <v>114</v>
      </c>
      <c r="D50" s="28" t="s">
        <v>220</v>
      </c>
      <c r="E50" s="244">
        <v>700000</v>
      </c>
      <c r="F50" s="23">
        <v>0</v>
      </c>
      <c r="G50" s="244">
        <v>700000</v>
      </c>
    </row>
    <row r="51" spans="1:7" ht="20.100000000000001" customHeight="1">
      <c r="A51" s="28">
        <v>6</v>
      </c>
      <c r="B51" s="156" t="s">
        <v>118</v>
      </c>
      <c r="C51" s="234" t="s">
        <v>119</v>
      </c>
      <c r="D51" s="28" t="s">
        <v>123</v>
      </c>
      <c r="E51" s="244">
        <v>500000</v>
      </c>
      <c r="F51" s="23">
        <v>0</v>
      </c>
      <c r="G51" s="244">
        <v>500000</v>
      </c>
    </row>
    <row r="52" spans="1:7" ht="20.100000000000001" customHeight="1">
      <c r="A52" s="28">
        <v>7</v>
      </c>
      <c r="B52" s="158" t="s">
        <v>120</v>
      </c>
      <c r="C52" s="234" t="s">
        <v>121</v>
      </c>
      <c r="D52" s="24" t="s">
        <v>123</v>
      </c>
      <c r="E52" s="244">
        <v>500000</v>
      </c>
      <c r="F52" s="23">
        <v>0</v>
      </c>
      <c r="G52" s="244">
        <v>500000</v>
      </c>
    </row>
    <row r="53" spans="1:7" ht="20.100000000000001" customHeight="1">
      <c r="A53" s="28">
        <v>8</v>
      </c>
      <c r="B53" s="156" t="s">
        <v>122</v>
      </c>
      <c r="C53" s="234" t="s">
        <v>121</v>
      </c>
      <c r="D53" s="28" t="s">
        <v>487</v>
      </c>
      <c r="E53" s="244">
        <v>500000</v>
      </c>
      <c r="F53" s="23">
        <v>0</v>
      </c>
      <c r="G53" s="244">
        <v>500000</v>
      </c>
    </row>
    <row r="54" spans="1:7" ht="20.100000000000001" customHeight="1">
      <c r="A54" s="28">
        <v>9</v>
      </c>
      <c r="B54" s="156" t="s">
        <v>124</v>
      </c>
      <c r="C54" s="234" t="s">
        <v>125</v>
      </c>
      <c r="D54" s="28" t="s">
        <v>64</v>
      </c>
      <c r="E54" s="244">
        <v>500000</v>
      </c>
      <c r="F54" s="244">
        <v>500000</v>
      </c>
      <c r="G54" s="23">
        <v>0</v>
      </c>
    </row>
    <row r="55" spans="1:7" ht="20.100000000000001" customHeight="1">
      <c r="A55" s="28">
        <v>10</v>
      </c>
      <c r="B55" s="156" t="s">
        <v>127</v>
      </c>
      <c r="C55" s="234" t="s">
        <v>128</v>
      </c>
      <c r="D55" s="28" t="s">
        <v>129</v>
      </c>
      <c r="E55" s="244">
        <v>300000</v>
      </c>
      <c r="F55" s="244">
        <v>300000</v>
      </c>
      <c r="G55" s="23">
        <v>0</v>
      </c>
    </row>
    <row r="56" spans="1:7" ht="20.100000000000001" customHeight="1">
      <c r="A56" s="28">
        <v>11</v>
      </c>
      <c r="B56" s="156" t="s">
        <v>130</v>
      </c>
      <c r="C56" s="234" t="s">
        <v>128</v>
      </c>
      <c r="D56" s="28" t="s">
        <v>129</v>
      </c>
      <c r="E56" s="244">
        <v>300000</v>
      </c>
      <c r="F56" s="244">
        <v>300000</v>
      </c>
      <c r="G56" s="23">
        <v>0</v>
      </c>
    </row>
    <row r="57" spans="1:7" ht="20.100000000000001" customHeight="1">
      <c r="A57" s="28">
        <v>12</v>
      </c>
      <c r="B57" s="156" t="s">
        <v>131</v>
      </c>
      <c r="C57" s="234" t="s">
        <v>128</v>
      </c>
      <c r="D57" s="28" t="s">
        <v>129</v>
      </c>
      <c r="E57" s="244">
        <v>300000</v>
      </c>
      <c r="F57" s="244">
        <v>300000</v>
      </c>
      <c r="G57" s="23">
        <v>0</v>
      </c>
    </row>
    <row r="58" spans="1:7" ht="25.5" customHeight="1">
      <c r="A58" s="28"/>
      <c r="B58" s="159" t="s">
        <v>100</v>
      </c>
      <c r="C58" s="236">
        <v>11</v>
      </c>
      <c r="D58" s="29"/>
      <c r="E58" s="246">
        <f>SUM(E46:E57)</f>
        <v>6700000</v>
      </c>
      <c r="F58" s="246">
        <f t="shared" ref="F58:G58" si="3">SUM(F46:F57)</f>
        <v>1400000</v>
      </c>
      <c r="G58" s="246">
        <f t="shared" si="3"/>
        <v>5300000</v>
      </c>
    </row>
    <row r="59" spans="1:7" ht="20.100000000000001" customHeight="1">
      <c r="A59" s="28"/>
      <c r="B59" s="123"/>
      <c r="C59" s="236"/>
      <c r="D59" s="29"/>
      <c r="E59" s="247"/>
      <c r="F59" s="247"/>
      <c r="G59" s="247"/>
    </row>
    <row r="60" spans="1:7" ht="20.100000000000001" customHeight="1">
      <c r="A60" s="28"/>
      <c r="B60" s="159" t="s">
        <v>132</v>
      </c>
      <c r="C60" s="236"/>
      <c r="D60" s="29"/>
      <c r="E60" s="247"/>
      <c r="F60" s="247"/>
      <c r="G60" s="247"/>
    </row>
    <row r="61" spans="1:7" ht="20.100000000000001" customHeight="1">
      <c r="A61" s="28">
        <v>1</v>
      </c>
      <c r="B61" s="156" t="s">
        <v>133</v>
      </c>
      <c r="C61" s="233" t="s">
        <v>134</v>
      </c>
      <c r="D61" s="181" t="s">
        <v>104</v>
      </c>
      <c r="E61" s="244">
        <f>1000000/2</f>
        <v>500000</v>
      </c>
      <c r="F61" s="23">
        <v>0</v>
      </c>
      <c r="G61" s="244">
        <f t="shared" ref="G61" si="4">1000000/2</f>
        <v>500000</v>
      </c>
    </row>
    <row r="62" spans="1:7" ht="20.100000000000001" customHeight="1">
      <c r="A62" s="28"/>
      <c r="B62" s="159" t="s">
        <v>100</v>
      </c>
      <c r="C62" s="236">
        <v>2</v>
      </c>
      <c r="D62" s="29"/>
      <c r="E62" s="246">
        <f>SUM(E61)</f>
        <v>500000</v>
      </c>
      <c r="F62" s="68">
        <f t="shared" ref="F62:G62" si="5">SUM(F61)</f>
        <v>0</v>
      </c>
      <c r="G62" s="246">
        <f t="shared" si="5"/>
        <v>500000</v>
      </c>
    </row>
    <row r="63" spans="1:7" ht="20.100000000000001" customHeight="1">
      <c r="A63" s="28"/>
      <c r="B63" s="159"/>
      <c r="C63" s="236"/>
      <c r="D63" s="29"/>
      <c r="E63" s="247"/>
      <c r="F63" s="247"/>
      <c r="G63" s="247"/>
    </row>
    <row r="64" spans="1:7" ht="20.100000000000001" customHeight="1">
      <c r="A64" s="28"/>
      <c r="B64" s="159" t="s">
        <v>135</v>
      </c>
      <c r="C64" s="236"/>
      <c r="D64" s="29"/>
      <c r="E64" s="247"/>
      <c r="F64" s="247"/>
      <c r="G64" s="247"/>
    </row>
    <row r="65" spans="1:7" ht="20.100000000000001" customHeight="1">
      <c r="A65" s="28">
        <v>1</v>
      </c>
      <c r="B65" s="156" t="s">
        <v>136</v>
      </c>
      <c r="C65" s="235" t="s">
        <v>137</v>
      </c>
      <c r="D65" s="28" t="s">
        <v>104</v>
      </c>
      <c r="E65" s="248">
        <f>1000000/2</f>
        <v>500000</v>
      </c>
      <c r="F65" s="25">
        <v>0</v>
      </c>
      <c r="G65" s="248">
        <f t="shared" ref="G65" si="6">1000000/2</f>
        <v>500000</v>
      </c>
    </row>
    <row r="66" spans="1:7" ht="20.100000000000001" customHeight="1">
      <c r="A66" s="28">
        <v>2</v>
      </c>
      <c r="B66" s="157" t="s">
        <v>138</v>
      </c>
      <c r="C66" s="235" t="s">
        <v>139</v>
      </c>
      <c r="D66" s="181" t="s">
        <v>140</v>
      </c>
      <c r="E66" s="244">
        <f>700000/2</f>
        <v>350000</v>
      </c>
      <c r="F66" s="25">
        <v>0</v>
      </c>
      <c r="G66" s="244">
        <f t="shared" ref="G66" si="7">700000/2</f>
        <v>350000</v>
      </c>
    </row>
    <row r="67" spans="1:7" ht="20.100000000000001" customHeight="1">
      <c r="A67" s="28">
        <v>3</v>
      </c>
      <c r="B67" s="156" t="s">
        <v>141</v>
      </c>
      <c r="C67" s="234" t="s">
        <v>142</v>
      </c>
      <c r="D67" s="28" t="s">
        <v>64</v>
      </c>
      <c r="E67" s="248">
        <v>500000</v>
      </c>
      <c r="F67" s="248">
        <v>500000</v>
      </c>
      <c r="G67" s="25">
        <v>0</v>
      </c>
    </row>
    <row r="68" spans="1:7" ht="20.100000000000001" customHeight="1">
      <c r="A68" s="28">
        <v>4</v>
      </c>
      <c r="B68" s="157" t="s">
        <v>143</v>
      </c>
      <c r="C68" s="235" t="s">
        <v>142</v>
      </c>
      <c r="D68" s="181" t="s">
        <v>431</v>
      </c>
      <c r="E68" s="248">
        <v>500000</v>
      </c>
      <c r="F68" s="248">
        <v>500000</v>
      </c>
      <c r="G68" s="25">
        <v>0</v>
      </c>
    </row>
    <row r="69" spans="1:7" ht="20.100000000000001" customHeight="1">
      <c r="A69" s="28">
        <v>5</v>
      </c>
      <c r="B69" s="158" t="s">
        <v>144</v>
      </c>
      <c r="C69" s="235" t="s">
        <v>121</v>
      </c>
      <c r="D69" s="181" t="s">
        <v>123</v>
      </c>
      <c r="E69" s="248">
        <v>500000</v>
      </c>
      <c r="F69" s="25">
        <v>0</v>
      </c>
      <c r="G69" s="248">
        <v>500000</v>
      </c>
    </row>
    <row r="70" spans="1:7" ht="20.100000000000001" customHeight="1">
      <c r="A70" s="28">
        <v>6</v>
      </c>
      <c r="B70" s="156" t="s">
        <v>145</v>
      </c>
      <c r="C70" s="234" t="s">
        <v>128</v>
      </c>
      <c r="D70" s="28" t="s">
        <v>441</v>
      </c>
      <c r="E70" s="244">
        <v>300000</v>
      </c>
      <c r="F70" s="248">
        <v>300000</v>
      </c>
      <c r="G70" s="25">
        <v>0</v>
      </c>
    </row>
    <row r="71" spans="1:7" ht="20.100000000000001" customHeight="1">
      <c r="A71" s="28">
        <v>7</v>
      </c>
      <c r="B71" s="156" t="s">
        <v>147</v>
      </c>
      <c r="C71" s="235" t="s">
        <v>148</v>
      </c>
      <c r="D71" s="181" t="s">
        <v>73</v>
      </c>
      <c r="E71" s="244">
        <v>400000</v>
      </c>
      <c r="F71" s="248">
        <v>400000</v>
      </c>
      <c r="G71" s="23">
        <v>0</v>
      </c>
    </row>
    <row r="72" spans="1:7" ht="20.100000000000001" customHeight="1">
      <c r="A72" s="28">
        <v>8</v>
      </c>
      <c r="B72" s="156" t="s">
        <v>149</v>
      </c>
      <c r="C72" s="235" t="s">
        <v>148</v>
      </c>
      <c r="D72" s="181" t="s">
        <v>150</v>
      </c>
      <c r="E72" s="244">
        <v>400000</v>
      </c>
      <c r="F72" s="248">
        <v>400000</v>
      </c>
      <c r="G72" s="23">
        <v>0</v>
      </c>
    </row>
    <row r="73" spans="1:7" ht="20.100000000000001" customHeight="1">
      <c r="A73" s="28">
        <v>9</v>
      </c>
      <c r="B73" s="156" t="s">
        <v>151</v>
      </c>
      <c r="C73" s="235" t="s">
        <v>148</v>
      </c>
      <c r="D73" s="181" t="s">
        <v>150</v>
      </c>
      <c r="E73" s="244">
        <v>400000</v>
      </c>
      <c r="F73" s="248">
        <v>400000</v>
      </c>
      <c r="G73" s="23">
        <v>0</v>
      </c>
    </row>
    <row r="74" spans="1:7" ht="20.100000000000001" customHeight="1">
      <c r="A74" s="28">
        <v>10</v>
      </c>
      <c r="B74" s="156" t="s">
        <v>152</v>
      </c>
      <c r="C74" s="234" t="s">
        <v>153</v>
      </c>
      <c r="D74" s="28" t="s">
        <v>150</v>
      </c>
      <c r="E74" s="244">
        <v>400000</v>
      </c>
      <c r="F74" s="248">
        <v>400000</v>
      </c>
      <c r="G74" s="23">
        <v>0</v>
      </c>
    </row>
    <row r="75" spans="1:7" ht="20.100000000000001" customHeight="1">
      <c r="A75" s="28">
        <v>11</v>
      </c>
      <c r="B75" s="156" t="s">
        <v>154</v>
      </c>
      <c r="C75" s="235" t="s">
        <v>128</v>
      </c>
      <c r="D75" s="28" t="s">
        <v>184</v>
      </c>
      <c r="E75" s="244">
        <v>300000</v>
      </c>
      <c r="F75" s="248">
        <v>300000</v>
      </c>
      <c r="G75" s="23">
        <v>0</v>
      </c>
    </row>
    <row r="76" spans="1:7" ht="20.100000000000001" customHeight="1">
      <c r="A76" s="28">
        <v>12</v>
      </c>
      <c r="B76" s="156" t="s">
        <v>156</v>
      </c>
      <c r="C76" s="235" t="s">
        <v>157</v>
      </c>
      <c r="D76" s="28" t="s">
        <v>129</v>
      </c>
      <c r="E76" s="244">
        <v>300000</v>
      </c>
      <c r="F76" s="248">
        <v>300000</v>
      </c>
      <c r="G76" s="23">
        <v>0</v>
      </c>
    </row>
    <row r="77" spans="1:7" ht="20.100000000000001" customHeight="1">
      <c r="A77" s="28">
        <v>13</v>
      </c>
      <c r="B77" s="158" t="s">
        <v>158</v>
      </c>
      <c r="C77" s="235" t="s">
        <v>157</v>
      </c>
      <c r="D77" s="28" t="s">
        <v>107</v>
      </c>
      <c r="E77" s="244">
        <v>300000</v>
      </c>
      <c r="F77" s="244">
        <v>300000</v>
      </c>
      <c r="G77" s="23">
        <v>0</v>
      </c>
    </row>
    <row r="78" spans="1:7" ht="20.100000000000001" customHeight="1">
      <c r="A78" s="28"/>
      <c r="B78" s="159" t="s">
        <v>100</v>
      </c>
      <c r="C78" s="236">
        <v>13</v>
      </c>
      <c r="D78" s="29"/>
      <c r="E78" s="246">
        <f>SUM(E65:E77)</f>
        <v>5150000</v>
      </c>
      <c r="F78" s="246">
        <f t="shared" ref="F78:G78" si="8">SUM(F65:F77)</f>
        <v>3800000</v>
      </c>
      <c r="G78" s="246">
        <f t="shared" si="8"/>
        <v>1350000</v>
      </c>
    </row>
    <row r="79" spans="1:7" ht="20.100000000000001" customHeight="1">
      <c r="A79" s="28"/>
      <c r="B79" s="123"/>
      <c r="C79" s="236"/>
      <c r="D79" s="29"/>
      <c r="E79" s="247"/>
      <c r="F79" s="247"/>
      <c r="G79" s="247"/>
    </row>
    <row r="80" spans="1:7" ht="20.100000000000001" customHeight="1">
      <c r="A80" s="28"/>
      <c r="B80" s="159" t="s">
        <v>159</v>
      </c>
      <c r="C80" s="236"/>
      <c r="D80" s="29"/>
      <c r="E80" s="247"/>
      <c r="F80" s="247"/>
      <c r="G80" s="247"/>
    </row>
    <row r="81" spans="1:7" ht="20.100000000000001" customHeight="1">
      <c r="A81" s="28">
        <v>1</v>
      </c>
      <c r="B81" s="156" t="s">
        <v>160</v>
      </c>
      <c r="C81" s="234" t="s">
        <v>161</v>
      </c>
      <c r="D81" s="28" t="s">
        <v>104</v>
      </c>
      <c r="E81" s="244">
        <v>1000000</v>
      </c>
      <c r="F81" s="23">
        <v>0</v>
      </c>
      <c r="G81" s="244">
        <v>1000000</v>
      </c>
    </row>
    <row r="82" spans="1:7" ht="20.100000000000001" customHeight="1">
      <c r="A82" s="28">
        <v>2</v>
      </c>
      <c r="B82" s="158" t="s">
        <v>162</v>
      </c>
      <c r="C82" s="234" t="s">
        <v>163</v>
      </c>
      <c r="D82" s="181" t="s">
        <v>140</v>
      </c>
      <c r="E82" s="244">
        <v>700000</v>
      </c>
      <c r="F82" s="23">
        <v>0</v>
      </c>
      <c r="G82" s="244">
        <v>700000</v>
      </c>
    </row>
    <row r="83" spans="1:7" ht="20.100000000000001" customHeight="1">
      <c r="A83" s="28">
        <v>3</v>
      </c>
      <c r="B83" s="158" t="s">
        <v>164</v>
      </c>
      <c r="C83" s="234" t="s">
        <v>165</v>
      </c>
      <c r="D83" s="181" t="s">
        <v>140</v>
      </c>
      <c r="E83" s="244">
        <f>700000/2</f>
        <v>350000</v>
      </c>
      <c r="F83" s="23">
        <v>0</v>
      </c>
      <c r="G83" s="244">
        <f t="shared" ref="G83" si="9">700000/2</f>
        <v>350000</v>
      </c>
    </row>
    <row r="84" spans="1:7" ht="20.100000000000001" customHeight="1">
      <c r="A84" s="28">
        <v>4</v>
      </c>
      <c r="B84" s="156" t="s">
        <v>166</v>
      </c>
      <c r="C84" s="234" t="s">
        <v>167</v>
      </c>
      <c r="D84" s="181" t="s">
        <v>64</v>
      </c>
      <c r="E84" s="244">
        <v>500000</v>
      </c>
      <c r="F84" s="244">
        <v>500000</v>
      </c>
      <c r="G84" s="23">
        <v>0</v>
      </c>
    </row>
    <row r="85" spans="1:7" ht="20.100000000000001" customHeight="1">
      <c r="A85" s="28">
        <v>5</v>
      </c>
      <c r="B85" s="156" t="s">
        <v>168</v>
      </c>
      <c r="C85" s="234" t="s">
        <v>169</v>
      </c>
      <c r="D85" s="28" t="s">
        <v>184</v>
      </c>
      <c r="E85" s="244">
        <v>300000</v>
      </c>
      <c r="F85" s="244">
        <v>300000</v>
      </c>
      <c r="G85" s="23">
        <v>0</v>
      </c>
    </row>
    <row r="86" spans="1:7" ht="20.100000000000001" customHeight="1">
      <c r="A86" s="28"/>
      <c r="B86" s="159" t="s">
        <v>100</v>
      </c>
      <c r="C86" s="236">
        <v>5</v>
      </c>
      <c r="D86" s="29"/>
      <c r="E86" s="246">
        <f>SUM(E81:E85)</f>
        <v>2850000</v>
      </c>
      <c r="F86" s="246">
        <f>SUM(F81:F85)</f>
        <v>800000</v>
      </c>
      <c r="G86" s="246">
        <f t="shared" ref="G86" si="10">SUM(G81:G85)</f>
        <v>2050000</v>
      </c>
    </row>
    <row r="87" spans="1:7" ht="20.100000000000001" customHeight="1">
      <c r="A87" s="28"/>
      <c r="B87" s="159"/>
      <c r="C87" s="236"/>
      <c r="D87" s="29"/>
      <c r="E87" s="244"/>
      <c r="F87" s="244"/>
      <c r="G87" s="244"/>
    </row>
    <row r="88" spans="1:7" ht="20.100000000000001" customHeight="1">
      <c r="A88" s="28"/>
      <c r="B88" s="159" t="s">
        <v>170</v>
      </c>
      <c r="C88" s="238"/>
      <c r="D88" s="29"/>
      <c r="E88" s="244"/>
      <c r="F88" s="244"/>
      <c r="G88" s="244"/>
    </row>
    <row r="89" spans="1:7" ht="20.100000000000001" customHeight="1">
      <c r="A89" s="28">
        <v>1</v>
      </c>
      <c r="B89" s="156" t="s">
        <v>444</v>
      </c>
      <c r="C89" s="234" t="s">
        <v>172</v>
      </c>
      <c r="D89" s="28" t="s">
        <v>41</v>
      </c>
      <c r="E89" s="244">
        <v>700000</v>
      </c>
      <c r="F89" s="23">
        <v>0</v>
      </c>
      <c r="G89" s="244">
        <v>700000</v>
      </c>
    </row>
    <row r="90" spans="1:7" ht="20.100000000000001" customHeight="1">
      <c r="A90" s="28">
        <v>2</v>
      </c>
      <c r="B90" s="156" t="s">
        <v>173</v>
      </c>
      <c r="C90" s="234" t="s">
        <v>114</v>
      </c>
      <c r="D90" s="28" t="s">
        <v>50</v>
      </c>
      <c r="E90" s="244">
        <v>700000</v>
      </c>
      <c r="F90" s="23">
        <v>0</v>
      </c>
      <c r="G90" s="244">
        <v>700000</v>
      </c>
    </row>
    <row r="91" spans="1:7" ht="20.100000000000001" customHeight="1">
      <c r="A91" s="28">
        <v>3</v>
      </c>
      <c r="B91" s="156" t="s">
        <v>174</v>
      </c>
      <c r="C91" s="234" t="s">
        <v>114</v>
      </c>
      <c r="D91" s="28" t="s">
        <v>50</v>
      </c>
      <c r="E91" s="244">
        <v>700000</v>
      </c>
      <c r="F91" s="23">
        <v>0</v>
      </c>
      <c r="G91" s="244">
        <v>700000</v>
      </c>
    </row>
    <row r="92" spans="1:7" ht="20.100000000000001" customHeight="1">
      <c r="A92" s="28">
        <v>4</v>
      </c>
      <c r="B92" s="158" t="s">
        <v>175</v>
      </c>
      <c r="C92" s="234" t="s">
        <v>121</v>
      </c>
      <c r="D92" s="28" t="s">
        <v>56</v>
      </c>
      <c r="E92" s="248">
        <v>500000</v>
      </c>
      <c r="F92" s="23">
        <v>0</v>
      </c>
      <c r="G92" s="248">
        <v>500000</v>
      </c>
    </row>
    <row r="93" spans="1:7" ht="20.100000000000001" customHeight="1">
      <c r="A93" s="28">
        <v>5</v>
      </c>
      <c r="B93" s="156" t="s">
        <v>177</v>
      </c>
      <c r="C93" s="234" t="s">
        <v>119</v>
      </c>
      <c r="D93" s="28" t="s">
        <v>123</v>
      </c>
      <c r="E93" s="248">
        <v>500000</v>
      </c>
      <c r="F93" s="23">
        <v>0</v>
      </c>
      <c r="G93" s="248">
        <v>500000</v>
      </c>
    </row>
    <row r="94" spans="1:7" ht="21.6" customHeight="1">
      <c r="A94" s="28">
        <v>6</v>
      </c>
      <c r="B94" s="156" t="s">
        <v>178</v>
      </c>
      <c r="C94" s="234" t="s">
        <v>125</v>
      </c>
      <c r="D94" s="181" t="s">
        <v>64</v>
      </c>
      <c r="E94" s="248">
        <v>500000</v>
      </c>
      <c r="F94" s="244">
        <v>500000</v>
      </c>
      <c r="G94" s="25">
        <v>0</v>
      </c>
    </row>
    <row r="95" spans="1:7" ht="21.6" customHeight="1">
      <c r="A95" s="28">
        <v>7</v>
      </c>
      <c r="B95" s="156" t="s">
        <v>179</v>
      </c>
      <c r="C95" s="233" t="s">
        <v>142</v>
      </c>
      <c r="D95" s="181" t="s">
        <v>431</v>
      </c>
      <c r="E95" s="248">
        <v>500000</v>
      </c>
      <c r="F95" s="244">
        <v>500000</v>
      </c>
      <c r="G95" s="25">
        <v>0</v>
      </c>
    </row>
    <row r="96" spans="1:7" ht="21.6" customHeight="1">
      <c r="A96" s="28">
        <v>8</v>
      </c>
      <c r="B96" s="156" t="s">
        <v>180</v>
      </c>
      <c r="C96" s="233" t="s">
        <v>142</v>
      </c>
      <c r="D96" s="181" t="s">
        <v>431</v>
      </c>
      <c r="E96" s="248">
        <f>500000/2</f>
        <v>250000</v>
      </c>
      <c r="F96" s="248">
        <f>500000/2</f>
        <v>250000</v>
      </c>
      <c r="G96" s="25">
        <v>0</v>
      </c>
    </row>
    <row r="97" spans="1:7" ht="21.6" customHeight="1">
      <c r="A97" s="28">
        <v>9</v>
      </c>
      <c r="B97" s="156" t="s">
        <v>181</v>
      </c>
      <c r="C97" s="235" t="s">
        <v>148</v>
      </c>
      <c r="D97" s="181" t="s">
        <v>150</v>
      </c>
      <c r="E97" s="244">
        <v>400000</v>
      </c>
      <c r="F97" s="244">
        <v>400000</v>
      </c>
      <c r="G97" s="25">
        <v>0</v>
      </c>
    </row>
    <row r="98" spans="1:7" ht="21.6" customHeight="1">
      <c r="A98" s="28">
        <v>10</v>
      </c>
      <c r="B98" s="156" t="s">
        <v>182</v>
      </c>
      <c r="C98" s="234" t="s">
        <v>183</v>
      </c>
      <c r="D98" s="28" t="s">
        <v>184</v>
      </c>
      <c r="E98" s="244">
        <v>300000</v>
      </c>
      <c r="F98" s="244">
        <v>300000</v>
      </c>
      <c r="G98" s="25">
        <v>0</v>
      </c>
    </row>
    <row r="99" spans="1:7" ht="21.6" customHeight="1">
      <c r="A99" s="28">
        <v>11</v>
      </c>
      <c r="B99" s="156" t="s">
        <v>185</v>
      </c>
      <c r="C99" s="235" t="s">
        <v>186</v>
      </c>
      <c r="D99" s="181" t="s">
        <v>107</v>
      </c>
      <c r="E99" s="244">
        <v>300000</v>
      </c>
      <c r="F99" s="244">
        <v>300000</v>
      </c>
      <c r="G99" s="25">
        <v>0</v>
      </c>
    </row>
    <row r="100" spans="1:7" ht="20.100000000000001" customHeight="1">
      <c r="A100" s="28"/>
      <c r="B100" s="159" t="s">
        <v>100</v>
      </c>
      <c r="C100" s="236">
        <v>10</v>
      </c>
      <c r="D100" s="29"/>
      <c r="E100" s="246">
        <f>SUM(E89:E99)</f>
        <v>5350000</v>
      </c>
      <c r="F100" s="246">
        <f t="shared" ref="F100:G100" si="11">SUM(F89:F99)</f>
        <v>2250000</v>
      </c>
      <c r="G100" s="246">
        <f t="shared" si="11"/>
        <v>3100000</v>
      </c>
    </row>
    <row r="101" spans="1:7" ht="20.100000000000001" customHeight="1">
      <c r="A101" s="28"/>
      <c r="B101" s="123"/>
      <c r="C101" s="236"/>
      <c r="D101" s="29"/>
      <c r="E101" s="247"/>
      <c r="F101" s="247"/>
      <c r="G101" s="247"/>
    </row>
    <row r="102" spans="1:7" ht="20.100000000000001" customHeight="1">
      <c r="A102" s="28"/>
      <c r="B102" s="159" t="s">
        <v>505</v>
      </c>
      <c r="C102" s="236"/>
      <c r="D102" s="29"/>
      <c r="E102" s="247"/>
      <c r="F102" s="247"/>
      <c r="G102" s="247"/>
    </row>
    <row r="103" spans="1:7" ht="20.100000000000001" customHeight="1">
      <c r="A103" s="28">
        <v>1</v>
      </c>
      <c r="B103" s="157" t="s">
        <v>188</v>
      </c>
      <c r="C103" s="239" t="s">
        <v>189</v>
      </c>
      <c r="D103" s="181" t="s">
        <v>41</v>
      </c>
      <c r="E103" s="244">
        <v>700000</v>
      </c>
      <c r="F103" s="23">
        <v>0</v>
      </c>
      <c r="G103" s="244">
        <v>700000</v>
      </c>
    </row>
    <row r="104" spans="1:7" ht="20.100000000000001" customHeight="1">
      <c r="A104" s="28">
        <v>2</v>
      </c>
      <c r="B104" s="156" t="s">
        <v>190</v>
      </c>
      <c r="C104" s="234" t="s">
        <v>191</v>
      </c>
      <c r="D104" s="28" t="s">
        <v>123</v>
      </c>
      <c r="E104" s="244">
        <v>500000</v>
      </c>
      <c r="F104" s="23">
        <v>0</v>
      </c>
      <c r="G104" s="244">
        <v>500000</v>
      </c>
    </row>
    <row r="105" spans="1:7" ht="20.100000000000001" customHeight="1">
      <c r="A105" s="28">
        <v>3</v>
      </c>
      <c r="B105" s="157" t="s">
        <v>192</v>
      </c>
      <c r="C105" s="234" t="s">
        <v>193</v>
      </c>
      <c r="D105" s="181" t="s">
        <v>431</v>
      </c>
      <c r="E105" s="244">
        <v>500000</v>
      </c>
      <c r="F105" s="244">
        <v>500000</v>
      </c>
      <c r="G105" s="23">
        <v>0</v>
      </c>
    </row>
    <row r="106" spans="1:7" ht="20.100000000000001" customHeight="1">
      <c r="A106" s="28">
        <v>4</v>
      </c>
      <c r="B106" s="156" t="s">
        <v>194</v>
      </c>
      <c r="C106" s="234" t="s">
        <v>195</v>
      </c>
      <c r="D106" s="181" t="s">
        <v>150</v>
      </c>
      <c r="E106" s="244">
        <v>400000</v>
      </c>
      <c r="F106" s="244">
        <v>400000</v>
      </c>
      <c r="G106" s="23">
        <v>0</v>
      </c>
    </row>
    <row r="107" spans="1:7" ht="20.100000000000001" customHeight="1">
      <c r="A107" s="20"/>
      <c r="B107" s="159" t="s">
        <v>100</v>
      </c>
      <c r="C107" s="236">
        <v>4</v>
      </c>
      <c r="D107" s="187"/>
      <c r="E107" s="246">
        <f>SUM(E103:E106)</f>
        <v>2100000</v>
      </c>
      <c r="F107" s="246">
        <f t="shared" ref="F107:G107" si="12">SUM(F103:F106)</f>
        <v>900000</v>
      </c>
      <c r="G107" s="246">
        <f t="shared" si="12"/>
        <v>1200000</v>
      </c>
    </row>
    <row r="108" spans="1:7" ht="20.100000000000001" customHeight="1">
      <c r="A108" s="20"/>
      <c r="B108" s="123"/>
      <c r="C108" s="236"/>
      <c r="D108" s="187"/>
      <c r="E108" s="247"/>
      <c r="F108" s="247"/>
      <c r="G108" s="247"/>
    </row>
    <row r="109" spans="1:7" ht="20.100000000000001" customHeight="1">
      <c r="A109" s="20"/>
      <c r="B109" s="159" t="s">
        <v>196</v>
      </c>
      <c r="C109" s="234"/>
      <c r="D109" s="20"/>
      <c r="E109" s="249"/>
      <c r="F109" s="249"/>
      <c r="G109" s="249"/>
    </row>
    <row r="110" spans="1:7" ht="20.100000000000001" customHeight="1">
      <c r="A110" s="20">
        <v>1</v>
      </c>
      <c r="B110" s="156" t="s">
        <v>197</v>
      </c>
      <c r="C110" s="233" t="s">
        <v>198</v>
      </c>
      <c r="D110" s="181" t="s">
        <v>104</v>
      </c>
      <c r="E110" s="244">
        <v>1000000</v>
      </c>
      <c r="F110" s="23">
        <v>0</v>
      </c>
      <c r="G110" s="244">
        <v>1000000</v>
      </c>
    </row>
    <row r="111" spans="1:7" ht="20.100000000000001" customHeight="1">
      <c r="A111" s="20">
        <v>2</v>
      </c>
      <c r="B111" s="156" t="s">
        <v>199</v>
      </c>
      <c r="C111" s="234" t="s">
        <v>200</v>
      </c>
      <c r="D111" s="24" t="s">
        <v>503</v>
      </c>
      <c r="E111" s="244">
        <v>700000</v>
      </c>
      <c r="F111" s="23">
        <v>0</v>
      </c>
      <c r="G111" s="244">
        <v>700000</v>
      </c>
    </row>
    <row r="112" spans="1:7" ht="20.100000000000001" customHeight="1">
      <c r="A112" s="20">
        <v>3</v>
      </c>
      <c r="B112" s="156" t="s">
        <v>201</v>
      </c>
      <c r="C112" s="234" t="s">
        <v>202</v>
      </c>
      <c r="D112" s="28" t="s">
        <v>203</v>
      </c>
      <c r="E112" s="244">
        <v>500000</v>
      </c>
      <c r="F112" s="244">
        <v>500000</v>
      </c>
      <c r="G112" s="23">
        <v>0</v>
      </c>
    </row>
    <row r="113" spans="1:7" ht="20.100000000000001" customHeight="1">
      <c r="A113" s="20">
        <v>4</v>
      </c>
      <c r="B113" s="156" t="s">
        <v>204</v>
      </c>
      <c r="C113" s="234" t="s">
        <v>202</v>
      </c>
      <c r="D113" s="28" t="s">
        <v>126</v>
      </c>
      <c r="E113" s="244">
        <v>500000</v>
      </c>
      <c r="F113" s="244">
        <v>500000</v>
      </c>
      <c r="G113" s="23">
        <v>0</v>
      </c>
    </row>
    <row r="114" spans="1:7" ht="20.100000000000001" customHeight="1">
      <c r="A114" s="20">
        <v>5</v>
      </c>
      <c r="B114" s="156" t="s">
        <v>205</v>
      </c>
      <c r="C114" s="234" t="s">
        <v>206</v>
      </c>
      <c r="D114" s="181" t="s">
        <v>90</v>
      </c>
      <c r="E114" s="244">
        <v>300000</v>
      </c>
      <c r="F114" s="244">
        <v>300000</v>
      </c>
      <c r="G114" s="23">
        <v>0</v>
      </c>
    </row>
    <row r="115" spans="1:7" ht="20.100000000000001" customHeight="1">
      <c r="A115" s="20">
        <v>6</v>
      </c>
      <c r="B115" s="157" t="s">
        <v>208</v>
      </c>
      <c r="C115" s="234" t="s">
        <v>206</v>
      </c>
      <c r="D115" s="28" t="s">
        <v>436</v>
      </c>
      <c r="E115" s="244">
        <v>300000</v>
      </c>
      <c r="F115" s="244">
        <v>300000</v>
      </c>
      <c r="G115" s="23">
        <v>0</v>
      </c>
    </row>
    <row r="116" spans="1:7" ht="20.100000000000001" customHeight="1">
      <c r="A116" s="20">
        <v>7</v>
      </c>
      <c r="B116" s="157" t="s">
        <v>209</v>
      </c>
      <c r="C116" s="234" t="s">
        <v>206</v>
      </c>
      <c r="D116" s="181" t="s">
        <v>107</v>
      </c>
      <c r="E116" s="244">
        <v>300000</v>
      </c>
      <c r="F116" s="244">
        <v>300000</v>
      </c>
      <c r="G116" s="23">
        <v>0</v>
      </c>
    </row>
    <row r="117" spans="1:7" ht="20.100000000000001" customHeight="1">
      <c r="A117" s="20"/>
      <c r="B117" s="159" t="s">
        <v>100</v>
      </c>
      <c r="C117" s="236">
        <v>7</v>
      </c>
      <c r="D117" s="20"/>
      <c r="E117" s="250">
        <f>SUM(E110:E116)</f>
        <v>3600000</v>
      </c>
      <c r="F117" s="250">
        <f t="shared" ref="F117:G117" si="13">SUM(F110:F116)</f>
        <v>1900000</v>
      </c>
      <c r="G117" s="250">
        <f t="shared" si="13"/>
        <v>1700000</v>
      </c>
    </row>
    <row r="118" spans="1:7" ht="20.100000000000001" customHeight="1">
      <c r="A118" s="20"/>
      <c r="B118" s="123"/>
      <c r="C118" s="239"/>
      <c r="D118" s="20"/>
      <c r="E118" s="251"/>
      <c r="F118" s="251"/>
      <c r="G118" s="251"/>
    </row>
    <row r="119" spans="1:7" ht="20.100000000000001" customHeight="1">
      <c r="A119" s="20"/>
      <c r="B119" s="159" t="s">
        <v>210</v>
      </c>
      <c r="C119" s="236"/>
      <c r="D119" s="29"/>
      <c r="E119" s="244"/>
      <c r="F119" s="244"/>
      <c r="G119" s="244"/>
    </row>
    <row r="120" spans="1:7" ht="20.100000000000001" customHeight="1">
      <c r="A120" s="20">
        <v>1</v>
      </c>
      <c r="B120" s="156" t="s">
        <v>211</v>
      </c>
      <c r="C120" s="233" t="s">
        <v>212</v>
      </c>
      <c r="D120" s="181" t="s">
        <v>104</v>
      </c>
      <c r="E120" s="244">
        <v>1000000</v>
      </c>
      <c r="F120" s="23">
        <v>0</v>
      </c>
      <c r="G120" s="244">
        <v>1000000</v>
      </c>
    </row>
    <row r="121" spans="1:7" ht="20.100000000000001" customHeight="1">
      <c r="A121" s="20">
        <v>2</v>
      </c>
      <c r="B121" s="156" t="s">
        <v>214</v>
      </c>
      <c r="C121" s="233" t="s">
        <v>215</v>
      </c>
      <c r="D121" s="181" t="s">
        <v>33</v>
      </c>
      <c r="E121" s="244">
        <v>700000</v>
      </c>
      <c r="F121" s="23">
        <v>0</v>
      </c>
      <c r="G121" s="244">
        <v>700000</v>
      </c>
    </row>
    <row r="122" spans="1:7" ht="20.100000000000001" customHeight="1">
      <c r="A122" s="20">
        <v>3</v>
      </c>
      <c r="B122" s="156" t="s">
        <v>216</v>
      </c>
      <c r="C122" s="233" t="s">
        <v>217</v>
      </c>
      <c r="D122" s="181" t="s">
        <v>50</v>
      </c>
      <c r="E122" s="244">
        <v>700000</v>
      </c>
      <c r="F122" s="23">
        <v>0</v>
      </c>
      <c r="G122" s="244">
        <v>700000</v>
      </c>
    </row>
    <row r="123" spans="1:7" ht="20.100000000000001" customHeight="1">
      <c r="A123" s="20">
        <v>4</v>
      </c>
      <c r="B123" s="158" t="s">
        <v>218</v>
      </c>
      <c r="C123" s="233" t="s">
        <v>217</v>
      </c>
      <c r="D123" s="181" t="s">
        <v>50</v>
      </c>
      <c r="E123" s="244">
        <v>700000</v>
      </c>
      <c r="F123" s="23">
        <v>0</v>
      </c>
      <c r="G123" s="244">
        <v>700000</v>
      </c>
    </row>
    <row r="124" spans="1:7" ht="20.100000000000001" customHeight="1">
      <c r="A124" s="20">
        <v>5</v>
      </c>
      <c r="B124" s="158" t="s">
        <v>219</v>
      </c>
      <c r="C124" s="233" t="s">
        <v>217</v>
      </c>
      <c r="D124" s="181" t="s">
        <v>220</v>
      </c>
      <c r="E124" s="244">
        <v>700000</v>
      </c>
      <c r="F124" s="23">
        <v>0</v>
      </c>
      <c r="G124" s="244">
        <v>700000</v>
      </c>
    </row>
    <row r="125" spans="1:7" ht="20.100000000000001" customHeight="1">
      <c r="A125" s="20">
        <v>6</v>
      </c>
      <c r="B125" s="156" t="s">
        <v>221</v>
      </c>
      <c r="C125" s="233" t="s">
        <v>222</v>
      </c>
      <c r="D125" s="181" t="s">
        <v>487</v>
      </c>
      <c r="E125" s="244">
        <v>500000</v>
      </c>
      <c r="F125" s="23">
        <v>0</v>
      </c>
      <c r="G125" s="244">
        <v>500000</v>
      </c>
    </row>
    <row r="126" spans="1:7" ht="20.100000000000001" customHeight="1">
      <c r="A126" s="20">
        <v>7</v>
      </c>
      <c r="B126" s="156" t="s">
        <v>223</v>
      </c>
      <c r="C126" s="233" t="s">
        <v>224</v>
      </c>
      <c r="D126" s="181" t="s">
        <v>64</v>
      </c>
      <c r="E126" s="244">
        <v>500000</v>
      </c>
      <c r="F126" s="244">
        <v>500000</v>
      </c>
      <c r="G126" s="23">
        <v>0</v>
      </c>
    </row>
    <row r="127" spans="1:7" ht="20.100000000000001" customHeight="1">
      <c r="A127" s="20">
        <v>8</v>
      </c>
      <c r="B127" s="156" t="s">
        <v>225</v>
      </c>
      <c r="C127" s="233" t="s">
        <v>226</v>
      </c>
      <c r="D127" s="181" t="s">
        <v>64</v>
      </c>
      <c r="E127" s="244">
        <v>500000</v>
      </c>
      <c r="F127" s="244">
        <v>500000</v>
      </c>
      <c r="G127" s="23">
        <v>0</v>
      </c>
    </row>
    <row r="128" spans="1:7" ht="20.100000000000001" customHeight="1">
      <c r="A128" s="20">
        <v>9</v>
      </c>
      <c r="B128" s="157" t="s">
        <v>227</v>
      </c>
      <c r="C128" s="233" t="s">
        <v>228</v>
      </c>
      <c r="D128" s="181" t="s">
        <v>67</v>
      </c>
      <c r="E128" s="244">
        <v>500000</v>
      </c>
      <c r="F128" s="244">
        <v>500000</v>
      </c>
      <c r="G128" s="23">
        <v>0</v>
      </c>
    </row>
    <row r="129" spans="1:7" ht="20.100000000000001" customHeight="1">
      <c r="A129" s="20">
        <v>10</v>
      </c>
      <c r="B129" s="156" t="s">
        <v>230</v>
      </c>
      <c r="C129" s="233" t="s">
        <v>231</v>
      </c>
      <c r="D129" s="28" t="s">
        <v>129</v>
      </c>
      <c r="E129" s="244">
        <v>300000</v>
      </c>
      <c r="F129" s="244">
        <v>300000</v>
      </c>
      <c r="G129" s="23">
        <v>0</v>
      </c>
    </row>
    <row r="130" spans="1:7" ht="20.100000000000001" customHeight="1">
      <c r="A130" s="20">
        <v>11</v>
      </c>
      <c r="B130" s="157" t="s">
        <v>232</v>
      </c>
      <c r="C130" s="233" t="s">
        <v>233</v>
      </c>
      <c r="D130" s="181" t="s">
        <v>107</v>
      </c>
      <c r="E130" s="244">
        <v>300000</v>
      </c>
      <c r="F130" s="244">
        <v>300000</v>
      </c>
      <c r="G130" s="23">
        <v>0</v>
      </c>
    </row>
    <row r="131" spans="1:7" ht="20.100000000000001" customHeight="1">
      <c r="A131" s="20"/>
      <c r="B131" s="159" t="s">
        <v>100</v>
      </c>
      <c r="C131" s="240" t="s">
        <v>234</v>
      </c>
      <c r="D131" s="181"/>
      <c r="E131" s="252">
        <f>SUM(E120:E130)</f>
        <v>6400000</v>
      </c>
      <c r="F131" s="252">
        <f t="shared" ref="F131:G131" si="14">SUM(F120:F130)</f>
        <v>2100000</v>
      </c>
      <c r="G131" s="252">
        <f t="shared" si="14"/>
        <v>4300000</v>
      </c>
    </row>
    <row r="132" spans="1:7" ht="20.100000000000001" customHeight="1">
      <c r="A132" s="20"/>
      <c r="B132" s="123"/>
      <c r="C132" s="240"/>
      <c r="D132" s="181"/>
      <c r="E132" s="253"/>
      <c r="F132" s="253"/>
      <c r="G132" s="253"/>
    </row>
    <row r="133" spans="1:7" ht="20.100000000000001" customHeight="1">
      <c r="A133" s="20"/>
      <c r="B133" s="159" t="s">
        <v>235</v>
      </c>
      <c r="C133" s="233"/>
      <c r="D133" s="181"/>
      <c r="E133" s="244"/>
      <c r="F133" s="244"/>
      <c r="G133" s="244"/>
    </row>
    <row r="134" spans="1:7" ht="20.100000000000001" customHeight="1">
      <c r="A134" s="191">
        <v>1</v>
      </c>
      <c r="B134" s="156" t="s">
        <v>236</v>
      </c>
      <c r="C134" s="233" t="s">
        <v>506</v>
      </c>
      <c r="D134" s="181" t="s">
        <v>104</v>
      </c>
      <c r="E134" s="244">
        <f>1000000/2</f>
        <v>500000</v>
      </c>
      <c r="F134" s="23">
        <v>0</v>
      </c>
      <c r="G134" s="244">
        <f t="shared" ref="G134" si="15">1000000/2</f>
        <v>500000</v>
      </c>
    </row>
    <row r="135" spans="1:7" ht="20.100000000000001" customHeight="1">
      <c r="A135" s="191">
        <v>2</v>
      </c>
      <c r="B135" s="156" t="s">
        <v>238</v>
      </c>
      <c r="C135" s="233" t="s">
        <v>239</v>
      </c>
      <c r="D135" s="181" t="s">
        <v>33</v>
      </c>
      <c r="E135" s="244">
        <f>700000/2</f>
        <v>350000</v>
      </c>
      <c r="F135" s="23">
        <v>0</v>
      </c>
      <c r="G135" s="244">
        <f t="shared" ref="G135" si="16">700000/2</f>
        <v>350000</v>
      </c>
    </row>
    <row r="136" spans="1:7" ht="20.100000000000001" customHeight="1">
      <c r="A136" s="191">
        <v>3</v>
      </c>
      <c r="B136" s="158" t="s">
        <v>240</v>
      </c>
      <c r="C136" s="234" t="s">
        <v>241</v>
      </c>
      <c r="D136" s="24" t="s">
        <v>503</v>
      </c>
      <c r="E136" s="244">
        <v>700000</v>
      </c>
      <c r="F136" s="23">
        <v>0</v>
      </c>
      <c r="G136" s="244">
        <v>700000</v>
      </c>
    </row>
    <row r="137" spans="1:7" ht="20.100000000000001" customHeight="1">
      <c r="A137" s="191">
        <v>4</v>
      </c>
      <c r="B137" s="156" t="s">
        <v>242</v>
      </c>
      <c r="C137" s="233" t="s">
        <v>243</v>
      </c>
      <c r="D137" s="181" t="s">
        <v>123</v>
      </c>
      <c r="E137" s="244">
        <v>500000</v>
      </c>
      <c r="F137" s="23">
        <v>0</v>
      </c>
      <c r="G137" s="244">
        <v>500000</v>
      </c>
    </row>
    <row r="138" spans="1:7" ht="20.100000000000001" customHeight="1">
      <c r="A138" s="191">
        <v>5</v>
      </c>
      <c r="B138" s="156" t="s">
        <v>244</v>
      </c>
      <c r="C138" s="234" t="s">
        <v>245</v>
      </c>
      <c r="D138" s="181" t="s">
        <v>123</v>
      </c>
      <c r="E138" s="244">
        <v>500000</v>
      </c>
      <c r="F138" s="23">
        <v>0</v>
      </c>
      <c r="G138" s="244">
        <v>500000</v>
      </c>
    </row>
    <row r="139" spans="1:7" ht="20.100000000000001" customHeight="1">
      <c r="A139" s="191">
        <v>6</v>
      </c>
      <c r="B139" s="156" t="s">
        <v>246</v>
      </c>
      <c r="C139" s="234" t="s">
        <v>247</v>
      </c>
      <c r="D139" s="181" t="s">
        <v>64</v>
      </c>
      <c r="E139" s="244">
        <v>500000</v>
      </c>
      <c r="F139" s="244">
        <v>500000</v>
      </c>
      <c r="G139" s="23">
        <v>0</v>
      </c>
    </row>
    <row r="140" spans="1:7" ht="20.100000000000001" customHeight="1">
      <c r="A140" s="191">
        <v>7</v>
      </c>
      <c r="B140" s="156" t="s">
        <v>248</v>
      </c>
      <c r="C140" s="233" t="s">
        <v>249</v>
      </c>
      <c r="D140" s="181" t="s">
        <v>73</v>
      </c>
      <c r="E140" s="244">
        <v>400000</v>
      </c>
      <c r="F140" s="244">
        <v>400000</v>
      </c>
      <c r="G140" s="23">
        <v>0</v>
      </c>
    </row>
    <row r="141" spans="1:7" ht="20.100000000000001" customHeight="1">
      <c r="A141" s="191">
        <v>8</v>
      </c>
      <c r="B141" s="156" t="s">
        <v>250</v>
      </c>
      <c r="C141" s="233" t="s">
        <v>249</v>
      </c>
      <c r="D141" s="181" t="s">
        <v>73</v>
      </c>
      <c r="E141" s="244">
        <v>400000</v>
      </c>
      <c r="F141" s="244">
        <v>400000</v>
      </c>
      <c r="G141" s="23">
        <v>0</v>
      </c>
    </row>
    <row r="142" spans="1:7" ht="20.100000000000001" customHeight="1">
      <c r="A142" s="191">
        <v>9</v>
      </c>
      <c r="B142" s="156" t="s">
        <v>251</v>
      </c>
      <c r="C142" s="234" t="s">
        <v>247</v>
      </c>
      <c r="D142" s="181" t="s">
        <v>73</v>
      </c>
      <c r="E142" s="244">
        <v>400000</v>
      </c>
      <c r="F142" s="244">
        <v>400000</v>
      </c>
      <c r="G142" s="23">
        <v>0</v>
      </c>
    </row>
    <row r="143" spans="1:7" ht="20.100000000000001" customHeight="1">
      <c r="A143" s="191">
        <v>10</v>
      </c>
      <c r="B143" s="156" t="s">
        <v>252</v>
      </c>
      <c r="C143" s="233" t="s">
        <v>253</v>
      </c>
      <c r="D143" s="181" t="s">
        <v>150</v>
      </c>
      <c r="E143" s="244">
        <v>400000</v>
      </c>
      <c r="F143" s="244">
        <v>400000</v>
      </c>
      <c r="G143" s="23">
        <v>0</v>
      </c>
    </row>
    <row r="144" spans="1:7" ht="20.100000000000001" customHeight="1">
      <c r="A144" s="191">
        <v>11</v>
      </c>
      <c r="B144" s="156" t="s">
        <v>254</v>
      </c>
      <c r="C144" s="233" t="s">
        <v>255</v>
      </c>
      <c r="D144" s="181" t="s">
        <v>78</v>
      </c>
      <c r="E144" s="244">
        <v>300000</v>
      </c>
      <c r="F144" s="244">
        <v>300000</v>
      </c>
      <c r="G144" s="23">
        <v>0</v>
      </c>
    </row>
    <row r="145" spans="1:7" ht="20.100000000000001" customHeight="1">
      <c r="A145" s="191">
        <v>12</v>
      </c>
      <c r="B145" s="156" t="s">
        <v>257</v>
      </c>
      <c r="C145" s="233" t="s">
        <v>253</v>
      </c>
      <c r="D145" s="181" t="s">
        <v>150</v>
      </c>
      <c r="E145" s="244">
        <v>400000</v>
      </c>
      <c r="F145" s="244">
        <v>400000</v>
      </c>
      <c r="G145" s="23">
        <v>0</v>
      </c>
    </row>
    <row r="146" spans="1:7" ht="20.100000000000001" customHeight="1">
      <c r="A146" s="191">
        <v>13</v>
      </c>
      <c r="B146" s="156" t="s">
        <v>260</v>
      </c>
      <c r="C146" s="234" t="s">
        <v>261</v>
      </c>
      <c r="D146" s="181" t="s">
        <v>155</v>
      </c>
      <c r="E146" s="244">
        <v>300000</v>
      </c>
      <c r="F146" s="244">
        <v>300000</v>
      </c>
      <c r="G146" s="23">
        <v>0</v>
      </c>
    </row>
    <row r="147" spans="1:7" ht="20.100000000000001" customHeight="1">
      <c r="A147" s="191">
        <v>14</v>
      </c>
      <c r="B147" s="156" t="s">
        <v>262</v>
      </c>
      <c r="C147" s="234" t="s">
        <v>261</v>
      </c>
      <c r="D147" s="181" t="s">
        <v>155</v>
      </c>
      <c r="E147" s="244">
        <v>300000</v>
      </c>
      <c r="F147" s="244">
        <v>300000</v>
      </c>
      <c r="G147" s="23">
        <v>0</v>
      </c>
    </row>
    <row r="148" spans="1:7" ht="20.100000000000001" customHeight="1">
      <c r="A148" s="191">
        <v>15</v>
      </c>
      <c r="B148" s="156" t="s">
        <v>263</v>
      </c>
      <c r="C148" s="234" t="s">
        <v>261</v>
      </c>
      <c r="D148" s="181" t="s">
        <v>155</v>
      </c>
      <c r="E148" s="244">
        <v>300000</v>
      </c>
      <c r="F148" s="244">
        <v>300000</v>
      </c>
      <c r="G148" s="23">
        <v>0</v>
      </c>
    </row>
    <row r="149" spans="1:7" ht="20.100000000000001" customHeight="1">
      <c r="A149" s="191">
        <v>16</v>
      </c>
      <c r="B149" s="156" t="s">
        <v>264</v>
      </c>
      <c r="C149" s="233" t="s">
        <v>265</v>
      </c>
      <c r="D149" s="181" t="s">
        <v>184</v>
      </c>
      <c r="E149" s="244">
        <v>300000</v>
      </c>
      <c r="F149" s="244">
        <v>300000</v>
      </c>
      <c r="G149" s="23">
        <v>0</v>
      </c>
    </row>
    <row r="150" spans="1:7" ht="20.100000000000001" customHeight="1">
      <c r="A150" s="191">
        <v>17</v>
      </c>
      <c r="B150" s="156" t="s">
        <v>266</v>
      </c>
      <c r="C150" s="233" t="s">
        <v>259</v>
      </c>
      <c r="D150" s="28" t="s">
        <v>129</v>
      </c>
      <c r="E150" s="244">
        <v>300000</v>
      </c>
      <c r="F150" s="244">
        <v>300000</v>
      </c>
      <c r="G150" s="23">
        <v>0</v>
      </c>
    </row>
    <row r="151" spans="1:7" ht="20.100000000000001" customHeight="1">
      <c r="A151" s="191">
        <v>18</v>
      </c>
      <c r="B151" s="156" t="s">
        <v>267</v>
      </c>
      <c r="C151" s="233" t="s">
        <v>268</v>
      </c>
      <c r="D151" s="181" t="s">
        <v>184</v>
      </c>
      <c r="E151" s="244">
        <v>300000</v>
      </c>
      <c r="F151" s="244">
        <v>300000</v>
      </c>
      <c r="G151" s="23">
        <v>0</v>
      </c>
    </row>
    <row r="152" spans="1:7" ht="20.100000000000001" customHeight="1">
      <c r="A152" s="191">
        <v>19</v>
      </c>
      <c r="B152" s="156" t="s">
        <v>269</v>
      </c>
      <c r="C152" s="233" t="s">
        <v>270</v>
      </c>
      <c r="D152" s="181" t="s">
        <v>129</v>
      </c>
      <c r="E152" s="244">
        <v>300000</v>
      </c>
      <c r="F152" s="244">
        <v>300000</v>
      </c>
      <c r="G152" s="23">
        <v>0</v>
      </c>
    </row>
    <row r="153" spans="1:7" ht="20.100000000000001" customHeight="1">
      <c r="A153" s="191">
        <v>20</v>
      </c>
      <c r="B153" s="156" t="s">
        <v>271</v>
      </c>
      <c r="C153" s="233" t="s">
        <v>272</v>
      </c>
      <c r="D153" s="181" t="s">
        <v>184</v>
      </c>
      <c r="E153" s="244">
        <v>300000</v>
      </c>
      <c r="F153" s="244">
        <v>300000</v>
      </c>
      <c r="G153" s="23">
        <v>0</v>
      </c>
    </row>
    <row r="154" spans="1:7" ht="20.100000000000001" customHeight="1">
      <c r="A154" s="191">
        <v>21</v>
      </c>
      <c r="B154" s="156" t="s">
        <v>273</v>
      </c>
      <c r="C154" s="233" t="s">
        <v>274</v>
      </c>
      <c r="D154" s="181" t="s">
        <v>129</v>
      </c>
      <c r="E154" s="244">
        <v>300000</v>
      </c>
      <c r="F154" s="244">
        <v>300000</v>
      </c>
      <c r="G154" s="23">
        <v>0</v>
      </c>
    </row>
    <row r="155" spans="1:7" ht="20.100000000000001" customHeight="1">
      <c r="A155" s="191">
        <v>22</v>
      </c>
      <c r="B155" s="157" t="s">
        <v>275</v>
      </c>
      <c r="C155" s="233" t="s">
        <v>276</v>
      </c>
      <c r="D155" s="181" t="s">
        <v>435</v>
      </c>
      <c r="E155" s="244">
        <v>300000</v>
      </c>
      <c r="F155" s="244">
        <v>300000</v>
      </c>
      <c r="G155" s="23">
        <v>0</v>
      </c>
    </row>
    <row r="156" spans="1:7" ht="20.100000000000001" customHeight="1">
      <c r="A156" s="191">
        <v>23</v>
      </c>
      <c r="B156" s="157" t="s">
        <v>277</v>
      </c>
      <c r="C156" s="233" t="s">
        <v>278</v>
      </c>
      <c r="D156" s="181" t="s">
        <v>107</v>
      </c>
      <c r="E156" s="244">
        <v>300000</v>
      </c>
      <c r="F156" s="244">
        <v>300000</v>
      </c>
      <c r="G156" s="23">
        <v>0</v>
      </c>
    </row>
    <row r="157" spans="1:7" ht="20.100000000000001" customHeight="1">
      <c r="A157" s="191">
        <v>24</v>
      </c>
      <c r="B157" s="157" t="s">
        <v>279</v>
      </c>
      <c r="C157" s="233" t="s">
        <v>278</v>
      </c>
      <c r="D157" s="181" t="s">
        <v>107</v>
      </c>
      <c r="E157" s="244">
        <v>300000</v>
      </c>
      <c r="F157" s="244">
        <v>300000</v>
      </c>
      <c r="G157" s="23">
        <v>0</v>
      </c>
    </row>
    <row r="158" spans="1:7" ht="20.100000000000001" customHeight="1">
      <c r="A158" s="191">
        <v>25</v>
      </c>
      <c r="B158" s="157" t="s">
        <v>280</v>
      </c>
      <c r="C158" s="233" t="s">
        <v>276</v>
      </c>
      <c r="D158" s="181" t="s">
        <v>107</v>
      </c>
      <c r="E158" s="244">
        <v>300000</v>
      </c>
      <c r="F158" s="244">
        <v>300000</v>
      </c>
      <c r="G158" s="23">
        <v>0</v>
      </c>
    </row>
    <row r="159" spans="1:7" ht="20.100000000000001" customHeight="1">
      <c r="A159" s="191">
        <v>26</v>
      </c>
      <c r="B159" s="157" t="s">
        <v>281</v>
      </c>
      <c r="C159" s="233" t="s">
        <v>282</v>
      </c>
      <c r="D159" s="181" t="s">
        <v>107</v>
      </c>
      <c r="E159" s="244">
        <v>300000</v>
      </c>
      <c r="F159" s="244">
        <v>300000</v>
      </c>
      <c r="G159" s="23">
        <v>0</v>
      </c>
    </row>
    <row r="160" spans="1:7" ht="20.100000000000001" customHeight="1">
      <c r="A160" s="191">
        <v>27</v>
      </c>
      <c r="B160" s="157" t="s">
        <v>283</v>
      </c>
      <c r="C160" s="233" t="s">
        <v>284</v>
      </c>
      <c r="D160" s="181" t="s">
        <v>107</v>
      </c>
      <c r="E160" s="244">
        <v>300000</v>
      </c>
      <c r="F160" s="244">
        <v>300000</v>
      </c>
      <c r="G160" s="23">
        <v>0</v>
      </c>
    </row>
    <row r="161" spans="1:7" ht="20.100000000000001" customHeight="1">
      <c r="A161" s="191">
        <v>28</v>
      </c>
      <c r="B161" s="156" t="s">
        <v>285</v>
      </c>
      <c r="C161" s="233" t="s">
        <v>286</v>
      </c>
      <c r="D161" s="181" t="s">
        <v>294</v>
      </c>
      <c r="E161" s="244">
        <v>100000</v>
      </c>
      <c r="F161" s="244">
        <v>100000</v>
      </c>
      <c r="G161" s="23">
        <v>0</v>
      </c>
    </row>
    <row r="162" spans="1:7" ht="20.100000000000001" customHeight="1">
      <c r="A162" s="191">
        <v>29</v>
      </c>
      <c r="B162" s="156" t="s">
        <v>288</v>
      </c>
      <c r="C162" s="233" t="s">
        <v>286</v>
      </c>
      <c r="D162" s="181" t="s">
        <v>294</v>
      </c>
      <c r="E162" s="244">
        <v>100000</v>
      </c>
      <c r="F162" s="244">
        <v>100000</v>
      </c>
      <c r="G162" s="23">
        <v>0</v>
      </c>
    </row>
    <row r="163" spans="1:7" ht="20.100000000000001" customHeight="1">
      <c r="A163" s="191">
        <v>30</v>
      </c>
      <c r="B163" s="156" t="s">
        <v>289</v>
      </c>
      <c r="C163" s="233" t="s">
        <v>286</v>
      </c>
      <c r="D163" s="181" t="s">
        <v>294</v>
      </c>
      <c r="E163" s="244">
        <v>100000</v>
      </c>
      <c r="F163" s="244">
        <v>100000</v>
      </c>
      <c r="G163" s="23">
        <v>0</v>
      </c>
    </row>
    <row r="164" spans="1:7" ht="20.100000000000001" customHeight="1">
      <c r="A164" s="191">
        <v>31</v>
      </c>
      <c r="B164" s="156" t="s">
        <v>461</v>
      </c>
      <c r="C164" s="233" t="s">
        <v>286</v>
      </c>
      <c r="D164" s="181" t="s">
        <v>294</v>
      </c>
      <c r="E164" s="244">
        <v>100000</v>
      </c>
      <c r="F164" s="244">
        <v>100000</v>
      </c>
      <c r="G164" s="23">
        <v>0</v>
      </c>
    </row>
    <row r="165" spans="1:7" ht="20.100000000000001" customHeight="1">
      <c r="A165" s="191">
        <v>32</v>
      </c>
      <c r="B165" s="156" t="s">
        <v>290</v>
      </c>
      <c r="C165" s="233" t="s">
        <v>286</v>
      </c>
      <c r="D165" s="181" t="s">
        <v>294</v>
      </c>
      <c r="E165" s="244">
        <v>100000</v>
      </c>
      <c r="F165" s="244">
        <v>100000</v>
      </c>
      <c r="G165" s="23">
        <v>0</v>
      </c>
    </row>
    <row r="166" spans="1:7" ht="20.100000000000001" customHeight="1">
      <c r="A166" s="191">
        <v>33</v>
      </c>
      <c r="B166" s="156" t="s">
        <v>291</v>
      </c>
      <c r="C166" s="233" t="s">
        <v>286</v>
      </c>
      <c r="D166" s="181" t="s">
        <v>294</v>
      </c>
      <c r="E166" s="244">
        <v>100000</v>
      </c>
      <c r="F166" s="244">
        <v>100000</v>
      </c>
      <c r="G166" s="23">
        <v>0</v>
      </c>
    </row>
    <row r="167" spans="1:7" ht="20.100000000000001" customHeight="1">
      <c r="A167" s="191">
        <v>34</v>
      </c>
      <c r="B167" s="156" t="s">
        <v>292</v>
      </c>
      <c r="C167" s="233" t="s">
        <v>286</v>
      </c>
      <c r="D167" s="181" t="s">
        <v>294</v>
      </c>
      <c r="E167" s="244">
        <v>100000</v>
      </c>
      <c r="F167" s="244">
        <v>100000</v>
      </c>
      <c r="G167" s="23">
        <v>0</v>
      </c>
    </row>
    <row r="168" spans="1:7" ht="20.100000000000001" customHeight="1">
      <c r="A168" s="191">
        <v>35</v>
      </c>
      <c r="B168" s="156" t="s">
        <v>293</v>
      </c>
      <c r="C168" s="233" t="s">
        <v>286</v>
      </c>
      <c r="D168" s="181" t="s">
        <v>507</v>
      </c>
      <c r="E168" s="244">
        <v>100000</v>
      </c>
      <c r="F168" s="244">
        <v>100000</v>
      </c>
      <c r="G168" s="23">
        <v>0</v>
      </c>
    </row>
    <row r="169" spans="1:7" ht="20.100000000000001" customHeight="1">
      <c r="A169" s="191">
        <v>36</v>
      </c>
      <c r="B169" s="156" t="s">
        <v>295</v>
      </c>
      <c r="C169" s="233" t="s">
        <v>286</v>
      </c>
      <c r="D169" s="181" t="s">
        <v>507</v>
      </c>
      <c r="E169" s="244">
        <v>100000</v>
      </c>
      <c r="F169" s="244">
        <v>100000</v>
      </c>
      <c r="G169" s="23">
        <v>0</v>
      </c>
    </row>
    <row r="170" spans="1:7" ht="20.100000000000001" customHeight="1">
      <c r="A170" s="191">
        <v>37</v>
      </c>
      <c r="B170" s="156" t="s">
        <v>296</v>
      </c>
      <c r="C170" s="233" t="s">
        <v>286</v>
      </c>
      <c r="D170" s="181" t="s">
        <v>507</v>
      </c>
      <c r="E170" s="244">
        <v>100000</v>
      </c>
      <c r="F170" s="244">
        <v>100000</v>
      </c>
      <c r="G170" s="23">
        <v>0</v>
      </c>
    </row>
    <row r="171" spans="1:7" ht="20.100000000000001" customHeight="1">
      <c r="A171" s="191">
        <v>38</v>
      </c>
      <c r="B171" s="158" t="s">
        <v>297</v>
      </c>
      <c r="C171" s="233" t="s">
        <v>286</v>
      </c>
      <c r="D171" s="181" t="s">
        <v>507</v>
      </c>
      <c r="E171" s="244">
        <v>100000</v>
      </c>
      <c r="F171" s="244">
        <v>100000</v>
      </c>
      <c r="G171" s="23">
        <v>0</v>
      </c>
    </row>
    <row r="172" spans="1:7" ht="20.100000000000001" customHeight="1">
      <c r="A172" s="191">
        <v>39</v>
      </c>
      <c r="B172" s="156" t="s">
        <v>298</v>
      </c>
      <c r="C172" s="233" t="s">
        <v>286</v>
      </c>
      <c r="D172" s="181" t="s">
        <v>507</v>
      </c>
      <c r="E172" s="244">
        <v>100000</v>
      </c>
      <c r="F172" s="244">
        <v>100000</v>
      </c>
      <c r="G172" s="23">
        <v>0</v>
      </c>
    </row>
    <row r="173" spans="1:7" ht="20.100000000000001" customHeight="1">
      <c r="A173" s="191">
        <v>40</v>
      </c>
      <c r="B173" s="157" t="s">
        <v>299</v>
      </c>
      <c r="C173" s="233" t="s">
        <v>286</v>
      </c>
      <c r="D173" s="181" t="s">
        <v>507</v>
      </c>
      <c r="E173" s="244">
        <v>100000</v>
      </c>
      <c r="F173" s="244">
        <v>100000</v>
      </c>
      <c r="G173" s="23">
        <v>0</v>
      </c>
    </row>
    <row r="174" spans="1:7" ht="20.100000000000001" customHeight="1">
      <c r="A174" s="191">
        <v>41</v>
      </c>
      <c r="B174" s="157" t="s">
        <v>300</v>
      </c>
      <c r="C174" s="233" t="s">
        <v>286</v>
      </c>
      <c r="D174" s="181" t="s">
        <v>507</v>
      </c>
      <c r="E174" s="244">
        <v>100000</v>
      </c>
      <c r="F174" s="244">
        <v>100000</v>
      </c>
      <c r="G174" s="23">
        <v>0</v>
      </c>
    </row>
    <row r="175" spans="1:7" ht="20.100000000000001" customHeight="1">
      <c r="A175" s="191">
        <v>42</v>
      </c>
      <c r="B175" s="156" t="s">
        <v>301</v>
      </c>
      <c r="C175" s="233" t="s">
        <v>302</v>
      </c>
      <c r="D175" s="181" t="s">
        <v>308</v>
      </c>
      <c r="E175" s="244">
        <v>100000</v>
      </c>
      <c r="F175" s="244">
        <v>100000</v>
      </c>
      <c r="G175" s="23">
        <v>0</v>
      </c>
    </row>
    <row r="176" spans="1:7" ht="20.100000000000001" customHeight="1">
      <c r="A176" s="191">
        <v>43</v>
      </c>
      <c r="B176" s="156" t="s">
        <v>304</v>
      </c>
      <c r="C176" s="233" t="s">
        <v>302</v>
      </c>
      <c r="D176" s="181" t="s">
        <v>308</v>
      </c>
      <c r="E176" s="244">
        <v>100000</v>
      </c>
      <c r="F176" s="244">
        <v>100000</v>
      </c>
      <c r="G176" s="23">
        <v>0</v>
      </c>
    </row>
    <row r="177" spans="1:7" ht="20.100000000000001" customHeight="1">
      <c r="A177" s="191">
        <v>44</v>
      </c>
      <c r="B177" s="157" t="s">
        <v>305</v>
      </c>
      <c r="C177" s="233" t="s">
        <v>302</v>
      </c>
      <c r="D177" s="181" t="s">
        <v>303</v>
      </c>
      <c r="E177" s="244">
        <v>100000</v>
      </c>
      <c r="F177" s="244">
        <v>100000</v>
      </c>
      <c r="G177" s="23">
        <v>0</v>
      </c>
    </row>
    <row r="178" spans="1:7" ht="20.100000000000001" customHeight="1">
      <c r="A178" s="191">
        <v>45</v>
      </c>
      <c r="B178" s="156" t="s">
        <v>307</v>
      </c>
      <c r="C178" s="233" t="s">
        <v>302</v>
      </c>
      <c r="D178" s="181" t="s">
        <v>463</v>
      </c>
      <c r="E178" s="244">
        <v>100000</v>
      </c>
      <c r="F178" s="244">
        <v>100000</v>
      </c>
      <c r="G178" s="23">
        <v>0</v>
      </c>
    </row>
    <row r="179" spans="1:7" ht="20.100000000000001" customHeight="1">
      <c r="A179" s="191">
        <v>46</v>
      </c>
      <c r="B179" s="156" t="s">
        <v>309</v>
      </c>
      <c r="C179" s="233" t="s">
        <v>310</v>
      </c>
      <c r="D179" s="181" t="s">
        <v>464</v>
      </c>
      <c r="E179" s="244">
        <v>100000</v>
      </c>
      <c r="F179" s="244">
        <v>100000</v>
      </c>
      <c r="G179" s="23">
        <v>0</v>
      </c>
    </row>
    <row r="180" spans="1:7" ht="20.100000000000001" customHeight="1">
      <c r="A180" s="191">
        <v>47</v>
      </c>
      <c r="B180" s="156" t="s">
        <v>312</v>
      </c>
      <c r="C180" s="233" t="s">
        <v>310</v>
      </c>
      <c r="D180" s="181" t="s">
        <v>464</v>
      </c>
      <c r="E180" s="244">
        <v>100000</v>
      </c>
      <c r="F180" s="244">
        <v>100000</v>
      </c>
      <c r="G180" s="23">
        <v>0</v>
      </c>
    </row>
    <row r="181" spans="1:7" ht="20.100000000000001" customHeight="1">
      <c r="A181" s="191">
        <v>48</v>
      </c>
      <c r="B181" s="156" t="s">
        <v>313</v>
      </c>
      <c r="C181" s="233" t="s">
        <v>310</v>
      </c>
      <c r="D181" s="181" t="s">
        <v>464</v>
      </c>
      <c r="E181" s="244">
        <v>100000</v>
      </c>
      <c r="F181" s="244">
        <v>100000</v>
      </c>
      <c r="G181" s="23">
        <v>0</v>
      </c>
    </row>
    <row r="182" spans="1:7" ht="20.100000000000001" customHeight="1">
      <c r="A182" s="191">
        <v>49</v>
      </c>
      <c r="B182" s="156" t="s">
        <v>314</v>
      </c>
      <c r="C182" s="233" t="s">
        <v>310</v>
      </c>
      <c r="D182" s="181" t="s">
        <v>464</v>
      </c>
      <c r="E182" s="244">
        <v>100000</v>
      </c>
      <c r="F182" s="244">
        <v>100000</v>
      </c>
      <c r="G182" s="23">
        <v>0</v>
      </c>
    </row>
    <row r="183" spans="1:7" ht="20.100000000000001" customHeight="1">
      <c r="A183" s="191">
        <v>50</v>
      </c>
      <c r="B183" s="156" t="s">
        <v>315</v>
      </c>
      <c r="C183" s="233" t="s">
        <v>310</v>
      </c>
      <c r="D183" s="181" t="s">
        <v>464</v>
      </c>
      <c r="E183" s="244">
        <v>100000</v>
      </c>
      <c r="F183" s="244">
        <v>100000</v>
      </c>
      <c r="G183" s="23">
        <v>0</v>
      </c>
    </row>
    <row r="184" spans="1:7" ht="20.100000000000001" customHeight="1">
      <c r="A184" s="191">
        <v>51</v>
      </c>
      <c r="B184" s="157" t="s">
        <v>316</v>
      </c>
      <c r="C184" s="233" t="s">
        <v>310</v>
      </c>
      <c r="D184" s="181" t="s">
        <v>465</v>
      </c>
      <c r="E184" s="244">
        <v>100000</v>
      </c>
      <c r="F184" s="244">
        <v>100000</v>
      </c>
      <c r="G184" s="23">
        <v>0</v>
      </c>
    </row>
    <row r="185" spans="1:7" ht="20.100000000000001" customHeight="1">
      <c r="A185" s="191">
        <v>52</v>
      </c>
      <c r="B185" s="157" t="s">
        <v>317</v>
      </c>
      <c r="C185" s="233" t="s">
        <v>310</v>
      </c>
      <c r="D185" s="181" t="s">
        <v>465</v>
      </c>
      <c r="E185" s="244">
        <v>100000</v>
      </c>
      <c r="F185" s="244">
        <v>100000</v>
      </c>
      <c r="G185" s="23">
        <v>0</v>
      </c>
    </row>
    <row r="186" spans="1:7" ht="20.100000000000001" customHeight="1">
      <c r="A186" s="191">
        <v>53</v>
      </c>
      <c r="B186" s="156" t="s">
        <v>318</v>
      </c>
      <c r="C186" s="233" t="s">
        <v>302</v>
      </c>
      <c r="D186" s="181" t="s">
        <v>465</v>
      </c>
      <c r="E186" s="244">
        <v>100000</v>
      </c>
      <c r="F186" s="244">
        <v>100000</v>
      </c>
      <c r="G186" s="23">
        <v>0</v>
      </c>
    </row>
    <row r="187" spans="1:7" ht="20.100000000000001" customHeight="1">
      <c r="A187" s="191">
        <v>54</v>
      </c>
      <c r="B187" s="156" t="s">
        <v>319</v>
      </c>
      <c r="C187" s="233" t="s">
        <v>302</v>
      </c>
      <c r="D187" s="181" t="s">
        <v>465</v>
      </c>
      <c r="E187" s="244">
        <v>100000</v>
      </c>
      <c r="F187" s="244">
        <v>100000</v>
      </c>
      <c r="G187" s="23">
        <v>0</v>
      </c>
    </row>
    <row r="188" spans="1:7" ht="20.100000000000001" customHeight="1">
      <c r="A188" s="191">
        <v>55</v>
      </c>
      <c r="B188" s="157" t="s">
        <v>320</v>
      </c>
      <c r="C188" s="233" t="s">
        <v>310</v>
      </c>
      <c r="D188" s="181" t="s">
        <v>466</v>
      </c>
      <c r="E188" s="244">
        <v>100000</v>
      </c>
      <c r="F188" s="244">
        <v>100000</v>
      </c>
      <c r="G188" s="23">
        <v>0</v>
      </c>
    </row>
    <row r="189" spans="1:7" ht="20.100000000000001" customHeight="1">
      <c r="A189" s="191">
        <v>56</v>
      </c>
      <c r="B189" s="157" t="s">
        <v>322</v>
      </c>
      <c r="C189" s="233" t="s">
        <v>310</v>
      </c>
      <c r="D189" s="181" t="s">
        <v>467</v>
      </c>
      <c r="E189" s="244">
        <v>100000</v>
      </c>
      <c r="F189" s="244">
        <v>100000</v>
      </c>
      <c r="G189" s="23">
        <v>0</v>
      </c>
    </row>
    <row r="190" spans="1:7" ht="20.100000000000001" customHeight="1">
      <c r="A190" s="191"/>
      <c r="B190" s="177" t="s">
        <v>100</v>
      </c>
      <c r="C190" s="241" t="s">
        <v>324</v>
      </c>
      <c r="D190" s="22"/>
      <c r="E190" s="246">
        <f>SUM(E134:E189)</f>
        <v>12750000</v>
      </c>
      <c r="F190" s="246">
        <f t="shared" ref="F190:G190" si="17">SUM(F134:F189)</f>
        <v>10200000</v>
      </c>
      <c r="G190" s="246">
        <f t="shared" si="17"/>
        <v>2550000</v>
      </c>
    </row>
    <row r="191" spans="1:7" ht="20.100000000000001" customHeight="1">
      <c r="A191" s="20"/>
      <c r="B191" s="194" t="s">
        <v>325</v>
      </c>
      <c r="C191" s="242">
        <f>C38+C43+C58+C62+C78+C86+C100+C107+C117+C131+C190+2</f>
        <v>152</v>
      </c>
      <c r="D191" s="196"/>
      <c r="E191" s="254">
        <f>E190+E131+E117+E107+E100+E86+E78+E62+E58+E43+E38</f>
        <v>62400000</v>
      </c>
      <c r="F191" s="254">
        <f>F190+F131+F117+F107+F100+F86+F78+F62+F58+F43+F38</f>
        <v>29750000</v>
      </c>
      <c r="G191" s="254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55"/>
      <c r="F192" s="256"/>
      <c r="G192" s="256"/>
    </row>
    <row r="193" spans="2:5" ht="28.5" customHeight="1">
      <c r="B193" s="198"/>
      <c r="C193" s="198"/>
      <c r="D193" s="199"/>
      <c r="E193" s="257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K15" sqref="K1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10" t="s">
        <v>0</v>
      </c>
      <c r="B1" s="310"/>
      <c r="C1" s="310"/>
      <c r="D1" s="310"/>
      <c r="E1" s="310"/>
    </row>
    <row r="2" spans="1:7" ht="33.75" customHeight="1">
      <c r="A2" s="165" t="s">
        <v>499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2</v>
      </c>
      <c r="C4" s="171" t="s">
        <v>3</v>
      </c>
      <c r="D4" s="231" t="s">
        <v>4</v>
      </c>
      <c r="E4" s="175" t="s">
        <v>500</v>
      </c>
      <c r="F4" s="175" t="s">
        <v>501</v>
      </c>
      <c r="G4" s="175" t="s">
        <v>502</v>
      </c>
    </row>
    <row r="5" spans="1:7" ht="20.100000000000001" customHeight="1">
      <c r="A5" s="176" t="s">
        <v>26</v>
      </c>
      <c r="B5" s="177" t="s">
        <v>27</v>
      </c>
      <c r="C5" s="232"/>
      <c r="D5" s="177"/>
      <c r="E5" s="178" t="s">
        <v>25</v>
      </c>
      <c r="F5" s="178" t="s">
        <v>25</v>
      </c>
      <c r="G5" s="178" t="s">
        <v>25</v>
      </c>
    </row>
    <row r="6" spans="1:7" ht="20.100000000000001" customHeight="1">
      <c r="A6" s="28">
        <v>1</v>
      </c>
      <c r="B6" s="156" t="s">
        <v>28</v>
      </c>
      <c r="C6" s="233" t="s">
        <v>29</v>
      </c>
      <c r="D6" s="161" t="s">
        <v>30</v>
      </c>
      <c r="E6" s="244">
        <v>2000000</v>
      </c>
      <c r="F6" s="23">
        <v>0</v>
      </c>
      <c r="G6" s="244">
        <v>2000000</v>
      </c>
    </row>
    <row r="7" spans="1:7" ht="20.100000000000001" customHeight="1">
      <c r="A7" s="28">
        <v>2</v>
      </c>
      <c r="B7" s="156" t="s">
        <v>31</v>
      </c>
      <c r="C7" s="234" t="s">
        <v>32</v>
      </c>
      <c r="D7" s="28" t="s">
        <v>33</v>
      </c>
      <c r="E7" s="244">
        <v>700000</v>
      </c>
      <c r="F7" s="23">
        <v>0</v>
      </c>
      <c r="G7" s="244">
        <v>700000</v>
      </c>
    </row>
    <row r="8" spans="1:7" ht="20.100000000000001" customHeight="1">
      <c r="A8" s="28">
        <v>3</v>
      </c>
      <c r="B8" s="158" t="s">
        <v>34</v>
      </c>
      <c r="C8" s="234" t="s">
        <v>35</v>
      </c>
      <c r="D8" s="28" t="s">
        <v>41</v>
      </c>
      <c r="E8" s="244">
        <f>700000/2</f>
        <v>350000</v>
      </c>
      <c r="F8" s="23">
        <v>0</v>
      </c>
      <c r="G8" s="244">
        <f t="shared" ref="G8:G9" si="0">700000/2</f>
        <v>350000</v>
      </c>
    </row>
    <row r="9" spans="1:7" ht="20.100000000000001" customHeight="1">
      <c r="A9" s="28">
        <v>4</v>
      </c>
      <c r="B9" s="156" t="s">
        <v>36</v>
      </c>
      <c r="C9" s="233" t="s">
        <v>37</v>
      </c>
      <c r="D9" s="28" t="s">
        <v>426</v>
      </c>
      <c r="E9" s="244">
        <f>700000/2</f>
        <v>350000</v>
      </c>
      <c r="F9" s="23">
        <v>0</v>
      </c>
      <c r="G9" s="244">
        <f t="shared" si="0"/>
        <v>350000</v>
      </c>
    </row>
    <row r="10" spans="1:7" ht="20.100000000000001" customHeight="1">
      <c r="A10" s="28">
        <v>5</v>
      </c>
      <c r="B10" s="158" t="s">
        <v>39</v>
      </c>
      <c r="C10" s="234" t="s">
        <v>40</v>
      </c>
      <c r="D10" s="181" t="s">
        <v>503</v>
      </c>
      <c r="E10" s="244">
        <v>700000</v>
      </c>
      <c r="F10" s="23">
        <v>0</v>
      </c>
      <c r="G10" s="244">
        <v>700000</v>
      </c>
    </row>
    <row r="11" spans="1:7" ht="20.100000000000001" customHeight="1">
      <c r="A11" s="28">
        <v>6</v>
      </c>
      <c r="B11" s="158" t="s">
        <v>42</v>
      </c>
      <c r="C11" s="234" t="s">
        <v>43</v>
      </c>
      <c r="D11" s="24" t="s">
        <v>503</v>
      </c>
      <c r="E11" s="244">
        <v>700000</v>
      </c>
      <c r="F11" s="23">
        <v>0</v>
      </c>
      <c r="G11" s="244">
        <v>700000</v>
      </c>
    </row>
    <row r="12" spans="1:7" ht="20.100000000000001" customHeight="1">
      <c r="A12" s="28">
        <v>7</v>
      </c>
      <c r="B12" s="156" t="s">
        <v>44</v>
      </c>
      <c r="C12" s="235" t="s">
        <v>45</v>
      </c>
      <c r="D12" s="24" t="s">
        <v>503</v>
      </c>
      <c r="E12" s="244">
        <v>700000</v>
      </c>
      <c r="F12" s="23">
        <v>0</v>
      </c>
      <c r="G12" s="244">
        <v>700000</v>
      </c>
    </row>
    <row r="13" spans="1:7" ht="20.100000000000001" customHeight="1">
      <c r="A13" s="28">
        <v>8</v>
      </c>
      <c r="B13" s="158" t="s">
        <v>46</v>
      </c>
      <c r="C13" s="234" t="s">
        <v>47</v>
      </c>
      <c r="D13" s="24" t="s">
        <v>503</v>
      </c>
      <c r="E13" s="244">
        <v>700000</v>
      </c>
      <c r="F13" s="23">
        <v>0</v>
      </c>
      <c r="G13" s="244">
        <v>700000</v>
      </c>
    </row>
    <row r="14" spans="1:7" ht="20.100000000000001" customHeight="1">
      <c r="A14" s="28">
        <v>9</v>
      </c>
      <c r="B14" s="156" t="s">
        <v>48</v>
      </c>
      <c r="C14" s="233" t="s">
        <v>49</v>
      </c>
      <c r="D14" s="181" t="s">
        <v>50</v>
      </c>
      <c r="E14" s="244">
        <v>700000</v>
      </c>
      <c r="F14" s="23">
        <v>0</v>
      </c>
      <c r="G14" s="244">
        <v>700000</v>
      </c>
    </row>
    <row r="15" spans="1:7" ht="20.100000000000001" customHeight="1">
      <c r="A15" s="28">
        <v>10</v>
      </c>
      <c r="B15" s="157" t="s">
        <v>51</v>
      </c>
      <c r="C15" s="233" t="s">
        <v>52</v>
      </c>
      <c r="D15" s="28" t="s">
        <v>140</v>
      </c>
      <c r="E15" s="244">
        <v>700000</v>
      </c>
      <c r="F15" s="23">
        <v>0</v>
      </c>
      <c r="G15" s="244">
        <v>700000</v>
      </c>
    </row>
    <row r="16" spans="1:7" ht="20.100000000000001" customHeight="1">
      <c r="A16" s="28">
        <v>11</v>
      </c>
      <c r="B16" s="160" t="s">
        <v>54</v>
      </c>
      <c r="C16" s="234" t="s">
        <v>55</v>
      </c>
      <c r="D16" s="24" t="s">
        <v>123</v>
      </c>
      <c r="E16" s="244">
        <v>500000</v>
      </c>
      <c r="F16" s="23">
        <v>0</v>
      </c>
      <c r="G16" s="244">
        <v>500000</v>
      </c>
    </row>
    <row r="17" spans="1:7" ht="19.5" customHeight="1">
      <c r="A17" s="28">
        <v>12</v>
      </c>
      <c r="B17" s="158" t="s">
        <v>57</v>
      </c>
      <c r="C17" s="234" t="s">
        <v>58</v>
      </c>
      <c r="D17" s="28" t="s">
        <v>123</v>
      </c>
      <c r="E17" s="244">
        <v>500000</v>
      </c>
      <c r="F17" s="23">
        <v>0</v>
      </c>
      <c r="G17" s="244">
        <v>500000</v>
      </c>
    </row>
    <row r="18" spans="1:7" ht="19.5" customHeight="1">
      <c r="A18" s="28">
        <v>13</v>
      </c>
      <c r="B18" s="158" t="s">
        <v>59</v>
      </c>
      <c r="C18" s="234" t="s">
        <v>60</v>
      </c>
      <c r="D18" s="28" t="s">
        <v>123</v>
      </c>
      <c r="E18" s="244">
        <v>500000</v>
      </c>
      <c r="F18" s="23">
        <v>0</v>
      </c>
      <c r="G18" s="244">
        <v>500000</v>
      </c>
    </row>
    <row r="19" spans="1:7" ht="20.100000000000001" customHeight="1">
      <c r="A19" s="28">
        <v>14</v>
      </c>
      <c r="B19" s="156" t="s">
        <v>61</v>
      </c>
      <c r="C19" s="234" t="s">
        <v>58</v>
      </c>
      <c r="D19" s="181" t="s">
        <v>123</v>
      </c>
      <c r="E19" s="244">
        <v>500000</v>
      </c>
      <c r="F19" s="23">
        <v>0</v>
      </c>
      <c r="G19" s="244">
        <v>500000</v>
      </c>
    </row>
    <row r="20" spans="1:7" ht="20.100000000000001" customHeight="1">
      <c r="A20" s="28">
        <v>15</v>
      </c>
      <c r="B20" s="156" t="s">
        <v>62</v>
      </c>
      <c r="C20" s="233" t="s">
        <v>63</v>
      </c>
      <c r="D20" s="181" t="s">
        <v>431</v>
      </c>
      <c r="E20" s="244">
        <v>500000</v>
      </c>
      <c r="F20" s="244">
        <v>500000</v>
      </c>
      <c r="G20" s="23">
        <v>0</v>
      </c>
    </row>
    <row r="21" spans="1:7" ht="20.100000000000001" customHeight="1">
      <c r="A21" s="28">
        <v>16</v>
      </c>
      <c r="B21" s="157" t="s">
        <v>65</v>
      </c>
      <c r="C21" s="234" t="s">
        <v>66</v>
      </c>
      <c r="D21" s="181" t="s">
        <v>432</v>
      </c>
      <c r="E21" s="244">
        <v>500000</v>
      </c>
      <c r="F21" s="244">
        <v>500000</v>
      </c>
      <c r="G21" s="23">
        <v>0</v>
      </c>
    </row>
    <row r="22" spans="1:7" ht="20.100000000000001" customHeight="1">
      <c r="A22" s="28">
        <v>17</v>
      </c>
      <c r="B22" s="156" t="s">
        <v>68</v>
      </c>
      <c r="C22" s="233" t="s">
        <v>69</v>
      </c>
      <c r="D22" s="181" t="s">
        <v>73</v>
      </c>
      <c r="E22" s="244">
        <v>400000</v>
      </c>
      <c r="F22" s="244">
        <v>400000</v>
      </c>
      <c r="G22" s="23">
        <v>0</v>
      </c>
    </row>
    <row r="23" spans="1:7" ht="18.75" customHeight="1">
      <c r="A23" s="28">
        <v>18</v>
      </c>
      <c r="B23" s="156" t="s">
        <v>71</v>
      </c>
      <c r="C23" s="233" t="s">
        <v>72</v>
      </c>
      <c r="D23" s="181" t="s">
        <v>150</v>
      </c>
      <c r="E23" s="244">
        <v>400000</v>
      </c>
      <c r="F23" s="244">
        <v>400000</v>
      </c>
      <c r="G23" s="23">
        <v>0</v>
      </c>
    </row>
    <row r="24" spans="1:7" ht="18.75" customHeight="1">
      <c r="A24" s="28">
        <v>19</v>
      </c>
      <c r="B24" s="156" t="s">
        <v>74</v>
      </c>
      <c r="C24" s="234" t="s">
        <v>75</v>
      </c>
      <c r="D24" s="181" t="s">
        <v>150</v>
      </c>
      <c r="E24" s="244">
        <v>400000</v>
      </c>
      <c r="F24" s="244">
        <v>400000</v>
      </c>
      <c r="G24" s="23">
        <v>0</v>
      </c>
    </row>
    <row r="25" spans="1:7" ht="18.75" customHeight="1">
      <c r="A25" s="28">
        <v>20</v>
      </c>
      <c r="B25" s="157" t="s">
        <v>258</v>
      </c>
      <c r="C25" s="234" t="s">
        <v>384</v>
      </c>
      <c r="D25" s="181" t="s">
        <v>78</v>
      </c>
      <c r="E25" s="244">
        <v>300000</v>
      </c>
      <c r="F25" s="244">
        <v>300000</v>
      </c>
      <c r="G25" s="23">
        <v>0</v>
      </c>
    </row>
    <row r="26" spans="1:7" ht="18.75" customHeight="1">
      <c r="A26" s="28">
        <v>21</v>
      </c>
      <c r="B26" s="157" t="s">
        <v>76</v>
      </c>
      <c r="C26" s="233" t="s">
        <v>77</v>
      </c>
      <c r="D26" s="181" t="s">
        <v>155</v>
      </c>
      <c r="E26" s="244">
        <v>300000</v>
      </c>
      <c r="F26" s="244">
        <v>300000</v>
      </c>
      <c r="G26" s="23">
        <v>0</v>
      </c>
    </row>
    <row r="27" spans="1:7" ht="18.75" customHeight="1">
      <c r="A27" s="28">
        <v>22</v>
      </c>
      <c r="B27" s="20" t="s">
        <v>79</v>
      </c>
      <c r="C27" s="234" t="s">
        <v>80</v>
      </c>
      <c r="D27" s="28" t="s">
        <v>129</v>
      </c>
      <c r="E27" s="244">
        <v>300000</v>
      </c>
      <c r="F27" s="244">
        <v>300000</v>
      </c>
      <c r="G27" s="23">
        <v>0</v>
      </c>
    </row>
    <row r="28" spans="1:7" ht="18.75" customHeight="1">
      <c r="A28" s="28">
        <v>23</v>
      </c>
      <c r="B28" s="157" t="s">
        <v>82</v>
      </c>
      <c r="C28" s="233" t="s">
        <v>80</v>
      </c>
      <c r="D28" s="181" t="s">
        <v>129</v>
      </c>
      <c r="E28" s="244">
        <v>300000</v>
      </c>
      <c r="F28" s="244">
        <v>300000</v>
      </c>
      <c r="G28" s="23">
        <v>0</v>
      </c>
    </row>
    <row r="29" spans="1:7" ht="18.75" customHeight="1">
      <c r="A29" s="28">
        <v>24</v>
      </c>
      <c r="B29" s="156" t="s">
        <v>83</v>
      </c>
      <c r="C29" s="233" t="s">
        <v>84</v>
      </c>
      <c r="D29" s="181" t="s">
        <v>129</v>
      </c>
      <c r="E29" s="244">
        <v>300000</v>
      </c>
      <c r="F29" s="244">
        <v>300000</v>
      </c>
      <c r="G29" s="23">
        <v>0</v>
      </c>
    </row>
    <row r="30" spans="1:7" ht="18.75" customHeight="1">
      <c r="A30" s="28">
        <v>25</v>
      </c>
      <c r="B30" s="157" t="s">
        <v>85</v>
      </c>
      <c r="C30" s="233" t="s">
        <v>86</v>
      </c>
      <c r="D30" s="181" t="s">
        <v>435</v>
      </c>
      <c r="E30" s="244">
        <v>300000</v>
      </c>
      <c r="F30" s="244">
        <v>300000</v>
      </c>
      <c r="G30" s="23">
        <v>0</v>
      </c>
    </row>
    <row r="31" spans="1:7" ht="18.75" customHeight="1">
      <c r="A31" s="28">
        <v>26</v>
      </c>
      <c r="B31" s="156" t="s">
        <v>88</v>
      </c>
      <c r="C31" s="235" t="s">
        <v>89</v>
      </c>
      <c r="D31" s="181" t="s">
        <v>436</v>
      </c>
      <c r="E31" s="244">
        <v>300000</v>
      </c>
      <c r="F31" s="244">
        <v>300000</v>
      </c>
      <c r="G31" s="23">
        <v>0</v>
      </c>
    </row>
    <row r="32" spans="1:7" ht="18.75" customHeight="1">
      <c r="A32" s="28">
        <v>27</v>
      </c>
      <c r="B32" s="157" t="s">
        <v>91</v>
      </c>
      <c r="C32" s="234" t="s">
        <v>92</v>
      </c>
      <c r="D32" s="28" t="s">
        <v>436</v>
      </c>
      <c r="E32" s="244">
        <v>300000</v>
      </c>
      <c r="F32" s="244">
        <v>300000</v>
      </c>
      <c r="G32" s="23">
        <v>0</v>
      </c>
    </row>
    <row r="33" spans="1:7" ht="18.75" customHeight="1">
      <c r="A33" s="28">
        <v>28</v>
      </c>
      <c r="B33" s="157" t="s">
        <v>93</v>
      </c>
      <c r="C33" s="235" t="s">
        <v>94</v>
      </c>
      <c r="D33" s="181" t="s">
        <v>129</v>
      </c>
      <c r="E33" s="244">
        <v>300000</v>
      </c>
      <c r="F33" s="244">
        <v>300000</v>
      </c>
      <c r="G33" s="23">
        <v>0</v>
      </c>
    </row>
    <row r="34" spans="1:7" ht="18.75" customHeight="1">
      <c r="A34" s="28">
        <v>29</v>
      </c>
      <c r="B34" s="157" t="s">
        <v>504</v>
      </c>
      <c r="C34" s="235" t="s">
        <v>94</v>
      </c>
      <c r="D34" s="181" t="s">
        <v>107</v>
      </c>
      <c r="E34" s="244">
        <v>300000</v>
      </c>
      <c r="F34" s="244">
        <v>300000</v>
      </c>
      <c r="G34" s="23">
        <v>0</v>
      </c>
    </row>
    <row r="35" spans="1:7" ht="18.75" customHeight="1">
      <c r="A35" s="28">
        <v>30</v>
      </c>
      <c r="B35" s="157" t="s">
        <v>95</v>
      </c>
      <c r="C35" s="234" t="s">
        <v>385</v>
      </c>
      <c r="D35" s="28" t="s">
        <v>107</v>
      </c>
      <c r="E35" s="244">
        <v>300000</v>
      </c>
      <c r="F35" s="244">
        <v>300000</v>
      </c>
      <c r="G35" s="23">
        <v>0</v>
      </c>
    </row>
    <row r="36" spans="1:7" ht="18.75" customHeight="1">
      <c r="A36" s="28">
        <v>31</v>
      </c>
      <c r="B36" s="157" t="s">
        <v>98</v>
      </c>
      <c r="C36" s="233" t="s">
        <v>77</v>
      </c>
      <c r="D36" s="181" t="s">
        <v>107</v>
      </c>
      <c r="E36" s="244">
        <v>300000</v>
      </c>
      <c r="F36" s="244">
        <v>300000</v>
      </c>
      <c r="G36" s="23">
        <v>0</v>
      </c>
    </row>
    <row r="37" spans="1:7" ht="18.75" customHeight="1">
      <c r="A37" s="28">
        <v>32</v>
      </c>
      <c r="B37" s="157" t="s">
        <v>99</v>
      </c>
      <c r="C37" s="233" t="s">
        <v>77</v>
      </c>
      <c r="D37" s="181" t="s">
        <v>107</v>
      </c>
      <c r="E37" s="244">
        <v>300000</v>
      </c>
      <c r="F37" s="244">
        <v>300000</v>
      </c>
      <c r="G37" s="23">
        <v>0</v>
      </c>
    </row>
    <row r="38" spans="1:7" ht="26.25" customHeight="1">
      <c r="A38" s="28"/>
      <c r="B38" s="159" t="s">
        <v>100</v>
      </c>
      <c r="C38" s="236">
        <v>29</v>
      </c>
      <c r="D38" s="181"/>
      <c r="E38" s="245">
        <f>SUM(E6:E37)</f>
        <v>15700000</v>
      </c>
      <c r="F38" s="245">
        <f>SUM(F6:F37)</f>
        <v>6100000</v>
      </c>
      <c r="G38" s="245">
        <f t="shared" ref="G38" si="1">SUM(G6:G37)</f>
        <v>9600000</v>
      </c>
    </row>
    <row r="39" spans="1:7" ht="18.75" customHeight="1">
      <c r="A39" s="28"/>
      <c r="B39" s="123"/>
      <c r="C39" s="234"/>
      <c r="D39" s="181"/>
      <c r="E39" s="245"/>
      <c r="F39" s="244"/>
      <c r="G39" s="245"/>
    </row>
    <row r="40" spans="1:7" ht="18.75" customHeight="1">
      <c r="A40" s="28"/>
      <c r="B40" s="159" t="s">
        <v>101</v>
      </c>
      <c r="C40" s="234"/>
      <c r="D40" s="181"/>
      <c r="E40" s="244"/>
      <c r="F40" s="244"/>
      <c r="G40" s="244"/>
    </row>
    <row r="41" spans="1:7" ht="18.75" customHeight="1">
      <c r="A41" s="28">
        <v>1</v>
      </c>
      <c r="B41" s="157" t="s">
        <v>102</v>
      </c>
      <c r="C41" s="234" t="s">
        <v>103</v>
      </c>
      <c r="D41" s="28" t="s">
        <v>438</v>
      </c>
      <c r="E41" s="244">
        <v>1000000</v>
      </c>
      <c r="F41" s="23">
        <v>0</v>
      </c>
      <c r="G41" s="244">
        <v>1000000</v>
      </c>
    </row>
    <row r="42" spans="1:7" ht="18.75" customHeight="1">
      <c r="A42" s="28">
        <v>2</v>
      </c>
      <c r="B42" s="157" t="s">
        <v>105</v>
      </c>
      <c r="C42" s="234" t="s">
        <v>106</v>
      </c>
      <c r="D42" s="28" t="s">
        <v>107</v>
      </c>
      <c r="E42" s="244">
        <v>300000</v>
      </c>
      <c r="F42" s="244">
        <v>300000</v>
      </c>
      <c r="G42" s="23">
        <v>0</v>
      </c>
    </row>
    <row r="43" spans="1:7" ht="19.5" customHeight="1">
      <c r="A43" s="28"/>
      <c r="B43" s="158"/>
      <c r="C43" s="236">
        <v>2</v>
      </c>
      <c r="D43" s="28"/>
      <c r="E43" s="245">
        <f>SUM(E41:E42)</f>
        <v>1300000</v>
      </c>
      <c r="F43" s="245">
        <f t="shared" ref="F43:G43" si="2">SUM(F41:F42)</f>
        <v>300000</v>
      </c>
      <c r="G43" s="245">
        <f t="shared" si="2"/>
        <v>1000000</v>
      </c>
    </row>
    <row r="44" spans="1:7" ht="20.100000000000001" customHeight="1">
      <c r="A44" s="28"/>
      <c r="B44" s="158"/>
      <c r="C44" s="234"/>
      <c r="D44" s="28"/>
      <c r="E44" s="244"/>
      <c r="F44" s="244"/>
      <c r="G44" s="244"/>
    </row>
    <row r="45" spans="1:7" ht="20.100000000000001" customHeight="1">
      <c r="A45" s="28"/>
      <c r="B45" s="185" t="s">
        <v>108</v>
      </c>
      <c r="C45" s="237"/>
      <c r="D45" s="174"/>
      <c r="E45" s="244"/>
      <c r="F45" s="244"/>
      <c r="G45" s="244"/>
    </row>
    <row r="46" spans="1:7" ht="20.100000000000001" customHeight="1">
      <c r="A46" s="28">
        <v>1</v>
      </c>
      <c r="B46" s="156" t="s">
        <v>109</v>
      </c>
      <c r="C46" s="234" t="s">
        <v>110</v>
      </c>
      <c r="D46" s="28" t="s">
        <v>104</v>
      </c>
      <c r="E46" s="244">
        <v>1000000</v>
      </c>
      <c r="F46" s="23">
        <v>0</v>
      </c>
      <c r="G46" s="244">
        <v>1000000</v>
      </c>
    </row>
    <row r="47" spans="1:7" ht="20.100000000000001" customHeight="1">
      <c r="A47" s="28">
        <v>2</v>
      </c>
      <c r="B47" s="156" t="s">
        <v>111</v>
      </c>
      <c r="C47" s="234" t="s">
        <v>112</v>
      </c>
      <c r="D47" s="28" t="s">
        <v>50</v>
      </c>
      <c r="E47" s="244">
        <v>700000</v>
      </c>
      <c r="F47" s="23">
        <v>0</v>
      </c>
      <c r="G47" s="244">
        <v>700000</v>
      </c>
    </row>
    <row r="48" spans="1:7" ht="20.100000000000001" customHeight="1">
      <c r="A48" s="28">
        <v>3</v>
      </c>
      <c r="B48" s="156" t="s">
        <v>113</v>
      </c>
      <c r="C48" s="234" t="s">
        <v>114</v>
      </c>
      <c r="D48" s="28" t="s">
        <v>50</v>
      </c>
      <c r="E48" s="244">
        <v>700000</v>
      </c>
      <c r="F48" s="23">
        <v>0</v>
      </c>
      <c r="G48" s="244">
        <v>700000</v>
      </c>
    </row>
    <row r="49" spans="1:7" ht="20.100000000000001" customHeight="1">
      <c r="A49" s="28">
        <v>4</v>
      </c>
      <c r="B49" s="156" t="s">
        <v>115</v>
      </c>
      <c r="C49" s="234" t="s">
        <v>114</v>
      </c>
      <c r="D49" s="28" t="s">
        <v>117</v>
      </c>
      <c r="E49" s="244">
        <v>700000</v>
      </c>
      <c r="F49" s="23">
        <v>0</v>
      </c>
      <c r="G49" s="244">
        <v>700000</v>
      </c>
    </row>
    <row r="50" spans="1:7" ht="20.100000000000001" customHeight="1">
      <c r="A50" s="28">
        <v>5</v>
      </c>
      <c r="B50" s="156" t="s">
        <v>116</v>
      </c>
      <c r="C50" s="234" t="s">
        <v>114</v>
      </c>
      <c r="D50" s="28" t="s">
        <v>220</v>
      </c>
      <c r="E50" s="244">
        <v>700000</v>
      </c>
      <c r="F50" s="23">
        <v>0</v>
      </c>
      <c r="G50" s="244">
        <v>700000</v>
      </c>
    </row>
    <row r="51" spans="1:7" ht="20.100000000000001" customHeight="1">
      <c r="A51" s="28">
        <v>6</v>
      </c>
      <c r="B51" s="156" t="s">
        <v>118</v>
      </c>
      <c r="C51" s="234" t="s">
        <v>119</v>
      </c>
      <c r="D51" s="28" t="s">
        <v>123</v>
      </c>
      <c r="E51" s="244">
        <v>500000</v>
      </c>
      <c r="F51" s="23">
        <v>0</v>
      </c>
      <c r="G51" s="244">
        <v>500000</v>
      </c>
    </row>
    <row r="52" spans="1:7" ht="20.100000000000001" customHeight="1">
      <c r="A52" s="28">
        <v>7</v>
      </c>
      <c r="B52" s="158" t="s">
        <v>120</v>
      </c>
      <c r="C52" s="234" t="s">
        <v>121</v>
      </c>
      <c r="D52" s="24" t="s">
        <v>123</v>
      </c>
      <c r="E52" s="244">
        <v>500000</v>
      </c>
      <c r="F52" s="23">
        <v>0</v>
      </c>
      <c r="G52" s="244">
        <v>500000</v>
      </c>
    </row>
    <row r="53" spans="1:7" ht="20.100000000000001" customHeight="1">
      <c r="A53" s="28">
        <v>8</v>
      </c>
      <c r="B53" s="156" t="s">
        <v>122</v>
      </c>
      <c r="C53" s="234" t="s">
        <v>121</v>
      </c>
      <c r="D53" s="28" t="s">
        <v>487</v>
      </c>
      <c r="E53" s="244">
        <v>500000</v>
      </c>
      <c r="F53" s="23">
        <v>0</v>
      </c>
      <c r="G53" s="244">
        <v>500000</v>
      </c>
    </row>
    <row r="54" spans="1:7" ht="20.100000000000001" customHeight="1">
      <c r="A54" s="28">
        <v>9</v>
      </c>
      <c r="B54" s="156" t="s">
        <v>124</v>
      </c>
      <c r="C54" s="234" t="s">
        <v>125</v>
      </c>
      <c r="D54" s="28" t="s">
        <v>64</v>
      </c>
      <c r="E54" s="244">
        <v>500000</v>
      </c>
      <c r="F54" s="244">
        <v>500000</v>
      </c>
      <c r="G54" s="23">
        <v>0</v>
      </c>
    </row>
    <row r="55" spans="1:7" ht="20.100000000000001" customHeight="1">
      <c r="A55" s="28">
        <v>10</v>
      </c>
      <c r="B55" s="156" t="s">
        <v>127</v>
      </c>
      <c r="C55" s="234" t="s">
        <v>128</v>
      </c>
      <c r="D55" s="28" t="s">
        <v>129</v>
      </c>
      <c r="E55" s="244">
        <v>300000</v>
      </c>
      <c r="F55" s="244">
        <v>300000</v>
      </c>
      <c r="G55" s="23">
        <v>0</v>
      </c>
    </row>
    <row r="56" spans="1:7" ht="20.100000000000001" customHeight="1">
      <c r="A56" s="28">
        <v>11</v>
      </c>
      <c r="B56" s="156" t="s">
        <v>130</v>
      </c>
      <c r="C56" s="234" t="s">
        <v>128</v>
      </c>
      <c r="D56" s="28" t="s">
        <v>129</v>
      </c>
      <c r="E56" s="244">
        <v>300000</v>
      </c>
      <c r="F56" s="244">
        <v>300000</v>
      </c>
      <c r="G56" s="23">
        <v>0</v>
      </c>
    </row>
    <row r="57" spans="1:7" ht="20.100000000000001" customHeight="1">
      <c r="A57" s="28">
        <v>12</v>
      </c>
      <c r="B57" s="156" t="s">
        <v>131</v>
      </c>
      <c r="C57" s="234" t="s">
        <v>128</v>
      </c>
      <c r="D57" s="28" t="s">
        <v>129</v>
      </c>
      <c r="E57" s="244">
        <v>300000</v>
      </c>
      <c r="F57" s="244">
        <v>300000</v>
      </c>
      <c r="G57" s="23">
        <v>0</v>
      </c>
    </row>
    <row r="58" spans="1:7" ht="25.5" customHeight="1">
      <c r="A58" s="28"/>
      <c r="B58" s="159" t="s">
        <v>100</v>
      </c>
      <c r="C58" s="236">
        <v>11</v>
      </c>
      <c r="D58" s="29"/>
      <c r="E58" s="246">
        <f>SUM(E46:E57)</f>
        <v>6700000</v>
      </c>
      <c r="F58" s="246">
        <f t="shared" ref="F58:G58" si="3">SUM(F46:F57)</f>
        <v>1400000</v>
      </c>
      <c r="G58" s="246">
        <f t="shared" si="3"/>
        <v>5300000</v>
      </c>
    </row>
    <row r="59" spans="1:7" ht="20.100000000000001" customHeight="1">
      <c r="A59" s="28"/>
      <c r="B59" s="123"/>
      <c r="C59" s="236"/>
      <c r="D59" s="29"/>
      <c r="E59" s="247"/>
      <c r="F59" s="247"/>
      <c r="G59" s="247"/>
    </row>
    <row r="60" spans="1:7" ht="20.100000000000001" customHeight="1">
      <c r="A60" s="28"/>
      <c r="B60" s="159" t="s">
        <v>132</v>
      </c>
      <c r="C60" s="236"/>
      <c r="D60" s="29"/>
      <c r="E60" s="247"/>
      <c r="F60" s="247"/>
      <c r="G60" s="247"/>
    </row>
    <row r="61" spans="1:7" ht="20.100000000000001" customHeight="1">
      <c r="A61" s="28">
        <v>1</v>
      </c>
      <c r="B61" s="156" t="s">
        <v>133</v>
      </c>
      <c r="C61" s="233" t="s">
        <v>134</v>
      </c>
      <c r="D61" s="181" t="s">
        <v>104</v>
      </c>
      <c r="E61" s="244">
        <f>1000000/2</f>
        <v>500000</v>
      </c>
      <c r="F61" s="23">
        <v>0</v>
      </c>
      <c r="G61" s="244">
        <f t="shared" ref="G61" si="4">1000000/2</f>
        <v>500000</v>
      </c>
    </row>
    <row r="62" spans="1:7" ht="20.100000000000001" customHeight="1">
      <c r="A62" s="28"/>
      <c r="B62" s="159" t="s">
        <v>100</v>
      </c>
      <c r="C62" s="236">
        <v>2</v>
      </c>
      <c r="D62" s="29"/>
      <c r="E62" s="246">
        <f>SUM(E61)</f>
        <v>500000</v>
      </c>
      <c r="F62" s="68">
        <f t="shared" ref="F62:G62" si="5">SUM(F61)</f>
        <v>0</v>
      </c>
      <c r="G62" s="246">
        <f t="shared" si="5"/>
        <v>500000</v>
      </c>
    </row>
    <row r="63" spans="1:7" ht="20.100000000000001" customHeight="1">
      <c r="A63" s="28"/>
      <c r="B63" s="159"/>
      <c r="C63" s="236"/>
      <c r="D63" s="29"/>
      <c r="E63" s="247"/>
      <c r="F63" s="247"/>
      <c r="G63" s="247"/>
    </row>
    <row r="64" spans="1:7" ht="20.100000000000001" customHeight="1">
      <c r="A64" s="28"/>
      <c r="B64" s="159" t="s">
        <v>135</v>
      </c>
      <c r="C64" s="236"/>
      <c r="D64" s="29"/>
      <c r="E64" s="247"/>
      <c r="F64" s="247"/>
      <c r="G64" s="247"/>
    </row>
    <row r="65" spans="1:7" ht="20.100000000000001" customHeight="1">
      <c r="A65" s="28">
        <v>1</v>
      </c>
      <c r="B65" s="156" t="s">
        <v>136</v>
      </c>
      <c r="C65" s="235" t="s">
        <v>137</v>
      </c>
      <c r="D65" s="28" t="s">
        <v>104</v>
      </c>
      <c r="E65" s="248">
        <f>1000000/2</f>
        <v>500000</v>
      </c>
      <c r="F65" s="25">
        <v>0</v>
      </c>
      <c r="G65" s="248">
        <f t="shared" ref="G65" si="6">1000000/2</f>
        <v>500000</v>
      </c>
    </row>
    <row r="66" spans="1:7" ht="20.100000000000001" customHeight="1">
      <c r="A66" s="28">
        <v>2</v>
      </c>
      <c r="B66" s="157" t="s">
        <v>138</v>
      </c>
      <c r="C66" s="235" t="s">
        <v>139</v>
      </c>
      <c r="D66" s="181" t="s">
        <v>140</v>
      </c>
      <c r="E66" s="244">
        <f>700000/2</f>
        <v>350000</v>
      </c>
      <c r="F66" s="25">
        <v>0</v>
      </c>
      <c r="G66" s="244">
        <f t="shared" ref="G66" si="7">700000/2</f>
        <v>350000</v>
      </c>
    </row>
    <row r="67" spans="1:7" ht="20.100000000000001" customHeight="1">
      <c r="A67" s="28">
        <v>3</v>
      </c>
      <c r="B67" s="156" t="s">
        <v>141</v>
      </c>
      <c r="C67" s="234" t="s">
        <v>142</v>
      </c>
      <c r="D67" s="28" t="s">
        <v>64</v>
      </c>
      <c r="E67" s="248">
        <v>500000</v>
      </c>
      <c r="F67" s="248">
        <v>500000</v>
      </c>
      <c r="G67" s="25">
        <v>0</v>
      </c>
    </row>
    <row r="68" spans="1:7" ht="20.100000000000001" customHeight="1">
      <c r="A68" s="28">
        <v>4</v>
      </c>
      <c r="B68" s="157" t="s">
        <v>143</v>
      </c>
      <c r="C68" s="235" t="s">
        <v>142</v>
      </c>
      <c r="D68" s="181" t="s">
        <v>431</v>
      </c>
      <c r="E68" s="248">
        <v>500000</v>
      </c>
      <c r="F68" s="248">
        <v>500000</v>
      </c>
      <c r="G68" s="25">
        <v>0</v>
      </c>
    </row>
    <row r="69" spans="1:7" ht="20.100000000000001" customHeight="1">
      <c r="A69" s="28">
        <v>5</v>
      </c>
      <c r="B69" s="158" t="s">
        <v>144</v>
      </c>
      <c r="C69" s="235" t="s">
        <v>121</v>
      </c>
      <c r="D69" s="181" t="s">
        <v>123</v>
      </c>
      <c r="E69" s="248">
        <v>500000</v>
      </c>
      <c r="F69" s="25">
        <v>0</v>
      </c>
      <c r="G69" s="248">
        <v>500000</v>
      </c>
    </row>
    <row r="70" spans="1:7" ht="20.100000000000001" customHeight="1">
      <c r="A70" s="28">
        <v>6</v>
      </c>
      <c r="B70" s="156" t="s">
        <v>145</v>
      </c>
      <c r="C70" s="234" t="s">
        <v>128</v>
      </c>
      <c r="D70" s="28" t="s">
        <v>441</v>
      </c>
      <c r="E70" s="244">
        <v>300000</v>
      </c>
      <c r="F70" s="248">
        <v>300000</v>
      </c>
      <c r="G70" s="25">
        <v>0</v>
      </c>
    </row>
    <row r="71" spans="1:7" ht="20.100000000000001" customHeight="1">
      <c r="A71" s="28">
        <v>7</v>
      </c>
      <c r="B71" s="156" t="s">
        <v>147</v>
      </c>
      <c r="C71" s="235" t="s">
        <v>148</v>
      </c>
      <c r="D71" s="181" t="s">
        <v>73</v>
      </c>
      <c r="E71" s="244">
        <v>400000</v>
      </c>
      <c r="F71" s="248">
        <v>400000</v>
      </c>
      <c r="G71" s="23">
        <v>0</v>
      </c>
    </row>
    <row r="72" spans="1:7" ht="20.100000000000001" customHeight="1">
      <c r="A72" s="28">
        <v>8</v>
      </c>
      <c r="B72" s="156" t="s">
        <v>149</v>
      </c>
      <c r="C72" s="235" t="s">
        <v>148</v>
      </c>
      <c r="D72" s="181" t="s">
        <v>150</v>
      </c>
      <c r="E72" s="244">
        <v>400000</v>
      </c>
      <c r="F72" s="248">
        <v>400000</v>
      </c>
      <c r="G72" s="23">
        <v>0</v>
      </c>
    </row>
    <row r="73" spans="1:7" ht="20.100000000000001" customHeight="1">
      <c r="A73" s="28">
        <v>9</v>
      </c>
      <c r="B73" s="156" t="s">
        <v>151</v>
      </c>
      <c r="C73" s="235" t="s">
        <v>148</v>
      </c>
      <c r="D73" s="181" t="s">
        <v>150</v>
      </c>
      <c r="E73" s="244">
        <v>400000</v>
      </c>
      <c r="F73" s="248">
        <v>400000</v>
      </c>
      <c r="G73" s="23">
        <v>0</v>
      </c>
    </row>
    <row r="74" spans="1:7" ht="20.100000000000001" customHeight="1">
      <c r="A74" s="28">
        <v>10</v>
      </c>
      <c r="B74" s="156" t="s">
        <v>152</v>
      </c>
      <c r="C74" s="234" t="s">
        <v>153</v>
      </c>
      <c r="D74" s="28" t="s">
        <v>150</v>
      </c>
      <c r="E74" s="244">
        <v>400000</v>
      </c>
      <c r="F74" s="248">
        <v>400000</v>
      </c>
      <c r="G74" s="23">
        <v>0</v>
      </c>
    </row>
    <row r="75" spans="1:7" ht="20.100000000000001" customHeight="1">
      <c r="A75" s="28">
        <v>11</v>
      </c>
      <c r="B75" s="156" t="s">
        <v>154</v>
      </c>
      <c r="C75" s="235" t="s">
        <v>128</v>
      </c>
      <c r="D75" s="28" t="s">
        <v>184</v>
      </c>
      <c r="E75" s="244">
        <v>300000</v>
      </c>
      <c r="F75" s="248">
        <v>300000</v>
      </c>
      <c r="G75" s="23">
        <v>0</v>
      </c>
    </row>
    <row r="76" spans="1:7" ht="20.100000000000001" customHeight="1">
      <c r="A76" s="28">
        <v>12</v>
      </c>
      <c r="B76" s="156" t="s">
        <v>156</v>
      </c>
      <c r="C76" s="235" t="s">
        <v>157</v>
      </c>
      <c r="D76" s="28" t="s">
        <v>129</v>
      </c>
      <c r="E76" s="244">
        <v>300000</v>
      </c>
      <c r="F76" s="248">
        <v>300000</v>
      </c>
      <c r="G76" s="23">
        <v>0</v>
      </c>
    </row>
    <row r="77" spans="1:7" ht="20.100000000000001" customHeight="1">
      <c r="A77" s="28">
        <v>13</v>
      </c>
      <c r="B77" s="158" t="s">
        <v>158</v>
      </c>
      <c r="C77" s="235" t="s">
        <v>157</v>
      </c>
      <c r="D77" s="28" t="s">
        <v>107</v>
      </c>
      <c r="E77" s="244">
        <v>300000</v>
      </c>
      <c r="F77" s="244">
        <v>300000</v>
      </c>
      <c r="G77" s="23">
        <v>0</v>
      </c>
    </row>
    <row r="78" spans="1:7" ht="20.100000000000001" customHeight="1">
      <c r="A78" s="28"/>
      <c r="B78" s="159" t="s">
        <v>100</v>
      </c>
      <c r="C78" s="236">
        <v>13</v>
      </c>
      <c r="D78" s="29"/>
      <c r="E78" s="246">
        <f>SUM(E65:E77)</f>
        <v>5150000</v>
      </c>
      <c r="F78" s="246">
        <f t="shared" ref="F78:G78" si="8">SUM(F65:F77)</f>
        <v>3800000</v>
      </c>
      <c r="G78" s="246">
        <f t="shared" si="8"/>
        <v>1350000</v>
      </c>
    </row>
    <row r="79" spans="1:7" ht="20.100000000000001" customHeight="1">
      <c r="A79" s="28"/>
      <c r="B79" s="123"/>
      <c r="C79" s="236"/>
      <c r="D79" s="29"/>
      <c r="E79" s="247"/>
      <c r="F79" s="247"/>
      <c r="G79" s="247"/>
    </row>
    <row r="80" spans="1:7" ht="20.100000000000001" customHeight="1">
      <c r="A80" s="28"/>
      <c r="B80" s="159" t="s">
        <v>159</v>
      </c>
      <c r="C80" s="236"/>
      <c r="D80" s="29"/>
      <c r="E80" s="247"/>
      <c r="F80" s="247"/>
      <c r="G80" s="247"/>
    </row>
    <row r="81" spans="1:7" ht="20.100000000000001" customHeight="1">
      <c r="A81" s="28">
        <v>1</v>
      </c>
      <c r="B81" s="156" t="s">
        <v>160</v>
      </c>
      <c r="C81" s="234" t="s">
        <v>161</v>
      </c>
      <c r="D81" s="28" t="s">
        <v>104</v>
      </c>
      <c r="E81" s="244">
        <v>1000000</v>
      </c>
      <c r="F81" s="23">
        <v>0</v>
      </c>
      <c r="G81" s="244">
        <v>1000000</v>
      </c>
    </row>
    <row r="82" spans="1:7" ht="20.100000000000001" customHeight="1">
      <c r="A82" s="28">
        <v>2</v>
      </c>
      <c r="B82" s="158" t="s">
        <v>162</v>
      </c>
      <c r="C82" s="234" t="s">
        <v>163</v>
      </c>
      <c r="D82" s="181" t="s">
        <v>140</v>
      </c>
      <c r="E82" s="244">
        <v>700000</v>
      </c>
      <c r="F82" s="23">
        <v>0</v>
      </c>
      <c r="G82" s="244">
        <v>700000</v>
      </c>
    </row>
    <row r="83" spans="1:7" ht="20.100000000000001" customHeight="1">
      <c r="A83" s="28">
        <v>3</v>
      </c>
      <c r="B83" s="158" t="s">
        <v>164</v>
      </c>
      <c r="C83" s="234" t="s">
        <v>165</v>
      </c>
      <c r="D83" s="181" t="s">
        <v>140</v>
      </c>
      <c r="E83" s="244">
        <f>700000/2</f>
        <v>350000</v>
      </c>
      <c r="F83" s="23">
        <v>0</v>
      </c>
      <c r="G83" s="244">
        <f t="shared" ref="G83" si="9">700000/2</f>
        <v>350000</v>
      </c>
    </row>
    <row r="84" spans="1:7" ht="20.100000000000001" customHeight="1">
      <c r="A84" s="28">
        <v>4</v>
      </c>
      <c r="B84" s="156" t="s">
        <v>166</v>
      </c>
      <c r="C84" s="234" t="s">
        <v>167</v>
      </c>
      <c r="D84" s="181" t="s">
        <v>64</v>
      </c>
      <c r="E84" s="244">
        <v>500000</v>
      </c>
      <c r="F84" s="244">
        <v>500000</v>
      </c>
      <c r="G84" s="23">
        <v>0</v>
      </c>
    </row>
    <row r="85" spans="1:7" ht="20.100000000000001" customHeight="1">
      <c r="A85" s="28">
        <v>5</v>
      </c>
      <c r="B85" s="156" t="s">
        <v>168</v>
      </c>
      <c r="C85" s="234" t="s">
        <v>169</v>
      </c>
      <c r="D85" s="28" t="s">
        <v>184</v>
      </c>
      <c r="E85" s="244">
        <v>300000</v>
      </c>
      <c r="F85" s="244">
        <v>300000</v>
      </c>
      <c r="G85" s="23">
        <v>0</v>
      </c>
    </row>
    <row r="86" spans="1:7" ht="20.100000000000001" customHeight="1">
      <c r="A86" s="28"/>
      <c r="B86" s="159" t="s">
        <v>100</v>
      </c>
      <c r="C86" s="236">
        <v>5</v>
      </c>
      <c r="D86" s="29"/>
      <c r="E86" s="246">
        <f>SUM(E81:E85)</f>
        <v>2850000</v>
      </c>
      <c r="F86" s="246">
        <f>SUM(F81:F85)</f>
        <v>800000</v>
      </c>
      <c r="G86" s="246">
        <f t="shared" ref="G86" si="10">SUM(G81:G85)</f>
        <v>2050000</v>
      </c>
    </row>
    <row r="87" spans="1:7" ht="20.100000000000001" customHeight="1">
      <c r="A87" s="28"/>
      <c r="B87" s="159"/>
      <c r="C87" s="236"/>
      <c r="D87" s="29"/>
      <c r="E87" s="244"/>
      <c r="F87" s="244"/>
      <c r="G87" s="244"/>
    </row>
    <row r="88" spans="1:7" ht="20.100000000000001" customHeight="1">
      <c r="A88" s="28"/>
      <c r="B88" s="159" t="s">
        <v>170</v>
      </c>
      <c r="C88" s="238"/>
      <c r="D88" s="29"/>
      <c r="E88" s="244"/>
      <c r="F88" s="244"/>
      <c r="G88" s="244"/>
    </row>
    <row r="89" spans="1:7" ht="20.100000000000001" customHeight="1">
      <c r="A89" s="28">
        <v>1</v>
      </c>
      <c r="B89" s="156" t="s">
        <v>444</v>
      </c>
      <c r="C89" s="234" t="s">
        <v>172</v>
      </c>
      <c r="D89" s="28" t="s">
        <v>41</v>
      </c>
      <c r="E89" s="244">
        <v>700000</v>
      </c>
      <c r="F89" s="23">
        <v>0</v>
      </c>
      <c r="G89" s="244">
        <v>700000</v>
      </c>
    </row>
    <row r="90" spans="1:7" ht="20.100000000000001" customHeight="1">
      <c r="A90" s="28">
        <v>2</v>
      </c>
      <c r="B90" s="156" t="s">
        <v>173</v>
      </c>
      <c r="C90" s="234" t="s">
        <v>114</v>
      </c>
      <c r="D90" s="28" t="s">
        <v>50</v>
      </c>
      <c r="E90" s="244">
        <v>700000</v>
      </c>
      <c r="F90" s="23">
        <v>0</v>
      </c>
      <c r="G90" s="244">
        <v>700000</v>
      </c>
    </row>
    <row r="91" spans="1:7" ht="20.100000000000001" customHeight="1">
      <c r="A91" s="28">
        <v>3</v>
      </c>
      <c r="B91" s="156" t="s">
        <v>174</v>
      </c>
      <c r="C91" s="234" t="s">
        <v>114</v>
      </c>
      <c r="D91" s="28" t="s">
        <v>50</v>
      </c>
      <c r="E91" s="244">
        <v>700000</v>
      </c>
      <c r="F91" s="23">
        <v>0</v>
      </c>
      <c r="G91" s="244">
        <v>700000</v>
      </c>
    </row>
    <row r="92" spans="1:7" ht="20.100000000000001" customHeight="1">
      <c r="A92" s="28">
        <v>4</v>
      </c>
      <c r="B92" s="158" t="s">
        <v>175</v>
      </c>
      <c r="C92" s="234" t="s">
        <v>121</v>
      </c>
      <c r="D92" s="28" t="s">
        <v>56</v>
      </c>
      <c r="E92" s="248">
        <v>500000</v>
      </c>
      <c r="F92" s="23">
        <v>0</v>
      </c>
      <c r="G92" s="248">
        <v>500000</v>
      </c>
    </row>
    <row r="93" spans="1:7" ht="20.100000000000001" customHeight="1">
      <c r="A93" s="28">
        <v>5</v>
      </c>
      <c r="B93" s="156" t="s">
        <v>177</v>
      </c>
      <c r="C93" s="234" t="s">
        <v>119</v>
      </c>
      <c r="D93" s="28" t="s">
        <v>123</v>
      </c>
      <c r="E93" s="248">
        <v>500000</v>
      </c>
      <c r="F93" s="23">
        <v>0</v>
      </c>
      <c r="G93" s="248">
        <v>500000</v>
      </c>
    </row>
    <row r="94" spans="1:7" ht="21.6" customHeight="1">
      <c r="A94" s="28">
        <v>6</v>
      </c>
      <c r="B94" s="156" t="s">
        <v>178</v>
      </c>
      <c r="C94" s="234" t="s">
        <v>125</v>
      </c>
      <c r="D94" s="181" t="s">
        <v>64</v>
      </c>
      <c r="E94" s="248">
        <v>500000</v>
      </c>
      <c r="F94" s="244">
        <v>500000</v>
      </c>
      <c r="G94" s="25">
        <v>0</v>
      </c>
    </row>
    <row r="95" spans="1:7" ht="21.6" customHeight="1">
      <c r="A95" s="28">
        <v>7</v>
      </c>
      <c r="B95" s="156" t="s">
        <v>179</v>
      </c>
      <c r="C95" s="233" t="s">
        <v>142</v>
      </c>
      <c r="D95" s="181" t="s">
        <v>431</v>
      </c>
      <c r="E95" s="248">
        <v>500000</v>
      </c>
      <c r="F95" s="244">
        <v>500000</v>
      </c>
      <c r="G95" s="25">
        <v>0</v>
      </c>
    </row>
    <row r="96" spans="1:7" ht="21.6" customHeight="1">
      <c r="A96" s="28">
        <v>8</v>
      </c>
      <c r="B96" s="156" t="s">
        <v>180</v>
      </c>
      <c r="C96" s="233" t="s">
        <v>142</v>
      </c>
      <c r="D96" s="181" t="s">
        <v>431</v>
      </c>
      <c r="E96" s="248">
        <f>500000/2</f>
        <v>250000</v>
      </c>
      <c r="F96" s="248">
        <f>500000/2</f>
        <v>250000</v>
      </c>
      <c r="G96" s="25">
        <v>0</v>
      </c>
    </row>
    <row r="97" spans="1:7" ht="21.6" customHeight="1">
      <c r="A97" s="28">
        <v>9</v>
      </c>
      <c r="B97" s="156" t="s">
        <v>181</v>
      </c>
      <c r="C97" s="235" t="s">
        <v>148</v>
      </c>
      <c r="D97" s="181" t="s">
        <v>150</v>
      </c>
      <c r="E97" s="244">
        <v>400000</v>
      </c>
      <c r="F97" s="244">
        <v>400000</v>
      </c>
      <c r="G97" s="25">
        <v>0</v>
      </c>
    </row>
    <row r="98" spans="1:7" ht="21.6" customHeight="1">
      <c r="A98" s="28">
        <v>10</v>
      </c>
      <c r="B98" s="156" t="s">
        <v>182</v>
      </c>
      <c r="C98" s="234" t="s">
        <v>183</v>
      </c>
      <c r="D98" s="28" t="s">
        <v>184</v>
      </c>
      <c r="E98" s="244">
        <v>300000</v>
      </c>
      <c r="F98" s="244">
        <v>300000</v>
      </c>
      <c r="G98" s="25">
        <v>0</v>
      </c>
    </row>
    <row r="99" spans="1:7" ht="21.6" customHeight="1">
      <c r="A99" s="28">
        <v>11</v>
      </c>
      <c r="B99" s="156" t="s">
        <v>185</v>
      </c>
      <c r="C99" s="235" t="s">
        <v>186</v>
      </c>
      <c r="D99" s="181" t="s">
        <v>107</v>
      </c>
      <c r="E99" s="244">
        <v>300000</v>
      </c>
      <c r="F99" s="244">
        <v>300000</v>
      </c>
      <c r="G99" s="25">
        <v>0</v>
      </c>
    </row>
    <row r="100" spans="1:7" ht="20.100000000000001" customHeight="1">
      <c r="A100" s="28"/>
      <c r="B100" s="159" t="s">
        <v>100</v>
      </c>
      <c r="C100" s="236">
        <v>10</v>
      </c>
      <c r="D100" s="29"/>
      <c r="E100" s="246">
        <f>SUM(E89:E99)</f>
        <v>5350000</v>
      </c>
      <c r="F100" s="246">
        <f t="shared" ref="F100:G100" si="11">SUM(F89:F99)</f>
        <v>2250000</v>
      </c>
      <c r="G100" s="246">
        <f t="shared" si="11"/>
        <v>3100000</v>
      </c>
    </row>
    <row r="101" spans="1:7" ht="20.100000000000001" customHeight="1">
      <c r="A101" s="28"/>
      <c r="B101" s="123"/>
      <c r="C101" s="236"/>
      <c r="D101" s="29"/>
      <c r="E101" s="247"/>
      <c r="F101" s="247"/>
      <c r="G101" s="247"/>
    </row>
    <row r="102" spans="1:7" ht="20.100000000000001" customHeight="1">
      <c r="A102" s="28"/>
      <c r="B102" s="159" t="s">
        <v>505</v>
      </c>
      <c r="C102" s="236"/>
      <c r="D102" s="29"/>
      <c r="E102" s="247"/>
      <c r="F102" s="247"/>
      <c r="G102" s="247"/>
    </row>
    <row r="103" spans="1:7" ht="20.100000000000001" customHeight="1">
      <c r="A103" s="28">
        <v>1</v>
      </c>
      <c r="B103" s="157" t="s">
        <v>188</v>
      </c>
      <c r="C103" s="239" t="s">
        <v>189</v>
      </c>
      <c r="D103" s="181" t="s">
        <v>41</v>
      </c>
      <c r="E103" s="244">
        <v>700000</v>
      </c>
      <c r="F103" s="23">
        <v>0</v>
      </c>
      <c r="G103" s="244">
        <v>700000</v>
      </c>
    </row>
    <row r="104" spans="1:7" ht="20.100000000000001" customHeight="1">
      <c r="A104" s="28">
        <v>2</v>
      </c>
      <c r="B104" s="156" t="s">
        <v>190</v>
      </c>
      <c r="C104" s="234" t="s">
        <v>191</v>
      </c>
      <c r="D104" s="28" t="s">
        <v>123</v>
      </c>
      <c r="E104" s="244">
        <v>500000</v>
      </c>
      <c r="F104" s="23">
        <v>0</v>
      </c>
      <c r="G104" s="244">
        <v>500000</v>
      </c>
    </row>
    <row r="105" spans="1:7" ht="20.100000000000001" customHeight="1">
      <c r="A105" s="28">
        <v>3</v>
      </c>
      <c r="B105" s="157" t="s">
        <v>192</v>
      </c>
      <c r="C105" s="234" t="s">
        <v>193</v>
      </c>
      <c r="D105" s="181" t="s">
        <v>431</v>
      </c>
      <c r="E105" s="244">
        <v>500000</v>
      </c>
      <c r="F105" s="244">
        <v>500000</v>
      </c>
      <c r="G105" s="23">
        <v>0</v>
      </c>
    </row>
    <row r="106" spans="1:7" ht="20.100000000000001" customHeight="1">
      <c r="A106" s="28">
        <v>4</v>
      </c>
      <c r="B106" s="156" t="s">
        <v>194</v>
      </c>
      <c r="C106" s="234" t="s">
        <v>195</v>
      </c>
      <c r="D106" s="181" t="s">
        <v>150</v>
      </c>
      <c r="E106" s="244">
        <v>400000</v>
      </c>
      <c r="F106" s="244">
        <v>400000</v>
      </c>
      <c r="G106" s="23">
        <v>0</v>
      </c>
    </row>
    <row r="107" spans="1:7" ht="20.100000000000001" customHeight="1">
      <c r="A107" s="20"/>
      <c r="B107" s="159" t="s">
        <v>100</v>
      </c>
      <c r="C107" s="236">
        <v>4</v>
      </c>
      <c r="D107" s="187"/>
      <c r="E107" s="246">
        <f>SUM(E103:E106)</f>
        <v>2100000</v>
      </c>
      <c r="F107" s="246">
        <f t="shared" ref="F107:G107" si="12">SUM(F103:F106)</f>
        <v>900000</v>
      </c>
      <c r="G107" s="246">
        <f t="shared" si="12"/>
        <v>1200000</v>
      </c>
    </row>
    <row r="108" spans="1:7" ht="20.100000000000001" customHeight="1">
      <c r="A108" s="20"/>
      <c r="B108" s="123"/>
      <c r="C108" s="236"/>
      <c r="D108" s="187"/>
      <c r="E108" s="247"/>
      <c r="F108" s="247"/>
      <c r="G108" s="247"/>
    </row>
    <row r="109" spans="1:7" ht="20.100000000000001" customHeight="1">
      <c r="A109" s="20"/>
      <c r="B109" s="159" t="s">
        <v>196</v>
      </c>
      <c r="C109" s="234"/>
      <c r="D109" s="20"/>
      <c r="E109" s="249"/>
      <c r="F109" s="249"/>
      <c r="G109" s="249"/>
    </row>
    <row r="110" spans="1:7" ht="20.100000000000001" customHeight="1">
      <c r="A110" s="20">
        <v>1</v>
      </c>
      <c r="B110" s="156" t="s">
        <v>197</v>
      </c>
      <c r="C110" s="233" t="s">
        <v>198</v>
      </c>
      <c r="D110" s="181" t="s">
        <v>104</v>
      </c>
      <c r="E110" s="244">
        <v>1000000</v>
      </c>
      <c r="F110" s="23">
        <v>0</v>
      </c>
      <c r="G110" s="244">
        <v>1000000</v>
      </c>
    </row>
    <row r="111" spans="1:7" ht="20.100000000000001" customHeight="1">
      <c r="A111" s="20">
        <v>2</v>
      </c>
      <c r="B111" s="156" t="s">
        <v>199</v>
      </c>
      <c r="C111" s="234" t="s">
        <v>200</v>
      </c>
      <c r="D111" s="24" t="s">
        <v>503</v>
      </c>
      <c r="E111" s="244">
        <v>700000</v>
      </c>
      <c r="F111" s="23">
        <v>0</v>
      </c>
      <c r="G111" s="244">
        <v>700000</v>
      </c>
    </row>
    <row r="112" spans="1:7" ht="20.100000000000001" customHeight="1">
      <c r="A112" s="20">
        <v>3</v>
      </c>
      <c r="B112" s="156" t="s">
        <v>201</v>
      </c>
      <c r="C112" s="234" t="s">
        <v>202</v>
      </c>
      <c r="D112" s="28" t="s">
        <v>203</v>
      </c>
      <c r="E112" s="244">
        <v>500000</v>
      </c>
      <c r="F112" s="244">
        <v>500000</v>
      </c>
      <c r="G112" s="23">
        <v>0</v>
      </c>
    </row>
    <row r="113" spans="1:7" ht="20.100000000000001" customHeight="1">
      <c r="A113" s="20">
        <v>4</v>
      </c>
      <c r="B113" s="156" t="s">
        <v>204</v>
      </c>
      <c r="C113" s="234" t="s">
        <v>202</v>
      </c>
      <c r="D113" s="28" t="s">
        <v>126</v>
      </c>
      <c r="E113" s="244">
        <v>500000</v>
      </c>
      <c r="F113" s="244">
        <v>500000</v>
      </c>
      <c r="G113" s="23">
        <v>0</v>
      </c>
    </row>
    <row r="114" spans="1:7" ht="20.100000000000001" customHeight="1">
      <c r="A114" s="20">
        <v>5</v>
      </c>
      <c r="B114" s="156" t="s">
        <v>205</v>
      </c>
      <c r="C114" s="234" t="s">
        <v>206</v>
      </c>
      <c r="D114" s="181" t="s">
        <v>90</v>
      </c>
      <c r="E114" s="244">
        <v>300000</v>
      </c>
      <c r="F114" s="244">
        <v>300000</v>
      </c>
      <c r="G114" s="23">
        <v>0</v>
      </c>
    </row>
    <row r="115" spans="1:7" ht="20.100000000000001" customHeight="1">
      <c r="A115" s="20">
        <v>6</v>
      </c>
      <c r="B115" s="157" t="s">
        <v>208</v>
      </c>
      <c r="C115" s="234" t="s">
        <v>206</v>
      </c>
      <c r="D115" s="28" t="s">
        <v>436</v>
      </c>
      <c r="E115" s="244">
        <v>300000</v>
      </c>
      <c r="F115" s="244">
        <v>300000</v>
      </c>
      <c r="G115" s="23">
        <v>0</v>
      </c>
    </row>
    <row r="116" spans="1:7" ht="20.100000000000001" customHeight="1">
      <c r="A116" s="20">
        <v>7</v>
      </c>
      <c r="B116" s="157" t="s">
        <v>209</v>
      </c>
      <c r="C116" s="234" t="s">
        <v>206</v>
      </c>
      <c r="D116" s="181" t="s">
        <v>107</v>
      </c>
      <c r="E116" s="244">
        <v>300000</v>
      </c>
      <c r="F116" s="244">
        <v>300000</v>
      </c>
      <c r="G116" s="23">
        <v>0</v>
      </c>
    </row>
    <row r="117" spans="1:7" ht="20.100000000000001" customHeight="1">
      <c r="A117" s="20"/>
      <c r="B117" s="159" t="s">
        <v>100</v>
      </c>
      <c r="C117" s="236">
        <v>7</v>
      </c>
      <c r="D117" s="20"/>
      <c r="E117" s="250">
        <f>SUM(E110:E116)</f>
        <v>3600000</v>
      </c>
      <c r="F117" s="250">
        <f t="shared" ref="F117:G117" si="13">SUM(F110:F116)</f>
        <v>1900000</v>
      </c>
      <c r="G117" s="250">
        <f t="shared" si="13"/>
        <v>1700000</v>
      </c>
    </row>
    <row r="118" spans="1:7" ht="20.100000000000001" customHeight="1">
      <c r="A118" s="20"/>
      <c r="B118" s="123"/>
      <c r="C118" s="239"/>
      <c r="D118" s="20"/>
      <c r="E118" s="251"/>
      <c r="F118" s="251"/>
      <c r="G118" s="251"/>
    </row>
    <row r="119" spans="1:7" ht="20.100000000000001" customHeight="1">
      <c r="A119" s="20"/>
      <c r="B119" s="159" t="s">
        <v>210</v>
      </c>
      <c r="C119" s="236"/>
      <c r="D119" s="29"/>
      <c r="E119" s="244"/>
      <c r="F119" s="244"/>
      <c r="G119" s="244"/>
    </row>
    <row r="120" spans="1:7" ht="20.100000000000001" customHeight="1">
      <c r="A120" s="20">
        <v>1</v>
      </c>
      <c r="B120" s="156" t="s">
        <v>211</v>
      </c>
      <c r="C120" s="233" t="s">
        <v>212</v>
      </c>
      <c r="D120" s="181" t="s">
        <v>104</v>
      </c>
      <c r="E120" s="244">
        <v>1000000</v>
      </c>
      <c r="F120" s="23">
        <v>0</v>
      </c>
      <c r="G120" s="244">
        <v>1000000</v>
      </c>
    </row>
    <row r="121" spans="1:7" ht="20.100000000000001" customHeight="1">
      <c r="A121" s="20">
        <v>2</v>
      </c>
      <c r="B121" s="156" t="s">
        <v>214</v>
      </c>
      <c r="C121" s="233" t="s">
        <v>215</v>
      </c>
      <c r="D121" s="181" t="s">
        <v>33</v>
      </c>
      <c r="E121" s="244">
        <v>700000</v>
      </c>
      <c r="F121" s="23">
        <v>0</v>
      </c>
      <c r="G121" s="244">
        <v>700000</v>
      </c>
    </row>
    <row r="122" spans="1:7" ht="20.100000000000001" customHeight="1">
      <c r="A122" s="20">
        <v>3</v>
      </c>
      <c r="B122" s="156" t="s">
        <v>216</v>
      </c>
      <c r="C122" s="233" t="s">
        <v>217</v>
      </c>
      <c r="D122" s="181" t="s">
        <v>50</v>
      </c>
      <c r="E122" s="244">
        <v>700000</v>
      </c>
      <c r="F122" s="23">
        <v>0</v>
      </c>
      <c r="G122" s="244">
        <v>700000</v>
      </c>
    </row>
    <row r="123" spans="1:7" ht="20.100000000000001" customHeight="1">
      <c r="A123" s="20">
        <v>4</v>
      </c>
      <c r="B123" s="158" t="s">
        <v>218</v>
      </c>
      <c r="C123" s="233" t="s">
        <v>217</v>
      </c>
      <c r="D123" s="181" t="s">
        <v>50</v>
      </c>
      <c r="E123" s="244">
        <v>700000</v>
      </c>
      <c r="F123" s="23">
        <v>0</v>
      </c>
      <c r="G123" s="244">
        <v>700000</v>
      </c>
    </row>
    <row r="124" spans="1:7" ht="20.100000000000001" customHeight="1">
      <c r="A124" s="20">
        <v>5</v>
      </c>
      <c r="B124" s="158" t="s">
        <v>219</v>
      </c>
      <c r="C124" s="233" t="s">
        <v>217</v>
      </c>
      <c r="D124" s="181" t="s">
        <v>220</v>
      </c>
      <c r="E124" s="244">
        <v>700000</v>
      </c>
      <c r="F124" s="23">
        <v>0</v>
      </c>
      <c r="G124" s="244">
        <v>700000</v>
      </c>
    </row>
    <row r="125" spans="1:7" ht="20.100000000000001" customHeight="1">
      <c r="A125" s="20">
        <v>6</v>
      </c>
      <c r="B125" s="156" t="s">
        <v>221</v>
      </c>
      <c r="C125" s="233" t="s">
        <v>222</v>
      </c>
      <c r="D125" s="181" t="s">
        <v>487</v>
      </c>
      <c r="E125" s="244">
        <v>500000</v>
      </c>
      <c r="F125" s="23">
        <v>0</v>
      </c>
      <c r="G125" s="244">
        <v>500000</v>
      </c>
    </row>
    <row r="126" spans="1:7" ht="20.100000000000001" customHeight="1">
      <c r="A126" s="20">
        <v>7</v>
      </c>
      <c r="B126" s="156" t="s">
        <v>223</v>
      </c>
      <c r="C126" s="233" t="s">
        <v>224</v>
      </c>
      <c r="D126" s="181" t="s">
        <v>64</v>
      </c>
      <c r="E126" s="244">
        <v>500000</v>
      </c>
      <c r="F126" s="244">
        <v>500000</v>
      </c>
      <c r="G126" s="23">
        <v>0</v>
      </c>
    </row>
    <row r="127" spans="1:7" ht="20.100000000000001" customHeight="1">
      <c r="A127" s="20">
        <v>8</v>
      </c>
      <c r="B127" s="156" t="s">
        <v>225</v>
      </c>
      <c r="C127" s="233" t="s">
        <v>226</v>
      </c>
      <c r="D127" s="181" t="s">
        <v>64</v>
      </c>
      <c r="E127" s="244">
        <v>500000</v>
      </c>
      <c r="F127" s="244">
        <v>500000</v>
      </c>
      <c r="G127" s="23">
        <v>0</v>
      </c>
    </row>
    <row r="128" spans="1:7" ht="20.100000000000001" customHeight="1">
      <c r="A128" s="20">
        <v>9</v>
      </c>
      <c r="B128" s="157" t="s">
        <v>227</v>
      </c>
      <c r="C128" s="233" t="s">
        <v>228</v>
      </c>
      <c r="D128" s="181" t="s">
        <v>67</v>
      </c>
      <c r="E128" s="244">
        <v>500000</v>
      </c>
      <c r="F128" s="244">
        <v>500000</v>
      </c>
      <c r="G128" s="23">
        <v>0</v>
      </c>
    </row>
    <row r="129" spans="1:7" ht="20.100000000000001" customHeight="1">
      <c r="A129" s="20">
        <v>10</v>
      </c>
      <c r="B129" s="156" t="s">
        <v>230</v>
      </c>
      <c r="C129" s="233" t="s">
        <v>231</v>
      </c>
      <c r="D129" s="28" t="s">
        <v>129</v>
      </c>
      <c r="E129" s="244">
        <v>300000</v>
      </c>
      <c r="F129" s="244">
        <v>300000</v>
      </c>
      <c r="G129" s="23">
        <v>0</v>
      </c>
    </row>
    <row r="130" spans="1:7" ht="20.100000000000001" customHeight="1">
      <c r="A130" s="20">
        <v>11</v>
      </c>
      <c r="B130" s="157" t="s">
        <v>232</v>
      </c>
      <c r="C130" s="233" t="s">
        <v>233</v>
      </c>
      <c r="D130" s="181" t="s">
        <v>107</v>
      </c>
      <c r="E130" s="244">
        <v>300000</v>
      </c>
      <c r="F130" s="244">
        <v>300000</v>
      </c>
      <c r="G130" s="23">
        <v>0</v>
      </c>
    </row>
    <row r="131" spans="1:7" ht="20.100000000000001" customHeight="1">
      <c r="A131" s="20"/>
      <c r="B131" s="159" t="s">
        <v>100</v>
      </c>
      <c r="C131" s="240" t="s">
        <v>234</v>
      </c>
      <c r="D131" s="181"/>
      <c r="E131" s="252">
        <f>SUM(E120:E130)</f>
        <v>6400000</v>
      </c>
      <c r="F131" s="252">
        <f t="shared" ref="F131:G131" si="14">SUM(F120:F130)</f>
        <v>2100000</v>
      </c>
      <c r="G131" s="252">
        <f t="shared" si="14"/>
        <v>4300000</v>
      </c>
    </row>
    <row r="132" spans="1:7" ht="20.100000000000001" customHeight="1">
      <c r="A132" s="20"/>
      <c r="B132" s="123"/>
      <c r="C132" s="240"/>
      <c r="D132" s="181"/>
      <c r="E132" s="253"/>
      <c r="F132" s="253"/>
      <c r="G132" s="253"/>
    </row>
    <row r="133" spans="1:7" ht="20.100000000000001" customHeight="1">
      <c r="A133" s="20"/>
      <c r="B133" s="159" t="s">
        <v>235</v>
      </c>
      <c r="C133" s="233"/>
      <c r="D133" s="181"/>
      <c r="E133" s="244"/>
      <c r="F133" s="244"/>
      <c r="G133" s="244"/>
    </row>
    <row r="134" spans="1:7" ht="20.100000000000001" customHeight="1">
      <c r="A134" s="191">
        <v>1</v>
      </c>
      <c r="B134" s="156" t="s">
        <v>236</v>
      </c>
      <c r="C134" s="233" t="s">
        <v>506</v>
      </c>
      <c r="D134" s="181" t="s">
        <v>104</v>
      </c>
      <c r="E134" s="244">
        <f>1000000/2</f>
        <v>500000</v>
      </c>
      <c r="F134" s="23">
        <v>0</v>
      </c>
      <c r="G134" s="244">
        <f t="shared" ref="G134" si="15">1000000/2</f>
        <v>500000</v>
      </c>
    </row>
    <row r="135" spans="1:7" ht="20.100000000000001" customHeight="1">
      <c r="A135" s="191">
        <v>2</v>
      </c>
      <c r="B135" s="156" t="s">
        <v>238</v>
      </c>
      <c r="C135" s="233" t="s">
        <v>239</v>
      </c>
      <c r="D135" s="181" t="s">
        <v>33</v>
      </c>
      <c r="E135" s="244">
        <f>700000/2</f>
        <v>350000</v>
      </c>
      <c r="F135" s="23">
        <v>0</v>
      </c>
      <c r="G135" s="244">
        <f t="shared" ref="G135" si="16">700000/2</f>
        <v>350000</v>
      </c>
    </row>
    <row r="136" spans="1:7" ht="20.100000000000001" customHeight="1">
      <c r="A136" s="191">
        <v>3</v>
      </c>
      <c r="B136" s="158" t="s">
        <v>240</v>
      </c>
      <c r="C136" s="234" t="s">
        <v>241</v>
      </c>
      <c r="D136" s="24" t="s">
        <v>503</v>
      </c>
      <c r="E136" s="244">
        <v>700000</v>
      </c>
      <c r="F136" s="23">
        <v>0</v>
      </c>
      <c r="G136" s="244">
        <v>700000</v>
      </c>
    </row>
    <row r="137" spans="1:7" ht="20.100000000000001" customHeight="1">
      <c r="A137" s="191">
        <v>4</v>
      </c>
      <c r="B137" s="156" t="s">
        <v>242</v>
      </c>
      <c r="C137" s="233" t="s">
        <v>243</v>
      </c>
      <c r="D137" s="181" t="s">
        <v>123</v>
      </c>
      <c r="E137" s="244">
        <v>500000</v>
      </c>
      <c r="F137" s="23">
        <v>0</v>
      </c>
      <c r="G137" s="244">
        <v>500000</v>
      </c>
    </row>
    <row r="138" spans="1:7" ht="20.100000000000001" customHeight="1">
      <c r="A138" s="191">
        <v>5</v>
      </c>
      <c r="B138" s="156" t="s">
        <v>244</v>
      </c>
      <c r="C138" s="234" t="s">
        <v>245</v>
      </c>
      <c r="D138" s="181" t="s">
        <v>123</v>
      </c>
      <c r="E138" s="244">
        <v>500000</v>
      </c>
      <c r="F138" s="23">
        <v>0</v>
      </c>
      <c r="G138" s="244">
        <v>500000</v>
      </c>
    </row>
    <row r="139" spans="1:7" ht="20.100000000000001" customHeight="1">
      <c r="A139" s="191">
        <v>6</v>
      </c>
      <c r="B139" s="156" t="s">
        <v>246</v>
      </c>
      <c r="C139" s="234" t="s">
        <v>247</v>
      </c>
      <c r="D139" s="181" t="s">
        <v>64</v>
      </c>
      <c r="E139" s="244">
        <v>500000</v>
      </c>
      <c r="F139" s="244">
        <v>500000</v>
      </c>
      <c r="G139" s="23">
        <v>0</v>
      </c>
    </row>
    <row r="140" spans="1:7" ht="20.100000000000001" customHeight="1">
      <c r="A140" s="191">
        <v>7</v>
      </c>
      <c r="B140" s="156" t="s">
        <v>248</v>
      </c>
      <c r="C140" s="233" t="s">
        <v>249</v>
      </c>
      <c r="D140" s="181" t="s">
        <v>73</v>
      </c>
      <c r="E140" s="244">
        <v>400000</v>
      </c>
      <c r="F140" s="244">
        <v>400000</v>
      </c>
      <c r="G140" s="23">
        <v>0</v>
      </c>
    </row>
    <row r="141" spans="1:7" ht="20.100000000000001" customHeight="1">
      <c r="A141" s="191">
        <v>8</v>
      </c>
      <c r="B141" s="156" t="s">
        <v>250</v>
      </c>
      <c r="C141" s="233" t="s">
        <v>249</v>
      </c>
      <c r="D141" s="181" t="s">
        <v>73</v>
      </c>
      <c r="E141" s="244">
        <v>400000</v>
      </c>
      <c r="F141" s="244">
        <v>400000</v>
      </c>
      <c r="G141" s="23">
        <v>0</v>
      </c>
    </row>
    <row r="142" spans="1:7" ht="20.100000000000001" customHeight="1">
      <c r="A142" s="191">
        <v>9</v>
      </c>
      <c r="B142" s="156" t="s">
        <v>251</v>
      </c>
      <c r="C142" s="234" t="s">
        <v>247</v>
      </c>
      <c r="D142" s="181" t="s">
        <v>73</v>
      </c>
      <c r="E142" s="244">
        <v>400000</v>
      </c>
      <c r="F142" s="244">
        <v>400000</v>
      </c>
      <c r="G142" s="23">
        <v>0</v>
      </c>
    </row>
    <row r="143" spans="1:7" ht="20.100000000000001" customHeight="1">
      <c r="A143" s="191">
        <v>10</v>
      </c>
      <c r="B143" s="156" t="s">
        <v>252</v>
      </c>
      <c r="C143" s="233" t="s">
        <v>253</v>
      </c>
      <c r="D143" s="181" t="s">
        <v>150</v>
      </c>
      <c r="E143" s="244">
        <v>400000</v>
      </c>
      <c r="F143" s="244">
        <v>400000</v>
      </c>
      <c r="G143" s="23">
        <v>0</v>
      </c>
    </row>
    <row r="144" spans="1:7" ht="20.100000000000001" customHeight="1">
      <c r="A144" s="191">
        <v>11</v>
      </c>
      <c r="B144" s="156" t="s">
        <v>254</v>
      </c>
      <c r="C144" s="233" t="s">
        <v>255</v>
      </c>
      <c r="D144" s="181" t="s">
        <v>78</v>
      </c>
      <c r="E144" s="244">
        <v>300000</v>
      </c>
      <c r="F144" s="244">
        <v>300000</v>
      </c>
      <c r="G144" s="23">
        <v>0</v>
      </c>
    </row>
    <row r="145" spans="1:7" ht="20.100000000000001" customHeight="1">
      <c r="A145" s="191">
        <v>12</v>
      </c>
      <c r="B145" s="156" t="s">
        <v>257</v>
      </c>
      <c r="C145" s="233" t="s">
        <v>253</v>
      </c>
      <c r="D145" s="181" t="s">
        <v>150</v>
      </c>
      <c r="E145" s="244">
        <v>400000</v>
      </c>
      <c r="F145" s="244">
        <v>400000</v>
      </c>
      <c r="G145" s="23">
        <v>0</v>
      </c>
    </row>
    <row r="146" spans="1:7" ht="20.100000000000001" customHeight="1">
      <c r="A146" s="191">
        <v>13</v>
      </c>
      <c r="B146" s="156" t="s">
        <v>260</v>
      </c>
      <c r="C146" s="234" t="s">
        <v>261</v>
      </c>
      <c r="D146" s="181" t="s">
        <v>155</v>
      </c>
      <c r="E146" s="244">
        <v>300000</v>
      </c>
      <c r="F146" s="244">
        <v>300000</v>
      </c>
      <c r="G146" s="23">
        <v>0</v>
      </c>
    </row>
    <row r="147" spans="1:7" ht="20.100000000000001" customHeight="1">
      <c r="A147" s="191">
        <v>14</v>
      </c>
      <c r="B147" s="156" t="s">
        <v>262</v>
      </c>
      <c r="C147" s="234" t="s">
        <v>261</v>
      </c>
      <c r="D147" s="181" t="s">
        <v>155</v>
      </c>
      <c r="E147" s="244">
        <v>300000</v>
      </c>
      <c r="F147" s="244">
        <v>300000</v>
      </c>
      <c r="G147" s="23">
        <v>0</v>
      </c>
    </row>
    <row r="148" spans="1:7" ht="20.100000000000001" customHeight="1">
      <c r="A148" s="191">
        <v>15</v>
      </c>
      <c r="B148" s="156" t="s">
        <v>263</v>
      </c>
      <c r="C148" s="234" t="s">
        <v>261</v>
      </c>
      <c r="D148" s="181" t="s">
        <v>155</v>
      </c>
      <c r="E148" s="244">
        <v>300000</v>
      </c>
      <c r="F148" s="244">
        <v>300000</v>
      </c>
      <c r="G148" s="23">
        <v>0</v>
      </c>
    </row>
    <row r="149" spans="1:7" ht="20.100000000000001" customHeight="1">
      <c r="A149" s="191">
        <v>16</v>
      </c>
      <c r="B149" s="156" t="s">
        <v>264</v>
      </c>
      <c r="C149" s="233" t="s">
        <v>265</v>
      </c>
      <c r="D149" s="181" t="s">
        <v>184</v>
      </c>
      <c r="E149" s="244">
        <v>300000</v>
      </c>
      <c r="F149" s="244">
        <v>300000</v>
      </c>
      <c r="G149" s="23">
        <v>0</v>
      </c>
    </row>
    <row r="150" spans="1:7" ht="20.100000000000001" customHeight="1">
      <c r="A150" s="191">
        <v>17</v>
      </c>
      <c r="B150" s="156" t="s">
        <v>266</v>
      </c>
      <c r="C150" s="233" t="s">
        <v>259</v>
      </c>
      <c r="D150" s="28" t="s">
        <v>129</v>
      </c>
      <c r="E150" s="244">
        <v>300000</v>
      </c>
      <c r="F150" s="244">
        <v>300000</v>
      </c>
      <c r="G150" s="23">
        <v>0</v>
      </c>
    </row>
    <row r="151" spans="1:7" ht="20.100000000000001" customHeight="1">
      <c r="A151" s="191">
        <v>18</v>
      </c>
      <c r="B151" s="156" t="s">
        <v>267</v>
      </c>
      <c r="C151" s="233" t="s">
        <v>268</v>
      </c>
      <c r="D151" s="181" t="s">
        <v>184</v>
      </c>
      <c r="E151" s="244">
        <v>300000</v>
      </c>
      <c r="F151" s="244">
        <v>300000</v>
      </c>
      <c r="G151" s="23">
        <v>0</v>
      </c>
    </row>
    <row r="152" spans="1:7" ht="20.100000000000001" customHeight="1">
      <c r="A152" s="191">
        <v>19</v>
      </c>
      <c r="B152" s="156" t="s">
        <v>269</v>
      </c>
      <c r="C152" s="233" t="s">
        <v>270</v>
      </c>
      <c r="D152" s="181" t="s">
        <v>129</v>
      </c>
      <c r="E152" s="244">
        <v>300000</v>
      </c>
      <c r="F152" s="244">
        <v>300000</v>
      </c>
      <c r="G152" s="23">
        <v>0</v>
      </c>
    </row>
    <row r="153" spans="1:7" ht="20.100000000000001" customHeight="1">
      <c r="A153" s="191">
        <v>20</v>
      </c>
      <c r="B153" s="156" t="s">
        <v>271</v>
      </c>
      <c r="C153" s="233" t="s">
        <v>272</v>
      </c>
      <c r="D153" s="181" t="s">
        <v>184</v>
      </c>
      <c r="E153" s="244">
        <v>300000</v>
      </c>
      <c r="F153" s="244">
        <v>300000</v>
      </c>
      <c r="G153" s="23">
        <v>0</v>
      </c>
    </row>
    <row r="154" spans="1:7" ht="20.100000000000001" customHeight="1">
      <c r="A154" s="191">
        <v>21</v>
      </c>
      <c r="B154" s="156" t="s">
        <v>273</v>
      </c>
      <c r="C154" s="233" t="s">
        <v>274</v>
      </c>
      <c r="D154" s="181" t="s">
        <v>129</v>
      </c>
      <c r="E154" s="244">
        <v>300000</v>
      </c>
      <c r="F154" s="244">
        <v>300000</v>
      </c>
      <c r="G154" s="23">
        <v>0</v>
      </c>
    </row>
    <row r="155" spans="1:7" ht="20.100000000000001" customHeight="1">
      <c r="A155" s="191">
        <v>22</v>
      </c>
      <c r="B155" s="157" t="s">
        <v>275</v>
      </c>
      <c r="C155" s="233" t="s">
        <v>276</v>
      </c>
      <c r="D155" s="181" t="s">
        <v>435</v>
      </c>
      <c r="E155" s="244">
        <v>300000</v>
      </c>
      <c r="F155" s="244">
        <v>300000</v>
      </c>
      <c r="G155" s="23">
        <v>0</v>
      </c>
    </row>
    <row r="156" spans="1:7" ht="20.100000000000001" customHeight="1">
      <c r="A156" s="191">
        <v>23</v>
      </c>
      <c r="B156" s="157" t="s">
        <v>277</v>
      </c>
      <c r="C156" s="233" t="s">
        <v>278</v>
      </c>
      <c r="D156" s="181" t="s">
        <v>107</v>
      </c>
      <c r="E156" s="244">
        <v>300000</v>
      </c>
      <c r="F156" s="244">
        <v>300000</v>
      </c>
      <c r="G156" s="23">
        <v>0</v>
      </c>
    </row>
    <row r="157" spans="1:7" ht="20.100000000000001" customHeight="1">
      <c r="A157" s="191">
        <v>24</v>
      </c>
      <c r="B157" s="157" t="s">
        <v>279</v>
      </c>
      <c r="C157" s="233" t="s">
        <v>278</v>
      </c>
      <c r="D157" s="181" t="s">
        <v>107</v>
      </c>
      <c r="E157" s="244">
        <v>300000</v>
      </c>
      <c r="F157" s="244">
        <v>300000</v>
      </c>
      <c r="G157" s="23">
        <v>0</v>
      </c>
    </row>
    <row r="158" spans="1:7" ht="20.100000000000001" customHeight="1">
      <c r="A158" s="191">
        <v>25</v>
      </c>
      <c r="B158" s="157" t="s">
        <v>280</v>
      </c>
      <c r="C158" s="233" t="s">
        <v>276</v>
      </c>
      <c r="D158" s="181" t="s">
        <v>107</v>
      </c>
      <c r="E158" s="244">
        <v>300000</v>
      </c>
      <c r="F158" s="244">
        <v>300000</v>
      </c>
      <c r="G158" s="23">
        <v>0</v>
      </c>
    </row>
    <row r="159" spans="1:7" ht="20.100000000000001" customHeight="1">
      <c r="A159" s="191">
        <v>26</v>
      </c>
      <c r="B159" s="157" t="s">
        <v>281</v>
      </c>
      <c r="C159" s="233" t="s">
        <v>282</v>
      </c>
      <c r="D159" s="181" t="s">
        <v>107</v>
      </c>
      <c r="E159" s="244">
        <v>300000</v>
      </c>
      <c r="F159" s="244">
        <v>300000</v>
      </c>
      <c r="G159" s="23">
        <v>0</v>
      </c>
    </row>
    <row r="160" spans="1:7" ht="20.100000000000001" customHeight="1">
      <c r="A160" s="191">
        <v>27</v>
      </c>
      <c r="B160" s="157" t="s">
        <v>283</v>
      </c>
      <c r="C160" s="233" t="s">
        <v>284</v>
      </c>
      <c r="D160" s="181" t="s">
        <v>107</v>
      </c>
      <c r="E160" s="244">
        <v>300000</v>
      </c>
      <c r="F160" s="244">
        <v>300000</v>
      </c>
      <c r="G160" s="23">
        <v>0</v>
      </c>
    </row>
    <row r="161" spans="1:7" ht="20.100000000000001" customHeight="1">
      <c r="A161" s="191">
        <v>28</v>
      </c>
      <c r="B161" s="156" t="s">
        <v>285</v>
      </c>
      <c r="C161" s="233" t="s">
        <v>286</v>
      </c>
      <c r="D161" s="181" t="s">
        <v>294</v>
      </c>
      <c r="E161" s="244">
        <v>100000</v>
      </c>
      <c r="F161" s="244">
        <v>100000</v>
      </c>
      <c r="G161" s="23">
        <v>0</v>
      </c>
    </row>
    <row r="162" spans="1:7" ht="20.100000000000001" customHeight="1">
      <c r="A162" s="191">
        <v>29</v>
      </c>
      <c r="B162" s="156" t="s">
        <v>288</v>
      </c>
      <c r="C162" s="233" t="s">
        <v>286</v>
      </c>
      <c r="D162" s="181" t="s">
        <v>294</v>
      </c>
      <c r="E162" s="244">
        <v>100000</v>
      </c>
      <c r="F162" s="244">
        <v>100000</v>
      </c>
      <c r="G162" s="23">
        <v>0</v>
      </c>
    </row>
    <row r="163" spans="1:7" ht="20.100000000000001" customHeight="1">
      <c r="A163" s="191">
        <v>30</v>
      </c>
      <c r="B163" s="156" t="s">
        <v>289</v>
      </c>
      <c r="C163" s="233" t="s">
        <v>286</v>
      </c>
      <c r="D163" s="181" t="s">
        <v>294</v>
      </c>
      <c r="E163" s="244">
        <v>100000</v>
      </c>
      <c r="F163" s="244">
        <v>100000</v>
      </c>
      <c r="G163" s="23">
        <v>0</v>
      </c>
    </row>
    <row r="164" spans="1:7" ht="20.100000000000001" customHeight="1">
      <c r="A164" s="191">
        <v>31</v>
      </c>
      <c r="B164" s="156" t="s">
        <v>461</v>
      </c>
      <c r="C164" s="233" t="s">
        <v>286</v>
      </c>
      <c r="D164" s="181" t="s">
        <v>294</v>
      </c>
      <c r="E164" s="244">
        <v>100000</v>
      </c>
      <c r="F164" s="244">
        <v>100000</v>
      </c>
      <c r="G164" s="23">
        <v>0</v>
      </c>
    </row>
    <row r="165" spans="1:7" ht="20.100000000000001" customHeight="1">
      <c r="A165" s="191">
        <v>32</v>
      </c>
      <c r="B165" s="156" t="s">
        <v>290</v>
      </c>
      <c r="C165" s="233" t="s">
        <v>286</v>
      </c>
      <c r="D165" s="181" t="s">
        <v>294</v>
      </c>
      <c r="E165" s="244">
        <v>100000</v>
      </c>
      <c r="F165" s="244">
        <v>100000</v>
      </c>
      <c r="G165" s="23">
        <v>0</v>
      </c>
    </row>
    <row r="166" spans="1:7" ht="20.100000000000001" customHeight="1">
      <c r="A166" s="191">
        <v>33</v>
      </c>
      <c r="B166" s="156" t="s">
        <v>291</v>
      </c>
      <c r="C166" s="233" t="s">
        <v>286</v>
      </c>
      <c r="D166" s="181" t="s">
        <v>294</v>
      </c>
      <c r="E166" s="244">
        <v>100000</v>
      </c>
      <c r="F166" s="244">
        <v>100000</v>
      </c>
      <c r="G166" s="23">
        <v>0</v>
      </c>
    </row>
    <row r="167" spans="1:7" ht="20.100000000000001" customHeight="1">
      <c r="A167" s="191">
        <v>34</v>
      </c>
      <c r="B167" s="156" t="s">
        <v>292</v>
      </c>
      <c r="C167" s="233" t="s">
        <v>286</v>
      </c>
      <c r="D167" s="181" t="s">
        <v>294</v>
      </c>
      <c r="E167" s="244">
        <v>100000</v>
      </c>
      <c r="F167" s="244">
        <v>100000</v>
      </c>
      <c r="G167" s="23">
        <v>0</v>
      </c>
    </row>
    <row r="168" spans="1:7" ht="20.100000000000001" customHeight="1">
      <c r="A168" s="191">
        <v>35</v>
      </c>
      <c r="B168" s="156" t="s">
        <v>293</v>
      </c>
      <c r="C168" s="233" t="s">
        <v>286</v>
      </c>
      <c r="D168" s="181" t="s">
        <v>507</v>
      </c>
      <c r="E168" s="244">
        <v>100000</v>
      </c>
      <c r="F168" s="244">
        <v>100000</v>
      </c>
      <c r="G168" s="23">
        <v>0</v>
      </c>
    </row>
    <row r="169" spans="1:7" ht="20.100000000000001" customHeight="1">
      <c r="A169" s="191">
        <v>36</v>
      </c>
      <c r="B169" s="156" t="s">
        <v>295</v>
      </c>
      <c r="C169" s="233" t="s">
        <v>286</v>
      </c>
      <c r="D169" s="181" t="s">
        <v>507</v>
      </c>
      <c r="E169" s="244">
        <v>100000</v>
      </c>
      <c r="F169" s="244">
        <v>100000</v>
      </c>
      <c r="G169" s="23">
        <v>0</v>
      </c>
    </row>
    <row r="170" spans="1:7" ht="20.100000000000001" customHeight="1">
      <c r="A170" s="191">
        <v>37</v>
      </c>
      <c r="B170" s="156" t="s">
        <v>296</v>
      </c>
      <c r="C170" s="233" t="s">
        <v>286</v>
      </c>
      <c r="D170" s="181" t="s">
        <v>507</v>
      </c>
      <c r="E170" s="244">
        <v>100000</v>
      </c>
      <c r="F170" s="244">
        <v>100000</v>
      </c>
      <c r="G170" s="23">
        <v>0</v>
      </c>
    </row>
    <row r="171" spans="1:7" ht="20.100000000000001" customHeight="1">
      <c r="A171" s="191">
        <v>38</v>
      </c>
      <c r="B171" s="158" t="s">
        <v>297</v>
      </c>
      <c r="C171" s="233" t="s">
        <v>286</v>
      </c>
      <c r="D171" s="181" t="s">
        <v>507</v>
      </c>
      <c r="E171" s="244">
        <v>100000</v>
      </c>
      <c r="F171" s="244">
        <v>100000</v>
      </c>
      <c r="G171" s="23">
        <v>0</v>
      </c>
    </row>
    <row r="172" spans="1:7" ht="20.100000000000001" customHeight="1">
      <c r="A172" s="191">
        <v>39</v>
      </c>
      <c r="B172" s="156" t="s">
        <v>298</v>
      </c>
      <c r="C172" s="233" t="s">
        <v>286</v>
      </c>
      <c r="D172" s="181" t="s">
        <v>507</v>
      </c>
      <c r="E172" s="244">
        <v>100000</v>
      </c>
      <c r="F172" s="244">
        <v>100000</v>
      </c>
      <c r="G172" s="23">
        <v>0</v>
      </c>
    </row>
    <row r="173" spans="1:7" ht="20.100000000000001" customHeight="1">
      <c r="A173" s="191">
        <v>40</v>
      </c>
      <c r="B173" s="157" t="s">
        <v>299</v>
      </c>
      <c r="C173" s="233" t="s">
        <v>286</v>
      </c>
      <c r="D173" s="181" t="s">
        <v>507</v>
      </c>
      <c r="E173" s="244">
        <v>100000</v>
      </c>
      <c r="F173" s="244">
        <v>100000</v>
      </c>
      <c r="G173" s="23">
        <v>0</v>
      </c>
    </row>
    <row r="174" spans="1:7" ht="20.100000000000001" customHeight="1">
      <c r="A174" s="191">
        <v>41</v>
      </c>
      <c r="B174" s="157" t="s">
        <v>300</v>
      </c>
      <c r="C174" s="233" t="s">
        <v>286</v>
      </c>
      <c r="D174" s="181" t="s">
        <v>507</v>
      </c>
      <c r="E174" s="244">
        <v>100000</v>
      </c>
      <c r="F174" s="244">
        <v>100000</v>
      </c>
      <c r="G174" s="23">
        <v>0</v>
      </c>
    </row>
    <row r="175" spans="1:7" ht="20.100000000000001" customHeight="1">
      <c r="A175" s="191">
        <v>42</v>
      </c>
      <c r="B175" s="156" t="s">
        <v>301</v>
      </c>
      <c r="C175" s="233" t="s">
        <v>302</v>
      </c>
      <c r="D175" s="181" t="s">
        <v>308</v>
      </c>
      <c r="E175" s="244">
        <v>100000</v>
      </c>
      <c r="F175" s="244">
        <v>100000</v>
      </c>
      <c r="G175" s="23">
        <v>0</v>
      </c>
    </row>
    <row r="176" spans="1:7" ht="20.100000000000001" customHeight="1">
      <c r="A176" s="191">
        <v>43</v>
      </c>
      <c r="B176" s="156" t="s">
        <v>304</v>
      </c>
      <c r="C176" s="233" t="s">
        <v>302</v>
      </c>
      <c r="D176" s="181" t="s">
        <v>308</v>
      </c>
      <c r="E176" s="244">
        <v>100000</v>
      </c>
      <c r="F176" s="244">
        <v>100000</v>
      </c>
      <c r="G176" s="23">
        <v>0</v>
      </c>
    </row>
    <row r="177" spans="1:7" ht="20.100000000000001" customHeight="1">
      <c r="A177" s="191">
        <v>44</v>
      </c>
      <c r="B177" s="157" t="s">
        <v>305</v>
      </c>
      <c r="C177" s="233" t="s">
        <v>302</v>
      </c>
      <c r="D177" s="181" t="s">
        <v>303</v>
      </c>
      <c r="E177" s="244">
        <v>100000</v>
      </c>
      <c r="F177" s="244">
        <v>100000</v>
      </c>
      <c r="G177" s="23">
        <v>0</v>
      </c>
    </row>
    <row r="178" spans="1:7" ht="20.100000000000001" customHeight="1">
      <c r="A178" s="191">
        <v>45</v>
      </c>
      <c r="B178" s="156" t="s">
        <v>307</v>
      </c>
      <c r="C178" s="233" t="s">
        <v>302</v>
      </c>
      <c r="D178" s="181" t="s">
        <v>463</v>
      </c>
      <c r="E178" s="244">
        <v>100000</v>
      </c>
      <c r="F178" s="244">
        <v>100000</v>
      </c>
      <c r="G178" s="23">
        <v>0</v>
      </c>
    </row>
    <row r="179" spans="1:7" ht="20.100000000000001" customHeight="1">
      <c r="A179" s="191">
        <v>46</v>
      </c>
      <c r="B179" s="156" t="s">
        <v>309</v>
      </c>
      <c r="C179" s="233" t="s">
        <v>310</v>
      </c>
      <c r="D179" s="181" t="s">
        <v>464</v>
      </c>
      <c r="E179" s="244">
        <v>100000</v>
      </c>
      <c r="F179" s="244">
        <v>100000</v>
      </c>
      <c r="G179" s="23">
        <v>0</v>
      </c>
    </row>
    <row r="180" spans="1:7" ht="20.100000000000001" customHeight="1">
      <c r="A180" s="191">
        <v>47</v>
      </c>
      <c r="B180" s="156" t="s">
        <v>312</v>
      </c>
      <c r="C180" s="233" t="s">
        <v>310</v>
      </c>
      <c r="D180" s="181" t="s">
        <v>464</v>
      </c>
      <c r="E180" s="244">
        <v>100000</v>
      </c>
      <c r="F180" s="244">
        <v>100000</v>
      </c>
      <c r="G180" s="23">
        <v>0</v>
      </c>
    </row>
    <row r="181" spans="1:7" ht="20.100000000000001" customHeight="1">
      <c r="A181" s="191">
        <v>48</v>
      </c>
      <c r="B181" s="156" t="s">
        <v>313</v>
      </c>
      <c r="C181" s="233" t="s">
        <v>310</v>
      </c>
      <c r="D181" s="181" t="s">
        <v>464</v>
      </c>
      <c r="E181" s="244">
        <v>100000</v>
      </c>
      <c r="F181" s="244">
        <v>100000</v>
      </c>
      <c r="G181" s="23">
        <v>0</v>
      </c>
    </row>
    <row r="182" spans="1:7" ht="20.100000000000001" customHeight="1">
      <c r="A182" s="191">
        <v>49</v>
      </c>
      <c r="B182" s="156" t="s">
        <v>314</v>
      </c>
      <c r="C182" s="233" t="s">
        <v>310</v>
      </c>
      <c r="D182" s="181" t="s">
        <v>464</v>
      </c>
      <c r="E182" s="244">
        <v>100000</v>
      </c>
      <c r="F182" s="244">
        <v>100000</v>
      </c>
      <c r="G182" s="23">
        <v>0</v>
      </c>
    </row>
    <row r="183" spans="1:7" ht="20.100000000000001" customHeight="1">
      <c r="A183" s="191">
        <v>50</v>
      </c>
      <c r="B183" s="156" t="s">
        <v>315</v>
      </c>
      <c r="C183" s="233" t="s">
        <v>310</v>
      </c>
      <c r="D183" s="181" t="s">
        <v>464</v>
      </c>
      <c r="E183" s="244">
        <v>100000</v>
      </c>
      <c r="F183" s="244">
        <v>100000</v>
      </c>
      <c r="G183" s="23">
        <v>0</v>
      </c>
    </row>
    <row r="184" spans="1:7" ht="20.100000000000001" customHeight="1">
      <c r="A184" s="191">
        <v>51</v>
      </c>
      <c r="B184" s="157" t="s">
        <v>316</v>
      </c>
      <c r="C184" s="233" t="s">
        <v>310</v>
      </c>
      <c r="D184" s="181" t="s">
        <v>465</v>
      </c>
      <c r="E184" s="244">
        <v>100000</v>
      </c>
      <c r="F184" s="244">
        <v>100000</v>
      </c>
      <c r="G184" s="23">
        <v>0</v>
      </c>
    </row>
    <row r="185" spans="1:7" ht="20.100000000000001" customHeight="1">
      <c r="A185" s="191">
        <v>52</v>
      </c>
      <c r="B185" s="157" t="s">
        <v>317</v>
      </c>
      <c r="C185" s="233" t="s">
        <v>310</v>
      </c>
      <c r="D185" s="181" t="s">
        <v>465</v>
      </c>
      <c r="E185" s="244">
        <v>100000</v>
      </c>
      <c r="F185" s="244">
        <v>100000</v>
      </c>
      <c r="G185" s="23">
        <v>0</v>
      </c>
    </row>
    <row r="186" spans="1:7" ht="20.100000000000001" customHeight="1">
      <c r="A186" s="191">
        <v>53</v>
      </c>
      <c r="B186" s="156" t="s">
        <v>318</v>
      </c>
      <c r="C186" s="233" t="s">
        <v>302</v>
      </c>
      <c r="D186" s="181" t="s">
        <v>465</v>
      </c>
      <c r="E186" s="244">
        <v>100000</v>
      </c>
      <c r="F186" s="244">
        <v>100000</v>
      </c>
      <c r="G186" s="23">
        <v>0</v>
      </c>
    </row>
    <row r="187" spans="1:7" ht="20.100000000000001" customHeight="1">
      <c r="A187" s="191">
        <v>54</v>
      </c>
      <c r="B187" s="156" t="s">
        <v>319</v>
      </c>
      <c r="C187" s="233" t="s">
        <v>302</v>
      </c>
      <c r="D187" s="181" t="s">
        <v>465</v>
      </c>
      <c r="E187" s="244">
        <v>100000</v>
      </c>
      <c r="F187" s="244">
        <v>100000</v>
      </c>
      <c r="G187" s="23">
        <v>0</v>
      </c>
    </row>
    <row r="188" spans="1:7" ht="20.100000000000001" customHeight="1">
      <c r="A188" s="191">
        <v>55</v>
      </c>
      <c r="B188" s="157" t="s">
        <v>320</v>
      </c>
      <c r="C188" s="233" t="s">
        <v>310</v>
      </c>
      <c r="D188" s="181" t="s">
        <v>466</v>
      </c>
      <c r="E188" s="244">
        <v>100000</v>
      </c>
      <c r="F188" s="244">
        <v>100000</v>
      </c>
      <c r="G188" s="23">
        <v>0</v>
      </c>
    </row>
    <row r="189" spans="1:7" ht="20.100000000000001" customHeight="1">
      <c r="A189" s="191">
        <v>56</v>
      </c>
      <c r="B189" s="157" t="s">
        <v>322</v>
      </c>
      <c r="C189" s="233" t="s">
        <v>310</v>
      </c>
      <c r="D189" s="181" t="s">
        <v>467</v>
      </c>
      <c r="E189" s="244">
        <v>100000</v>
      </c>
      <c r="F189" s="244">
        <v>100000</v>
      </c>
      <c r="G189" s="23">
        <v>0</v>
      </c>
    </row>
    <row r="190" spans="1:7" ht="20.100000000000001" customHeight="1">
      <c r="A190" s="191"/>
      <c r="B190" s="177" t="s">
        <v>100</v>
      </c>
      <c r="C190" s="241" t="s">
        <v>324</v>
      </c>
      <c r="D190" s="22"/>
      <c r="E190" s="246">
        <f>SUM(E134:E189)</f>
        <v>12750000</v>
      </c>
      <c r="F190" s="246">
        <f t="shared" ref="F190:G190" si="17">SUM(F134:F189)</f>
        <v>10200000</v>
      </c>
      <c r="G190" s="246">
        <f t="shared" si="17"/>
        <v>2550000</v>
      </c>
    </row>
    <row r="191" spans="1:7" ht="20.100000000000001" customHeight="1">
      <c r="A191" s="20"/>
      <c r="B191" s="194" t="s">
        <v>325</v>
      </c>
      <c r="C191" s="242">
        <f>C38+C43+C58+C62+C78+C86+C100+C107+C117+C131+C190+2</f>
        <v>152</v>
      </c>
      <c r="D191" s="196"/>
      <c r="E191" s="254">
        <f>E190+E131+E117+E107+E100+E86+E78+E62+E58+E43+E38</f>
        <v>62400000</v>
      </c>
      <c r="F191" s="254">
        <f>F190+F131+F117+F107+F100+F86+F78+F62+F58+F43+F38</f>
        <v>29750000</v>
      </c>
      <c r="G191" s="254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55"/>
      <c r="F192" s="256"/>
      <c r="G192" s="256"/>
    </row>
    <row r="193" spans="2:5" ht="28.5" customHeight="1">
      <c r="B193" s="198"/>
      <c r="C193" s="198"/>
      <c r="D193" s="199"/>
      <c r="E193" s="257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11" t="s">
        <v>508</v>
      </c>
      <c r="B1" s="311"/>
      <c r="C1" s="311"/>
      <c r="D1" s="311"/>
      <c r="E1" s="311"/>
      <c r="F1" s="311"/>
    </row>
    <row r="2" spans="1:6" ht="18.75">
      <c r="A2" s="312" t="s">
        <v>509</v>
      </c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>
        <f>E4*12</f>
        <v>948475.67999999993</v>
      </c>
      <c r="E4" s="12">
        <f>SUMMARY!F3</f>
        <v>79039.64</v>
      </c>
      <c r="F4" s="1"/>
    </row>
    <row r="5" spans="1:6" ht="18.75">
      <c r="A5" s="302" t="s">
        <v>513</v>
      </c>
      <c r="B5" s="302"/>
      <c r="C5" s="302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302" t="s">
        <v>514</v>
      </c>
      <c r="B6" s="302"/>
      <c r="C6" s="302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302" t="s">
        <v>515</v>
      </c>
      <c r="B7" s="302"/>
      <c r="C7" s="302"/>
      <c r="D7" s="12">
        <f t="shared" si="0"/>
        <v>962932.56</v>
      </c>
      <c r="E7" s="12">
        <f>SUMMARY!J3</f>
        <v>80244.38</v>
      </c>
      <c r="F7" s="1"/>
    </row>
    <row r="8" spans="1:6" ht="18.75">
      <c r="A8" s="302" t="s">
        <v>516</v>
      </c>
      <c r="B8" s="302"/>
      <c r="C8" s="302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302" t="s">
        <v>517</v>
      </c>
      <c r="B9" s="302"/>
      <c r="C9" s="302"/>
      <c r="D9" s="12">
        <f t="shared" si="0"/>
        <v>3319664.88</v>
      </c>
      <c r="E9" s="12">
        <f>SUMMARY!L3</f>
        <v>276638.74</v>
      </c>
      <c r="F9" s="1"/>
    </row>
    <row r="10" spans="1:6" ht="18.75">
      <c r="A10" s="280" t="s">
        <v>518</v>
      </c>
      <c r="B10" s="313"/>
      <c r="C10" s="281"/>
      <c r="D10" s="12">
        <f>E10*12</f>
        <v>0</v>
      </c>
      <c r="E10" s="12"/>
      <c r="F10" s="1"/>
    </row>
    <row r="11" spans="1:6" ht="18.75">
      <c r="A11" s="302" t="s">
        <v>519</v>
      </c>
      <c r="B11" s="302"/>
      <c r="C11" s="302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302" t="s">
        <v>520</v>
      </c>
      <c r="B12" s="302"/>
      <c r="C12" s="302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302" t="s">
        <v>521</v>
      </c>
      <c r="B13" s="302"/>
      <c r="C13" s="302"/>
      <c r="D13" s="12">
        <f t="shared" si="0"/>
        <v>240000</v>
      </c>
      <c r="E13" s="12">
        <f>SUMMARY!P3</f>
        <v>20000</v>
      </c>
      <c r="F13" s="1"/>
    </row>
    <row r="14" spans="1:6" ht="18.75">
      <c r="A14" s="277" t="s">
        <v>16</v>
      </c>
      <c r="B14" s="277"/>
      <c r="C14" s="277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14" t="s">
        <v>522</v>
      </c>
      <c r="B1" s="314"/>
      <c r="C1" s="314"/>
      <c r="D1" s="314"/>
      <c r="E1" s="314"/>
      <c r="F1" s="314"/>
    </row>
    <row r="2" spans="1:6" ht="18.75">
      <c r="A2" s="312" t="s">
        <v>523</v>
      </c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 t="e">
        <f>E4*12</f>
        <v>#REF!</v>
      </c>
      <c r="E4" s="12" t="e">
        <f>'January 2023'!#REF!</f>
        <v>#REF!</v>
      </c>
      <c r="F4" s="1"/>
    </row>
    <row r="5" spans="1:6" ht="18.75">
      <c r="A5" s="302" t="s">
        <v>513</v>
      </c>
      <c r="B5" s="302"/>
      <c r="C5" s="302"/>
      <c r="D5" s="12" t="e">
        <f t="shared" ref="D5:D13" si="0">E5*12</f>
        <v>#REF!</v>
      </c>
      <c r="E5" s="12" t="e">
        <f>'January 2023'!#REF!</f>
        <v>#REF!</v>
      </c>
      <c r="F5" s="1"/>
    </row>
    <row r="6" spans="1:6" ht="18.75">
      <c r="A6" s="302" t="s">
        <v>514</v>
      </c>
      <c r="B6" s="302"/>
      <c r="C6" s="302"/>
      <c r="D6" s="12" t="e">
        <f t="shared" si="0"/>
        <v>#REF!</v>
      </c>
      <c r="E6" s="12" t="e">
        <f>'January 2023'!#REF!</f>
        <v>#REF!</v>
      </c>
      <c r="F6" s="1"/>
    </row>
    <row r="7" spans="1:6" ht="18.75">
      <c r="A7" s="302" t="s">
        <v>515</v>
      </c>
      <c r="B7" s="302"/>
      <c r="C7" s="302"/>
      <c r="D7" s="12" t="e">
        <f t="shared" si="0"/>
        <v>#REF!</v>
      </c>
      <c r="E7" s="12" t="e">
        <f>'January 2023'!#REF!</f>
        <v>#REF!</v>
      </c>
      <c r="F7" s="1"/>
    </row>
    <row r="8" spans="1:6" ht="18.75">
      <c r="A8" s="302" t="s">
        <v>516</v>
      </c>
      <c r="B8" s="302"/>
      <c r="C8" s="302"/>
      <c r="D8" s="12" t="e">
        <f t="shared" si="0"/>
        <v>#REF!</v>
      </c>
      <c r="E8" s="12" t="e">
        <f>'January 2023'!#REF!</f>
        <v>#REF!</v>
      </c>
      <c r="F8" s="1"/>
    </row>
    <row r="9" spans="1:6" ht="18.75">
      <c r="A9" s="302" t="s">
        <v>517</v>
      </c>
      <c r="B9" s="302"/>
      <c r="C9" s="302"/>
      <c r="D9" s="12" t="e">
        <f t="shared" si="0"/>
        <v>#REF!</v>
      </c>
      <c r="E9" s="12" t="e">
        <f>'January 2023'!#REF!</f>
        <v>#REF!</v>
      </c>
      <c r="F9" s="1"/>
    </row>
    <row r="10" spans="1:6" ht="18.75">
      <c r="A10" s="302" t="s">
        <v>519</v>
      </c>
      <c r="B10" s="302"/>
      <c r="C10" s="302"/>
      <c r="D10" s="12" t="e">
        <f t="shared" si="0"/>
        <v>#REF!</v>
      </c>
      <c r="E10" s="12" t="e">
        <f>'January 2023'!#REF!</f>
        <v>#REF!</v>
      </c>
      <c r="F10" s="1"/>
    </row>
    <row r="11" spans="1:6" ht="18.75">
      <c r="A11" s="280" t="s">
        <v>524</v>
      </c>
      <c r="B11" s="313"/>
      <c r="C11" s="281"/>
      <c r="D11" s="12">
        <f t="shared" si="0"/>
        <v>1200000</v>
      </c>
      <c r="E11" s="12">
        <v>100000</v>
      </c>
      <c r="F11" s="1"/>
    </row>
    <row r="12" spans="1:6" ht="18.75">
      <c r="A12" s="302" t="s">
        <v>520</v>
      </c>
      <c r="B12" s="302"/>
      <c r="C12" s="302"/>
      <c r="D12" s="12" t="e">
        <f t="shared" si="0"/>
        <v>#REF!</v>
      </c>
      <c r="E12" s="12" t="e">
        <f>'January 2023'!#REF!</f>
        <v>#REF!</v>
      </c>
      <c r="F12" s="1"/>
    </row>
    <row r="13" spans="1:6" ht="18.75">
      <c r="A13" s="302" t="s">
        <v>521</v>
      </c>
      <c r="B13" s="302"/>
      <c r="C13" s="302"/>
      <c r="D13" s="12" t="e">
        <f t="shared" si="0"/>
        <v>#REF!</v>
      </c>
      <c r="E13" s="12" t="e">
        <f>'January 2023'!#REF!</f>
        <v>#REF!</v>
      </c>
      <c r="F13" s="1"/>
    </row>
    <row r="14" spans="1:6" ht="18.75">
      <c r="A14" s="277" t="s">
        <v>16</v>
      </c>
      <c r="B14" s="277"/>
      <c r="C14" s="277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14" t="s">
        <v>525</v>
      </c>
      <c r="B1" s="314"/>
      <c r="C1" s="314"/>
      <c r="D1" s="314"/>
      <c r="E1" s="314"/>
      <c r="F1" s="314"/>
    </row>
    <row r="2" spans="1:6" ht="18.75">
      <c r="A2" s="312" t="s">
        <v>526</v>
      </c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>
        <f>E4*12</f>
        <v>493892.28</v>
      </c>
      <c r="E4" s="12">
        <f>'January 2023'!E12</f>
        <v>41157.69</v>
      </c>
      <c r="F4" s="1"/>
    </row>
    <row r="5" spans="1:6" ht="18.75">
      <c r="A5" s="302" t="s">
        <v>513</v>
      </c>
      <c r="B5" s="302"/>
      <c r="C5" s="302"/>
      <c r="D5" s="12">
        <f t="shared" ref="D5:D14" si="0">E5*12</f>
        <v>1481676.84</v>
      </c>
      <c r="E5" s="12">
        <f>'January 2023'!G12</f>
        <v>123473.07</v>
      </c>
      <c r="F5" s="1"/>
    </row>
    <row r="6" spans="1:6" ht="18.75">
      <c r="A6" s="302" t="s">
        <v>514</v>
      </c>
      <c r="B6" s="302"/>
      <c r="C6" s="302"/>
      <c r="D6" s="12">
        <f t="shared" si="0"/>
        <v>37041.921000000002</v>
      </c>
      <c r="E6" s="12">
        <f>'January 2023'!H12</f>
        <v>3086.8267500000002</v>
      </c>
      <c r="F6" s="1"/>
    </row>
    <row r="7" spans="1:6" ht="18.75">
      <c r="A7" s="302" t="s">
        <v>515</v>
      </c>
      <c r="B7" s="302"/>
      <c r="C7" s="302"/>
      <c r="D7" s="12">
        <f t="shared" si="0"/>
        <v>481466.28</v>
      </c>
      <c r="E7" s="12">
        <f>'January 2023'!I12</f>
        <v>40122.19</v>
      </c>
      <c r="F7" s="1"/>
    </row>
    <row r="8" spans="1:6" ht="18.75">
      <c r="A8" s="302" t="s">
        <v>516</v>
      </c>
      <c r="B8" s="302"/>
      <c r="C8" s="302"/>
      <c r="D8" s="12">
        <f t="shared" si="0"/>
        <v>246946.14</v>
      </c>
      <c r="E8" s="12">
        <f>'January 2023'!J12</f>
        <v>20578.845000000001</v>
      </c>
      <c r="F8" s="1"/>
    </row>
    <row r="9" spans="1:6" ht="18.75">
      <c r="A9" s="302" t="s">
        <v>517</v>
      </c>
      <c r="B9" s="302"/>
      <c r="C9" s="302"/>
      <c r="D9" s="12">
        <f t="shared" si="0"/>
        <v>1728622.98</v>
      </c>
      <c r="E9" s="12">
        <f>'January 2023'!K12</f>
        <v>144051.91500000001</v>
      </c>
      <c r="F9" s="1"/>
    </row>
    <row r="10" spans="1:6" ht="18.75">
      <c r="A10" s="302" t="s">
        <v>519</v>
      </c>
      <c r="B10" s="302"/>
      <c r="C10" s="302"/>
      <c r="D10" s="12">
        <f t="shared" si="0"/>
        <v>493892.28</v>
      </c>
      <c r="E10" s="12">
        <f>'January 2023'!L12</f>
        <v>41157.69</v>
      </c>
      <c r="F10" s="1"/>
    </row>
    <row r="11" spans="1:6" ht="18.75">
      <c r="A11" s="280" t="s">
        <v>518</v>
      </c>
      <c r="B11" s="313"/>
      <c r="C11" s="281"/>
      <c r="D11" s="12">
        <f t="shared" si="0"/>
        <v>0</v>
      </c>
      <c r="E11" s="12">
        <v>0</v>
      </c>
      <c r="F11" s="1"/>
    </row>
    <row r="12" spans="1:6" ht="18.75">
      <c r="A12" s="302" t="s">
        <v>520</v>
      </c>
      <c r="B12" s="302"/>
      <c r="C12" s="302"/>
      <c r="D12" s="12">
        <f t="shared" si="0"/>
        <v>49389.228000000003</v>
      </c>
      <c r="E12" s="12">
        <f>'January 2023'!O12</f>
        <v>4115.7690000000002</v>
      </c>
      <c r="F12" s="1"/>
    </row>
    <row r="13" spans="1:6" ht="18.75">
      <c r="A13" s="302" t="s">
        <v>521</v>
      </c>
      <c r="B13" s="302"/>
      <c r="C13" s="302"/>
      <c r="D13" s="12">
        <f t="shared" si="0"/>
        <v>240000</v>
      </c>
      <c r="E13" s="12">
        <v>20000</v>
      </c>
      <c r="F13" s="1"/>
    </row>
    <row r="14" spans="1:6" ht="18.75">
      <c r="A14" s="277" t="s">
        <v>16</v>
      </c>
      <c r="B14" s="277"/>
      <c r="C14" s="277"/>
      <c r="D14" s="13">
        <f t="shared" si="0"/>
        <v>5252927.949</v>
      </c>
      <c r="E14" s="13">
        <f>SUM(E4:E13)</f>
        <v>437743.99575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14" t="s">
        <v>527</v>
      </c>
      <c r="B1" s="314"/>
      <c r="C1" s="314"/>
      <c r="D1" s="314"/>
      <c r="E1" s="314"/>
      <c r="F1" s="314"/>
    </row>
    <row r="2" spans="1:6" ht="18.75">
      <c r="A2" s="312" t="s">
        <v>528</v>
      </c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 t="e">
        <f>E4*12</f>
        <v>#REF!</v>
      </c>
      <c r="E4" s="12" t="e">
        <f>'January 2023'!#REF!</f>
        <v>#REF!</v>
      </c>
      <c r="F4" s="1"/>
    </row>
    <row r="5" spans="1:6" ht="18.75">
      <c r="A5" s="302" t="s">
        <v>513</v>
      </c>
      <c r="B5" s="302"/>
      <c r="C5" s="302"/>
      <c r="D5" s="12" t="e">
        <f t="shared" ref="D5:D14" si="0">E5*12</f>
        <v>#REF!</v>
      </c>
      <c r="E5" s="12" t="e">
        <f>'January 2023'!#REF!</f>
        <v>#REF!</v>
      </c>
      <c r="F5" s="1"/>
    </row>
    <row r="6" spans="1:6" ht="18.75">
      <c r="A6" s="302" t="s">
        <v>514</v>
      </c>
      <c r="B6" s="302"/>
      <c r="C6" s="302"/>
      <c r="D6" s="12" t="e">
        <f t="shared" si="0"/>
        <v>#REF!</v>
      </c>
      <c r="E6" s="12" t="e">
        <f>'January 2023'!#REF!</f>
        <v>#REF!</v>
      </c>
      <c r="F6" s="1"/>
    </row>
    <row r="7" spans="1:6" ht="18.75">
      <c r="A7" s="302" t="s">
        <v>515</v>
      </c>
      <c r="B7" s="302"/>
      <c r="C7" s="302"/>
      <c r="D7" s="12">
        <f t="shared" si="0"/>
        <v>0</v>
      </c>
      <c r="E7" s="12">
        <f>SUMMARY!J6</f>
        <v>0</v>
      </c>
      <c r="F7" s="1"/>
    </row>
    <row r="8" spans="1:6" ht="18.75">
      <c r="A8" s="302" t="s">
        <v>516</v>
      </c>
      <c r="B8" s="302"/>
      <c r="C8" s="302"/>
      <c r="D8" s="12" t="e">
        <f t="shared" si="0"/>
        <v>#REF!</v>
      </c>
      <c r="E8" s="12" t="e">
        <f>'January 2023'!#REF!</f>
        <v>#REF!</v>
      </c>
      <c r="F8" s="1"/>
    </row>
    <row r="9" spans="1:6" ht="18.75">
      <c r="A9" s="302" t="s">
        <v>517</v>
      </c>
      <c r="B9" s="302"/>
      <c r="C9" s="302"/>
      <c r="D9" s="12" t="e">
        <f t="shared" si="0"/>
        <v>#REF!</v>
      </c>
      <c r="E9" s="12" t="e">
        <f>'January 2023'!#REF!</f>
        <v>#REF!</v>
      </c>
      <c r="F9" s="1"/>
    </row>
    <row r="10" spans="1:6" ht="18.75">
      <c r="A10" s="302" t="s">
        <v>519</v>
      </c>
      <c r="B10" s="302"/>
      <c r="C10" s="302"/>
      <c r="D10" s="12" t="e">
        <f t="shared" si="0"/>
        <v>#REF!</v>
      </c>
      <c r="E10" s="12" t="e">
        <f>'January 2023'!#REF!</f>
        <v>#REF!</v>
      </c>
      <c r="F10" s="1"/>
    </row>
    <row r="11" spans="1:6" ht="18.75">
      <c r="A11" s="280" t="s">
        <v>518</v>
      </c>
      <c r="B11" s="313"/>
      <c r="C11" s="281"/>
      <c r="D11" s="12">
        <f t="shared" si="0"/>
        <v>0</v>
      </c>
      <c r="E11" s="12">
        <v>0</v>
      </c>
      <c r="F11" s="1"/>
    </row>
    <row r="12" spans="1:6" ht="18.75">
      <c r="A12" s="302" t="s">
        <v>520</v>
      </c>
      <c r="B12" s="302"/>
      <c r="C12" s="302"/>
      <c r="D12" s="12" t="e">
        <f t="shared" si="0"/>
        <v>#REF!</v>
      </c>
      <c r="E12" s="12" t="e">
        <f>'January 2023'!#REF!</f>
        <v>#REF!</v>
      </c>
      <c r="F12" s="1"/>
    </row>
    <row r="13" spans="1:6" ht="18.75">
      <c r="A13" s="302" t="s">
        <v>521</v>
      </c>
      <c r="B13" s="302"/>
      <c r="C13" s="302"/>
      <c r="D13" s="12" t="e">
        <f t="shared" si="0"/>
        <v>#REF!</v>
      </c>
      <c r="E13" s="12" t="e">
        <f>'January 2023'!#REF!</f>
        <v>#REF!</v>
      </c>
      <c r="F13" s="1"/>
    </row>
    <row r="14" spans="1:6" ht="18.75">
      <c r="A14" s="277" t="s">
        <v>16</v>
      </c>
      <c r="B14" s="277"/>
      <c r="C14" s="277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14"/>
      <c r="B1" s="314"/>
      <c r="C1" s="314"/>
      <c r="D1" s="314"/>
      <c r="E1" s="314"/>
      <c r="F1" s="314"/>
    </row>
    <row r="2" spans="1:6" ht="18.75">
      <c r="A2" s="312"/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>
        <f>E4*12</f>
        <v>255527.52</v>
      </c>
      <c r="E4" s="12">
        <f>SUMMARY!F7</f>
        <v>21293.96</v>
      </c>
      <c r="F4" s="1"/>
    </row>
    <row r="5" spans="1:6" ht="18.75">
      <c r="A5" s="302" t="s">
        <v>513</v>
      </c>
      <c r="B5" s="302"/>
      <c r="C5" s="302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302" t="s">
        <v>514</v>
      </c>
      <c r="B6" s="302"/>
      <c r="C6" s="302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302" t="s">
        <v>515</v>
      </c>
      <c r="B7" s="302"/>
      <c r="C7" s="302"/>
      <c r="D7" s="12">
        <f t="shared" si="0"/>
        <v>0</v>
      </c>
      <c r="E7" s="12">
        <f>SUMMARY!J6</f>
        <v>0</v>
      </c>
      <c r="F7" s="1"/>
    </row>
    <row r="8" spans="1:6" ht="18.75">
      <c r="A8" s="302" t="s">
        <v>516</v>
      </c>
      <c r="B8" s="302"/>
      <c r="C8" s="302"/>
      <c r="D8" s="12">
        <f t="shared" si="0"/>
        <v>127763.76</v>
      </c>
      <c r="E8" s="12">
        <f>SUMMARY!K7</f>
        <v>10646.98</v>
      </c>
      <c r="F8" s="1"/>
    </row>
    <row r="9" spans="1:6" ht="18.75">
      <c r="A9" s="302" t="s">
        <v>517</v>
      </c>
      <c r="B9" s="302"/>
      <c r="C9" s="302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302" t="s">
        <v>519</v>
      </c>
      <c r="B10" s="302"/>
      <c r="C10" s="302"/>
      <c r="D10" s="12">
        <f t="shared" si="0"/>
        <v>255527.52</v>
      </c>
      <c r="E10" s="12">
        <f>SUMMARY!N7</f>
        <v>21293.96</v>
      </c>
      <c r="F10" s="1"/>
    </row>
    <row r="11" spans="1:6" ht="18.75">
      <c r="A11" s="302" t="s">
        <v>520</v>
      </c>
      <c r="B11" s="302"/>
      <c r="C11" s="302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302" t="s">
        <v>521</v>
      </c>
      <c r="B12" s="302"/>
      <c r="C12" s="302"/>
      <c r="D12" s="12">
        <f t="shared" si="0"/>
        <v>120000</v>
      </c>
      <c r="E12" s="12">
        <f>SUMMARY!P7</f>
        <v>10000</v>
      </c>
      <c r="F12" s="1"/>
    </row>
    <row r="13" spans="1:6" ht="18.75">
      <c r="A13" s="277" t="s">
        <v>16</v>
      </c>
      <c r="B13" s="277"/>
      <c r="C13" s="277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14" t="s">
        <v>529</v>
      </c>
      <c r="B1" s="314"/>
      <c r="C1" s="314"/>
      <c r="D1" s="314"/>
      <c r="E1" s="314"/>
      <c r="F1" s="314"/>
    </row>
    <row r="2" spans="1:6" ht="18.75">
      <c r="A2" s="312" t="s">
        <v>530</v>
      </c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302" t="s">
        <v>513</v>
      </c>
      <c r="B5" s="302"/>
      <c r="C5" s="302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302" t="s">
        <v>514</v>
      </c>
      <c r="B6" s="302"/>
      <c r="C6" s="302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302" t="s">
        <v>515</v>
      </c>
      <c r="B7" s="302"/>
      <c r="C7" s="302"/>
      <c r="D7" s="12">
        <f t="shared" si="0"/>
        <v>0</v>
      </c>
      <c r="E7" s="12">
        <f>SUMMARY!J6</f>
        <v>0</v>
      </c>
      <c r="F7" s="1"/>
    </row>
    <row r="8" spans="1:6" ht="18.75">
      <c r="A8" s="302" t="s">
        <v>516</v>
      </c>
      <c r="B8" s="302"/>
      <c r="C8" s="302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302" t="s">
        <v>517</v>
      </c>
      <c r="B9" s="302"/>
      <c r="C9" s="302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302" t="s">
        <v>519</v>
      </c>
      <c r="B10" s="302"/>
      <c r="C10" s="302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80" t="s">
        <v>518</v>
      </c>
      <c r="B11" s="313"/>
      <c r="C11" s="281"/>
      <c r="D11" s="12">
        <f t="shared" si="0"/>
        <v>480000</v>
      </c>
      <c r="E11" s="12">
        <v>40000</v>
      </c>
      <c r="F11" s="1"/>
    </row>
    <row r="12" spans="1:6" ht="18.75">
      <c r="A12" s="302" t="s">
        <v>520</v>
      </c>
      <c r="B12" s="302"/>
      <c r="C12" s="302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302" t="s">
        <v>521</v>
      </c>
      <c r="B13" s="302"/>
      <c r="C13" s="302"/>
      <c r="D13" s="12">
        <f t="shared" si="0"/>
        <v>120000</v>
      </c>
      <c r="E13" s="12">
        <f>SUMMARY!P7</f>
        <v>10000</v>
      </c>
      <c r="F13" s="1"/>
    </row>
    <row r="14" spans="1:6" ht="18.75">
      <c r="A14" s="277" t="s">
        <v>16</v>
      </c>
      <c r="B14" s="277"/>
      <c r="C14" s="277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14" t="s">
        <v>531</v>
      </c>
      <c r="B1" s="314"/>
      <c r="C1" s="314"/>
      <c r="D1" s="314"/>
      <c r="E1" s="314"/>
      <c r="F1" s="314"/>
    </row>
    <row r="2" spans="1:6" ht="18.75">
      <c r="A2" s="312" t="s">
        <v>532</v>
      </c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>
        <f>E4*12</f>
        <v>176833.68</v>
      </c>
      <c r="E4" s="12">
        <f>SUMMARY!F9</f>
        <v>14736.14</v>
      </c>
      <c r="F4" s="1"/>
    </row>
    <row r="5" spans="1:6" ht="18.75">
      <c r="A5" s="302" t="s">
        <v>513</v>
      </c>
      <c r="B5" s="302"/>
      <c r="C5" s="302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302" t="s">
        <v>514</v>
      </c>
      <c r="B6" s="302"/>
      <c r="C6" s="302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302" t="s">
        <v>515</v>
      </c>
      <c r="B7" s="302"/>
      <c r="C7" s="302"/>
      <c r="D7" s="12">
        <f t="shared" si="0"/>
        <v>0</v>
      </c>
      <c r="E7" s="12">
        <f>SUMMARY!J6</f>
        <v>0</v>
      </c>
      <c r="F7" s="1"/>
    </row>
    <row r="8" spans="1:6" ht="18.75">
      <c r="A8" s="302" t="s">
        <v>516</v>
      </c>
      <c r="B8" s="302"/>
      <c r="C8" s="302"/>
      <c r="D8" s="12">
        <f t="shared" si="0"/>
        <v>88416.84</v>
      </c>
      <c r="E8" s="12">
        <f>SUMMARY!K9</f>
        <v>7368.07</v>
      </c>
      <c r="F8" s="1"/>
    </row>
    <row r="9" spans="1:6" ht="18.75">
      <c r="A9" s="302" t="s">
        <v>517</v>
      </c>
      <c r="B9" s="302"/>
      <c r="C9" s="302"/>
      <c r="D9" s="12">
        <f t="shared" si="0"/>
        <v>618917.88</v>
      </c>
      <c r="E9" s="12">
        <f>SUMMARY!L9</f>
        <v>51576.49</v>
      </c>
      <c r="F9" s="1"/>
    </row>
    <row r="10" spans="1:6" ht="18.75">
      <c r="A10" s="302" t="s">
        <v>519</v>
      </c>
      <c r="B10" s="302"/>
      <c r="C10" s="302"/>
      <c r="D10" s="12">
        <f t="shared" si="0"/>
        <v>176833.68</v>
      </c>
      <c r="E10" s="12">
        <f>SUMMARY!N9</f>
        <v>14736.14</v>
      </c>
      <c r="F10" s="1"/>
    </row>
    <row r="11" spans="1:6" ht="18.75">
      <c r="A11" s="280" t="s">
        <v>533</v>
      </c>
      <c r="B11" s="313"/>
      <c r="C11" s="281"/>
      <c r="D11" s="12">
        <f t="shared" si="0"/>
        <v>480000</v>
      </c>
      <c r="E11" s="12">
        <v>40000</v>
      </c>
      <c r="F11" s="1"/>
    </row>
    <row r="12" spans="1:6" ht="18.75">
      <c r="A12" s="302" t="s">
        <v>520</v>
      </c>
      <c r="B12" s="302"/>
      <c r="C12" s="302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302" t="s">
        <v>521</v>
      </c>
      <c r="B13" s="302"/>
      <c r="C13" s="302"/>
      <c r="D13" s="12">
        <f t="shared" si="0"/>
        <v>120000</v>
      </c>
      <c r="E13" s="12">
        <f>SUMMARY!P7</f>
        <v>10000</v>
      </c>
      <c r="F13" s="1"/>
    </row>
    <row r="14" spans="1:6" ht="18.75">
      <c r="A14" s="277" t="s">
        <v>16</v>
      </c>
      <c r="B14" s="277"/>
      <c r="C14" s="277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14" t="s">
        <v>534</v>
      </c>
      <c r="B1" s="314"/>
      <c r="C1" s="314"/>
      <c r="D1" s="314"/>
      <c r="E1" s="314"/>
      <c r="F1" s="314"/>
    </row>
    <row r="2" spans="1:6" ht="18.75">
      <c r="A2" s="312"/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>
        <f>E4*12</f>
        <v>306281.40000000002</v>
      </c>
      <c r="E4" s="12">
        <f>'January 2023'!E83</f>
        <v>25523.45</v>
      </c>
      <c r="F4" s="1"/>
    </row>
    <row r="5" spans="1:6" ht="18.75">
      <c r="A5" s="302" t="s">
        <v>513</v>
      </c>
      <c r="B5" s="302"/>
      <c r="C5" s="302"/>
      <c r="D5" s="12" t="e">
        <f t="shared" ref="D5:D12" si="0">E5*12</f>
        <v>#REF!</v>
      </c>
      <c r="E5" s="12" t="e">
        <f>'January 2023'!#REF!</f>
        <v>#REF!</v>
      </c>
      <c r="F5" s="1"/>
    </row>
    <row r="6" spans="1:6" ht="18.75">
      <c r="A6" s="302" t="s">
        <v>514</v>
      </c>
      <c r="B6" s="302"/>
      <c r="C6" s="302"/>
      <c r="D6" s="12" t="e">
        <f t="shared" si="0"/>
        <v>#REF!</v>
      </c>
      <c r="E6" s="12" t="e">
        <f>'January 2023'!#REF!</f>
        <v>#REF!</v>
      </c>
      <c r="F6" s="1"/>
    </row>
    <row r="7" spans="1:6" ht="18.75">
      <c r="A7" s="302" t="s">
        <v>516</v>
      </c>
      <c r="B7" s="302"/>
      <c r="C7" s="302"/>
      <c r="D7" s="12">
        <f t="shared" si="0"/>
        <v>160395.90000000002</v>
      </c>
      <c r="E7" s="12">
        <f>'January 2023'!J124</f>
        <v>13366.325000000001</v>
      </c>
      <c r="F7" s="1"/>
    </row>
    <row r="8" spans="1:6" ht="18.75">
      <c r="A8" s="302" t="s">
        <v>517</v>
      </c>
      <c r="B8" s="302"/>
      <c r="C8" s="302"/>
      <c r="D8" s="12" t="e">
        <f t="shared" si="0"/>
        <v>#REF!</v>
      </c>
      <c r="E8" s="12" t="e">
        <f>'January 2023'!#REF!</f>
        <v>#REF!</v>
      </c>
      <c r="F8" s="1"/>
    </row>
    <row r="9" spans="1:6" ht="18.75">
      <c r="A9" s="302" t="s">
        <v>519</v>
      </c>
      <c r="B9" s="302"/>
      <c r="C9" s="302"/>
      <c r="D9" s="12">
        <f t="shared" si="0"/>
        <v>320791.80000000005</v>
      </c>
      <c r="E9" s="12">
        <f>'January 2023'!L124</f>
        <v>26732.65</v>
      </c>
      <c r="F9" s="1"/>
    </row>
    <row r="10" spans="1:6" ht="18.75">
      <c r="A10" s="302" t="s">
        <v>520</v>
      </c>
      <c r="B10" s="302"/>
      <c r="C10" s="302"/>
      <c r="D10" s="12" t="e">
        <f t="shared" si="0"/>
        <v>#REF!</v>
      </c>
      <c r="E10" s="12" t="e">
        <f>'January 2023'!#REF!</f>
        <v>#REF!</v>
      </c>
      <c r="F10" s="1"/>
    </row>
    <row r="11" spans="1:6" ht="18.75">
      <c r="A11" s="302" t="s">
        <v>521</v>
      </c>
      <c r="B11" s="302"/>
      <c r="C11" s="302"/>
      <c r="D11" s="12">
        <f t="shared" si="0"/>
        <v>180000</v>
      </c>
      <c r="E11" s="12">
        <f>'January 2023'!P124</f>
        <v>15000</v>
      </c>
      <c r="F11" s="1"/>
    </row>
    <row r="12" spans="1:6" ht="18.75">
      <c r="A12" s="277" t="s">
        <v>16</v>
      </c>
      <c r="B12" s="277"/>
      <c r="C12" s="277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471</v>
      </c>
      <c r="G1" s="2" t="s">
        <v>535</v>
      </c>
      <c r="H1" s="2"/>
      <c r="I1" s="2"/>
      <c r="J1" s="2"/>
      <c r="K1" s="2"/>
      <c r="L1" s="2"/>
      <c r="M1" s="2" t="s">
        <v>536</v>
      </c>
      <c r="N1" s="2" t="s">
        <v>472</v>
      </c>
      <c r="O1" s="2" t="s">
        <v>473</v>
      </c>
      <c r="P1" s="2" t="s">
        <v>475</v>
      </c>
      <c r="Q1" s="2" t="s">
        <v>476</v>
      </c>
      <c r="R1" s="2" t="s">
        <v>477</v>
      </c>
      <c r="S1" s="2" t="s">
        <v>537</v>
      </c>
      <c r="T1" s="7"/>
      <c r="U1" s="6" t="s">
        <v>538</v>
      </c>
      <c r="V1" s="5" t="s">
        <v>539</v>
      </c>
    </row>
    <row r="2" spans="1:22" ht="18.75">
      <c r="F2" s="2" t="s">
        <v>480</v>
      </c>
      <c r="G2" s="2" t="s">
        <v>540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541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480</v>
      </c>
      <c r="T2" s="2" t="s">
        <v>21</v>
      </c>
      <c r="U2" s="6"/>
      <c r="V2" s="5"/>
    </row>
    <row r="3" spans="1:22" ht="18.75">
      <c r="A3" s="315" t="s">
        <v>542</v>
      </c>
      <c r="B3" s="316"/>
      <c r="C3" s="317"/>
      <c r="D3" s="14"/>
      <c r="E3" s="14" t="s">
        <v>543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315" t="s">
        <v>544</v>
      </c>
      <c r="B4" s="316"/>
      <c r="C4" s="317"/>
      <c r="D4" s="14"/>
      <c r="E4" s="14" t="s">
        <v>545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318" t="s">
        <v>119</v>
      </c>
      <c r="B5" s="319"/>
      <c r="C5" s="320"/>
      <c r="D5" s="16"/>
      <c r="E5" s="19" t="s">
        <v>446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315" t="s">
        <v>125</v>
      </c>
      <c r="B6" s="316"/>
      <c r="C6" s="317"/>
      <c r="D6" s="14"/>
      <c r="E6" s="14" t="s">
        <v>546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315" t="s">
        <v>547</v>
      </c>
      <c r="B7" s="316"/>
      <c r="C7" s="317"/>
      <c r="D7" s="14"/>
      <c r="E7" s="14" t="s">
        <v>548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315" t="s">
        <v>128</v>
      </c>
      <c r="B8" s="316"/>
      <c r="C8" s="317"/>
      <c r="D8" s="14"/>
      <c r="E8" s="14" t="s">
        <v>549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315" t="s">
        <v>550</v>
      </c>
      <c r="B9" s="316"/>
      <c r="C9" s="317"/>
      <c r="D9" s="14"/>
      <c r="E9" s="14" t="s">
        <v>551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315"/>
      <c r="B10" s="316"/>
      <c r="C10" s="317"/>
      <c r="D10" s="14"/>
      <c r="E10" s="14" t="s">
        <v>552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14" t="s">
        <v>553</v>
      </c>
      <c r="B1" s="314"/>
      <c r="C1" s="314"/>
      <c r="D1" s="314"/>
      <c r="E1" s="314"/>
      <c r="F1" s="314"/>
    </row>
    <row r="2" spans="1:6" ht="18.75">
      <c r="A2" s="312" t="s">
        <v>554</v>
      </c>
      <c r="B2" s="312"/>
      <c r="C2" s="312"/>
      <c r="D2" s="312"/>
      <c r="E2" s="312"/>
      <c r="F2" s="312"/>
    </row>
    <row r="3" spans="1:6" ht="18.75">
      <c r="A3" s="302"/>
      <c r="B3" s="302"/>
      <c r="C3" s="302"/>
      <c r="D3" s="3" t="s">
        <v>510</v>
      </c>
      <c r="E3" s="3" t="s">
        <v>511</v>
      </c>
      <c r="F3" s="11"/>
    </row>
    <row r="4" spans="1:6" ht="18.75">
      <c r="A4" s="302" t="s">
        <v>512</v>
      </c>
      <c r="B4" s="302"/>
      <c r="C4" s="302"/>
      <c r="D4" s="12">
        <f>E4*12</f>
        <v>299709.72000000003</v>
      </c>
      <c r="E4" s="12">
        <f>SUMMARY!F5</f>
        <v>24975.81</v>
      </c>
      <c r="F4" s="1"/>
    </row>
    <row r="5" spans="1:6" ht="18.75">
      <c r="A5" s="302" t="s">
        <v>513</v>
      </c>
      <c r="B5" s="302"/>
      <c r="C5" s="302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302" t="s">
        <v>514</v>
      </c>
      <c r="B6" s="302"/>
      <c r="C6" s="302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302" t="s">
        <v>515</v>
      </c>
      <c r="B7" s="302"/>
      <c r="C7" s="302"/>
      <c r="D7" s="12">
        <f t="shared" si="0"/>
        <v>0</v>
      </c>
      <c r="E7" s="12">
        <f>SUMMARY!J6</f>
        <v>0</v>
      </c>
      <c r="F7" s="1"/>
    </row>
    <row r="8" spans="1:6" ht="18.75">
      <c r="A8" s="302" t="s">
        <v>516</v>
      </c>
      <c r="B8" s="302"/>
      <c r="C8" s="302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302" t="s">
        <v>517</v>
      </c>
      <c r="B9" s="302"/>
      <c r="C9" s="302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302" t="s">
        <v>519</v>
      </c>
      <c r="B10" s="302"/>
      <c r="C10" s="302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80" t="s">
        <v>518</v>
      </c>
      <c r="B11" s="313"/>
      <c r="C11" s="281"/>
      <c r="D11" s="12">
        <f t="shared" si="0"/>
        <v>0</v>
      </c>
      <c r="E11" s="12">
        <v>0</v>
      </c>
      <c r="F11" s="1"/>
    </row>
    <row r="12" spans="1:6" ht="18.75">
      <c r="A12" s="302" t="s">
        <v>520</v>
      </c>
      <c r="B12" s="302"/>
      <c r="C12" s="302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302" t="s">
        <v>521</v>
      </c>
      <c r="B13" s="302"/>
      <c r="C13" s="302"/>
      <c r="D13" s="12">
        <f t="shared" si="0"/>
        <v>240000</v>
      </c>
      <c r="E13" s="12">
        <f>SUMMARY!Q5</f>
        <v>20000</v>
      </c>
      <c r="F13" s="1"/>
    </row>
    <row r="14" spans="1:6" ht="18.75">
      <c r="A14" s="277" t="s">
        <v>16</v>
      </c>
      <c r="B14" s="277"/>
      <c r="C14" s="277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12" t="s">
        <v>555</v>
      </c>
      <c r="B1" s="312"/>
      <c r="C1" s="312"/>
    </row>
    <row r="2" spans="1:3" ht="18.75">
      <c r="A2" s="312" t="s">
        <v>526</v>
      </c>
      <c r="B2" s="312"/>
      <c r="C2" s="312"/>
    </row>
    <row r="3" spans="1:3" ht="18.75">
      <c r="A3" s="21"/>
      <c r="B3" s="21" t="s">
        <v>510</v>
      </c>
      <c r="C3" s="21" t="s">
        <v>511</v>
      </c>
    </row>
    <row r="4" spans="1:3" ht="18.75">
      <c r="A4" s="32" t="s">
        <v>512</v>
      </c>
      <c r="B4" s="26">
        <f>C4*12</f>
        <v>475947</v>
      </c>
      <c r="C4" s="26">
        <v>39662.25</v>
      </c>
    </row>
    <row r="5" spans="1:3" ht="18.75">
      <c r="A5" s="32" t="s">
        <v>513</v>
      </c>
      <c r="B5" s="26">
        <f t="shared" ref="B5:B13" si="0">C5*12</f>
        <v>1427841</v>
      </c>
      <c r="C5" s="26">
        <v>118986.75</v>
      </c>
    </row>
    <row r="6" spans="1:3" ht="18.75">
      <c r="A6" s="32" t="s">
        <v>514</v>
      </c>
      <c r="B6" s="26">
        <f t="shared" si="0"/>
        <v>35696.04</v>
      </c>
      <c r="C6" s="26">
        <v>2974.67</v>
      </c>
    </row>
    <row r="7" spans="1:3" ht="18.75">
      <c r="A7" s="32" t="s">
        <v>515</v>
      </c>
      <c r="B7" s="26" t="e">
        <f t="shared" si="0"/>
        <v>#REF!</v>
      </c>
      <c r="C7" s="26" t="e">
        <f>'January 2023'!#REF!</f>
        <v>#REF!</v>
      </c>
    </row>
    <row r="8" spans="1:3" ht="18.75">
      <c r="A8" s="32" t="s">
        <v>516</v>
      </c>
      <c r="B8" s="26">
        <f t="shared" si="0"/>
        <v>237973.56</v>
      </c>
      <c r="C8" s="26">
        <v>19831.13</v>
      </c>
    </row>
    <row r="9" spans="1:3" ht="18.75">
      <c r="A9" s="32" t="s">
        <v>517</v>
      </c>
      <c r="B9" s="26">
        <f t="shared" si="0"/>
        <v>1665814.56</v>
      </c>
      <c r="C9" s="26">
        <v>138817.88</v>
      </c>
    </row>
    <row r="10" spans="1:3" ht="18.75">
      <c r="A10" s="32" t="s">
        <v>519</v>
      </c>
      <c r="B10" s="26">
        <f t="shared" si="0"/>
        <v>475947</v>
      </c>
      <c r="C10" s="26">
        <v>39662.25</v>
      </c>
    </row>
    <row r="11" spans="1:3" ht="18.75">
      <c r="A11" s="32" t="s">
        <v>518</v>
      </c>
      <c r="B11" s="26">
        <f t="shared" si="0"/>
        <v>0</v>
      </c>
      <c r="C11" s="26">
        <v>0</v>
      </c>
    </row>
    <row r="12" spans="1:3" ht="18.75">
      <c r="A12" s="32" t="s">
        <v>520</v>
      </c>
      <c r="B12" s="26">
        <f t="shared" si="0"/>
        <v>47594.76</v>
      </c>
      <c r="C12" s="26">
        <v>3966.23</v>
      </c>
    </row>
    <row r="13" spans="1:3" ht="18.75">
      <c r="A13" s="32" t="s">
        <v>521</v>
      </c>
      <c r="B13" s="26" t="e">
        <f t="shared" si="0"/>
        <v>#REF!</v>
      </c>
      <c r="C13" s="26" t="e">
        <f>'January 2023'!#REF!</f>
        <v>#REF!</v>
      </c>
    </row>
    <row r="14" spans="1:3" ht="18.75">
      <c r="A14" s="21" t="s">
        <v>16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D60"/>
  <sheetViews>
    <sheetView topLeftCell="A12"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5</v>
      </c>
      <c r="C2" s="76"/>
      <c r="D2" s="76"/>
    </row>
    <row r="3" spans="1:4" ht="15">
      <c r="A3" s="76" t="s">
        <v>26</v>
      </c>
      <c r="B3" s="76" t="s">
        <v>4</v>
      </c>
      <c r="C3" s="76" t="s">
        <v>556</v>
      </c>
      <c r="D3" s="77" t="s">
        <v>25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7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7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7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2024-01-18T15:03:52Z</dcterms:modified>
  <cp:category/>
  <cp:contentStatus/>
</cp:coreProperties>
</file>