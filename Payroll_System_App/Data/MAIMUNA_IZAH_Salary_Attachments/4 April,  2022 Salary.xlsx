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7\Desktop\NILDS ACCOUNTS\ACC FOLDER\NILDS PAYSLIP DATA FILE\Salary 2022\"/>
    </mc:Choice>
  </mc:AlternateContent>
  <xr:revisionPtr revIDLastSave="0" documentId="13_ncr:1_{13BE42FF-DDD8-4268-846B-1C7F02544F88}" xr6:coauthVersionLast="47" xr6:coauthVersionMax="47" xr10:uidLastSave="{00000000-0000-0000-0000-000000000000}"/>
  <bookViews>
    <workbookView xWindow="3420" yWindow="405" windowWidth="14070" windowHeight="15120" tabRatio="599" xr2:uid="{00000000-000D-0000-FFFF-FFFF00000000}"/>
  </bookViews>
  <sheets>
    <sheet name="April, 2022" sheetId="1" r:id="rId1"/>
    <sheet name="List" sheetId="84" r:id="rId2"/>
    <sheet name="MEMO 1" sheetId="68" r:id="rId3"/>
    <sheet name="Annual Increement" sheetId="78" r:id="rId4"/>
    <sheet name="Enhanced Welfare 2022" sheetId="81" r:id="rId5"/>
    <sheet name="13 month" sheetId="77" r:id="rId6"/>
    <sheet name="Salah Welfare" sheetId="82" r:id="rId7"/>
    <sheet name="Sheet3" sheetId="69" r:id="rId8"/>
    <sheet name="Promotion" sheetId="74" r:id="rId9"/>
    <sheet name="Library" sheetId="75" r:id="rId10"/>
    <sheet name="New staff (3)" sheetId="83" r:id="rId11"/>
    <sheet name="Welfare 2" sheetId="66" r:id="rId12"/>
    <sheet name="ADjustment" sheetId="65" r:id="rId13"/>
    <sheet name="Hardship 2" sheetId="64" r:id="rId14"/>
    <sheet name="ADDITIONAL STAFF" sheetId="63" r:id="rId15"/>
    <sheet name="ANNUAL INCREMENT" sheetId="57" r:id="rId16"/>
    <sheet name="ARREARS" sheetId="58" r:id="rId17"/>
    <sheet name="Housing 2021 4 to 10" sheetId="62" r:id="rId18"/>
    <sheet name="Housing 2021" sheetId="60" r:id="rId19"/>
    <sheet name="HARDSHIP" sheetId="55" r:id="rId20"/>
    <sheet name="Welfare" sheetId="56" r:id="rId21"/>
    <sheet name="Sheet2" sheetId="53" r:id="rId22"/>
    <sheet name="17.9" sheetId="4" r:id="rId23"/>
    <sheet name="16.7" sheetId="5" r:id="rId24"/>
    <sheet name="15.7.1" sheetId="6" r:id="rId25"/>
    <sheet name="13.7" sheetId="7" r:id="rId26"/>
    <sheet name="12.7" sheetId="8" r:id="rId27"/>
    <sheet name="10.7" sheetId="9" r:id="rId28"/>
    <sheet name="9.7" sheetId="10" r:id="rId29"/>
    <sheet name="8.7" sheetId="11" r:id="rId30"/>
    <sheet name="SUMMARY" sheetId="12" r:id="rId31"/>
    <sheet name="14.7" sheetId="13" r:id="rId32"/>
    <sheet name="15.7" sheetId="23" r:id="rId33"/>
    <sheet name="Basic Salary" sheetId="61" r:id="rId34"/>
    <sheet name="Noninal roll" sheetId="16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Print_Area" localSheetId="5">'13 month'!$A$1:$AA$23</definedName>
    <definedName name="_xlnm.Print_Area" localSheetId="14">'ADDITIONAL STAFF'!$A$1:$S$41</definedName>
    <definedName name="_xlnm.Print_Area" localSheetId="12">ADjustment!$A$1:$AA$182</definedName>
    <definedName name="_xlnm.Print_Area" localSheetId="3">'Annual Increement'!$A$1:$AB$191</definedName>
    <definedName name="_xlnm.Print_Area" localSheetId="15">'ANNUAL INCREMENT'!$A$1:$AA$162</definedName>
    <definedName name="_xlnm.Print_Area" localSheetId="0">'April, 2022'!$A$1:$Z$195</definedName>
    <definedName name="_xlnm.Print_Area" localSheetId="16">ARREARS!$A$1:$AC$65</definedName>
    <definedName name="_xlnm.Print_Area" localSheetId="4">'Enhanced Welfare 2022'!$A$1:$J$189</definedName>
    <definedName name="_xlnm.Print_Area" localSheetId="13">'Hardship 2'!$A$1:$Y$183</definedName>
    <definedName name="_xlnm.Print_Area" localSheetId="18">'Housing 2021'!$A$1:$Y$162</definedName>
    <definedName name="_xlnm.Print_Area" localSheetId="17">'Housing 2021 4 to 10'!$A$1:$Z$158</definedName>
    <definedName name="_xlnm.Print_Area" localSheetId="9">Library!$A$1:$AB$10</definedName>
    <definedName name="_xlnm.Print_Area" localSheetId="1">List!$A$1:$Z$195</definedName>
    <definedName name="_xlnm.Print_Area" localSheetId="2">'MEMO 1'!$A$2:$H$56</definedName>
    <definedName name="_xlnm.Print_Area" localSheetId="10">'New staff (3)'!$A$1:$AD$55</definedName>
    <definedName name="_xlnm.Print_Area" localSheetId="8">Promotion!$A$1:$AI$63</definedName>
    <definedName name="_xlnm.Print_Area" localSheetId="6">'Salah Welfare'!$A$1:$E$186</definedName>
    <definedName name="_xlnm.Print_Area" localSheetId="11">'Welfare 2'!$A$1:$Y$183</definedName>
    <definedName name="_xlnm.Print_Titles" localSheetId="8">Promotion!$7:$7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2" i="84" l="1"/>
  <c r="Y191" i="84"/>
  <c r="P191" i="84"/>
  <c r="U190" i="84"/>
  <c r="T190" i="84"/>
  <c r="Q190" i="84"/>
  <c r="O190" i="84"/>
  <c r="N190" i="84"/>
  <c r="L190" i="84"/>
  <c r="K190" i="84"/>
  <c r="J190" i="84"/>
  <c r="H190" i="84"/>
  <c r="G190" i="84"/>
  <c r="T189" i="84"/>
  <c r="X189" i="84" s="1"/>
  <c r="Q189" i="84"/>
  <c r="O189" i="84"/>
  <c r="N189" i="84"/>
  <c r="L189" i="84"/>
  <c r="K189" i="84"/>
  <c r="J189" i="84"/>
  <c r="R189" i="84" s="1"/>
  <c r="Z189" i="84" s="1"/>
  <c r="H189" i="84"/>
  <c r="G189" i="84"/>
  <c r="U188" i="84"/>
  <c r="T188" i="84"/>
  <c r="Q188" i="84"/>
  <c r="O188" i="84"/>
  <c r="N188" i="84"/>
  <c r="L188" i="84"/>
  <c r="K188" i="84"/>
  <c r="J188" i="84"/>
  <c r="H188" i="84"/>
  <c r="G188" i="84"/>
  <c r="R188" i="84" s="1"/>
  <c r="U187" i="84"/>
  <c r="X187" i="84" s="1"/>
  <c r="T187" i="84"/>
  <c r="Q187" i="84"/>
  <c r="O187" i="84"/>
  <c r="N187" i="84"/>
  <c r="L187" i="84"/>
  <c r="K187" i="84"/>
  <c r="J187" i="84"/>
  <c r="H187" i="84"/>
  <c r="G187" i="84"/>
  <c r="U186" i="84"/>
  <c r="X186" i="84" s="1"/>
  <c r="T186" i="84"/>
  <c r="Q186" i="84"/>
  <c r="O186" i="84"/>
  <c r="N186" i="84"/>
  <c r="L186" i="84"/>
  <c r="K186" i="84"/>
  <c r="J186" i="84"/>
  <c r="H186" i="84"/>
  <c r="G186" i="84"/>
  <c r="U185" i="84"/>
  <c r="T185" i="84"/>
  <c r="Q185" i="84"/>
  <c r="O185" i="84"/>
  <c r="N185" i="84"/>
  <c r="L185" i="84"/>
  <c r="K185" i="84"/>
  <c r="J185" i="84"/>
  <c r="H185" i="84"/>
  <c r="G185" i="84"/>
  <c r="R185" i="84" s="1"/>
  <c r="U184" i="84"/>
  <c r="T184" i="84"/>
  <c r="Q184" i="84"/>
  <c r="O184" i="84"/>
  <c r="N184" i="84"/>
  <c r="L184" i="84"/>
  <c r="K184" i="84"/>
  <c r="J184" i="84"/>
  <c r="H184" i="84"/>
  <c r="G184" i="84"/>
  <c r="U183" i="84"/>
  <c r="T183" i="84"/>
  <c r="X183" i="84" s="1"/>
  <c r="Q183" i="84"/>
  <c r="O183" i="84"/>
  <c r="N183" i="84"/>
  <c r="L183" i="84"/>
  <c r="K183" i="84"/>
  <c r="J183" i="84"/>
  <c r="H183" i="84"/>
  <c r="G183" i="84"/>
  <c r="U182" i="84"/>
  <c r="X182" i="84" s="1"/>
  <c r="T182" i="84"/>
  <c r="Q182" i="84"/>
  <c r="O182" i="84"/>
  <c r="N182" i="84"/>
  <c r="L182" i="84"/>
  <c r="K182" i="84"/>
  <c r="J182" i="84"/>
  <c r="H182" i="84"/>
  <c r="G182" i="84"/>
  <c r="U181" i="84"/>
  <c r="T181" i="84"/>
  <c r="Q181" i="84"/>
  <c r="O181" i="84"/>
  <c r="N181" i="84"/>
  <c r="L181" i="84"/>
  <c r="K181" i="84"/>
  <c r="J181" i="84"/>
  <c r="H181" i="84"/>
  <c r="G181" i="84"/>
  <c r="U180" i="84"/>
  <c r="T180" i="84"/>
  <c r="X180" i="84" s="1"/>
  <c r="Q180" i="84"/>
  <c r="O180" i="84"/>
  <c r="N180" i="84"/>
  <c r="L180" i="84"/>
  <c r="K180" i="84"/>
  <c r="J180" i="84"/>
  <c r="H180" i="84"/>
  <c r="G180" i="84"/>
  <c r="U179" i="84"/>
  <c r="T179" i="84"/>
  <c r="X179" i="84" s="1"/>
  <c r="Q179" i="84"/>
  <c r="O179" i="84"/>
  <c r="N179" i="84"/>
  <c r="L179" i="84"/>
  <c r="K179" i="84"/>
  <c r="J179" i="84"/>
  <c r="H179" i="84"/>
  <c r="G179" i="84"/>
  <c r="W178" i="84"/>
  <c r="U178" i="84"/>
  <c r="T178" i="84"/>
  <c r="Q178" i="84"/>
  <c r="O178" i="84"/>
  <c r="N178" i="84"/>
  <c r="L178" i="84"/>
  <c r="K178" i="84"/>
  <c r="J178" i="84"/>
  <c r="H178" i="84"/>
  <c r="G178" i="84"/>
  <c r="U177" i="84"/>
  <c r="T177" i="84"/>
  <c r="Q177" i="84"/>
  <c r="O177" i="84"/>
  <c r="N177" i="84"/>
  <c r="L177" i="84"/>
  <c r="K177" i="84"/>
  <c r="J177" i="84"/>
  <c r="H177" i="84"/>
  <c r="G177" i="84"/>
  <c r="U176" i="84"/>
  <c r="X176" i="84" s="1"/>
  <c r="T176" i="84"/>
  <c r="Q176" i="84"/>
  <c r="O176" i="84"/>
  <c r="N176" i="84"/>
  <c r="L176" i="84"/>
  <c r="K176" i="84"/>
  <c r="J176" i="84"/>
  <c r="H176" i="84"/>
  <c r="R176" i="84" s="1"/>
  <c r="G176" i="84"/>
  <c r="U175" i="84"/>
  <c r="T175" i="84"/>
  <c r="Q175" i="84"/>
  <c r="O175" i="84"/>
  <c r="N175" i="84"/>
  <c r="L175" i="84"/>
  <c r="K175" i="84"/>
  <c r="J175" i="84"/>
  <c r="H175" i="84"/>
  <c r="G175" i="84"/>
  <c r="R175" i="84" s="1"/>
  <c r="U174" i="84"/>
  <c r="T174" i="84"/>
  <c r="X174" i="84" s="1"/>
  <c r="Q174" i="84"/>
  <c r="O174" i="84"/>
  <c r="N174" i="84"/>
  <c r="L174" i="84"/>
  <c r="K174" i="84"/>
  <c r="J174" i="84"/>
  <c r="H174" i="84"/>
  <c r="G174" i="84"/>
  <c r="U173" i="84"/>
  <c r="X173" i="84" s="1"/>
  <c r="T173" i="84"/>
  <c r="Q173" i="84"/>
  <c r="O173" i="84"/>
  <c r="N173" i="84"/>
  <c r="L173" i="84"/>
  <c r="K173" i="84"/>
  <c r="J173" i="84"/>
  <c r="H173" i="84"/>
  <c r="R173" i="84" s="1"/>
  <c r="G173" i="84"/>
  <c r="U172" i="84"/>
  <c r="T172" i="84"/>
  <c r="X172" i="84" s="1"/>
  <c r="Q172" i="84"/>
  <c r="O172" i="84"/>
  <c r="N172" i="84"/>
  <c r="L172" i="84"/>
  <c r="K172" i="84"/>
  <c r="J172" i="84"/>
  <c r="H172" i="84"/>
  <c r="G172" i="84"/>
  <c r="U171" i="84"/>
  <c r="T171" i="84"/>
  <c r="Q171" i="84"/>
  <c r="O171" i="84"/>
  <c r="N171" i="84"/>
  <c r="L171" i="84"/>
  <c r="K171" i="84"/>
  <c r="J171" i="84"/>
  <c r="H171" i="84"/>
  <c r="G171" i="84"/>
  <c r="U170" i="84"/>
  <c r="T170" i="84"/>
  <c r="Q170" i="84"/>
  <c r="O170" i="84"/>
  <c r="N170" i="84"/>
  <c r="L170" i="84"/>
  <c r="K170" i="84"/>
  <c r="J170" i="84"/>
  <c r="H170" i="84"/>
  <c r="G170" i="84"/>
  <c r="X169" i="84"/>
  <c r="U169" i="84"/>
  <c r="T169" i="84"/>
  <c r="Q169" i="84"/>
  <c r="O169" i="84"/>
  <c r="N169" i="84"/>
  <c r="L169" i="84"/>
  <c r="K169" i="84"/>
  <c r="J169" i="84"/>
  <c r="H169" i="84"/>
  <c r="G169" i="84"/>
  <c r="U168" i="84"/>
  <c r="T168" i="84"/>
  <c r="Q168" i="84"/>
  <c r="O168" i="84"/>
  <c r="N168" i="84"/>
  <c r="L168" i="84"/>
  <c r="K168" i="84"/>
  <c r="J168" i="84"/>
  <c r="H168" i="84"/>
  <c r="G168" i="84"/>
  <c r="V167" i="84"/>
  <c r="U167" i="84"/>
  <c r="T167" i="84"/>
  <c r="Q167" i="84"/>
  <c r="O167" i="84"/>
  <c r="N167" i="84"/>
  <c r="L167" i="84"/>
  <c r="K167" i="84"/>
  <c r="J167" i="84"/>
  <c r="H167" i="84"/>
  <c r="G167" i="84"/>
  <c r="U166" i="84"/>
  <c r="X166" i="84" s="1"/>
  <c r="Q166" i="84"/>
  <c r="O166" i="84"/>
  <c r="N166" i="84"/>
  <c r="L166" i="84"/>
  <c r="K166" i="84"/>
  <c r="J166" i="84"/>
  <c r="H166" i="84"/>
  <c r="G166" i="84"/>
  <c r="U165" i="84"/>
  <c r="T165" i="84"/>
  <c r="Q165" i="84"/>
  <c r="O165" i="84"/>
  <c r="N165" i="84"/>
  <c r="L165" i="84"/>
  <c r="K165" i="84"/>
  <c r="J165" i="84"/>
  <c r="H165" i="84"/>
  <c r="G165" i="84"/>
  <c r="U164" i="84"/>
  <c r="X164" i="84" s="1"/>
  <c r="T164" i="84"/>
  <c r="Q164" i="84"/>
  <c r="O164" i="84"/>
  <c r="N164" i="84"/>
  <c r="L164" i="84"/>
  <c r="K164" i="84"/>
  <c r="J164" i="84"/>
  <c r="H164" i="84"/>
  <c r="G164" i="84"/>
  <c r="U163" i="84"/>
  <c r="X163" i="84" s="1"/>
  <c r="T163" i="84"/>
  <c r="Q163" i="84"/>
  <c r="O163" i="84"/>
  <c r="N163" i="84"/>
  <c r="L163" i="84"/>
  <c r="K163" i="84"/>
  <c r="J163" i="84"/>
  <c r="H163" i="84"/>
  <c r="G163" i="84"/>
  <c r="V162" i="84"/>
  <c r="U162" i="84"/>
  <c r="T162" i="84"/>
  <c r="Q162" i="84"/>
  <c r="O162" i="84"/>
  <c r="N162" i="84"/>
  <c r="L162" i="84"/>
  <c r="K162" i="84"/>
  <c r="J162" i="84"/>
  <c r="H162" i="84"/>
  <c r="G162" i="84"/>
  <c r="X161" i="84"/>
  <c r="V161" i="84"/>
  <c r="O161" i="84"/>
  <c r="N161" i="84"/>
  <c r="L161" i="84"/>
  <c r="K161" i="84"/>
  <c r="J161" i="84"/>
  <c r="H161" i="84"/>
  <c r="G161" i="84"/>
  <c r="V160" i="84"/>
  <c r="X160" i="84" s="1"/>
  <c r="T160" i="84"/>
  <c r="O160" i="84"/>
  <c r="N160" i="84"/>
  <c r="L160" i="84"/>
  <c r="K160" i="84"/>
  <c r="J160" i="84"/>
  <c r="H160" i="84"/>
  <c r="G160" i="84"/>
  <c r="V159" i="84"/>
  <c r="X159" i="84" s="1"/>
  <c r="T159" i="84"/>
  <c r="O159" i="84"/>
  <c r="N159" i="84"/>
  <c r="L159" i="84"/>
  <c r="K159" i="84"/>
  <c r="J159" i="84"/>
  <c r="H159" i="84"/>
  <c r="G159" i="84"/>
  <c r="V158" i="84"/>
  <c r="U158" i="84"/>
  <c r="T158" i="84"/>
  <c r="O158" i="84"/>
  <c r="N158" i="84"/>
  <c r="L158" i="84"/>
  <c r="K158" i="84"/>
  <c r="J158" i="84"/>
  <c r="H158" i="84"/>
  <c r="G158" i="84"/>
  <c r="W157" i="84"/>
  <c r="U157" i="84"/>
  <c r="T157" i="84"/>
  <c r="O157" i="84"/>
  <c r="N157" i="84"/>
  <c r="L157" i="84"/>
  <c r="K157" i="84"/>
  <c r="J157" i="84"/>
  <c r="H157" i="84"/>
  <c r="G157" i="84"/>
  <c r="X156" i="84"/>
  <c r="O156" i="84"/>
  <c r="N156" i="84"/>
  <c r="L156" i="84"/>
  <c r="K156" i="84"/>
  <c r="J156" i="84"/>
  <c r="H156" i="84"/>
  <c r="G156" i="84"/>
  <c r="V155" i="84"/>
  <c r="X155" i="84" s="1"/>
  <c r="U155" i="84"/>
  <c r="T155" i="84"/>
  <c r="O155" i="84"/>
  <c r="N155" i="84"/>
  <c r="L155" i="84"/>
  <c r="K155" i="84"/>
  <c r="J155" i="84"/>
  <c r="H155" i="84"/>
  <c r="G155" i="84"/>
  <c r="U154" i="84"/>
  <c r="X154" i="84" s="1"/>
  <c r="T154" i="84"/>
  <c r="O154" i="84"/>
  <c r="N154" i="84"/>
  <c r="L154" i="84"/>
  <c r="K154" i="84"/>
  <c r="J154" i="84"/>
  <c r="H154" i="84"/>
  <c r="G154" i="84"/>
  <c r="X153" i="84"/>
  <c r="O153" i="84"/>
  <c r="N153" i="84"/>
  <c r="L153" i="84"/>
  <c r="K153" i="84"/>
  <c r="J153" i="84"/>
  <c r="H153" i="84"/>
  <c r="G153" i="84"/>
  <c r="W152" i="84"/>
  <c r="X152" i="84" s="1"/>
  <c r="N152" i="84"/>
  <c r="E152" i="84"/>
  <c r="X151" i="84"/>
  <c r="O151" i="84"/>
  <c r="N151" i="84"/>
  <c r="L151" i="84"/>
  <c r="K151" i="84"/>
  <c r="J151" i="84"/>
  <c r="H151" i="84"/>
  <c r="G151" i="84"/>
  <c r="V150" i="84"/>
  <c r="U150" i="84"/>
  <c r="T150" i="84"/>
  <c r="O150" i="84"/>
  <c r="N150" i="84"/>
  <c r="L150" i="84"/>
  <c r="K150" i="84"/>
  <c r="J150" i="84"/>
  <c r="H150" i="84"/>
  <c r="G150" i="84"/>
  <c r="U149" i="84"/>
  <c r="T149" i="84"/>
  <c r="X149" i="84" s="1"/>
  <c r="O149" i="84"/>
  <c r="N149" i="84"/>
  <c r="L149" i="84"/>
  <c r="K149" i="84"/>
  <c r="J149" i="84"/>
  <c r="H149" i="84"/>
  <c r="G149" i="84"/>
  <c r="X148" i="84"/>
  <c r="V148" i="84"/>
  <c r="U148" i="84"/>
  <c r="O148" i="84"/>
  <c r="N148" i="84"/>
  <c r="L148" i="84"/>
  <c r="K148" i="84"/>
  <c r="J148" i="84"/>
  <c r="H148" i="84"/>
  <c r="G148" i="84"/>
  <c r="W147" i="84"/>
  <c r="V147" i="84"/>
  <c r="U147" i="84"/>
  <c r="T147" i="84"/>
  <c r="O147" i="84"/>
  <c r="N147" i="84"/>
  <c r="L147" i="84"/>
  <c r="K147" i="84"/>
  <c r="J147" i="84"/>
  <c r="H147" i="84"/>
  <c r="G147" i="84"/>
  <c r="R147" i="84" s="1"/>
  <c r="U146" i="84"/>
  <c r="T146" i="84"/>
  <c r="X146" i="84" s="1"/>
  <c r="O146" i="84"/>
  <c r="N146" i="84"/>
  <c r="L146" i="84"/>
  <c r="K146" i="84"/>
  <c r="J146" i="84"/>
  <c r="H146" i="84"/>
  <c r="G146" i="84"/>
  <c r="U145" i="84"/>
  <c r="X145" i="84" s="1"/>
  <c r="T145" i="84"/>
  <c r="O145" i="84"/>
  <c r="N145" i="84"/>
  <c r="L145" i="84"/>
  <c r="K145" i="84"/>
  <c r="J145" i="84"/>
  <c r="H145" i="84"/>
  <c r="G145" i="84"/>
  <c r="R145" i="84" s="1"/>
  <c r="Z145" i="84" s="1"/>
  <c r="U144" i="84"/>
  <c r="X144" i="84" s="1"/>
  <c r="O144" i="84"/>
  <c r="N144" i="84"/>
  <c r="L144" i="84"/>
  <c r="K144" i="84"/>
  <c r="J144" i="84"/>
  <c r="H144" i="84"/>
  <c r="G144" i="84"/>
  <c r="W143" i="84"/>
  <c r="V143" i="84"/>
  <c r="U143" i="84"/>
  <c r="O143" i="84"/>
  <c r="N143" i="84"/>
  <c r="L143" i="84"/>
  <c r="K143" i="84"/>
  <c r="J143" i="84"/>
  <c r="H143" i="84"/>
  <c r="G143" i="84"/>
  <c r="X142" i="84"/>
  <c r="W142" i="84"/>
  <c r="U142" i="84"/>
  <c r="T142" i="84"/>
  <c r="O142" i="84"/>
  <c r="L142" i="84"/>
  <c r="K142" i="84"/>
  <c r="J142" i="84"/>
  <c r="H142" i="84"/>
  <c r="G142" i="84"/>
  <c r="V141" i="84"/>
  <c r="X141" i="84" s="1"/>
  <c r="U141" i="84"/>
  <c r="T141" i="84"/>
  <c r="O141" i="84"/>
  <c r="L141" i="84"/>
  <c r="K141" i="84"/>
  <c r="J141" i="84"/>
  <c r="H141" i="84"/>
  <c r="G141" i="84"/>
  <c r="X140" i="84"/>
  <c r="V140" i="84"/>
  <c r="U140" i="84"/>
  <c r="O140" i="84"/>
  <c r="L140" i="84"/>
  <c r="K140" i="84"/>
  <c r="J140" i="84"/>
  <c r="H140" i="84"/>
  <c r="G140" i="84"/>
  <c r="X139" i="84"/>
  <c r="O139" i="84"/>
  <c r="L139" i="84"/>
  <c r="K139" i="84"/>
  <c r="J139" i="84"/>
  <c r="H139" i="84"/>
  <c r="G139" i="84"/>
  <c r="V138" i="84"/>
  <c r="T138" i="84"/>
  <c r="O138" i="84"/>
  <c r="L138" i="84"/>
  <c r="K138" i="84"/>
  <c r="J138" i="84"/>
  <c r="H138" i="84"/>
  <c r="G138" i="84"/>
  <c r="W137" i="84"/>
  <c r="U137" i="84"/>
  <c r="T137" i="84"/>
  <c r="O137" i="84"/>
  <c r="N137" i="84"/>
  <c r="L137" i="84"/>
  <c r="K137" i="84"/>
  <c r="J137" i="84"/>
  <c r="H137" i="84"/>
  <c r="G137" i="84"/>
  <c r="W136" i="84"/>
  <c r="U136" i="84"/>
  <c r="T136" i="84"/>
  <c r="O136" i="84"/>
  <c r="N136" i="84"/>
  <c r="L136" i="84"/>
  <c r="K136" i="84"/>
  <c r="J136" i="84"/>
  <c r="I136" i="84"/>
  <c r="I191" i="84" s="1"/>
  <c r="H136" i="84"/>
  <c r="G136" i="84"/>
  <c r="V135" i="84"/>
  <c r="U135" i="84"/>
  <c r="O135" i="84"/>
  <c r="N135" i="84"/>
  <c r="L135" i="84"/>
  <c r="K135" i="84"/>
  <c r="J135" i="84"/>
  <c r="H135" i="84"/>
  <c r="G135" i="84"/>
  <c r="P132" i="84"/>
  <c r="O132" i="84"/>
  <c r="W131" i="84"/>
  <c r="T131" i="84"/>
  <c r="O131" i="84"/>
  <c r="N131" i="84"/>
  <c r="L131" i="84"/>
  <c r="K131" i="84"/>
  <c r="J131" i="84"/>
  <c r="H131" i="84"/>
  <c r="G131" i="84"/>
  <c r="W130" i="84"/>
  <c r="V130" i="84"/>
  <c r="U130" i="84"/>
  <c r="T130" i="84"/>
  <c r="O130" i="84"/>
  <c r="N130" i="84"/>
  <c r="L130" i="84"/>
  <c r="K130" i="84"/>
  <c r="J130" i="84"/>
  <c r="H130" i="84"/>
  <c r="G130" i="84"/>
  <c r="W129" i="84"/>
  <c r="V129" i="84"/>
  <c r="U129" i="84"/>
  <c r="T129" i="84"/>
  <c r="Q129" i="84"/>
  <c r="O129" i="84"/>
  <c r="N129" i="84"/>
  <c r="L129" i="84"/>
  <c r="K129" i="84"/>
  <c r="J129" i="84"/>
  <c r="H129" i="84"/>
  <c r="G129" i="84"/>
  <c r="W128" i="84"/>
  <c r="U128" i="84"/>
  <c r="T128" i="84"/>
  <c r="O128" i="84"/>
  <c r="N128" i="84"/>
  <c r="L128" i="84"/>
  <c r="K128" i="84"/>
  <c r="J128" i="84"/>
  <c r="H128" i="84"/>
  <c r="G128" i="84"/>
  <c r="W127" i="84"/>
  <c r="X127" i="84" s="1"/>
  <c r="T127" i="84"/>
  <c r="O127" i="84"/>
  <c r="N127" i="84"/>
  <c r="L127" i="84"/>
  <c r="K127" i="84"/>
  <c r="J127" i="84"/>
  <c r="H127" i="84"/>
  <c r="G127" i="84"/>
  <c r="W126" i="84"/>
  <c r="V126" i="84"/>
  <c r="T126" i="84"/>
  <c r="Q126" i="84"/>
  <c r="O126" i="84"/>
  <c r="N126" i="84"/>
  <c r="L126" i="84"/>
  <c r="K126" i="84"/>
  <c r="J126" i="84"/>
  <c r="I126" i="84"/>
  <c r="H126" i="84"/>
  <c r="G126" i="84"/>
  <c r="V125" i="84"/>
  <c r="X125" i="84" s="1"/>
  <c r="U125" i="84"/>
  <c r="T125" i="84"/>
  <c r="O125" i="84"/>
  <c r="N125" i="84"/>
  <c r="L125" i="84"/>
  <c r="K125" i="84"/>
  <c r="J125" i="84"/>
  <c r="H125" i="84"/>
  <c r="G125" i="84"/>
  <c r="W124" i="84"/>
  <c r="U124" i="84"/>
  <c r="T124" i="84"/>
  <c r="Q124" i="84"/>
  <c r="O124" i="84"/>
  <c r="N124" i="84"/>
  <c r="L124" i="84"/>
  <c r="K124" i="84"/>
  <c r="J124" i="84"/>
  <c r="H124" i="84"/>
  <c r="G124" i="84"/>
  <c r="W123" i="84"/>
  <c r="V123" i="84"/>
  <c r="U123" i="84"/>
  <c r="T123" i="84"/>
  <c r="O123" i="84"/>
  <c r="N123" i="84"/>
  <c r="L123" i="84"/>
  <c r="K123" i="84"/>
  <c r="J123" i="84"/>
  <c r="I123" i="84"/>
  <c r="I132" i="84" s="1"/>
  <c r="H123" i="84"/>
  <c r="G123" i="84"/>
  <c r="P120" i="84"/>
  <c r="I120" i="84"/>
  <c r="T119" i="84"/>
  <c r="X119" i="84" s="1"/>
  <c r="O119" i="84"/>
  <c r="M119" i="84"/>
  <c r="L119" i="84"/>
  <c r="K119" i="84"/>
  <c r="J119" i="84"/>
  <c r="H119" i="84"/>
  <c r="G119" i="84"/>
  <c r="T118" i="84"/>
  <c r="X118" i="84" s="1"/>
  <c r="O118" i="84"/>
  <c r="M118" i="84"/>
  <c r="L118" i="84"/>
  <c r="K118" i="84"/>
  <c r="J118" i="84"/>
  <c r="H118" i="84"/>
  <c r="G118" i="84"/>
  <c r="U117" i="84"/>
  <c r="X117" i="84" s="1"/>
  <c r="T117" i="84"/>
  <c r="O117" i="84"/>
  <c r="M117" i="84"/>
  <c r="L117" i="84"/>
  <c r="K117" i="84"/>
  <c r="J117" i="84"/>
  <c r="H117" i="84"/>
  <c r="G117" i="84"/>
  <c r="U116" i="84"/>
  <c r="X116" i="84" s="1"/>
  <c r="O116" i="84"/>
  <c r="M116" i="84"/>
  <c r="L116" i="84"/>
  <c r="K116" i="84"/>
  <c r="J116" i="84"/>
  <c r="H116" i="84"/>
  <c r="G116" i="84"/>
  <c r="X115" i="84"/>
  <c r="W115" i="84"/>
  <c r="U115" i="84"/>
  <c r="T115" i="84"/>
  <c r="O115" i="84"/>
  <c r="M115" i="84"/>
  <c r="L115" i="84"/>
  <c r="K115" i="84"/>
  <c r="J115" i="84"/>
  <c r="H115" i="84"/>
  <c r="G115" i="84"/>
  <c r="W114" i="84"/>
  <c r="V114" i="84"/>
  <c r="U114" i="84"/>
  <c r="O114" i="84"/>
  <c r="M114" i="84"/>
  <c r="L114" i="84"/>
  <c r="K114" i="84"/>
  <c r="J114" i="84"/>
  <c r="H114" i="84"/>
  <c r="G114" i="84"/>
  <c r="V113" i="84"/>
  <c r="V120" i="84" s="1"/>
  <c r="U113" i="84"/>
  <c r="O113" i="84"/>
  <c r="M113" i="84"/>
  <c r="L113" i="84"/>
  <c r="K113" i="84"/>
  <c r="J113" i="84"/>
  <c r="H113" i="84"/>
  <c r="G113" i="84"/>
  <c r="W112" i="84"/>
  <c r="T112" i="84"/>
  <c r="O112" i="84"/>
  <c r="M112" i="84"/>
  <c r="M120" i="84" s="1"/>
  <c r="L112" i="84"/>
  <c r="K112" i="84"/>
  <c r="J112" i="84"/>
  <c r="H112" i="84"/>
  <c r="G112" i="84"/>
  <c r="Q109" i="84"/>
  <c r="P109" i="84"/>
  <c r="I109" i="84"/>
  <c r="U108" i="84"/>
  <c r="T108" i="84"/>
  <c r="T109" i="84" s="1"/>
  <c r="O108" i="84"/>
  <c r="N108" i="84"/>
  <c r="L108" i="84"/>
  <c r="K108" i="84"/>
  <c r="J108" i="84"/>
  <c r="J109" i="84" s="1"/>
  <c r="H108" i="84"/>
  <c r="G108" i="84"/>
  <c r="W107" i="84"/>
  <c r="O107" i="84"/>
  <c r="O109" i="84" s="1"/>
  <c r="L107" i="84"/>
  <c r="K107" i="84"/>
  <c r="J107" i="84"/>
  <c r="H107" i="84"/>
  <c r="G107" i="84"/>
  <c r="W106" i="84"/>
  <c r="V106" i="84"/>
  <c r="V109" i="84" s="1"/>
  <c r="O106" i="84"/>
  <c r="N106" i="84"/>
  <c r="L106" i="84"/>
  <c r="K106" i="84"/>
  <c r="J106" i="84"/>
  <c r="H106" i="84"/>
  <c r="G106" i="84"/>
  <c r="X105" i="84"/>
  <c r="W105" i="84"/>
  <c r="U105" i="84"/>
  <c r="O105" i="84"/>
  <c r="N105" i="84"/>
  <c r="N109" i="84" s="1"/>
  <c r="L105" i="84"/>
  <c r="K105" i="84"/>
  <c r="J105" i="84"/>
  <c r="H105" i="84"/>
  <c r="R105" i="84" s="1"/>
  <c r="G105" i="84"/>
  <c r="Y102" i="84"/>
  <c r="Q102" i="84"/>
  <c r="P102" i="84"/>
  <c r="W101" i="84"/>
  <c r="X101" i="84" s="1"/>
  <c r="M101" i="84"/>
  <c r="L101" i="84"/>
  <c r="E101" i="84"/>
  <c r="W100" i="84"/>
  <c r="T100" i="84"/>
  <c r="O100" i="84"/>
  <c r="M100" i="84"/>
  <c r="L100" i="84"/>
  <c r="K100" i="84"/>
  <c r="J100" i="84"/>
  <c r="H100" i="84"/>
  <c r="G100" i="84"/>
  <c r="W99" i="84"/>
  <c r="X99" i="84" s="1"/>
  <c r="O99" i="84"/>
  <c r="M99" i="84"/>
  <c r="L99" i="84"/>
  <c r="K99" i="84"/>
  <c r="J99" i="84"/>
  <c r="H99" i="84"/>
  <c r="G99" i="84"/>
  <c r="W98" i="84"/>
  <c r="X98" i="84" s="1"/>
  <c r="T98" i="84"/>
  <c r="O98" i="84"/>
  <c r="M98" i="84"/>
  <c r="L98" i="84"/>
  <c r="K98" i="84"/>
  <c r="J98" i="84"/>
  <c r="H98" i="84"/>
  <c r="G98" i="84"/>
  <c r="W97" i="84"/>
  <c r="X97" i="84" s="1"/>
  <c r="O97" i="84"/>
  <c r="J97" i="84"/>
  <c r="E97" i="84"/>
  <c r="W96" i="84"/>
  <c r="U96" i="84"/>
  <c r="T96" i="84"/>
  <c r="O96" i="84"/>
  <c r="L96" i="84"/>
  <c r="K96" i="84"/>
  <c r="J96" i="84"/>
  <c r="H96" i="84"/>
  <c r="G96" i="84"/>
  <c r="W95" i="84"/>
  <c r="V95" i="84"/>
  <c r="U95" i="84"/>
  <c r="T95" i="84"/>
  <c r="T102" i="84" s="1"/>
  <c r="O95" i="84"/>
  <c r="L95" i="84"/>
  <c r="K95" i="84"/>
  <c r="J95" i="84"/>
  <c r="H95" i="84"/>
  <c r="G95" i="84"/>
  <c r="W94" i="84"/>
  <c r="V94" i="84"/>
  <c r="V102" i="84" s="1"/>
  <c r="U94" i="84"/>
  <c r="U102" i="84" s="1"/>
  <c r="T94" i="84"/>
  <c r="O94" i="84"/>
  <c r="M94" i="84"/>
  <c r="L94" i="84"/>
  <c r="K94" i="84"/>
  <c r="J94" i="84"/>
  <c r="I94" i="84"/>
  <c r="H94" i="84"/>
  <c r="G94" i="84"/>
  <c r="W93" i="84"/>
  <c r="X93" i="84" s="1"/>
  <c r="O93" i="84"/>
  <c r="M93" i="84"/>
  <c r="L93" i="84"/>
  <c r="K93" i="84"/>
  <c r="J93" i="84"/>
  <c r="I93" i="84"/>
  <c r="H93" i="84"/>
  <c r="G93" i="84"/>
  <c r="X92" i="84"/>
  <c r="W92" i="84"/>
  <c r="O92" i="84"/>
  <c r="M92" i="84"/>
  <c r="L92" i="84"/>
  <c r="K92" i="84"/>
  <c r="J92" i="84"/>
  <c r="H92" i="84"/>
  <c r="G92" i="84"/>
  <c r="Y89" i="84"/>
  <c r="Q89" i="84"/>
  <c r="P89" i="84"/>
  <c r="I89" i="84"/>
  <c r="E89" i="84"/>
  <c r="U88" i="84"/>
  <c r="T88" i="84"/>
  <c r="O88" i="84"/>
  <c r="M88" i="84"/>
  <c r="L88" i="84"/>
  <c r="K88" i="84"/>
  <c r="J88" i="84"/>
  <c r="H88" i="84"/>
  <c r="R88" i="84" s="1"/>
  <c r="G88" i="84"/>
  <c r="X87" i="84"/>
  <c r="T87" i="84"/>
  <c r="O87" i="84"/>
  <c r="M87" i="84"/>
  <c r="L87" i="84"/>
  <c r="K87" i="84"/>
  <c r="J87" i="84"/>
  <c r="H87" i="84"/>
  <c r="G87" i="84"/>
  <c r="U86" i="84"/>
  <c r="T86" i="84"/>
  <c r="O86" i="84"/>
  <c r="M86" i="84"/>
  <c r="L86" i="84"/>
  <c r="K86" i="84"/>
  <c r="J86" i="84"/>
  <c r="H86" i="84"/>
  <c r="G86" i="84"/>
  <c r="R86" i="84" s="1"/>
  <c r="W85" i="84"/>
  <c r="V85" i="84"/>
  <c r="V89" i="84" s="1"/>
  <c r="U85" i="84"/>
  <c r="T85" i="84"/>
  <c r="O85" i="84"/>
  <c r="M85" i="84"/>
  <c r="L85" i="84"/>
  <c r="K85" i="84"/>
  <c r="J85" i="84"/>
  <c r="H85" i="84"/>
  <c r="G85" i="84"/>
  <c r="W84" i="84"/>
  <c r="X84" i="84" s="1"/>
  <c r="O84" i="84"/>
  <c r="M84" i="84"/>
  <c r="L84" i="84"/>
  <c r="K84" i="84"/>
  <c r="J84" i="84"/>
  <c r="H84" i="84"/>
  <c r="G84" i="84"/>
  <c r="X83" i="84"/>
  <c r="W83" i="84"/>
  <c r="O83" i="84"/>
  <c r="M83" i="84"/>
  <c r="L83" i="84"/>
  <c r="K83" i="84"/>
  <c r="J83" i="84"/>
  <c r="H83" i="84"/>
  <c r="G83" i="84"/>
  <c r="R83" i="84" s="1"/>
  <c r="Z83" i="84" s="1"/>
  <c r="U82" i="84"/>
  <c r="X82" i="84" s="1"/>
  <c r="O82" i="84"/>
  <c r="M82" i="84"/>
  <c r="L82" i="84"/>
  <c r="L89" i="84" s="1"/>
  <c r="K82" i="84"/>
  <c r="J82" i="84"/>
  <c r="H82" i="84"/>
  <c r="G82" i="84"/>
  <c r="G89" i="84" s="1"/>
  <c r="Y79" i="84"/>
  <c r="Q79" i="84"/>
  <c r="P79" i="84"/>
  <c r="I79" i="84"/>
  <c r="X78" i="84"/>
  <c r="O78" i="84"/>
  <c r="M78" i="84"/>
  <c r="L78" i="84"/>
  <c r="K78" i="84"/>
  <c r="J78" i="84"/>
  <c r="H78" i="84"/>
  <c r="G78" i="84"/>
  <c r="R78" i="84" s="1"/>
  <c r="Z78" i="84" s="1"/>
  <c r="U77" i="84"/>
  <c r="X77" i="84" s="1"/>
  <c r="T77" i="84"/>
  <c r="M77" i="84"/>
  <c r="K77" i="84"/>
  <c r="G77" i="84"/>
  <c r="F77" i="84"/>
  <c r="E77" i="84"/>
  <c r="L77" i="84" s="1"/>
  <c r="T76" i="84"/>
  <c r="X76" i="84" s="1"/>
  <c r="O76" i="84"/>
  <c r="M76" i="84"/>
  <c r="L76" i="84"/>
  <c r="K76" i="84"/>
  <c r="J76" i="84"/>
  <c r="H76" i="84"/>
  <c r="G76" i="84"/>
  <c r="T75" i="84"/>
  <c r="X75" i="84" s="1"/>
  <c r="O75" i="84"/>
  <c r="M75" i="84"/>
  <c r="L75" i="84"/>
  <c r="K75" i="84"/>
  <c r="J75" i="84"/>
  <c r="H75" i="84"/>
  <c r="G75" i="84"/>
  <c r="W74" i="84"/>
  <c r="X74" i="84" s="1"/>
  <c r="M74" i="84"/>
  <c r="E74" i="84"/>
  <c r="W73" i="84"/>
  <c r="X73" i="84" s="1"/>
  <c r="M73" i="84"/>
  <c r="H73" i="84"/>
  <c r="E73" i="84"/>
  <c r="W72" i="84"/>
  <c r="V72" i="84"/>
  <c r="U72" i="84"/>
  <c r="T72" i="84"/>
  <c r="M72" i="84"/>
  <c r="L72" i="84"/>
  <c r="K72" i="84"/>
  <c r="E72" i="84"/>
  <c r="U71" i="84"/>
  <c r="T71" i="84"/>
  <c r="O71" i="84"/>
  <c r="M71" i="84"/>
  <c r="L71" i="84"/>
  <c r="K71" i="84"/>
  <c r="J71" i="84"/>
  <c r="H71" i="84"/>
  <c r="G71" i="84"/>
  <c r="W70" i="84"/>
  <c r="U70" i="84"/>
  <c r="T70" i="84"/>
  <c r="O70" i="84"/>
  <c r="M70" i="84"/>
  <c r="L70" i="84"/>
  <c r="K70" i="84"/>
  <c r="J70" i="84"/>
  <c r="H70" i="84"/>
  <c r="G70" i="84"/>
  <c r="V69" i="84"/>
  <c r="U69" i="84"/>
  <c r="T69" i="84"/>
  <c r="O69" i="84"/>
  <c r="M69" i="84"/>
  <c r="L69" i="84"/>
  <c r="K69" i="84"/>
  <c r="J69" i="84"/>
  <c r="H69" i="84"/>
  <c r="G69" i="84"/>
  <c r="W68" i="84"/>
  <c r="X68" i="84" s="1"/>
  <c r="T68" i="84"/>
  <c r="O68" i="84"/>
  <c r="M68" i="84"/>
  <c r="L68" i="84"/>
  <c r="K68" i="84"/>
  <c r="J68" i="84"/>
  <c r="H68" i="84"/>
  <c r="G68" i="84"/>
  <c r="X67" i="84"/>
  <c r="Z67" i="84" s="1"/>
  <c r="O67" i="84"/>
  <c r="M67" i="84"/>
  <c r="L67" i="84"/>
  <c r="K67" i="84"/>
  <c r="J67" i="84"/>
  <c r="H67" i="84"/>
  <c r="G67" i="84"/>
  <c r="X66" i="84"/>
  <c r="W66" i="84"/>
  <c r="U66" i="84"/>
  <c r="T66" i="84"/>
  <c r="O66" i="84"/>
  <c r="M66" i="84"/>
  <c r="L66" i="84"/>
  <c r="K66" i="84"/>
  <c r="J66" i="84"/>
  <c r="H66" i="84"/>
  <c r="G66" i="84"/>
  <c r="W65" i="84"/>
  <c r="T65" i="84"/>
  <c r="O65" i="84"/>
  <c r="M65" i="84"/>
  <c r="L65" i="84"/>
  <c r="K65" i="84"/>
  <c r="J65" i="84"/>
  <c r="I65" i="84"/>
  <c r="H65" i="84"/>
  <c r="G65" i="84"/>
  <c r="W62" i="84"/>
  <c r="V62" i="84"/>
  <c r="Q62" i="84"/>
  <c r="P62" i="84"/>
  <c r="I62" i="84"/>
  <c r="X61" i="84"/>
  <c r="X62" i="84" s="1"/>
  <c r="W61" i="84"/>
  <c r="U61" i="84"/>
  <c r="U62" i="84" s="1"/>
  <c r="T61" i="84"/>
  <c r="T62" i="84" s="1"/>
  <c r="O61" i="84"/>
  <c r="N61" i="84"/>
  <c r="N62" i="84" s="1"/>
  <c r="L61" i="84"/>
  <c r="K61" i="84"/>
  <c r="J61" i="84"/>
  <c r="H61" i="84"/>
  <c r="G61" i="84"/>
  <c r="X60" i="84"/>
  <c r="O60" i="84"/>
  <c r="O62" i="84" s="1"/>
  <c r="M60" i="84"/>
  <c r="M62" i="84" s="1"/>
  <c r="L60" i="84"/>
  <c r="L62" i="84" s="1"/>
  <c r="K60" i="84"/>
  <c r="K62" i="84" s="1"/>
  <c r="J60" i="84"/>
  <c r="J62" i="84" s="1"/>
  <c r="H60" i="84"/>
  <c r="G60" i="84"/>
  <c r="Y57" i="84"/>
  <c r="Q57" i="84"/>
  <c r="P57" i="84"/>
  <c r="I57" i="84"/>
  <c r="F57" i="84"/>
  <c r="X56" i="84"/>
  <c r="M56" i="84"/>
  <c r="E56" i="84"/>
  <c r="L56" i="84" s="1"/>
  <c r="W55" i="84"/>
  <c r="V55" i="84"/>
  <c r="U55" i="84"/>
  <c r="T55" i="84"/>
  <c r="O55" i="84"/>
  <c r="M55" i="84"/>
  <c r="L55" i="84"/>
  <c r="K55" i="84"/>
  <c r="J55" i="84"/>
  <c r="H55" i="84"/>
  <c r="G55" i="84"/>
  <c r="X54" i="84"/>
  <c r="O54" i="84"/>
  <c r="M54" i="84"/>
  <c r="L54" i="84"/>
  <c r="K54" i="84"/>
  <c r="J54" i="84"/>
  <c r="H54" i="84"/>
  <c r="G54" i="84"/>
  <c r="X53" i="84"/>
  <c r="O53" i="84"/>
  <c r="M53" i="84"/>
  <c r="L53" i="84"/>
  <c r="K53" i="84"/>
  <c r="J53" i="84"/>
  <c r="H53" i="84"/>
  <c r="G53" i="84"/>
  <c r="X52" i="84"/>
  <c r="U52" i="84"/>
  <c r="T52" i="84"/>
  <c r="O52" i="84"/>
  <c r="M52" i="84"/>
  <c r="L52" i="84"/>
  <c r="K52" i="84"/>
  <c r="J52" i="84"/>
  <c r="H52" i="84"/>
  <c r="G52" i="84"/>
  <c r="V51" i="84"/>
  <c r="X51" i="84" s="1"/>
  <c r="O51" i="84"/>
  <c r="M51" i="84"/>
  <c r="L51" i="84"/>
  <c r="K51" i="84"/>
  <c r="J51" i="84"/>
  <c r="H51" i="84"/>
  <c r="G51" i="84"/>
  <c r="W50" i="84"/>
  <c r="X50" i="84" s="1"/>
  <c r="U50" i="84"/>
  <c r="T50" i="84"/>
  <c r="O50" i="84"/>
  <c r="M50" i="84"/>
  <c r="L50" i="84"/>
  <c r="K50" i="84"/>
  <c r="J50" i="84"/>
  <c r="H50" i="84"/>
  <c r="G50" i="84"/>
  <c r="U49" i="84"/>
  <c r="X49" i="84" s="1"/>
  <c r="T49" i="84"/>
  <c r="O49" i="84"/>
  <c r="M49" i="84"/>
  <c r="L49" i="84"/>
  <c r="K49" i="84"/>
  <c r="J49" i="84"/>
  <c r="H49" i="84"/>
  <c r="G49" i="84"/>
  <c r="R49" i="84" s="1"/>
  <c r="Z49" i="84" s="1"/>
  <c r="X48" i="84"/>
  <c r="U48" i="84"/>
  <c r="O48" i="84"/>
  <c r="M48" i="84"/>
  <c r="M57" i="84" s="1"/>
  <c r="L48" i="84"/>
  <c r="K48" i="84"/>
  <c r="J48" i="84"/>
  <c r="H48" i="84"/>
  <c r="G48" i="84"/>
  <c r="W47" i="84"/>
  <c r="U47" i="84"/>
  <c r="T47" i="84"/>
  <c r="T57" i="84" s="1"/>
  <c r="O47" i="84"/>
  <c r="M47" i="84"/>
  <c r="L47" i="84"/>
  <c r="K47" i="84"/>
  <c r="J47" i="84"/>
  <c r="H47" i="84"/>
  <c r="G47" i="84"/>
  <c r="Y44" i="84"/>
  <c r="P44" i="84"/>
  <c r="K44" i="84"/>
  <c r="I44" i="84"/>
  <c r="E44" i="84"/>
  <c r="V43" i="84"/>
  <c r="V44" i="84" s="1"/>
  <c r="O43" i="84"/>
  <c r="R43" i="84" s="1"/>
  <c r="N43" i="84"/>
  <c r="L43" i="84"/>
  <c r="K43" i="84"/>
  <c r="J43" i="84"/>
  <c r="H43" i="84"/>
  <c r="G43" i="84"/>
  <c r="W42" i="84"/>
  <c r="W44" i="84" s="1"/>
  <c r="T42" i="84"/>
  <c r="T44" i="84" s="1"/>
  <c r="O42" i="84"/>
  <c r="N42" i="84"/>
  <c r="N44" i="84" s="1"/>
  <c r="L42" i="84"/>
  <c r="L44" i="84" s="1"/>
  <c r="K42" i="84"/>
  <c r="J42" i="84"/>
  <c r="H42" i="84"/>
  <c r="H44" i="84" s="1"/>
  <c r="G42" i="84"/>
  <c r="P39" i="84"/>
  <c r="W38" i="84"/>
  <c r="V38" i="84"/>
  <c r="O38" i="84"/>
  <c r="N38" i="84"/>
  <c r="L38" i="84"/>
  <c r="K38" i="84"/>
  <c r="J38" i="84"/>
  <c r="H38" i="84"/>
  <c r="G38" i="84"/>
  <c r="W37" i="84"/>
  <c r="X37" i="84" s="1"/>
  <c r="V37" i="84"/>
  <c r="T37" i="84"/>
  <c r="O37" i="84"/>
  <c r="N37" i="84"/>
  <c r="L37" i="84"/>
  <c r="K37" i="84"/>
  <c r="J37" i="84"/>
  <c r="H37" i="84"/>
  <c r="G37" i="84"/>
  <c r="W36" i="84"/>
  <c r="V36" i="84"/>
  <c r="U36" i="84"/>
  <c r="T36" i="84"/>
  <c r="O36" i="84"/>
  <c r="N36" i="84"/>
  <c r="L36" i="84"/>
  <c r="K36" i="84"/>
  <c r="J36" i="84"/>
  <c r="H36" i="84"/>
  <c r="G36" i="84"/>
  <c r="W35" i="84"/>
  <c r="T35" i="84"/>
  <c r="O35" i="84"/>
  <c r="N35" i="84"/>
  <c r="L35" i="84"/>
  <c r="K35" i="84"/>
  <c r="J35" i="84"/>
  <c r="H35" i="84"/>
  <c r="G35" i="84"/>
  <c r="T34" i="84"/>
  <c r="X34" i="84" s="1"/>
  <c r="O34" i="84"/>
  <c r="N34" i="84"/>
  <c r="L34" i="84"/>
  <c r="K34" i="84"/>
  <c r="J34" i="84"/>
  <c r="H34" i="84"/>
  <c r="G34" i="84"/>
  <c r="V33" i="84"/>
  <c r="T33" i="84"/>
  <c r="O33" i="84"/>
  <c r="L33" i="84"/>
  <c r="K33" i="84"/>
  <c r="J33" i="84"/>
  <c r="H33" i="84"/>
  <c r="G33" i="84"/>
  <c r="X32" i="84"/>
  <c r="U32" i="84"/>
  <c r="T32" i="84"/>
  <c r="O32" i="84"/>
  <c r="N32" i="84"/>
  <c r="L32" i="84"/>
  <c r="K32" i="84"/>
  <c r="J32" i="84"/>
  <c r="H32" i="84"/>
  <c r="G32" i="84"/>
  <c r="W31" i="84"/>
  <c r="V31" i="84"/>
  <c r="U31" i="84"/>
  <c r="O31" i="84"/>
  <c r="N31" i="84"/>
  <c r="L31" i="84"/>
  <c r="K31" i="84"/>
  <c r="J31" i="84"/>
  <c r="H31" i="84"/>
  <c r="G31" i="84"/>
  <c r="W30" i="84"/>
  <c r="U30" i="84"/>
  <c r="T30" i="84"/>
  <c r="O30" i="84"/>
  <c r="N30" i="84"/>
  <c r="L30" i="84"/>
  <c r="K30" i="84"/>
  <c r="J30" i="84"/>
  <c r="H30" i="84"/>
  <c r="G30" i="84"/>
  <c r="W29" i="84"/>
  <c r="X29" i="84" s="1"/>
  <c r="O29" i="84"/>
  <c r="N29" i="84"/>
  <c r="L29" i="84"/>
  <c r="K29" i="84"/>
  <c r="J29" i="84"/>
  <c r="H29" i="84"/>
  <c r="G29" i="84"/>
  <c r="X28" i="84"/>
  <c r="O28" i="84"/>
  <c r="N28" i="84"/>
  <c r="L28" i="84"/>
  <c r="K28" i="84"/>
  <c r="J28" i="84"/>
  <c r="H28" i="84"/>
  <c r="G28" i="84"/>
  <c r="W27" i="84"/>
  <c r="X27" i="84" s="1"/>
  <c r="V27" i="84"/>
  <c r="T27" i="84"/>
  <c r="Q27" i="84"/>
  <c r="O27" i="84"/>
  <c r="M27" i="84"/>
  <c r="L27" i="84"/>
  <c r="K27" i="84"/>
  <c r="J27" i="84"/>
  <c r="H27" i="84"/>
  <c r="G27" i="84"/>
  <c r="V26" i="84"/>
  <c r="U26" i="84"/>
  <c r="T26" i="84"/>
  <c r="N26" i="84"/>
  <c r="E26" i="84"/>
  <c r="U25" i="84"/>
  <c r="X25" i="84" s="1"/>
  <c r="T25" i="84"/>
  <c r="O25" i="84"/>
  <c r="N25" i="84"/>
  <c r="L25" i="84"/>
  <c r="K25" i="84"/>
  <c r="J25" i="84"/>
  <c r="H25" i="84"/>
  <c r="G25" i="84"/>
  <c r="W24" i="84"/>
  <c r="U24" i="84"/>
  <c r="T24" i="84"/>
  <c r="O24" i="84"/>
  <c r="M24" i="84"/>
  <c r="L24" i="84"/>
  <c r="K24" i="84"/>
  <c r="J24" i="84"/>
  <c r="H24" i="84"/>
  <c r="G24" i="84"/>
  <c r="X23" i="84"/>
  <c r="Q23" i="84"/>
  <c r="N23" i="84"/>
  <c r="E23" i="84"/>
  <c r="W22" i="84"/>
  <c r="X22" i="84" s="1"/>
  <c r="Q22" i="84"/>
  <c r="O22" i="84"/>
  <c r="N22" i="84"/>
  <c r="L22" i="84"/>
  <c r="K22" i="84"/>
  <c r="J22" i="84"/>
  <c r="R22" i="84" s="1"/>
  <c r="Z22" i="84" s="1"/>
  <c r="H22" i="84"/>
  <c r="G22" i="84"/>
  <c r="W21" i="84"/>
  <c r="X21" i="84" s="1"/>
  <c r="Q21" i="84"/>
  <c r="O21" i="84"/>
  <c r="M21" i="84"/>
  <c r="L21" i="84"/>
  <c r="K21" i="84"/>
  <c r="J21" i="84"/>
  <c r="H21" i="84"/>
  <c r="G21" i="84"/>
  <c r="V20" i="84"/>
  <c r="X20" i="84" s="1"/>
  <c r="O20" i="84"/>
  <c r="N20" i="84"/>
  <c r="L20" i="84"/>
  <c r="K20" i="84"/>
  <c r="J20" i="84"/>
  <c r="H20" i="84"/>
  <c r="G20" i="84"/>
  <c r="U19" i="84"/>
  <c r="X19" i="84" s="1"/>
  <c r="O19" i="84"/>
  <c r="N19" i="84"/>
  <c r="L19" i="84"/>
  <c r="K19" i="84"/>
  <c r="J19" i="84"/>
  <c r="H19" i="84"/>
  <c r="G19" i="84"/>
  <c r="U18" i="84"/>
  <c r="T18" i="84"/>
  <c r="X18" i="84" s="1"/>
  <c r="O18" i="84"/>
  <c r="N18" i="84"/>
  <c r="L18" i="84"/>
  <c r="K18" i="84"/>
  <c r="J18" i="84"/>
  <c r="H18" i="84"/>
  <c r="G18" i="84"/>
  <c r="W17" i="84"/>
  <c r="V17" i="84"/>
  <c r="U17" i="84"/>
  <c r="T17" i="84"/>
  <c r="X17" i="84" s="1"/>
  <c r="O17" i="84"/>
  <c r="N17" i="84"/>
  <c r="L17" i="84"/>
  <c r="K17" i="84"/>
  <c r="J17" i="84"/>
  <c r="I17" i="84"/>
  <c r="I39" i="84" s="1"/>
  <c r="H17" i="84"/>
  <c r="G17" i="84"/>
  <c r="V16" i="84"/>
  <c r="X16" i="84" s="1"/>
  <c r="U16" i="84"/>
  <c r="T16" i="84"/>
  <c r="O16" i="84"/>
  <c r="N16" i="84"/>
  <c r="L16" i="84"/>
  <c r="K16" i="84"/>
  <c r="J16" i="84"/>
  <c r="H16" i="84"/>
  <c r="G16" i="84"/>
  <c r="V15" i="84"/>
  <c r="X15" i="84" s="1"/>
  <c r="U15" i="84"/>
  <c r="T15" i="84"/>
  <c r="O15" i="84"/>
  <c r="N15" i="84"/>
  <c r="L15" i="84"/>
  <c r="K15" i="84"/>
  <c r="J15" i="84"/>
  <c r="H15" i="84"/>
  <c r="G15" i="84"/>
  <c r="V14" i="84"/>
  <c r="T14" i="84"/>
  <c r="Q14" i="84"/>
  <c r="O14" i="84"/>
  <c r="N14" i="84"/>
  <c r="L14" i="84"/>
  <c r="R14" i="84" s="1"/>
  <c r="K14" i="84"/>
  <c r="J14" i="84"/>
  <c r="H14" i="84"/>
  <c r="G14" i="84"/>
  <c r="W13" i="84"/>
  <c r="T13" i="84"/>
  <c r="O13" i="84"/>
  <c r="N13" i="84"/>
  <c r="L13" i="84"/>
  <c r="K13" i="84"/>
  <c r="J13" i="84"/>
  <c r="H13" i="84"/>
  <c r="G13" i="84"/>
  <c r="W12" i="84"/>
  <c r="X12" i="84" s="1"/>
  <c r="Q12" i="84"/>
  <c r="R12" i="84" s="1"/>
  <c r="O12" i="84"/>
  <c r="M12" i="84"/>
  <c r="L12" i="84"/>
  <c r="K12" i="84"/>
  <c r="J12" i="84"/>
  <c r="H12" i="84"/>
  <c r="G12" i="84"/>
  <c r="W11" i="84"/>
  <c r="X11" i="84" s="1"/>
  <c r="V11" i="84"/>
  <c r="O11" i="84"/>
  <c r="M11" i="84"/>
  <c r="L11" i="84"/>
  <c r="K11" i="84"/>
  <c r="J11" i="84"/>
  <c r="H11" i="84"/>
  <c r="G11" i="84"/>
  <c r="V10" i="84"/>
  <c r="U10" i="84"/>
  <c r="O10" i="84"/>
  <c r="M10" i="84"/>
  <c r="L10" i="84"/>
  <c r="K10" i="84"/>
  <c r="J10" i="84"/>
  <c r="H10" i="84"/>
  <c r="G10" i="84"/>
  <c r="X9" i="84"/>
  <c r="M9" i="84"/>
  <c r="H4" i="84"/>
  <c r="E4" i="84"/>
  <c r="H31" i="68"/>
  <c r="X95" i="84" l="1"/>
  <c r="X113" i="84"/>
  <c r="Z12" i="84"/>
  <c r="R15" i="84"/>
  <c r="Z15" i="84" s="1"/>
  <c r="O23" i="84"/>
  <c r="K23" i="84"/>
  <c r="K26" i="84"/>
  <c r="K39" i="84" s="1"/>
  <c r="J26" i="84"/>
  <c r="O26" i="84"/>
  <c r="G26" i="84"/>
  <c r="X26" i="84"/>
  <c r="X42" i="84"/>
  <c r="R94" i="84"/>
  <c r="X96" i="84"/>
  <c r="X175" i="84"/>
  <c r="Z175" i="84" s="1"/>
  <c r="X38" i="84"/>
  <c r="Z38" i="84" s="1"/>
  <c r="R53" i="84"/>
  <c r="Z53" i="84" s="1"/>
  <c r="R55" i="84"/>
  <c r="J56" i="84"/>
  <c r="J57" i="84" s="1"/>
  <c r="M79" i="84"/>
  <c r="J72" i="84"/>
  <c r="H72" i="84"/>
  <c r="O89" i="84"/>
  <c r="R92" i="84"/>
  <c r="K109" i="84"/>
  <c r="V132" i="84"/>
  <c r="R127" i="84"/>
  <c r="Z127" i="84" s="1"/>
  <c r="J132" i="84"/>
  <c r="X130" i="84"/>
  <c r="N191" i="84"/>
  <c r="R33" i="84"/>
  <c r="R13" i="84"/>
  <c r="H23" i="84"/>
  <c r="L26" i="84"/>
  <c r="R31" i="84"/>
  <c r="X31" i="84"/>
  <c r="R96" i="84"/>
  <c r="Z96" i="84" s="1"/>
  <c r="X13" i="84"/>
  <c r="X33" i="84"/>
  <c r="T79" i="84"/>
  <c r="W89" i="84"/>
  <c r="X85" i="84"/>
  <c r="R98" i="84"/>
  <c r="Z98" i="84" s="1"/>
  <c r="X106" i="84"/>
  <c r="Q132" i="84"/>
  <c r="T191" i="84"/>
  <c r="E191" i="84"/>
  <c r="L152" i="84"/>
  <c r="H152" i="84"/>
  <c r="H191" i="84" s="1"/>
  <c r="J152" i="84"/>
  <c r="X158" i="84"/>
  <c r="Q191" i="84"/>
  <c r="X14" i="84"/>
  <c r="Z14" i="84" s="1"/>
  <c r="R20" i="84"/>
  <c r="Z20" i="84" s="1"/>
  <c r="R21" i="84"/>
  <c r="Z21" i="84" s="1"/>
  <c r="R29" i="84"/>
  <c r="Z29" i="84" s="1"/>
  <c r="X35" i="84"/>
  <c r="R38" i="84"/>
  <c r="J44" i="84"/>
  <c r="O44" i="84"/>
  <c r="L57" i="84"/>
  <c r="U57" i="84"/>
  <c r="X55" i="84"/>
  <c r="X65" i="84"/>
  <c r="U79" i="84"/>
  <c r="H77" i="84"/>
  <c r="R77" i="84" s="1"/>
  <c r="Z77" i="84" s="1"/>
  <c r="O77" i="84"/>
  <c r="R85" i="84"/>
  <c r="Z85" i="84" s="1"/>
  <c r="H89" i="84"/>
  <c r="X86" i="84"/>
  <c r="Z86" i="84" s="1"/>
  <c r="X100" i="84"/>
  <c r="R106" i="84"/>
  <c r="G109" i="84"/>
  <c r="J120" i="84"/>
  <c r="X124" i="84"/>
  <c r="R125" i="84"/>
  <c r="R128" i="84"/>
  <c r="X129" i="84"/>
  <c r="X131" i="84"/>
  <c r="W191" i="84"/>
  <c r="X137" i="84"/>
  <c r="X143" i="84"/>
  <c r="X157" i="84"/>
  <c r="R158" i="84"/>
  <c r="R162" i="84"/>
  <c r="R167" i="84"/>
  <c r="X167" i="84"/>
  <c r="X170" i="84"/>
  <c r="X177" i="84"/>
  <c r="R179" i="84"/>
  <c r="Z179" i="84" s="1"/>
  <c r="R183" i="84"/>
  <c r="Z183" i="84" s="1"/>
  <c r="R138" i="84"/>
  <c r="R141" i="84"/>
  <c r="Z141" i="84" s="1"/>
  <c r="X147" i="84"/>
  <c r="Z147" i="84" s="1"/>
  <c r="R151" i="84"/>
  <c r="Z151" i="84" s="1"/>
  <c r="R155" i="84"/>
  <c r="Z155" i="84" s="1"/>
  <c r="R165" i="84"/>
  <c r="R166" i="84"/>
  <c r="Z166" i="84" s="1"/>
  <c r="R174" i="84"/>
  <c r="Z174" i="84" s="1"/>
  <c r="R178" i="84"/>
  <c r="Z178" i="84" s="1"/>
  <c r="X178" i="84"/>
  <c r="R180" i="84"/>
  <c r="Z180" i="84" s="1"/>
  <c r="R181" i="84"/>
  <c r="Z181" i="84" s="1"/>
  <c r="X181" i="84"/>
  <c r="X185" i="84"/>
  <c r="Z185" i="84" s="1"/>
  <c r="R190" i="84"/>
  <c r="U39" i="84"/>
  <c r="R25" i="84"/>
  <c r="Z25" i="84" s="1"/>
  <c r="X30" i="84"/>
  <c r="R34" i="84"/>
  <c r="Z34" i="84" s="1"/>
  <c r="X36" i="84"/>
  <c r="W57" i="84"/>
  <c r="R50" i="84"/>
  <c r="Z50" i="84" s="1"/>
  <c r="R52" i="84"/>
  <c r="Z52" i="84" s="1"/>
  <c r="H62" i="84"/>
  <c r="R66" i="84"/>
  <c r="Z66" i="84" s="1"/>
  <c r="R68" i="84"/>
  <c r="J77" i="84"/>
  <c r="J89" i="84"/>
  <c r="R84" i="84"/>
  <c r="Z84" i="84" s="1"/>
  <c r="M89" i="84"/>
  <c r="X88" i="84"/>
  <c r="Z88" i="84" s="1"/>
  <c r="R99" i="84"/>
  <c r="Z99" i="84" s="1"/>
  <c r="L109" i="84"/>
  <c r="R108" i="84"/>
  <c r="K120" i="84"/>
  <c r="X112" i="84"/>
  <c r="W120" i="84"/>
  <c r="L132" i="84"/>
  <c r="U132" i="84"/>
  <c r="H132" i="84"/>
  <c r="X126" i="84"/>
  <c r="R130" i="84"/>
  <c r="Z130" i="84" s="1"/>
  <c r="R131" i="84"/>
  <c r="R137" i="84"/>
  <c r="Z137" i="84" s="1"/>
  <c r="R142" i="84"/>
  <c r="Z142" i="84" s="1"/>
  <c r="R154" i="84"/>
  <c r="Z154" i="84" s="1"/>
  <c r="X162" i="84"/>
  <c r="R168" i="84"/>
  <c r="X168" i="84"/>
  <c r="R171" i="84"/>
  <c r="R172" i="84"/>
  <c r="Z172" i="84" s="1"/>
  <c r="R184" i="84"/>
  <c r="X184" i="84"/>
  <c r="X190" i="84"/>
  <c r="M39" i="84"/>
  <c r="R9" i="84"/>
  <c r="V39" i="84"/>
  <c r="R16" i="84"/>
  <c r="Z16" i="84" s="1"/>
  <c r="R17" i="84"/>
  <c r="Z17" i="84" s="1"/>
  <c r="R18" i="84"/>
  <c r="Z18" i="84" s="1"/>
  <c r="R28" i="84"/>
  <c r="Z28" i="84" s="1"/>
  <c r="R35" i="84"/>
  <c r="Z35" i="84" s="1"/>
  <c r="L120" i="84"/>
  <c r="X123" i="84"/>
  <c r="W132" i="84"/>
  <c r="R139" i="84"/>
  <c r="Z139" i="84" s="1"/>
  <c r="U191" i="84"/>
  <c r="X135" i="84"/>
  <c r="O39" i="84"/>
  <c r="R10" i="84"/>
  <c r="W39" i="84"/>
  <c r="N39" i="84"/>
  <c r="R24" i="84"/>
  <c r="R32" i="84"/>
  <c r="Z32" i="84" s="1"/>
  <c r="R47" i="84"/>
  <c r="R48" i="84"/>
  <c r="Z48" i="84" s="1"/>
  <c r="R51" i="84"/>
  <c r="Z51" i="84" s="1"/>
  <c r="R69" i="84"/>
  <c r="R93" i="84"/>
  <c r="Z93" i="84" s="1"/>
  <c r="G120" i="84"/>
  <c r="R11" i="84"/>
  <c r="Z11" i="84" s="1"/>
  <c r="R27" i="84"/>
  <c r="Z27" i="84" s="1"/>
  <c r="R30" i="84"/>
  <c r="R37" i="84"/>
  <c r="Z37" i="84" s="1"/>
  <c r="Q39" i="84"/>
  <c r="J74" i="84"/>
  <c r="O74" i="84"/>
  <c r="G74" i="84"/>
  <c r="K74" i="84"/>
  <c r="L74" i="84"/>
  <c r="H74" i="84"/>
  <c r="Z125" i="84"/>
  <c r="Z13" i="84"/>
  <c r="R36" i="84"/>
  <c r="Z36" i="84" s="1"/>
  <c r="R54" i="84"/>
  <c r="Z54" i="84" s="1"/>
  <c r="Z68" i="84"/>
  <c r="V79" i="84"/>
  <c r="X69" i="84"/>
  <c r="R76" i="84"/>
  <c r="Z76" i="84" s="1"/>
  <c r="R87" i="84"/>
  <c r="Z87" i="84" s="1"/>
  <c r="T39" i="84"/>
  <c r="R19" i="84"/>
  <c r="Z19" i="84" s="1"/>
  <c r="X10" i="84"/>
  <c r="X24" i="84"/>
  <c r="R42" i="84"/>
  <c r="R60" i="84"/>
  <c r="G62" i="84"/>
  <c r="Z92" i="84"/>
  <c r="Z105" i="84"/>
  <c r="R129" i="84"/>
  <c r="Z129" i="84" s="1"/>
  <c r="J23" i="84"/>
  <c r="J39" i="84" s="1"/>
  <c r="H26" i="84"/>
  <c r="P192" i="84"/>
  <c r="X43" i="84"/>
  <c r="Z43" i="84" s="1"/>
  <c r="X47" i="84"/>
  <c r="X57" i="84" s="1"/>
  <c r="G56" i="84"/>
  <c r="G57" i="84" s="1"/>
  <c r="X70" i="84"/>
  <c r="E79" i="84"/>
  <c r="J73" i="84"/>
  <c r="J79" i="84" s="1"/>
  <c r="O73" i="84"/>
  <c r="G73" i="84"/>
  <c r="K73" i="84"/>
  <c r="K79" i="84" s="1"/>
  <c r="W79" i="84"/>
  <c r="K89" i="84"/>
  <c r="X94" i="84"/>
  <c r="Z94" i="84" s="1"/>
  <c r="G97" i="84"/>
  <c r="G102" i="84" s="1"/>
  <c r="L97" i="84"/>
  <c r="L102" i="84" s="1"/>
  <c r="H97" i="84"/>
  <c r="M102" i="84"/>
  <c r="R112" i="84"/>
  <c r="X114" i="84"/>
  <c r="T120" i="84"/>
  <c r="K132" i="84"/>
  <c r="R136" i="84"/>
  <c r="Z136" i="84" s="1"/>
  <c r="R149" i="84"/>
  <c r="Z149" i="84" s="1"/>
  <c r="X150" i="84"/>
  <c r="R153" i="84"/>
  <c r="Z153" i="84" s="1"/>
  <c r="R161" i="84"/>
  <c r="Z161" i="84" s="1"/>
  <c r="R163" i="84"/>
  <c r="Z163" i="84" s="1"/>
  <c r="L23" i="84"/>
  <c r="L39" i="84" s="1"/>
  <c r="E39" i="84"/>
  <c r="K56" i="84"/>
  <c r="K57" i="84" s="1"/>
  <c r="E57" i="84"/>
  <c r="R65" i="84"/>
  <c r="R71" i="84"/>
  <c r="L73" i="84"/>
  <c r="R75" i="84"/>
  <c r="Z75" i="84" s="1"/>
  <c r="T89" i="84"/>
  <c r="I102" i="84"/>
  <c r="R95" i="84"/>
  <c r="Z95" i="84" s="1"/>
  <c r="K97" i="84"/>
  <c r="K102" i="84" s="1"/>
  <c r="X108" i="84"/>
  <c r="Z108" i="84" s="1"/>
  <c r="U109" i="84"/>
  <c r="G132" i="84"/>
  <c r="R123" i="84"/>
  <c r="N132" i="84"/>
  <c r="R124" i="84"/>
  <c r="R126" i="84"/>
  <c r="J191" i="84"/>
  <c r="V191" i="84"/>
  <c r="R140" i="84"/>
  <c r="Z140" i="84" s="1"/>
  <c r="R144" i="84"/>
  <c r="Z144" i="84" s="1"/>
  <c r="R148" i="84"/>
  <c r="Z148" i="84" s="1"/>
  <c r="R160" i="84"/>
  <c r="Z160" i="84" s="1"/>
  <c r="R169" i="84"/>
  <c r="Z169" i="84" s="1"/>
  <c r="R170" i="84"/>
  <c r="Z170" i="84" s="1"/>
  <c r="X171" i="84"/>
  <c r="R177" i="84"/>
  <c r="Z177" i="84" s="1"/>
  <c r="R182" i="84"/>
  <c r="Z182" i="84" s="1"/>
  <c r="R186" i="84"/>
  <c r="Z186" i="84" s="1"/>
  <c r="R187" i="84"/>
  <c r="Z187" i="84" s="1"/>
  <c r="X188" i="84"/>
  <c r="Z188" i="84" s="1"/>
  <c r="G44" i="84"/>
  <c r="H79" i="84"/>
  <c r="R70" i="84"/>
  <c r="Z70" i="84" s="1"/>
  <c r="F79" i="84"/>
  <c r="F192" i="84" s="1"/>
  <c r="R82" i="84"/>
  <c r="J101" i="84"/>
  <c r="J102" i="84" s="1"/>
  <c r="O101" i="84"/>
  <c r="O102" i="84" s="1"/>
  <c r="G101" i="84"/>
  <c r="K101" i="84"/>
  <c r="H109" i="84"/>
  <c r="R143" i="84"/>
  <c r="R146" i="84"/>
  <c r="Z146" i="84" s="1"/>
  <c r="R156" i="84"/>
  <c r="Z156" i="84" s="1"/>
  <c r="Z173" i="84"/>
  <c r="G23" i="84"/>
  <c r="G39" i="84" s="1"/>
  <c r="V57" i="84"/>
  <c r="X71" i="84"/>
  <c r="X72" i="84"/>
  <c r="X79" i="84" s="1"/>
  <c r="U89" i="84"/>
  <c r="W102" i="84"/>
  <c r="H101" i="84"/>
  <c r="E102" i="84"/>
  <c r="R107" i="84"/>
  <c r="X107" i="84"/>
  <c r="W109" i="84"/>
  <c r="R113" i="84"/>
  <c r="Z113" i="84" s="1"/>
  <c r="U120" i="84"/>
  <c r="T132" i="84"/>
  <c r="X128" i="84"/>
  <c r="Z128" i="84" s="1"/>
  <c r="L191" i="84"/>
  <c r="X138" i="84"/>
  <c r="Z138" i="84" s="1"/>
  <c r="R150" i="84"/>
  <c r="Z150" i="84" s="1"/>
  <c r="R159" i="84"/>
  <c r="Z159" i="84" s="1"/>
  <c r="R164" i="84"/>
  <c r="Z164" i="84" s="1"/>
  <c r="X165" i="84"/>
  <c r="Z165" i="84" s="1"/>
  <c r="I192" i="84"/>
  <c r="H56" i="84"/>
  <c r="H57" i="84" s="1"/>
  <c r="O56" i="84"/>
  <c r="O57" i="84" s="1"/>
  <c r="R61" i="84"/>
  <c r="Z61" i="84" s="1"/>
  <c r="R100" i="84"/>
  <c r="O120" i="84"/>
  <c r="R157" i="84"/>
  <c r="Z171" i="84"/>
  <c r="Z176" i="84"/>
  <c r="G72" i="84"/>
  <c r="O72" i="84"/>
  <c r="O79" i="84" s="1"/>
  <c r="H120" i="84"/>
  <c r="X136" i="84"/>
  <c r="G152" i="84"/>
  <c r="G191" i="84" s="1"/>
  <c r="O152" i="84"/>
  <c r="O191" i="84" s="1"/>
  <c r="R135" i="84"/>
  <c r="K152" i="84"/>
  <c r="K191" i="84" s="1"/>
  <c r="X102" i="84" l="1"/>
  <c r="Z31" i="84"/>
  <c r="X39" i="84"/>
  <c r="Z126" i="84"/>
  <c r="X89" i="84"/>
  <c r="X109" i="84"/>
  <c r="Z124" i="84"/>
  <c r="L79" i="84"/>
  <c r="R73" i="84"/>
  <c r="Z73" i="84" s="1"/>
  <c r="G79" i="84"/>
  <c r="Z24" i="84"/>
  <c r="Z184" i="84"/>
  <c r="Z168" i="84"/>
  <c r="Z162" i="84"/>
  <c r="Z33" i="84"/>
  <c r="Z55" i="84"/>
  <c r="R23" i="84"/>
  <c r="Z23" i="84" s="1"/>
  <c r="Z157" i="84"/>
  <c r="Z190" i="84"/>
  <c r="Z167" i="84"/>
  <c r="Z100" i="84"/>
  <c r="R109" i="84"/>
  <c r="U192" i="84"/>
  <c r="Z143" i="84"/>
  <c r="H102" i="84"/>
  <c r="R26" i="84"/>
  <c r="Z26" i="84" s="1"/>
  <c r="Z30" i="84"/>
  <c r="N192" i="84"/>
  <c r="Z131" i="84"/>
  <c r="Z158" i="84"/>
  <c r="Z106" i="84"/>
  <c r="K192" i="84"/>
  <c r="G192" i="84"/>
  <c r="Z65" i="84"/>
  <c r="O192" i="84"/>
  <c r="X132" i="84"/>
  <c r="M192" i="84"/>
  <c r="R97" i="84"/>
  <c r="Z97" i="84" s="1"/>
  <c r="Z102" i="84" s="1"/>
  <c r="R74" i="84"/>
  <c r="Z74" i="84" s="1"/>
  <c r="X120" i="84"/>
  <c r="R57" i="84"/>
  <c r="Z47" i="84"/>
  <c r="R152" i="84"/>
  <c r="Z152" i="84" s="1"/>
  <c r="R56" i="84"/>
  <c r="Z56" i="84" s="1"/>
  <c r="R89" i="84"/>
  <c r="Z82" i="84"/>
  <c r="Z89" i="84" s="1"/>
  <c r="R132" i="84"/>
  <c r="Z123" i="84"/>
  <c r="Z71" i="84"/>
  <c r="Z112" i="84"/>
  <c r="T192" i="84"/>
  <c r="H39" i="84"/>
  <c r="H192" i="84" s="1"/>
  <c r="X191" i="84"/>
  <c r="V192" i="84"/>
  <c r="L192" i="84"/>
  <c r="J192" i="84"/>
  <c r="Z60" i="84"/>
  <c r="Z62" i="84" s="1"/>
  <c r="R62" i="84"/>
  <c r="Z107" i="84"/>
  <c r="Z42" i="84"/>
  <c r="Z44" i="84" s="1"/>
  <c r="R44" i="84"/>
  <c r="W192" i="84"/>
  <c r="Z135" i="84"/>
  <c r="R191" i="84"/>
  <c r="R72" i="84"/>
  <c r="Z72" i="84" s="1"/>
  <c r="R101" i="84"/>
  <c r="Z101" i="84" s="1"/>
  <c r="R102" i="84"/>
  <c r="Z69" i="84"/>
  <c r="X44" i="84"/>
  <c r="Z10" i="84"/>
  <c r="Z9" i="84"/>
  <c r="R39" i="84"/>
  <c r="T24" i="1"/>
  <c r="Z109" i="84" l="1"/>
  <c r="Z191" i="84"/>
  <c r="Z132" i="84"/>
  <c r="X192" i="84"/>
  <c r="Z57" i="84"/>
  <c r="Z79" i="84"/>
  <c r="Z39" i="84"/>
  <c r="R79" i="84"/>
  <c r="D39" i="61"/>
  <c r="D38" i="61"/>
  <c r="D37" i="61"/>
  <c r="E56" i="1"/>
  <c r="F77" i="1"/>
  <c r="E77" i="1"/>
  <c r="W152" i="1"/>
  <c r="X152" i="1" s="1"/>
  <c r="H36" i="68"/>
  <c r="E57" i="1"/>
  <c r="F57" i="1"/>
  <c r="I57" i="1"/>
  <c r="P57" i="1"/>
  <c r="Q57" i="1"/>
  <c r="Y57" i="1"/>
  <c r="F79" i="1"/>
  <c r="P79" i="1"/>
  <c r="Q79" i="1"/>
  <c r="Y79" i="1"/>
  <c r="E89" i="1"/>
  <c r="I89" i="1"/>
  <c r="P89" i="1"/>
  <c r="Q89" i="1"/>
  <c r="Y89" i="1"/>
  <c r="P102" i="1"/>
  <c r="Q102" i="1"/>
  <c r="Y102" i="1"/>
  <c r="P191" i="1"/>
  <c r="Y191" i="1"/>
  <c r="V161" i="1"/>
  <c r="X161" i="1" s="1"/>
  <c r="O161" i="1"/>
  <c r="N161" i="1"/>
  <c r="L161" i="1"/>
  <c r="K161" i="1"/>
  <c r="J161" i="1"/>
  <c r="H161" i="1"/>
  <c r="G161" i="1"/>
  <c r="E152" i="1"/>
  <c r="E191" i="1" s="1"/>
  <c r="Z52" i="83"/>
  <c r="N152" i="1"/>
  <c r="W101" i="1"/>
  <c r="X101" i="1" s="1"/>
  <c r="M101" i="1"/>
  <c r="E101" i="1"/>
  <c r="H101" i="1" s="1"/>
  <c r="E97" i="1"/>
  <c r="G97" i="1" s="1"/>
  <c r="W97" i="1"/>
  <c r="X97" i="1" s="1"/>
  <c r="O97" i="1"/>
  <c r="E74" i="1"/>
  <c r="J74" i="1" s="1"/>
  <c r="E73" i="1"/>
  <c r="L73" i="1" s="1"/>
  <c r="W74" i="1"/>
  <c r="X74" i="1" s="1"/>
  <c r="M74" i="1"/>
  <c r="W73" i="1"/>
  <c r="X73" i="1" s="1"/>
  <c r="M73" i="1"/>
  <c r="Z17" i="83"/>
  <c r="M56" i="1"/>
  <c r="L56" i="1"/>
  <c r="K56" i="1"/>
  <c r="G56" i="1"/>
  <c r="X56" i="1"/>
  <c r="E44" i="1"/>
  <c r="I44" i="1"/>
  <c r="P44" i="1"/>
  <c r="Y44" i="1"/>
  <c r="V43" i="1"/>
  <c r="X43" i="1" s="1"/>
  <c r="O43" i="1"/>
  <c r="N43" i="1"/>
  <c r="L43" i="1"/>
  <c r="K43" i="1"/>
  <c r="J43" i="1"/>
  <c r="H43" i="1"/>
  <c r="G43" i="1"/>
  <c r="H56" i="1" l="1"/>
  <c r="O56" i="1"/>
  <c r="E102" i="1"/>
  <c r="J56" i="1"/>
  <c r="H97" i="1"/>
  <c r="L97" i="1"/>
  <c r="R161" i="1"/>
  <c r="J97" i="1"/>
  <c r="K97" i="1"/>
  <c r="K152" i="1"/>
  <c r="L152" i="1"/>
  <c r="Z161" i="1"/>
  <c r="G152" i="1"/>
  <c r="O152" i="1"/>
  <c r="H152" i="1"/>
  <c r="J152" i="1"/>
  <c r="L101" i="1"/>
  <c r="G101" i="1"/>
  <c r="O101" i="1"/>
  <c r="J101" i="1"/>
  <c r="K101" i="1"/>
  <c r="V44" i="1"/>
  <c r="R43" i="1"/>
  <c r="Z43" i="1" s="1"/>
  <c r="K74" i="1"/>
  <c r="L74" i="1"/>
  <c r="G73" i="1"/>
  <c r="O73" i="1"/>
  <c r="H73" i="1"/>
  <c r="J73" i="1"/>
  <c r="K73" i="1"/>
  <c r="G74" i="1"/>
  <c r="O74" i="1"/>
  <c r="H74" i="1"/>
  <c r="R56" i="1" l="1"/>
  <c r="R97" i="1"/>
  <c r="Z97" i="1" s="1"/>
  <c r="R152" i="1"/>
  <c r="Z152" i="1" s="1"/>
  <c r="R101" i="1"/>
  <c r="Z101" i="1" s="1"/>
  <c r="R74" i="1"/>
  <c r="Z74" i="1" s="1"/>
  <c r="R73" i="1"/>
  <c r="Z73" i="1" s="1"/>
  <c r="Z56" i="1" l="1"/>
  <c r="Z53" i="83"/>
  <c r="Z27" i="83"/>
  <c r="Z26" i="83"/>
  <c r="Z35" i="83"/>
  <c r="Z34" i="83"/>
  <c r="Z13" i="83"/>
  <c r="Z28" i="83" l="1"/>
  <c r="AC28" i="83"/>
  <c r="Z36" i="83"/>
  <c r="AC54" i="83"/>
  <c r="AC53" i="83"/>
  <c r="AD53" i="83" s="1"/>
  <c r="AA53" i="83"/>
  <c r="AD52" i="83"/>
  <c r="AD54" i="83" s="1"/>
  <c r="AA52" i="83"/>
  <c r="AA54" i="83" s="1"/>
  <c r="AD26" i="83"/>
  <c r="AA26" i="83"/>
  <c r="AD27" i="83"/>
  <c r="AA27" i="83"/>
  <c r="AD35" i="83"/>
  <c r="AA35" i="83"/>
  <c r="AC34" i="83"/>
  <c r="AD34" i="83" s="1"/>
  <c r="AD36" i="83" s="1"/>
  <c r="AA34" i="83"/>
  <c r="AA36" i="83" s="1"/>
  <c r="Z18" i="83"/>
  <c r="AC17" i="83"/>
  <c r="AC18" i="83" s="1"/>
  <c r="AA17" i="83"/>
  <c r="AA18" i="83" s="1"/>
  <c r="AC13" i="83"/>
  <c r="AD28" i="83" l="1"/>
  <c r="AC36" i="83"/>
  <c r="AA28" i="83"/>
  <c r="Z54" i="83"/>
  <c r="AD17" i="83"/>
  <c r="AD18" i="83" s="1"/>
  <c r="X55" i="83"/>
  <c r="G55" i="83"/>
  <c r="D55" i="83"/>
  <c r="M54" i="83"/>
  <c r="L54" i="83"/>
  <c r="K54" i="83"/>
  <c r="J54" i="83"/>
  <c r="I54" i="83"/>
  <c r="H54" i="83"/>
  <c r="F54" i="83"/>
  <c r="Y49" i="83"/>
  <c r="W49" i="83"/>
  <c r="V49" i="83"/>
  <c r="U49" i="83"/>
  <c r="T49" i="83"/>
  <c r="S49" i="83"/>
  <c r="R49" i="83"/>
  <c r="Q49" i="83"/>
  <c r="P49" i="83"/>
  <c r="O49" i="83"/>
  <c r="M49" i="83"/>
  <c r="L49" i="83"/>
  <c r="K49" i="83"/>
  <c r="J49" i="83"/>
  <c r="I49" i="83"/>
  <c r="H49" i="83"/>
  <c r="F49" i="83"/>
  <c r="Z49" i="83"/>
  <c r="N49" i="83"/>
  <c r="M44" i="83"/>
  <c r="L44" i="83"/>
  <c r="K44" i="83"/>
  <c r="J44" i="83"/>
  <c r="I44" i="83"/>
  <c r="H44" i="83"/>
  <c r="F44" i="83"/>
  <c r="Y41" i="83"/>
  <c r="W41" i="83"/>
  <c r="V41" i="83"/>
  <c r="U41" i="83"/>
  <c r="T41" i="83"/>
  <c r="S41" i="83"/>
  <c r="R41" i="83"/>
  <c r="Q41" i="83"/>
  <c r="P41" i="83"/>
  <c r="O41" i="83"/>
  <c r="M41" i="83"/>
  <c r="L41" i="83"/>
  <c r="K41" i="83"/>
  <c r="J41" i="83"/>
  <c r="I41" i="83"/>
  <c r="H41" i="83"/>
  <c r="F41" i="83"/>
  <c r="N41" i="83"/>
  <c r="M36" i="83"/>
  <c r="L36" i="83"/>
  <c r="K36" i="83"/>
  <c r="J36" i="83"/>
  <c r="I36" i="83"/>
  <c r="H36" i="83"/>
  <c r="F36" i="83"/>
  <c r="M31" i="83"/>
  <c r="L31" i="83"/>
  <c r="K31" i="83"/>
  <c r="J31" i="83"/>
  <c r="I31" i="83"/>
  <c r="H31" i="83"/>
  <c r="F31" i="83"/>
  <c r="M28" i="83"/>
  <c r="L28" i="83"/>
  <c r="K28" i="83"/>
  <c r="J28" i="83"/>
  <c r="I28" i="83"/>
  <c r="H28" i="83"/>
  <c r="F28" i="83"/>
  <c r="Y23" i="83"/>
  <c r="W23" i="83"/>
  <c r="V23" i="83"/>
  <c r="U23" i="83"/>
  <c r="S23" i="83"/>
  <c r="R23" i="83"/>
  <c r="Q23" i="83"/>
  <c r="P23" i="83"/>
  <c r="O23" i="83"/>
  <c r="M23" i="83"/>
  <c r="L23" i="83"/>
  <c r="K23" i="83"/>
  <c r="J23" i="83"/>
  <c r="I23" i="83"/>
  <c r="H23" i="83"/>
  <c r="F23" i="83"/>
  <c r="N23" i="83"/>
  <c r="M18" i="83"/>
  <c r="L18" i="83"/>
  <c r="K18" i="83"/>
  <c r="J18" i="83"/>
  <c r="I18" i="83"/>
  <c r="H18" i="83"/>
  <c r="F18" i="83"/>
  <c r="Y14" i="83"/>
  <c r="W14" i="83"/>
  <c r="V14" i="83"/>
  <c r="U14" i="83"/>
  <c r="T14" i="83"/>
  <c r="S14" i="83"/>
  <c r="R14" i="83"/>
  <c r="Q14" i="83"/>
  <c r="P14" i="83"/>
  <c r="O14" i="83"/>
  <c r="N14" i="83"/>
  <c r="M14" i="83"/>
  <c r="L14" i="83"/>
  <c r="K14" i="83"/>
  <c r="J14" i="83"/>
  <c r="I14" i="83"/>
  <c r="H14" i="83"/>
  <c r="F14" i="83"/>
  <c r="AD13" i="83"/>
  <c r="AD14" i="83" s="1"/>
  <c r="Z14" i="83"/>
  <c r="Z10" i="83"/>
  <c r="Y10" i="83"/>
  <c r="W10" i="83"/>
  <c r="V10" i="83"/>
  <c r="U10" i="83"/>
  <c r="T10" i="83"/>
  <c r="S10" i="83"/>
  <c r="R10" i="83"/>
  <c r="Q10" i="83"/>
  <c r="P10" i="83"/>
  <c r="O10" i="83"/>
  <c r="N10" i="83"/>
  <c r="N55" i="83" s="1"/>
  <c r="M10" i="83"/>
  <c r="L10" i="83"/>
  <c r="K10" i="83"/>
  <c r="J10" i="83"/>
  <c r="I10" i="83"/>
  <c r="H10" i="83"/>
  <c r="F10" i="83"/>
  <c r="AC10" i="83"/>
  <c r="AA10" i="83"/>
  <c r="I4" i="83"/>
  <c r="F4" i="83"/>
  <c r="H55" i="83" l="1"/>
  <c r="I55" i="83"/>
  <c r="U55" i="83"/>
  <c r="O55" i="83"/>
  <c r="T55" i="83"/>
  <c r="K55" i="83"/>
  <c r="Q55" i="83"/>
  <c r="L55" i="83"/>
  <c r="R55" i="83"/>
  <c r="F55" i="83"/>
  <c r="M55" i="83"/>
  <c r="S55" i="83"/>
  <c r="AA23" i="83"/>
  <c r="Z23" i="83"/>
  <c r="AD41" i="83"/>
  <c r="AC41" i="83"/>
  <c r="J55" i="83"/>
  <c r="P55" i="83"/>
  <c r="V55" i="83"/>
  <c r="AD23" i="83"/>
  <c r="W55" i="83"/>
  <c r="Y55" i="83"/>
  <c r="AA49" i="83"/>
  <c r="AA41" i="83"/>
  <c r="AC14" i="83"/>
  <c r="Z41" i="83"/>
  <c r="AD10" i="83"/>
  <c r="AA13" i="83"/>
  <c r="AA14" i="83" s="1"/>
  <c r="AA55" i="83" s="1"/>
  <c r="AD49" i="83"/>
  <c r="AC23" i="83"/>
  <c r="AD55" i="83" l="1"/>
  <c r="AD57" i="83"/>
  <c r="Z55" i="83"/>
  <c r="AC49" i="83"/>
  <c r="AC55" i="83" s="1"/>
  <c r="H34" i="68" l="1"/>
  <c r="N23" i="1"/>
  <c r="E23" i="1"/>
  <c r="E74" i="82" l="1"/>
  <c r="E135" i="82"/>
  <c r="E134" i="82"/>
  <c r="E133" i="82"/>
  <c r="E77" i="82"/>
  <c r="E58" i="82"/>
  <c r="E9" i="82"/>
  <c r="C183" i="82"/>
  <c r="E102" i="82" l="1"/>
  <c r="E113" i="82"/>
  <c r="H35" i="68"/>
  <c r="E55" i="82" l="1"/>
  <c r="E60" i="82"/>
  <c r="E182" i="82"/>
  <c r="E125" i="82"/>
  <c r="E43" i="82"/>
  <c r="E39" i="82"/>
  <c r="E95" i="82"/>
  <c r="E84" i="82"/>
  <c r="U174" i="1"/>
  <c r="U164" i="1"/>
  <c r="T146" i="1"/>
  <c r="U145" i="1"/>
  <c r="U142" i="1"/>
  <c r="U140" i="1"/>
  <c r="T98" i="1"/>
  <c r="T13" i="1"/>
  <c r="E183" i="82" l="1"/>
  <c r="E184" i="82" s="1"/>
  <c r="H33" i="68"/>
  <c r="V167" i="1"/>
  <c r="V162" i="1"/>
  <c r="V155" i="1"/>
  <c r="V150" i="1"/>
  <c r="V148" i="1"/>
  <c r="V147" i="1"/>
  <c r="V143" i="1"/>
  <c r="V141" i="1"/>
  <c r="V140" i="1"/>
  <c r="V138" i="1"/>
  <c r="V135" i="1"/>
  <c r="V130" i="1"/>
  <c r="V129" i="1"/>
  <c r="V126" i="1"/>
  <c r="V125" i="1"/>
  <c r="V123" i="1"/>
  <c r="V114" i="1"/>
  <c r="V113" i="1"/>
  <c r="V106" i="1"/>
  <c r="V95" i="1"/>
  <c r="V94" i="1"/>
  <c r="V102" i="1" s="1"/>
  <c r="V85" i="1"/>
  <c r="V89" i="1" s="1"/>
  <c r="V72" i="1"/>
  <c r="V55" i="1"/>
  <c r="V51" i="1"/>
  <c r="V57" i="1" s="1"/>
  <c r="V31" i="1"/>
  <c r="V27" i="1"/>
  <c r="V26" i="1"/>
  <c r="V20" i="1"/>
  <c r="V17" i="1"/>
  <c r="V14" i="1"/>
  <c r="V11" i="1"/>
  <c r="V10" i="1"/>
  <c r="H32" i="68" l="1"/>
  <c r="H37" i="68" s="1"/>
  <c r="U182" i="1" l="1"/>
  <c r="T190" i="1"/>
  <c r="U157" i="1"/>
  <c r="U143" i="1"/>
  <c r="U113" i="1"/>
  <c r="X113" i="1" s="1"/>
  <c r="U114" i="1"/>
  <c r="U94" i="1" l="1"/>
  <c r="U96" i="1"/>
  <c r="T94" i="1"/>
  <c r="U77" i="1"/>
  <c r="T77" i="1"/>
  <c r="E45" i="68" l="1"/>
  <c r="E51" i="68" s="1"/>
  <c r="H103" i="81" l="1"/>
  <c r="G78" i="81"/>
  <c r="G64" i="81"/>
  <c r="H55" i="81"/>
  <c r="G49" i="81"/>
  <c r="G48" i="81"/>
  <c r="G47" i="81"/>
  <c r="W27" i="1" l="1"/>
  <c r="U184" i="1" l="1"/>
  <c r="T154" i="1"/>
  <c r="T187" i="1"/>
  <c r="U187" i="1"/>
  <c r="U18" i="1"/>
  <c r="T125" i="1"/>
  <c r="T131" i="1"/>
  <c r="T42" i="1"/>
  <c r="T44" i="1" s="1"/>
  <c r="H186" i="81" l="1"/>
  <c r="H27" i="81" l="1"/>
  <c r="I186" i="81" l="1"/>
  <c r="F186" i="81" s="1"/>
  <c r="I182" i="81"/>
  <c r="I181" i="81"/>
  <c r="I180" i="81"/>
  <c r="I179" i="81"/>
  <c r="I178" i="81"/>
  <c r="I177" i="81"/>
  <c r="I176" i="81"/>
  <c r="I175" i="81"/>
  <c r="I174" i="81"/>
  <c r="I173" i="81"/>
  <c r="I172" i="81"/>
  <c r="I171" i="81"/>
  <c r="I170" i="81"/>
  <c r="I169" i="81"/>
  <c r="I168" i="81"/>
  <c r="I167" i="81"/>
  <c r="I166" i="81"/>
  <c r="I165" i="81"/>
  <c r="I164" i="81"/>
  <c r="I163" i="81"/>
  <c r="I162" i="81"/>
  <c r="I161" i="81"/>
  <c r="I160" i="81"/>
  <c r="I159" i="81"/>
  <c r="I158" i="81"/>
  <c r="I157" i="81"/>
  <c r="I156" i="81"/>
  <c r="I155" i="81"/>
  <c r="I154" i="81"/>
  <c r="I183" i="81" s="1"/>
  <c r="H136" i="81"/>
  <c r="H135" i="81"/>
  <c r="H134" i="81"/>
  <c r="H183" i="81" s="1"/>
  <c r="H125" i="81"/>
  <c r="H124" i="81"/>
  <c r="H123" i="81"/>
  <c r="H122" i="81"/>
  <c r="H126" i="81" s="1"/>
  <c r="I114" i="81"/>
  <c r="H109" i="81"/>
  <c r="H108" i="81"/>
  <c r="H114" i="81" s="1"/>
  <c r="H95" i="81"/>
  <c r="H94" i="81"/>
  <c r="H93" i="81"/>
  <c r="H92" i="81"/>
  <c r="H91" i="81"/>
  <c r="H96" i="81" s="1"/>
  <c r="I85" i="81"/>
  <c r="H81" i="81"/>
  <c r="H85" i="81" s="1"/>
  <c r="I74" i="81"/>
  <c r="I75" i="81" s="1"/>
  <c r="I73" i="81"/>
  <c r="H72" i="81"/>
  <c r="H71" i="81"/>
  <c r="H69" i="81"/>
  <c r="H75" i="81" s="1"/>
  <c r="I39" i="81"/>
  <c r="H26" i="81"/>
  <c r="H39" i="81" s="1"/>
  <c r="I184" i="81" l="1"/>
  <c r="I187" i="81" s="1"/>
  <c r="H184" i="81"/>
  <c r="H187" i="81" s="1"/>
  <c r="F13" i="81"/>
  <c r="G13" i="81" s="1"/>
  <c r="F95" i="81"/>
  <c r="F99" i="81"/>
  <c r="G99" i="81" s="1"/>
  <c r="G103" i="81" s="1"/>
  <c r="F131" i="81"/>
  <c r="G131" i="81" s="1"/>
  <c r="F130" i="81"/>
  <c r="G130" i="81" s="1"/>
  <c r="F109" i="81"/>
  <c r="F108" i="81"/>
  <c r="F88" i="81"/>
  <c r="G88" i="81" s="1"/>
  <c r="F80" i="81"/>
  <c r="G80" i="81" s="1"/>
  <c r="F63" i="81"/>
  <c r="G63" i="81" s="1"/>
  <c r="G75" i="81" s="1"/>
  <c r="F58" i="81"/>
  <c r="G58" i="81" s="1"/>
  <c r="F182" i="81" l="1"/>
  <c r="F181" i="81"/>
  <c r="F180" i="81"/>
  <c r="F179" i="81"/>
  <c r="F178" i="81"/>
  <c r="F177" i="81"/>
  <c r="F176" i="81"/>
  <c r="F175" i="81"/>
  <c r="F174" i="81"/>
  <c r="F173" i="81"/>
  <c r="F172" i="81"/>
  <c r="F171" i="81"/>
  <c r="F170" i="81"/>
  <c r="F169" i="81"/>
  <c r="F168" i="81"/>
  <c r="F167" i="81"/>
  <c r="F166" i="81"/>
  <c r="F165" i="81"/>
  <c r="F164" i="81"/>
  <c r="F163" i="81"/>
  <c r="F162" i="81"/>
  <c r="F161" i="81"/>
  <c r="F160" i="81"/>
  <c r="F159" i="81"/>
  <c r="F158" i="81"/>
  <c r="F157" i="81"/>
  <c r="F156" i="81"/>
  <c r="F155" i="81"/>
  <c r="F154" i="81"/>
  <c r="F136" i="81"/>
  <c r="F135" i="81"/>
  <c r="F134" i="81"/>
  <c r="F133" i="81"/>
  <c r="G133" i="81" s="1"/>
  <c r="F132" i="81"/>
  <c r="G132" i="81" s="1"/>
  <c r="F129" i="81"/>
  <c r="F125" i="81"/>
  <c r="F124" i="81"/>
  <c r="F123" i="81"/>
  <c r="F122" i="81"/>
  <c r="F121" i="81"/>
  <c r="G121" i="81" s="1"/>
  <c r="F120" i="81"/>
  <c r="G120" i="81" s="1"/>
  <c r="F119" i="81"/>
  <c r="G119" i="81" s="1"/>
  <c r="F118" i="81"/>
  <c r="G118" i="81" s="1"/>
  <c r="F117" i="81"/>
  <c r="G117" i="81" s="1"/>
  <c r="F107" i="81"/>
  <c r="G107" i="81" s="1"/>
  <c r="F106" i="81"/>
  <c r="G106" i="81" s="1"/>
  <c r="F103" i="81"/>
  <c r="F94" i="81"/>
  <c r="F93" i="81"/>
  <c r="F92" i="81"/>
  <c r="F91" i="81"/>
  <c r="F90" i="81"/>
  <c r="G90" i="81" s="1"/>
  <c r="F89" i="81"/>
  <c r="G89" i="81" s="1"/>
  <c r="G96" i="81" s="1"/>
  <c r="F81" i="81"/>
  <c r="F79" i="81"/>
  <c r="G79" i="81" s="1"/>
  <c r="G85" i="81" s="1"/>
  <c r="F74" i="81"/>
  <c r="F73" i="81"/>
  <c r="F72" i="81"/>
  <c r="F71" i="81"/>
  <c r="F69" i="81"/>
  <c r="F59" i="81"/>
  <c r="G59" i="81" s="1"/>
  <c r="G60" i="81" s="1"/>
  <c r="F46" i="81"/>
  <c r="F42" i="81"/>
  <c r="F26" i="81"/>
  <c r="F18" i="81"/>
  <c r="G18" i="81" s="1"/>
  <c r="F17" i="81"/>
  <c r="G17" i="81" s="1"/>
  <c r="F16" i="81"/>
  <c r="G16" i="81" s="1"/>
  <c r="F15" i="81"/>
  <c r="G15" i="81" s="1"/>
  <c r="F14" i="81"/>
  <c r="G14" i="81" s="1"/>
  <c r="F12" i="81"/>
  <c r="G12" i="81" s="1"/>
  <c r="F11" i="81"/>
  <c r="G11" i="81" s="1"/>
  <c r="F10" i="81"/>
  <c r="G10" i="81" s="1"/>
  <c r="F9" i="81"/>
  <c r="G9" i="81" s="1"/>
  <c r="D184" i="81"/>
  <c r="P39" i="1"/>
  <c r="W38" i="1"/>
  <c r="V38" i="1"/>
  <c r="O38" i="1"/>
  <c r="N38" i="1"/>
  <c r="L38" i="1"/>
  <c r="K38" i="1"/>
  <c r="J38" i="1"/>
  <c r="H38" i="1"/>
  <c r="G38" i="1"/>
  <c r="G39" i="81" l="1"/>
  <c r="G126" i="81"/>
  <c r="F43" i="81"/>
  <c r="G42" i="81"/>
  <c r="G43" i="81" s="1"/>
  <c r="G129" i="81"/>
  <c r="G183" i="81" s="1"/>
  <c r="F183" i="81"/>
  <c r="F55" i="81"/>
  <c r="G46" i="81"/>
  <c r="G55" i="81" s="1"/>
  <c r="G114" i="81"/>
  <c r="R38" i="1"/>
  <c r="X38" i="1"/>
  <c r="F96" i="81"/>
  <c r="F85" i="81"/>
  <c r="F114" i="81"/>
  <c r="F75" i="81"/>
  <c r="F126" i="81"/>
  <c r="F39" i="81"/>
  <c r="F60" i="81"/>
  <c r="T188" i="78"/>
  <c r="G184" i="81" l="1"/>
  <c r="Z38" i="1"/>
  <c r="F184" i="81"/>
  <c r="F187" i="81" s="1"/>
  <c r="E26" i="1"/>
  <c r="E39" i="1" s="1"/>
  <c r="E72" i="1"/>
  <c r="E79" i="1" s="1"/>
  <c r="F27" i="78"/>
  <c r="F71" i="78"/>
  <c r="T185" i="1"/>
  <c r="T176" i="1"/>
  <c r="T128" i="1"/>
  <c r="T87" i="1"/>
  <c r="T186" i="1"/>
  <c r="T183" i="1"/>
  <c r="T182" i="1"/>
  <c r="T181" i="1"/>
  <c r="T180" i="1"/>
  <c r="T178" i="1"/>
  <c r="T177" i="1"/>
  <c r="T175" i="1"/>
  <c r="T174" i="1"/>
  <c r="T173" i="1"/>
  <c r="T172" i="1"/>
  <c r="T171" i="1"/>
  <c r="T170" i="1"/>
  <c r="T169" i="1"/>
  <c r="T168" i="1"/>
  <c r="T167" i="1"/>
  <c r="T165" i="1"/>
  <c r="T164" i="1"/>
  <c r="T163" i="1"/>
  <c r="T162" i="1"/>
  <c r="T160" i="1"/>
  <c r="T145" i="1"/>
  <c r="T18" i="1"/>
  <c r="G187" i="81" l="1"/>
  <c r="G190" i="81" s="1"/>
  <c r="G189" i="81"/>
  <c r="D49" i="6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F175" i="78"/>
  <c r="K175" i="78" s="1"/>
  <c r="F174" i="78"/>
  <c r="F173" i="78"/>
  <c r="I173" i="78" s="1"/>
  <c r="F172" i="78"/>
  <c r="L172" i="78" s="1"/>
  <c r="F171" i="78"/>
  <c r="F170" i="78"/>
  <c r="F169" i="78"/>
  <c r="F168" i="78"/>
  <c r="F167" i="78"/>
  <c r="F166" i="78"/>
  <c r="F165" i="78"/>
  <c r="F154" i="78"/>
  <c r="L154" i="78" s="1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I109" i="78" s="1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L67" i="78" s="1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L31" i="78" s="1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1" i="78"/>
  <c r="Y61" i="78" s="1"/>
  <c r="W60" i="78"/>
  <c r="Y60" i="78" s="1"/>
  <c r="W55" i="78"/>
  <c r="Y55" i="78" s="1"/>
  <c r="W49" i="78"/>
  <c r="Y49" i="78" s="1"/>
  <c r="W46" i="78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I186" i="78"/>
  <c r="R185" i="78"/>
  <c r="P185" i="78"/>
  <c r="O185" i="78"/>
  <c r="M185" i="78"/>
  <c r="K185" i="78"/>
  <c r="I185" i="78"/>
  <c r="H185" i="78"/>
  <c r="R184" i="78"/>
  <c r="O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O180" i="78"/>
  <c r="M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O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7" i="78" s="1"/>
  <c r="P156" i="78"/>
  <c r="O156" i="78"/>
  <c r="K156" i="78"/>
  <c r="I156" i="78"/>
  <c r="H156" i="78"/>
  <c r="F156" i="78"/>
  <c r="L156" i="78" s="1"/>
  <c r="P155" i="78"/>
  <c r="O155" i="78"/>
  <c r="M155" i="78"/>
  <c r="K155" i="78"/>
  <c r="I155" i="78"/>
  <c r="H155" i="78"/>
  <c r="F155" i="78"/>
  <c r="L155" i="78" s="1"/>
  <c r="O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M150" i="78"/>
  <c r="O149" i="78"/>
  <c r="O148" i="78"/>
  <c r="P147" i="78"/>
  <c r="O147" i="78"/>
  <c r="M147" i="78"/>
  <c r="I147" i="78"/>
  <c r="H147" i="78"/>
  <c r="L147" i="78"/>
  <c r="O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H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J133" i="78"/>
  <c r="J187" i="78" s="1"/>
  <c r="F133" i="78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F121" i="78"/>
  <c r="K121" i="78" s="1"/>
  <c r="O120" i="78"/>
  <c r="J120" i="78"/>
  <c r="I120" i="78"/>
  <c r="F120" i="78"/>
  <c r="M120" i="78" s="1"/>
  <c r="Q117" i="78"/>
  <c r="J117" i="78"/>
  <c r="N116" i="78"/>
  <c r="F116" i="78"/>
  <c r="M116" i="78" s="1"/>
  <c r="N115" i="78"/>
  <c r="K115" i="78"/>
  <c r="N114" i="78"/>
  <c r="M114" i="78"/>
  <c r="K114" i="78"/>
  <c r="I114" i="78"/>
  <c r="P114" i="78"/>
  <c r="N113" i="78"/>
  <c r="N112" i="78"/>
  <c r="K112" i="78"/>
  <c r="H112" i="78"/>
  <c r="P112" i="78"/>
  <c r="N111" i="78"/>
  <c r="F111" i="78"/>
  <c r="N110" i="78"/>
  <c r="F110" i="78"/>
  <c r="N109" i="78"/>
  <c r="R106" i="78"/>
  <c r="Q106" i="78"/>
  <c r="J106" i="78"/>
  <c r="O105" i="78"/>
  <c r="K105" i="78"/>
  <c r="H105" i="78"/>
  <c r="P105" i="78"/>
  <c r="M104" i="78"/>
  <c r="O103" i="78"/>
  <c r="P103" i="78"/>
  <c r="O102" i="78"/>
  <c r="L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N91" i="78"/>
  <c r="J91" i="78"/>
  <c r="N90" i="78"/>
  <c r="M90" i="78"/>
  <c r="J90" i="78"/>
  <c r="I90" i="78"/>
  <c r="K90" i="78"/>
  <c r="N89" i="78"/>
  <c r="L89" i="78"/>
  <c r="I89" i="78"/>
  <c r="R86" i="78"/>
  <c r="Q86" i="78"/>
  <c r="J86" i="78"/>
  <c r="N85" i="78"/>
  <c r="I85" i="78"/>
  <c r="H85" i="78"/>
  <c r="F85" i="78"/>
  <c r="M85" i="78" s="1"/>
  <c r="P84" i="78"/>
  <c r="N84" i="78"/>
  <c r="M84" i="78"/>
  <c r="L84" i="78"/>
  <c r="K84" i="78"/>
  <c r="I84" i="78"/>
  <c r="H84" i="78"/>
  <c r="N83" i="78"/>
  <c r="F83" i="78"/>
  <c r="P82" i="78"/>
  <c r="N82" i="78"/>
  <c r="I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H80" i="78"/>
  <c r="N79" i="78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F73" i="78"/>
  <c r="N72" i="78"/>
  <c r="M72" i="78"/>
  <c r="P72" i="78"/>
  <c r="N71" i="78"/>
  <c r="K71" i="78"/>
  <c r="L71" i="78"/>
  <c r="N70" i="78"/>
  <c r="M70" i="78"/>
  <c r="I70" i="78"/>
  <c r="H70" i="78"/>
  <c r="F70" i="78"/>
  <c r="L70" i="78" s="1"/>
  <c r="N69" i="78"/>
  <c r="P69" i="78"/>
  <c r="P68" i="78"/>
  <c r="N68" i="78"/>
  <c r="M68" i="78"/>
  <c r="K68" i="78"/>
  <c r="I68" i="78"/>
  <c r="H68" i="78"/>
  <c r="L68" i="78"/>
  <c r="N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J61" i="78"/>
  <c r="P60" i="78"/>
  <c r="O60" i="78"/>
  <c r="O61" i="78" s="1"/>
  <c r="M60" i="78"/>
  <c r="L60" i="78"/>
  <c r="K60" i="78"/>
  <c r="I60" i="78"/>
  <c r="H60" i="78"/>
  <c r="P59" i="78"/>
  <c r="N59" i="78"/>
  <c r="N61" i="78" s="1"/>
  <c r="I59" i="78"/>
  <c r="I61" i="78" s="1"/>
  <c r="H59" i="78"/>
  <c r="F59" i="78"/>
  <c r="F61" i="78" s="1"/>
  <c r="R56" i="78"/>
  <c r="Q56" i="78"/>
  <c r="J56" i="78"/>
  <c r="G56" i="78"/>
  <c r="N55" i="78"/>
  <c r="L54" i="78"/>
  <c r="F54" i="78"/>
  <c r="N53" i="78"/>
  <c r="P52" i="78"/>
  <c r="N52" i="78"/>
  <c r="M52" i="78"/>
  <c r="K52" i="78"/>
  <c r="I52" i="78"/>
  <c r="H52" i="78"/>
  <c r="L52" i="78"/>
  <c r="N51" i="78"/>
  <c r="N50" i="78"/>
  <c r="F50" i="78"/>
  <c r="K50" i="78" s="1"/>
  <c r="N49" i="78"/>
  <c r="N48" i="78"/>
  <c r="F48" i="78"/>
  <c r="N47" i="78"/>
  <c r="F47" i="78"/>
  <c r="N46" i="78"/>
  <c r="H46" i="78"/>
  <c r="F46" i="78"/>
  <c r="L46" i="78" s="1"/>
  <c r="R43" i="78"/>
  <c r="Q43" i="78"/>
  <c r="O43" i="78"/>
  <c r="J43" i="78"/>
  <c r="G43" i="78"/>
  <c r="O42" i="78"/>
  <c r="Q39" i="78"/>
  <c r="G39" i="78"/>
  <c r="O38" i="78"/>
  <c r="I38" i="78"/>
  <c r="F38" i="78"/>
  <c r="P38" i="78" s="1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O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O24" i="78"/>
  <c r="M24" i="78"/>
  <c r="F24" i="78"/>
  <c r="R23" i="78"/>
  <c r="O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J18" i="78"/>
  <c r="J39" i="78" s="1"/>
  <c r="H18" i="78"/>
  <c r="O17" i="78"/>
  <c r="F17" i="78"/>
  <c r="O16" i="78"/>
  <c r="L16" i="78"/>
  <c r="F16" i="78"/>
  <c r="R15" i="78"/>
  <c r="P15" i="78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N10" i="78"/>
  <c r="M10" i="78"/>
  <c r="L10" i="78"/>
  <c r="K10" i="78"/>
  <c r="I10" i="78"/>
  <c r="H10" i="78"/>
  <c r="N9" i="78"/>
  <c r="S9" i="78" s="1"/>
  <c r="U9" i="78" s="1"/>
  <c r="I4" i="78"/>
  <c r="F4" i="78"/>
  <c r="M133" i="78" l="1"/>
  <c r="L133" i="78"/>
  <c r="I24" i="78"/>
  <c r="L24" i="78"/>
  <c r="P24" i="78"/>
  <c r="K24" i="78"/>
  <c r="H24" i="78"/>
  <c r="P54" i="78"/>
  <c r="K54" i="78"/>
  <c r="I54" i="78"/>
  <c r="M54" i="78"/>
  <c r="H54" i="78"/>
  <c r="P17" i="78"/>
  <c r="K17" i="78"/>
  <c r="M73" i="78"/>
  <c r="H73" i="78"/>
  <c r="K110" i="78"/>
  <c r="L110" i="78"/>
  <c r="P110" i="78"/>
  <c r="S110" i="78" s="1"/>
  <c r="U110" i="78" s="1"/>
  <c r="I110" i="78"/>
  <c r="H110" i="78"/>
  <c r="W117" i="78"/>
  <c r="Y117" i="78" s="1"/>
  <c r="Y111" i="78"/>
  <c r="L18" i="78"/>
  <c r="P18" i="78"/>
  <c r="K18" i="78"/>
  <c r="M35" i="78"/>
  <c r="L35" i="78"/>
  <c r="P35" i="78"/>
  <c r="K35" i="78"/>
  <c r="M55" i="78"/>
  <c r="H55" i="78"/>
  <c r="P55" i="78"/>
  <c r="H82" i="78"/>
  <c r="M82" i="78"/>
  <c r="L82" i="78"/>
  <c r="K82" i="78"/>
  <c r="P91" i="78"/>
  <c r="I91" i="78"/>
  <c r="H91" i="78"/>
  <c r="L91" i="78"/>
  <c r="M91" i="78"/>
  <c r="I95" i="78"/>
  <c r="H95" i="78"/>
  <c r="M95" i="78"/>
  <c r="P102" i="78"/>
  <c r="I102" i="78"/>
  <c r="S102" i="78" s="1"/>
  <c r="U102" i="78" s="1"/>
  <c r="H102" i="78"/>
  <c r="M102" i="78"/>
  <c r="K102" i="78"/>
  <c r="H115" i="78"/>
  <c r="P115" i="78"/>
  <c r="M127" i="78"/>
  <c r="K127" i="78"/>
  <c r="I127" i="78"/>
  <c r="L139" i="78"/>
  <c r="P139" i="78"/>
  <c r="K139" i="78"/>
  <c r="I139" i="78"/>
  <c r="S139" i="78" s="1"/>
  <c r="K146" i="78"/>
  <c r="L146" i="78"/>
  <c r="K150" i="78"/>
  <c r="H150" i="78"/>
  <c r="K176" i="78"/>
  <c r="M176" i="78"/>
  <c r="L176" i="78"/>
  <c r="P176" i="78"/>
  <c r="S176" i="78" s="1"/>
  <c r="U176" i="78" s="1"/>
  <c r="I176" i="78"/>
  <c r="K180" i="78"/>
  <c r="P180" i="78"/>
  <c r="I180" i="78"/>
  <c r="S180" i="78" s="1"/>
  <c r="U180" i="78" s="1"/>
  <c r="H180" i="78"/>
  <c r="M184" i="78"/>
  <c r="K184" i="78"/>
  <c r="P16" i="78"/>
  <c r="K16" i="78"/>
  <c r="I16" i="78"/>
  <c r="M16" i="78"/>
  <c r="H16" i="78"/>
  <c r="Q188" i="78"/>
  <c r="P48" i="78"/>
  <c r="H48" i="78"/>
  <c r="S48" i="78" s="1"/>
  <c r="U48" i="78" s="1"/>
  <c r="M110" i="78"/>
  <c r="W56" i="78"/>
  <c r="Y56" i="78" s="1"/>
  <c r="Y46" i="78"/>
  <c r="N39" i="78"/>
  <c r="M23" i="78"/>
  <c r="I46" i="78"/>
  <c r="S46" i="78" s="1"/>
  <c r="U46" i="78" s="1"/>
  <c r="P46" i="78"/>
  <c r="S52" i="78"/>
  <c r="U52" i="78" s="1"/>
  <c r="K59" i="78"/>
  <c r="H61" i="78"/>
  <c r="K70" i="78"/>
  <c r="P70" i="78"/>
  <c r="S70" i="78" s="1"/>
  <c r="U70" i="78" s="1"/>
  <c r="S80" i="78"/>
  <c r="U80" i="78" s="1"/>
  <c r="K85" i="78"/>
  <c r="P85" i="78"/>
  <c r="J129" i="78"/>
  <c r="P120" i="78"/>
  <c r="S186" i="78"/>
  <c r="U186" i="78" s="1"/>
  <c r="W39" i="78"/>
  <c r="Y13" i="78"/>
  <c r="S10" i="78"/>
  <c r="U10" i="78" s="1"/>
  <c r="S15" i="78"/>
  <c r="U15" i="78" s="1"/>
  <c r="S29" i="78"/>
  <c r="U29" i="78" s="1"/>
  <c r="K46" i="78"/>
  <c r="M59" i="78"/>
  <c r="S68" i="78"/>
  <c r="U68" i="78" s="1"/>
  <c r="L85" i="78"/>
  <c r="K120" i="78"/>
  <c r="S135" i="78"/>
  <c r="U135" i="78" s="1"/>
  <c r="W76" i="78"/>
  <c r="Y76" i="78" s="1"/>
  <c r="W106" i="78"/>
  <c r="Y106" i="78" s="1"/>
  <c r="Y104" i="78"/>
  <c r="W129" i="78"/>
  <c r="Y129" i="78" s="1"/>
  <c r="Y120" i="78"/>
  <c r="S19" i="78"/>
  <c r="U19" i="78" s="1"/>
  <c r="M46" i="78"/>
  <c r="N56" i="78"/>
  <c r="P61" i="78"/>
  <c r="N86" i="78"/>
  <c r="S81" i="78"/>
  <c r="U81" i="78" s="1"/>
  <c r="N99" i="78"/>
  <c r="N117" i="78"/>
  <c r="H120" i="78"/>
  <c r="S120" i="78" s="1"/>
  <c r="U120" i="78" s="1"/>
  <c r="L120" i="78"/>
  <c r="M156" i="78"/>
  <c r="S156" i="78" s="1"/>
  <c r="U156" i="78" s="1"/>
  <c r="L157" i="78"/>
  <c r="W43" i="78"/>
  <c r="Y43" i="78" s="1"/>
  <c r="W86" i="78"/>
  <c r="Y86" i="78" s="1"/>
  <c r="Y80" i="78"/>
  <c r="W99" i="78"/>
  <c r="Y99" i="78" s="1"/>
  <c r="Y90" i="78"/>
  <c r="W187" i="78"/>
  <c r="Y134" i="78"/>
  <c r="Y187" i="78" s="1"/>
  <c r="P184" i="78"/>
  <c r="L182" i="78"/>
  <c r="S182" i="78"/>
  <c r="U182" i="78" s="1"/>
  <c r="I177" i="78"/>
  <c r="P178" i="78"/>
  <c r="S179" i="78"/>
  <c r="U179" i="78" s="1"/>
  <c r="S147" i="78"/>
  <c r="U147" i="78" s="1"/>
  <c r="S140" i="78"/>
  <c r="U140" i="78" s="1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S55" i="78" s="1"/>
  <c r="U55" i="78" s="1"/>
  <c r="M61" i="78"/>
  <c r="H64" i="78"/>
  <c r="U64" i="78" s="1"/>
  <c r="P64" i="78"/>
  <c r="S66" i="78"/>
  <c r="U66" i="78" s="1"/>
  <c r="K67" i="78"/>
  <c r="K76" i="78" s="1"/>
  <c r="I71" i="78"/>
  <c r="K72" i="78"/>
  <c r="L73" i="78"/>
  <c r="I73" i="78"/>
  <c r="K75" i="78"/>
  <c r="S84" i="78"/>
  <c r="U84" i="78" s="1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L74" i="78"/>
  <c r="I74" i="78"/>
  <c r="S74" i="78" s="1"/>
  <c r="U74" i="78" s="1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L49" i="78"/>
  <c r="K51" i="78"/>
  <c r="K53" i="78"/>
  <c r="K69" i="78"/>
  <c r="K79" i="78"/>
  <c r="K86" i="78" s="1"/>
  <c r="L83" i="78"/>
  <c r="F86" i="78"/>
  <c r="H90" i="78"/>
  <c r="L90" i="78"/>
  <c r="S90" i="78" s="1"/>
  <c r="U90" i="78" s="1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M96" i="78"/>
  <c r="L96" i="78"/>
  <c r="I96" i="78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S103" i="78" s="1"/>
  <c r="U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O106" i="78"/>
  <c r="M105" i="78"/>
  <c r="L105" i="78"/>
  <c r="I105" i="78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S134" i="78" s="1"/>
  <c r="U134" i="78" s="1"/>
  <c r="I134" i="78"/>
  <c r="L159" i="78"/>
  <c r="K159" i="78"/>
  <c r="P159" i="78"/>
  <c r="H159" i="78"/>
  <c r="M159" i="78"/>
  <c r="I159" i="78"/>
  <c r="J99" i="78"/>
  <c r="S97" i="78"/>
  <c r="U97" i="78" s="1"/>
  <c r="L109" i="78"/>
  <c r="K109" i="78"/>
  <c r="F117" i="78"/>
  <c r="P109" i="78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M148" i="78"/>
  <c r="K148" i="78"/>
  <c r="L148" i="78"/>
  <c r="I148" i="78"/>
  <c r="H148" i="78"/>
  <c r="P148" i="78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U145" i="78" s="1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S172" i="78" s="1"/>
  <c r="U172" i="78" s="1"/>
  <c r="M172" i="78"/>
  <c r="K172" i="78"/>
  <c r="K128" i="78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S157" i="78" s="1"/>
  <c r="U157" i="78" s="1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S98" i="78" s="1"/>
  <c r="U98" i="78" s="1"/>
  <c r="H114" i="78"/>
  <c r="H125" i="78"/>
  <c r="H127" i="78"/>
  <c r="H133" i="78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H157" i="78"/>
  <c r="L160" i="78"/>
  <c r="I168" i="78"/>
  <c r="I169" i="78"/>
  <c r="P169" i="78"/>
  <c r="H169" i="78"/>
  <c r="M169" i="78"/>
  <c r="K169" i="78"/>
  <c r="I174" i="78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U167" i="78" s="1"/>
  <c r="P167" i="78"/>
  <c r="M168" i="78"/>
  <c r="H170" i="78"/>
  <c r="P170" i="78"/>
  <c r="H173" i="78"/>
  <c r="P173" i="78"/>
  <c r="S173" i="78" s="1"/>
  <c r="U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N188" i="78" l="1"/>
  <c r="S174" i="78"/>
  <c r="U174" i="78" s="1"/>
  <c r="S138" i="78"/>
  <c r="U138" i="78" s="1"/>
  <c r="K129" i="78"/>
  <c r="S126" i="78"/>
  <c r="U126" i="78" s="1"/>
  <c r="P117" i="78"/>
  <c r="S72" i="78"/>
  <c r="U72" i="78" s="1"/>
  <c r="L56" i="78"/>
  <c r="S47" i="78"/>
  <c r="U47" i="78" s="1"/>
  <c r="L86" i="78"/>
  <c r="W188" i="78"/>
  <c r="Y39" i="78"/>
  <c r="S16" i="78"/>
  <c r="U16" i="78" s="1"/>
  <c r="M106" i="78"/>
  <c r="K56" i="78"/>
  <c r="S38" i="78"/>
  <c r="U38" i="78" s="1"/>
  <c r="S54" i="78"/>
  <c r="U54" i="78" s="1"/>
  <c r="S137" i="78"/>
  <c r="U137" i="78" s="1"/>
  <c r="S160" i="78"/>
  <c r="U160" i="78" s="1"/>
  <c r="S159" i="78"/>
  <c r="U159" i="78" s="1"/>
  <c r="S124" i="78"/>
  <c r="U124" i="78" s="1"/>
  <c r="I117" i="78"/>
  <c r="S105" i="78"/>
  <c r="U105" i="78" s="1"/>
  <c r="S95" i="78"/>
  <c r="U95" i="78" s="1"/>
  <c r="S122" i="78"/>
  <c r="U122" i="78" s="1"/>
  <c r="S83" i="78"/>
  <c r="U83" i="78" s="1"/>
  <c r="S35" i="78"/>
  <c r="U35" i="78" s="1"/>
  <c r="S69" i="78"/>
  <c r="U69" i="78" s="1"/>
  <c r="S23" i="78"/>
  <c r="U23" i="78" s="1"/>
  <c r="S50" i="78"/>
  <c r="U50" i="78" s="1"/>
  <c r="S170" i="78"/>
  <c r="U170" i="78" s="1"/>
  <c r="S151" i="78"/>
  <c r="U151" i="78" s="1"/>
  <c r="S152" i="78"/>
  <c r="U152" i="78" s="1"/>
  <c r="S133" i="78"/>
  <c r="U133" i="78" s="1"/>
  <c r="S166" i="78"/>
  <c r="U166" i="78" s="1"/>
  <c r="J188" i="78"/>
  <c r="S91" i="78"/>
  <c r="U91" i="78" s="1"/>
  <c r="I99" i="78"/>
  <c r="M86" i="78"/>
  <c r="S67" i="78"/>
  <c r="U67" i="78" s="1"/>
  <c r="S73" i="78"/>
  <c r="U73" i="78" s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U187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X20" i="77"/>
  <c r="Z20" i="77"/>
  <c r="F10" i="77"/>
  <c r="M10" i="77" s="1"/>
  <c r="H10" i="77"/>
  <c r="I10" i="77"/>
  <c r="K10" i="77"/>
  <c r="L10" i="77"/>
  <c r="N10" i="77"/>
  <c r="P10" i="77"/>
  <c r="Q19" i="77"/>
  <c r="Q20" i="77" s="1"/>
  <c r="G19" i="77"/>
  <c r="F18" i="77"/>
  <c r="P18" i="77" s="1"/>
  <c r="J19" i="77"/>
  <c r="Q15" i="77"/>
  <c r="R14" i="77"/>
  <c r="O14" i="77"/>
  <c r="J14" i="77"/>
  <c r="F14" i="77"/>
  <c r="H14" i="77" s="1"/>
  <c r="R11" i="77"/>
  <c r="Q11" i="77"/>
  <c r="J11" i="77"/>
  <c r="G11" i="77"/>
  <c r="G20" i="77" s="1"/>
  <c r="I4" i="77"/>
  <c r="F4" i="77"/>
  <c r="P188" i="78" l="1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61" i="78"/>
  <c r="U61" i="78" s="1"/>
  <c r="S187" i="78"/>
  <c r="S39" i="78"/>
  <c r="S56" i="78"/>
  <c r="U56" i="78" s="1"/>
  <c r="S86" i="78"/>
  <c r="U86" i="78" s="1"/>
  <c r="Y10" i="77"/>
  <c r="Y11" i="77" s="1"/>
  <c r="S10" i="77"/>
  <c r="AA10" i="77" s="1"/>
  <c r="P14" i="77"/>
  <c r="Y18" i="77"/>
  <c r="W11" i="77"/>
  <c r="W20" i="77" s="1"/>
  <c r="H18" i="77"/>
  <c r="Y14" i="77"/>
  <c r="I18" i="77"/>
  <c r="I14" i="77"/>
  <c r="L18" i="77"/>
  <c r="O15" i="77"/>
  <c r="K18" i="77"/>
  <c r="R15" i="77"/>
  <c r="M18" i="77"/>
  <c r="N11" i="77"/>
  <c r="N20" i="77" s="1"/>
  <c r="K14" i="77"/>
  <c r="F11" i="77"/>
  <c r="V19" i="77"/>
  <c r="V20" i="77" s="1"/>
  <c r="F15" i="77"/>
  <c r="U19" i="77"/>
  <c r="R19" i="77"/>
  <c r="R20" i="77" s="1"/>
  <c r="J15" i="77"/>
  <c r="J20" i="77" s="1"/>
  <c r="F19" i="77"/>
  <c r="F20" i="77" s="1"/>
  <c r="L14" i="77"/>
  <c r="M14" i="77"/>
  <c r="M15" i="77" s="1"/>
  <c r="O19" i="77"/>
  <c r="O20" i="77" s="1"/>
  <c r="U20" i="77" l="1"/>
  <c r="H15" i="77"/>
  <c r="S18" i="77"/>
  <c r="AA18" i="77" s="1"/>
  <c r="P19" i="77"/>
  <c r="M19" i="77"/>
  <c r="M20" i="77" s="1"/>
  <c r="I19" i="77"/>
  <c r="S14" i="77"/>
  <c r="AA14" i="77" s="1"/>
  <c r="P11" i="77"/>
  <c r="L19" i="77"/>
  <c r="I11" i="77"/>
  <c r="K15" i="77"/>
  <c r="H19" i="77"/>
  <c r="K19" i="77"/>
  <c r="L15" i="77"/>
  <c r="M11" i="77"/>
  <c r="K11" i="77"/>
  <c r="Y15" i="77"/>
  <c r="I15" i="77"/>
  <c r="Y19" i="77"/>
  <c r="L11" i="77"/>
  <c r="P15" i="77"/>
  <c r="H11" i="77"/>
  <c r="T189" i="1"/>
  <c r="T179" i="1"/>
  <c r="U179" i="1"/>
  <c r="U136" i="1"/>
  <c r="U47" i="1"/>
  <c r="K20" i="77" l="1"/>
  <c r="L20" i="77"/>
  <c r="H20" i="77"/>
  <c r="P20" i="77"/>
  <c r="I20" i="77"/>
  <c r="Y20" i="77"/>
  <c r="AA19" i="77"/>
  <c r="S15" i="77"/>
  <c r="AA15" i="77"/>
  <c r="S19" i="77"/>
  <c r="S20" i="77" s="1"/>
  <c r="AA11" i="77"/>
  <c r="S11" i="77"/>
  <c r="AA20" i="77" l="1"/>
  <c r="T159" i="1"/>
  <c r="V160" i="1"/>
  <c r="X160" i="1" s="1"/>
  <c r="N160" i="1"/>
  <c r="L160" i="1"/>
  <c r="J160" i="1"/>
  <c r="V159" i="1"/>
  <c r="N159" i="1"/>
  <c r="L159" i="1"/>
  <c r="T37" i="1"/>
  <c r="U108" i="1"/>
  <c r="U117" i="1"/>
  <c r="U141" i="1"/>
  <c r="T127" i="1"/>
  <c r="T119" i="1"/>
  <c r="T118" i="1"/>
  <c r="U31" i="1"/>
  <c r="U30" i="1"/>
  <c r="U15" i="1"/>
  <c r="K160" i="1" l="1"/>
  <c r="X159" i="1"/>
  <c r="G159" i="1"/>
  <c r="O159" i="1"/>
  <c r="H159" i="1"/>
  <c r="J159" i="1"/>
  <c r="G160" i="1"/>
  <c r="O160" i="1"/>
  <c r="K159" i="1"/>
  <c r="H160" i="1"/>
  <c r="R160" i="1" l="1"/>
  <c r="Z160" i="1" s="1"/>
  <c r="R159" i="1"/>
  <c r="Z159" i="1" s="1"/>
  <c r="W178" i="1" l="1"/>
  <c r="U178" i="1"/>
  <c r="Q189" i="1"/>
  <c r="Q190" i="1"/>
  <c r="U190" i="1"/>
  <c r="X190" i="1" s="1"/>
  <c r="N190" i="1"/>
  <c r="L190" i="1"/>
  <c r="K190" i="1"/>
  <c r="J190" i="1"/>
  <c r="H190" i="1"/>
  <c r="G190" i="1" l="1"/>
  <c r="O190" i="1"/>
  <c r="R190" i="1" l="1"/>
  <c r="Z190" i="1" s="1"/>
  <c r="G45" i="68"/>
  <c r="U168" i="1"/>
  <c r="U158" i="1"/>
  <c r="T158" i="1"/>
  <c r="T61" i="1"/>
  <c r="N188" i="1" l="1"/>
  <c r="X189" i="1"/>
  <c r="N189" i="1"/>
  <c r="L189" i="1"/>
  <c r="K189" i="1"/>
  <c r="J189" i="1"/>
  <c r="H189" i="1"/>
  <c r="O189" i="1"/>
  <c r="G189" i="1" l="1"/>
  <c r="R189" i="1" l="1"/>
  <c r="Z189" i="1" s="1"/>
  <c r="W127" i="1"/>
  <c r="W42" i="1"/>
  <c r="W44" i="1" s="1"/>
  <c r="Z10" i="75" l="1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L9" i="75" l="1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AA6" i="75"/>
  <c r="AB6" i="75"/>
  <c r="AA7" i="75"/>
  <c r="AB7" i="75"/>
  <c r="AA4" i="75"/>
  <c r="AB4" i="75"/>
  <c r="AA5" i="75"/>
  <c r="AB5" i="75"/>
  <c r="AA8" i="75"/>
  <c r="AB8" i="75"/>
  <c r="S10" i="75"/>
  <c r="T72" i="1"/>
  <c r="U72" i="1"/>
  <c r="U86" i="1"/>
  <c r="U150" i="1"/>
  <c r="U115" i="1"/>
  <c r="U88" i="1"/>
  <c r="U186" i="1"/>
  <c r="U24" i="1"/>
  <c r="U149" i="1"/>
  <c r="U61" i="1"/>
  <c r="U62" i="1" s="1"/>
  <c r="U144" i="1"/>
  <c r="U147" i="1"/>
  <c r="U50" i="1"/>
  <c r="T150" i="1"/>
  <c r="Q116" i="84" l="1"/>
  <c r="R116" i="84" s="1"/>
  <c r="Z116" i="84" s="1"/>
  <c r="R113" i="78"/>
  <c r="S113" i="78" s="1"/>
  <c r="U113" i="78" s="1"/>
  <c r="Q116" i="1"/>
  <c r="Q118" i="84"/>
  <c r="R118" i="84" s="1"/>
  <c r="Z118" i="84" s="1"/>
  <c r="R115" i="78"/>
  <c r="S115" i="78" s="1"/>
  <c r="U115" i="78" s="1"/>
  <c r="Q118" i="1"/>
  <c r="Q114" i="84"/>
  <c r="R111" i="78"/>
  <c r="Q114" i="1"/>
  <c r="Q115" i="84"/>
  <c r="R115" i="84" s="1"/>
  <c r="Z115" i="84" s="1"/>
  <c r="R112" i="78"/>
  <c r="S112" i="78" s="1"/>
  <c r="U112" i="78" s="1"/>
  <c r="Q115" i="1"/>
  <c r="Q117" i="84"/>
  <c r="R117" i="84" s="1"/>
  <c r="Z117" i="84" s="1"/>
  <c r="R114" i="78"/>
  <c r="S114" i="78" s="1"/>
  <c r="U114" i="78" s="1"/>
  <c r="Q117" i="1"/>
  <c r="Q119" i="84"/>
  <c r="R119" i="84" s="1"/>
  <c r="Z119" i="84" s="1"/>
  <c r="R116" i="78"/>
  <c r="S116" i="78" s="1"/>
  <c r="U116" i="78" s="1"/>
  <c r="Q119" i="1"/>
  <c r="AB10" i="75"/>
  <c r="AA10" i="75"/>
  <c r="I62" i="1"/>
  <c r="P62" i="1"/>
  <c r="Q62" i="1"/>
  <c r="V62" i="1"/>
  <c r="I109" i="1"/>
  <c r="P109" i="1"/>
  <c r="Q109" i="1"/>
  <c r="I120" i="1"/>
  <c r="P120" i="1"/>
  <c r="Q120" i="1"/>
  <c r="P132" i="1"/>
  <c r="AG20" i="74"/>
  <c r="AH20" i="74"/>
  <c r="W50" i="1"/>
  <c r="N184" i="1"/>
  <c r="N183" i="1"/>
  <c r="N182" i="1"/>
  <c r="N181" i="1"/>
  <c r="N180" i="1"/>
  <c r="N151" i="1"/>
  <c r="N150" i="1"/>
  <c r="N149" i="1"/>
  <c r="M72" i="1"/>
  <c r="AC26" i="74"/>
  <c r="M70" i="1"/>
  <c r="AC19" i="74"/>
  <c r="M53" i="1"/>
  <c r="AC18" i="74"/>
  <c r="AC20" i="74" s="1"/>
  <c r="M50" i="1"/>
  <c r="M21" i="1"/>
  <c r="AC48" i="74"/>
  <c r="AC47" i="74"/>
  <c r="AC46" i="74"/>
  <c r="AC11" i="74"/>
  <c r="AC10" i="74"/>
  <c r="AC9" i="74"/>
  <c r="W30" i="1"/>
  <c r="W29" i="1"/>
  <c r="W37" i="1"/>
  <c r="W36" i="1"/>
  <c r="R117" i="78" l="1"/>
  <c r="R188" i="78" s="1"/>
  <c r="S111" i="78"/>
  <c r="Q120" i="84"/>
  <c r="Q192" i="84" s="1"/>
  <c r="R114" i="84"/>
  <c r="V158" i="1"/>
  <c r="N158" i="1"/>
  <c r="K158" i="1"/>
  <c r="X139" i="1"/>
  <c r="O139" i="1"/>
  <c r="L139" i="1"/>
  <c r="K139" i="1"/>
  <c r="J139" i="1"/>
  <c r="H139" i="1"/>
  <c r="G139" i="1"/>
  <c r="L131" i="1"/>
  <c r="W131" i="1"/>
  <c r="X131" i="1" s="1"/>
  <c r="N131" i="1"/>
  <c r="X127" i="1"/>
  <c r="O127" i="1"/>
  <c r="N127" i="1"/>
  <c r="W35" i="1"/>
  <c r="T35" i="1"/>
  <c r="N35" i="1"/>
  <c r="O35" i="1"/>
  <c r="T34" i="1"/>
  <c r="X34" i="1" s="1"/>
  <c r="N34" i="1"/>
  <c r="O34" i="1"/>
  <c r="L119" i="1"/>
  <c r="L118" i="1"/>
  <c r="X119" i="1"/>
  <c r="M119" i="1"/>
  <c r="X118" i="1"/>
  <c r="M118" i="1"/>
  <c r="K107" i="1"/>
  <c r="W107" i="1"/>
  <c r="X107" i="1" s="1"/>
  <c r="K105" i="1"/>
  <c r="W105" i="1"/>
  <c r="U105" i="1"/>
  <c r="N105" i="1"/>
  <c r="N42" i="1"/>
  <c r="N44" i="1" s="1"/>
  <c r="O37" i="1"/>
  <c r="V37" i="1"/>
  <c r="N37" i="1"/>
  <c r="Z114" i="84" l="1"/>
  <c r="Z120" i="84" s="1"/>
  <c r="Z192" i="84" s="1"/>
  <c r="R120" i="84"/>
  <c r="R192" i="84" s="1"/>
  <c r="U111" i="78"/>
  <c r="S117" i="78"/>
  <c r="X158" i="1"/>
  <c r="V191" i="1"/>
  <c r="G105" i="1"/>
  <c r="H105" i="1"/>
  <c r="J105" i="1"/>
  <c r="L127" i="1"/>
  <c r="O42" i="1"/>
  <c r="O44" i="1" s="1"/>
  <c r="L35" i="1"/>
  <c r="G158" i="1"/>
  <c r="H35" i="1"/>
  <c r="O158" i="1"/>
  <c r="H158" i="1"/>
  <c r="X35" i="1"/>
  <c r="J158" i="1"/>
  <c r="R139" i="1"/>
  <c r="Z139" i="1" s="1"/>
  <c r="L158" i="1"/>
  <c r="X105" i="1"/>
  <c r="H34" i="1"/>
  <c r="J131" i="1"/>
  <c r="J34" i="1"/>
  <c r="K131" i="1"/>
  <c r="X37" i="1"/>
  <c r="L105" i="1"/>
  <c r="J107" i="1"/>
  <c r="K34" i="1"/>
  <c r="J35" i="1"/>
  <c r="L107" i="1"/>
  <c r="O119" i="1"/>
  <c r="L34" i="1"/>
  <c r="K35" i="1"/>
  <c r="G131" i="1"/>
  <c r="O131" i="1"/>
  <c r="H131" i="1"/>
  <c r="J127" i="1"/>
  <c r="H127" i="1"/>
  <c r="K127" i="1"/>
  <c r="G127" i="1"/>
  <c r="G34" i="1"/>
  <c r="G35" i="1"/>
  <c r="J42" i="1"/>
  <c r="J44" i="1" s="1"/>
  <c r="K118" i="1"/>
  <c r="G119" i="1"/>
  <c r="K42" i="1"/>
  <c r="K44" i="1" s="1"/>
  <c r="H119" i="1"/>
  <c r="X42" i="1"/>
  <c r="X44" i="1" s="1"/>
  <c r="O105" i="1"/>
  <c r="O118" i="1"/>
  <c r="K119" i="1"/>
  <c r="G118" i="1"/>
  <c r="H42" i="1"/>
  <c r="H44" i="1" s="1"/>
  <c r="H118" i="1"/>
  <c r="J118" i="1"/>
  <c r="J119" i="1"/>
  <c r="O107" i="1"/>
  <c r="G107" i="1"/>
  <c r="H107" i="1"/>
  <c r="L42" i="1"/>
  <c r="L44" i="1" s="1"/>
  <c r="G42" i="1"/>
  <c r="G44" i="1" s="1"/>
  <c r="G37" i="1"/>
  <c r="H37" i="1"/>
  <c r="J37" i="1"/>
  <c r="K37" i="1"/>
  <c r="L37" i="1"/>
  <c r="AI47" i="74"/>
  <c r="AI48" i="74"/>
  <c r="AI55" i="74"/>
  <c r="AI56" i="74"/>
  <c r="AI57" i="74"/>
  <c r="AI58" i="74"/>
  <c r="AI59" i="74"/>
  <c r="AI46" i="74"/>
  <c r="AI26" i="74"/>
  <c r="AI19" i="74"/>
  <c r="AI18" i="74"/>
  <c r="AI20" i="74" s="1"/>
  <c r="AI10" i="74"/>
  <c r="AI11" i="74"/>
  <c r="AI9" i="74"/>
  <c r="AH12" i="74"/>
  <c r="AH13" i="74" s="1"/>
  <c r="AH27" i="74"/>
  <c r="AH28" i="74" s="1"/>
  <c r="AH54" i="74"/>
  <c r="AI54" i="74" s="1"/>
  <c r="AH53" i="74"/>
  <c r="AI53" i="74" s="1"/>
  <c r="AH52" i="74"/>
  <c r="AH51" i="74"/>
  <c r="AI51" i="74" s="1"/>
  <c r="AH50" i="74"/>
  <c r="AI50" i="74" s="1"/>
  <c r="AH49" i="74"/>
  <c r="AH60" i="74" s="1"/>
  <c r="AG12" i="74"/>
  <c r="AG13" i="74" s="1"/>
  <c r="AG27" i="74"/>
  <c r="AG28" i="74" s="1"/>
  <c r="AG54" i="74"/>
  <c r="AG53" i="74"/>
  <c r="AG52" i="74"/>
  <c r="AI52" i="74" s="1"/>
  <c r="AG51" i="74"/>
  <c r="AG50" i="74"/>
  <c r="AG49" i="74"/>
  <c r="AG60" i="74" s="1"/>
  <c r="T61" i="74"/>
  <c r="Z61" i="74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C27" i="74"/>
  <c r="S23" i="74"/>
  <c r="H18" i="74"/>
  <c r="I18" i="74"/>
  <c r="K18" i="74"/>
  <c r="L18" i="74"/>
  <c r="M18" i="74"/>
  <c r="N18" i="74"/>
  <c r="P18" i="74"/>
  <c r="U18" i="74"/>
  <c r="V18" i="74"/>
  <c r="AC60" i="74" l="1"/>
  <c r="AI12" i="74"/>
  <c r="U117" i="78"/>
  <c r="U188" i="78" s="1"/>
  <c r="S188" i="78"/>
  <c r="AC28" i="74"/>
  <c r="AD12" i="74"/>
  <c r="AC13" i="74"/>
  <c r="AG61" i="74"/>
  <c r="AH61" i="74"/>
  <c r="AI27" i="74"/>
  <c r="AI28" i="74" s="1"/>
  <c r="AI49" i="74"/>
  <c r="AI60" i="74"/>
  <c r="R105" i="1"/>
  <c r="R127" i="1"/>
  <c r="R42" i="1"/>
  <c r="R44" i="1" s="1"/>
  <c r="AI13" i="74"/>
  <c r="R158" i="1"/>
  <c r="Z158" i="1" s="1"/>
  <c r="R131" i="1"/>
  <c r="Z131" i="1" s="1"/>
  <c r="R35" i="1"/>
  <c r="Z35" i="1" s="1"/>
  <c r="R107" i="1"/>
  <c r="Z107" i="1" s="1"/>
  <c r="R34" i="1"/>
  <c r="Z34" i="1" s="1"/>
  <c r="Z127" i="1"/>
  <c r="Z105" i="1"/>
  <c r="R119" i="1"/>
  <c r="Z119" i="1" s="1"/>
  <c r="R118" i="1"/>
  <c r="R37" i="1"/>
  <c r="Z37" i="1" s="1"/>
  <c r="Y18" i="74"/>
  <c r="S18" i="74"/>
  <c r="AD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AE18" i="74" l="1"/>
  <c r="AI61" i="74"/>
  <c r="AF12" i="74"/>
  <c r="AE12" i="74"/>
  <c r="AC61" i="74"/>
  <c r="Z118" i="1"/>
  <c r="Z42" i="1"/>
  <c r="Z44" i="1" s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U61" i="74" l="1"/>
  <c r="X61" i="74"/>
  <c r="V61" i="74"/>
  <c r="AF18" i="74"/>
  <c r="W61" i="74"/>
  <c r="L13" i="74"/>
  <c r="P31" i="74"/>
  <c r="L37" i="74"/>
  <c r="H13" i="74"/>
  <c r="S59" i="74"/>
  <c r="H31" i="74"/>
  <c r="S57" i="74"/>
  <c r="S48" i="74"/>
  <c r="J61" i="74"/>
  <c r="M37" i="74"/>
  <c r="Y40" i="74"/>
  <c r="R61" i="74"/>
  <c r="L40" i="74"/>
  <c r="P37" i="74"/>
  <c r="S46" i="74"/>
  <c r="Y31" i="74"/>
  <c r="K13" i="74"/>
  <c r="S47" i="74"/>
  <c r="M31" i="74"/>
  <c r="AA10" i="74"/>
  <c r="AD10" i="74"/>
  <c r="S19" i="74"/>
  <c r="S50" i="74"/>
  <c r="S27" i="74"/>
  <c r="M43" i="74"/>
  <c r="S56" i="74"/>
  <c r="P43" i="74"/>
  <c r="M40" i="74"/>
  <c r="K28" i="74"/>
  <c r="P40" i="74"/>
  <c r="S51" i="74"/>
  <c r="I37" i="74"/>
  <c r="K31" i="74"/>
  <c r="Y20" i="74"/>
  <c r="I60" i="74"/>
  <c r="Y34" i="74"/>
  <c r="I28" i="74"/>
  <c r="H28" i="74"/>
  <c r="P20" i="74"/>
  <c r="S53" i="74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L60" i="74"/>
  <c r="S55" i="74"/>
  <c r="S54" i="74"/>
  <c r="I31" i="74"/>
  <c r="I40" i="74"/>
  <c r="P34" i="74"/>
  <c r="M28" i="74"/>
  <c r="L28" i="74"/>
  <c r="P13" i="74"/>
  <c r="F61" i="74"/>
  <c r="Y60" i="74"/>
  <c r="I34" i="74"/>
  <c r="S52" i="74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H43" i="74"/>
  <c r="Y28" i="74"/>
  <c r="H20" i="74"/>
  <c r="K43" i="74"/>
  <c r="K34" i="74"/>
  <c r="S9" i="74"/>
  <c r="Y61" i="74" l="1"/>
  <c r="AA52" i="74"/>
  <c r="AD52" i="74"/>
  <c r="AE52" i="74" s="1"/>
  <c r="AF52" i="74" s="1"/>
  <c r="AA56" i="74"/>
  <c r="AD56" i="74"/>
  <c r="AE56" i="74" s="1"/>
  <c r="AF56" i="74" s="1"/>
  <c r="AA47" i="74"/>
  <c r="AD47" i="74"/>
  <c r="AE47" i="74" s="1"/>
  <c r="AF47" i="74" s="1"/>
  <c r="AA49" i="74"/>
  <c r="AD49" i="74"/>
  <c r="AE49" i="74" s="1"/>
  <c r="AF49" i="74" s="1"/>
  <c r="AE10" i="74"/>
  <c r="AF10" i="74"/>
  <c r="AA59" i="74"/>
  <c r="AD59" i="74"/>
  <c r="AE59" i="74" s="1"/>
  <c r="AF59" i="74" s="1"/>
  <c r="AA58" i="74"/>
  <c r="AD58" i="74"/>
  <c r="AE58" i="74" s="1"/>
  <c r="AF58" i="74" s="1"/>
  <c r="AA54" i="74"/>
  <c r="AD54" i="74"/>
  <c r="AE54" i="74" s="1"/>
  <c r="AF54" i="74" s="1"/>
  <c r="AA53" i="74"/>
  <c r="AD53" i="74"/>
  <c r="AE53" i="74" s="1"/>
  <c r="AF53" i="74" s="1"/>
  <c r="AA48" i="74"/>
  <c r="AD48" i="74"/>
  <c r="AE48" i="74" s="1"/>
  <c r="AF48" i="74" s="1"/>
  <c r="AA55" i="74"/>
  <c r="AD55" i="74"/>
  <c r="AE55" i="74" s="1"/>
  <c r="AF55" i="74" s="1"/>
  <c r="AA51" i="74"/>
  <c r="AD51" i="74"/>
  <c r="AE51" i="74" s="1"/>
  <c r="AF51" i="74" s="1"/>
  <c r="AA50" i="74"/>
  <c r="AD50" i="74"/>
  <c r="AE50" i="74" s="1"/>
  <c r="AF50" i="74" s="1"/>
  <c r="AA46" i="74"/>
  <c r="AA60" i="74" s="1"/>
  <c r="AD46" i="74"/>
  <c r="AA57" i="74"/>
  <c r="AD57" i="74"/>
  <c r="AE57" i="74" s="1"/>
  <c r="AF57" i="74" s="1"/>
  <c r="AK10" i="74"/>
  <c r="AA27" i="74"/>
  <c r="AD27" i="74"/>
  <c r="AE27" i="74" s="1"/>
  <c r="AA26" i="74"/>
  <c r="AD26" i="74"/>
  <c r="AA19" i="74"/>
  <c r="AA20" i="74" s="1"/>
  <c r="AD19" i="74"/>
  <c r="AD20" i="74" s="1"/>
  <c r="AA11" i="74"/>
  <c r="AD11" i="74"/>
  <c r="M61" i="74"/>
  <c r="AA9" i="74"/>
  <c r="AD9" i="74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S28" i="74"/>
  <c r="AA34" i="74"/>
  <c r="AE11" i="74" l="1"/>
  <c r="AF11" i="74" s="1"/>
  <c r="AE26" i="74"/>
  <c r="AD28" i="74"/>
  <c r="AE46" i="74"/>
  <c r="AD60" i="74"/>
  <c r="AE9" i="74"/>
  <c r="AK9" i="74" s="1"/>
  <c r="AD13" i="74"/>
  <c r="AD61" i="74" s="1"/>
  <c r="AF27" i="74"/>
  <c r="AK27" i="74"/>
  <c r="AA28" i="74"/>
  <c r="AE19" i="74"/>
  <c r="AA13" i="74"/>
  <c r="S61" i="74"/>
  <c r="C23" i="69"/>
  <c r="C22" i="69"/>
  <c r="C24" i="69" s="1"/>
  <c r="C25" i="69" s="1"/>
  <c r="C19" i="69"/>
  <c r="C18" i="69"/>
  <c r="C17" i="69"/>
  <c r="C14" i="69"/>
  <c r="C13" i="69"/>
  <c r="C12" i="69"/>
  <c r="C9" i="69"/>
  <c r="C8" i="69"/>
  <c r="C7" i="69"/>
  <c r="C4" i="69"/>
  <c r="C10" i="69" s="1"/>
  <c r="N30" i="1"/>
  <c r="M24" i="1"/>
  <c r="Q23" i="1"/>
  <c r="M10" i="1"/>
  <c r="C160" i="68"/>
  <c r="G51" i="68"/>
  <c r="F50" i="68"/>
  <c r="F49" i="68"/>
  <c r="F48" i="68"/>
  <c r="F47" i="68"/>
  <c r="F46" i="68"/>
  <c r="F45" i="68"/>
  <c r="F44" i="68"/>
  <c r="F43" i="68"/>
  <c r="F42" i="68"/>
  <c r="F41" i="68"/>
  <c r="F40" i="68"/>
  <c r="H28" i="68"/>
  <c r="AF26" i="74" l="1"/>
  <c r="AF28" i="74" s="1"/>
  <c r="AE28" i="74"/>
  <c r="AF19" i="74"/>
  <c r="AF20" i="74" s="1"/>
  <c r="AE20" i="74"/>
  <c r="AF9" i="74"/>
  <c r="AF13" i="74" s="1"/>
  <c r="AF46" i="74"/>
  <c r="AF60" i="74" s="1"/>
  <c r="AE60" i="74"/>
  <c r="AE13" i="74"/>
  <c r="AA61" i="74"/>
  <c r="F51" i="68"/>
  <c r="AE61" i="74" l="1"/>
  <c r="AF61" i="74" s="1"/>
  <c r="AI63" i="74" s="1"/>
  <c r="X54" i="1"/>
  <c r="X151" i="1"/>
  <c r="X153" i="1"/>
  <c r="X60" i="1"/>
  <c r="X53" i="1"/>
  <c r="X28" i="1"/>
  <c r="X9" i="1"/>
  <c r="T62" i="1"/>
  <c r="U154" i="1" l="1"/>
  <c r="U185" i="1"/>
  <c r="U183" i="1"/>
  <c r="U175" i="1"/>
  <c r="U173" i="1"/>
  <c r="U170" i="1"/>
  <c r="U169" i="1"/>
  <c r="U167" i="1"/>
  <c r="U165" i="1"/>
  <c r="U162" i="1"/>
  <c r="U129" i="1"/>
  <c r="X185" i="1" l="1"/>
  <c r="X154" i="1"/>
  <c r="U55" i="1"/>
  <c r="T55" i="1"/>
  <c r="U48" i="1"/>
  <c r="T47" i="1"/>
  <c r="U36" i="1"/>
  <c r="U25" i="1"/>
  <c r="T15" i="1"/>
  <c r="X48" i="1" l="1"/>
  <c r="M27" i="1"/>
  <c r="T126" i="1" l="1"/>
  <c r="T123" i="1" l="1"/>
  <c r="Q188" i="1" l="1"/>
  <c r="N187" i="1"/>
  <c r="Q187" i="1"/>
  <c r="N186" i="1"/>
  <c r="Q186" i="1"/>
  <c r="N185" i="1"/>
  <c r="Q185" i="1"/>
  <c r="Q184" i="1"/>
  <c r="Q183" i="1"/>
  <c r="Q182" i="1"/>
  <c r="Q181" i="1"/>
  <c r="Q180" i="1"/>
  <c r="N179" i="1"/>
  <c r="Q179" i="1"/>
  <c r="N178" i="1"/>
  <c r="Q178" i="1"/>
  <c r="N177" i="1"/>
  <c r="Q177" i="1"/>
  <c r="N176" i="1"/>
  <c r="Q176" i="1"/>
  <c r="N175" i="1"/>
  <c r="Q175" i="1"/>
  <c r="N174" i="1"/>
  <c r="Q174" i="1"/>
  <c r="N173" i="1"/>
  <c r="Q173" i="1"/>
  <c r="N172" i="1"/>
  <c r="Q172" i="1"/>
  <c r="N171" i="1"/>
  <c r="Q171" i="1"/>
  <c r="N170" i="1"/>
  <c r="Q170" i="1"/>
  <c r="N169" i="1"/>
  <c r="Q169" i="1"/>
  <c r="N168" i="1"/>
  <c r="Q168" i="1"/>
  <c r="N167" i="1"/>
  <c r="Q167" i="1"/>
  <c r="N166" i="1"/>
  <c r="Q166" i="1"/>
  <c r="N165" i="1"/>
  <c r="Q165" i="1"/>
  <c r="N164" i="1"/>
  <c r="Q164" i="1"/>
  <c r="N163" i="1"/>
  <c r="Q163" i="1"/>
  <c r="N162" i="1"/>
  <c r="Q162" i="1"/>
  <c r="Q191" i="1" s="1"/>
  <c r="N157" i="1"/>
  <c r="N156" i="1"/>
  <c r="N155" i="1"/>
  <c r="N154" i="1"/>
  <c r="N153" i="1"/>
  <c r="N148" i="1"/>
  <c r="N145" i="1"/>
  <c r="N147" i="1"/>
  <c r="N146" i="1"/>
  <c r="N144" i="1"/>
  <c r="N143" i="1"/>
  <c r="N137" i="1"/>
  <c r="N136" i="1"/>
  <c r="N135" i="1"/>
  <c r="N130" i="1"/>
  <c r="N129" i="1"/>
  <c r="N128" i="1"/>
  <c r="N126" i="1"/>
  <c r="N17" i="1"/>
  <c r="N125" i="1"/>
  <c r="N124" i="1"/>
  <c r="N123" i="1"/>
  <c r="N108" i="1"/>
  <c r="N106" i="1"/>
  <c r="N61" i="1"/>
  <c r="N62" i="1" s="1"/>
  <c r="N36" i="1"/>
  <c r="N32" i="1"/>
  <c r="N31" i="1"/>
  <c r="N29" i="1"/>
  <c r="N28" i="1"/>
  <c r="N26" i="1"/>
  <c r="N25" i="1"/>
  <c r="N22" i="1"/>
  <c r="N20" i="1"/>
  <c r="N19" i="1"/>
  <c r="N18" i="1"/>
  <c r="N39" i="1" s="1"/>
  <c r="N16" i="1"/>
  <c r="N15" i="1"/>
  <c r="N14" i="1"/>
  <c r="N13" i="1"/>
  <c r="N191" i="1" l="1"/>
  <c r="N109" i="1"/>
  <c r="N132" i="1"/>
  <c r="C192" i="1"/>
  <c r="N192" i="1" l="1"/>
  <c r="T16" i="1"/>
  <c r="T100" i="1" l="1"/>
  <c r="U176" i="1" l="1"/>
  <c r="U148" i="1"/>
  <c r="U137" i="1"/>
  <c r="T129" i="1"/>
  <c r="Q27" i="1"/>
  <c r="T65" i="1"/>
  <c r="U52" i="1"/>
  <c r="T49" i="1"/>
  <c r="U19" i="1"/>
  <c r="X19" i="1" s="1"/>
  <c r="M116" i="1" l="1"/>
  <c r="M117" i="1"/>
  <c r="M115" i="1"/>
  <c r="M114" i="1"/>
  <c r="M113" i="1"/>
  <c r="M112" i="1"/>
  <c r="M100" i="1"/>
  <c r="M99" i="1"/>
  <c r="M98" i="1"/>
  <c r="M94" i="1"/>
  <c r="M93" i="1"/>
  <c r="M92" i="1"/>
  <c r="M102" i="1" s="1"/>
  <c r="M88" i="1"/>
  <c r="M87" i="1"/>
  <c r="M86" i="1"/>
  <c r="M85" i="1"/>
  <c r="M84" i="1"/>
  <c r="M83" i="1"/>
  <c r="M82" i="1"/>
  <c r="M78" i="1"/>
  <c r="M77" i="1"/>
  <c r="M76" i="1"/>
  <c r="M75" i="1"/>
  <c r="M71" i="1"/>
  <c r="M69" i="1"/>
  <c r="M68" i="1"/>
  <c r="M67" i="1"/>
  <c r="M66" i="1"/>
  <c r="M65" i="1"/>
  <c r="M79" i="1" s="1"/>
  <c r="M60" i="1"/>
  <c r="M62" i="1" s="1"/>
  <c r="M55" i="1"/>
  <c r="M54" i="1"/>
  <c r="M52" i="1"/>
  <c r="M51" i="1"/>
  <c r="M49" i="1"/>
  <c r="M48" i="1"/>
  <c r="M47" i="1"/>
  <c r="M57" i="1" s="1"/>
  <c r="M12" i="1"/>
  <c r="M11" i="1"/>
  <c r="M9" i="1"/>
  <c r="M89" i="1" l="1"/>
  <c r="M39" i="1"/>
  <c r="M120" i="1"/>
  <c r="R9" i="1"/>
  <c r="Y132" i="66" l="1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Y9" i="66" l="1"/>
  <c r="G180" i="66"/>
  <c r="D180" i="66"/>
  <c r="Q179" i="66"/>
  <c r="P179" i="66"/>
  <c r="T178" i="66"/>
  <c r="W178" i="66" s="1"/>
  <c r="S178" i="66"/>
  <c r="N178" i="66"/>
  <c r="I178" i="66"/>
  <c r="H178" i="66"/>
  <c r="F178" i="66"/>
  <c r="M178" i="66" s="1"/>
  <c r="T177" i="66"/>
  <c r="S177" i="66"/>
  <c r="W177" i="66" s="1"/>
  <c r="O177" i="66"/>
  <c r="N177" i="66"/>
  <c r="K177" i="66"/>
  <c r="I177" i="66"/>
  <c r="H177" i="66"/>
  <c r="F177" i="66"/>
  <c r="M177" i="66" s="1"/>
  <c r="T176" i="66"/>
  <c r="S176" i="66"/>
  <c r="W176" i="66" s="1"/>
  <c r="N176" i="66"/>
  <c r="K176" i="66"/>
  <c r="F176" i="66"/>
  <c r="M176" i="66" s="1"/>
  <c r="T175" i="66"/>
  <c r="W175" i="66" s="1"/>
  <c r="S175" i="66"/>
  <c r="N175" i="66"/>
  <c r="F175" i="66"/>
  <c r="O175" i="66" s="1"/>
  <c r="T174" i="66"/>
  <c r="S174" i="66"/>
  <c r="W174" i="66" s="1"/>
  <c r="N174" i="66"/>
  <c r="M174" i="66"/>
  <c r="F174" i="66"/>
  <c r="L174" i="66" s="1"/>
  <c r="T173" i="66"/>
  <c r="W173" i="66" s="1"/>
  <c r="S173" i="66"/>
  <c r="N173" i="66"/>
  <c r="F173" i="66"/>
  <c r="W172" i="66"/>
  <c r="T172" i="66"/>
  <c r="S172" i="66"/>
  <c r="N172" i="66"/>
  <c r="F172" i="66"/>
  <c r="M172" i="66" s="1"/>
  <c r="T171" i="66"/>
  <c r="S171" i="66"/>
  <c r="N171" i="66"/>
  <c r="K171" i="66"/>
  <c r="F171" i="66"/>
  <c r="M171" i="66" s="1"/>
  <c r="T170" i="66"/>
  <c r="S170" i="66"/>
  <c r="N170" i="66"/>
  <c r="F170" i="66"/>
  <c r="M170" i="66" s="1"/>
  <c r="T169" i="66"/>
  <c r="W169" i="66" s="1"/>
  <c r="S169" i="66"/>
  <c r="N169" i="66"/>
  <c r="M169" i="66"/>
  <c r="H169" i="66"/>
  <c r="F169" i="66"/>
  <c r="O169" i="66" s="1"/>
  <c r="T168" i="66"/>
  <c r="S168" i="66"/>
  <c r="W168" i="66" s="1"/>
  <c r="N168" i="66"/>
  <c r="F168" i="66"/>
  <c r="L168" i="66" s="1"/>
  <c r="W167" i="66"/>
  <c r="T167" i="66"/>
  <c r="S167" i="66"/>
  <c r="N167" i="66"/>
  <c r="F167" i="66"/>
  <c r="W166" i="66"/>
  <c r="T166" i="66"/>
  <c r="S166" i="66"/>
  <c r="N166" i="66"/>
  <c r="F166" i="66"/>
  <c r="M166" i="66" s="1"/>
  <c r="T165" i="66"/>
  <c r="S165" i="66"/>
  <c r="N165" i="66"/>
  <c r="F165" i="66"/>
  <c r="M165" i="66" s="1"/>
  <c r="T164" i="66"/>
  <c r="S164" i="66"/>
  <c r="N164" i="66"/>
  <c r="H164" i="66"/>
  <c r="F164" i="66"/>
  <c r="M164" i="66" s="1"/>
  <c r="T163" i="66"/>
  <c r="S163" i="66"/>
  <c r="N163" i="66"/>
  <c r="M163" i="66"/>
  <c r="K163" i="66"/>
  <c r="I163" i="66"/>
  <c r="H163" i="66"/>
  <c r="F163" i="66"/>
  <c r="O163" i="66" s="1"/>
  <c r="T162" i="66"/>
  <c r="S162" i="66"/>
  <c r="W162" i="66" s="1"/>
  <c r="N162" i="66"/>
  <c r="F162" i="66"/>
  <c r="L162" i="66" s="1"/>
  <c r="W161" i="66"/>
  <c r="T161" i="66"/>
  <c r="S161" i="66"/>
  <c r="N161" i="66"/>
  <c r="F161" i="66"/>
  <c r="T160" i="66"/>
  <c r="S160" i="66"/>
  <c r="W160" i="66" s="1"/>
  <c r="N160" i="66"/>
  <c r="H160" i="66"/>
  <c r="F160" i="66"/>
  <c r="M161" i="66" s="1"/>
  <c r="T159" i="66"/>
  <c r="S159" i="66"/>
  <c r="W159" i="66" s="1"/>
  <c r="O159" i="66"/>
  <c r="N159" i="66"/>
  <c r="H159" i="66"/>
  <c r="F159" i="66"/>
  <c r="M159" i="66" s="1"/>
  <c r="T158" i="66"/>
  <c r="S158" i="66"/>
  <c r="W158" i="66" s="1"/>
  <c r="O158" i="66"/>
  <c r="N158" i="66"/>
  <c r="K158" i="66"/>
  <c r="I158" i="66"/>
  <c r="H158" i="66"/>
  <c r="F158" i="66"/>
  <c r="M158" i="66" s="1"/>
  <c r="T157" i="66"/>
  <c r="S157" i="66"/>
  <c r="N157" i="66"/>
  <c r="L157" i="66"/>
  <c r="K157" i="66"/>
  <c r="I157" i="66"/>
  <c r="F157" i="66"/>
  <c r="O157" i="66" s="1"/>
  <c r="U156" i="66"/>
  <c r="T156" i="66"/>
  <c r="S156" i="66"/>
  <c r="N156" i="66"/>
  <c r="F156" i="66"/>
  <c r="W155" i="66"/>
  <c r="T155" i="66"/>
  <c r="N155" i="66"/>
  <c r="F155" i="66"/>
  <c r="W154" i="66"/>
  <c r="T154" i="66"/>
  <c r="S154" i="66"/>
  <c r="O154" i="66"/>
  <c r="N154" i="66"/>
  <c r="H154" i="66"/>
  <c r="F154" i="66"/>
  <c r="T153" i="66"/>
  <c r="S153" i="66"/>
  <c r="W153" i="66" s="1"/>
  <c r="O153" i="66"/>
  <c r="N153" i="66"/>
  <c r="K153" i="66"/>
  <c r="I153" i="66"/>
  <c r="H153" i="66"/>
  <c r="F153" i="66"/>
  <c r="M153" i="66" s="1"/>
  <c r="T152" i="66"/>
  <c r="S152" i="66"/>
  <c r="W152" i="66" s="1"/>
  <c r="N152" i="66"/>
  <c r="K152" i="66"/>
  <c r="F152" i="66"/>
  <c r="M152" i="66" s="1"/>
  <c r="U151" i="66"/>
  <c r="T151" i="66"/>
  <c r="S151" i="66"/>
  <c r="N151" i="66"/>
  <c r="M151" i="66"/>
  <c r="L151" i="66"/>
  <c r="F151" i="66"/>
  <c r="K151" i="66" s="1"/>
  <c r="V150" i="66"/>
  <c r="W150" i="66" s="1"/>
  <c r="S150" i="66"/>
  <c r="F150" i="66"/>
  <c r="O150" i="66" s="1"/>
  <c r="U149" i="66"/>
  <c r="W149" i="66" s="1"/>
  <c r="L149" i="66"/>
  <c r="K149" i="66"/>
  <c r="I149" i="66"/>
  <c r="F149" i="66"/>
  <c r="M149" i="66" s="1"/>
  <c r="S148" i="66"/>
  <c r="W148" i="66" s="1"/>
  <c r="I148" i="66"/>
  <c r="H148" i="66"/>
  <c r="F148" i="66"/>
  <c r="O148" i="66" s="1"/>
  <c r="U147" i="66"/>
  <c r="T147" i="66"/>
  <c r="S147" i="66"/>
  <c r="K147" i="66"/>
  <c r="I147" i="66"/>
  <c r="F147" i="66"/>
  <c r="L147" i="66" s="1"/>
  <c r="T146" i="66"/>
  <c r="S146" i="66"/>
  <c r="W146" i="66" s="1"/>
  <c r="N146" i="66"/>
  <c r="N179" i="66" s="1"/>
  <c r="F146" i="66"/>
  <c r="L146" i="66" s="1"/>
  <c r="T145" i="66"/>
  <c r="W145" i="66" s="1"/>
  <c r="K145" i="66"/>
  <c r="F145" i="66"/>
  <c r="M145" i="66" s="1"/>
  <c r="W144" i="66"/>
  <c r="O144" i="66"/>
  <c r="F144" i="66"/>
  <c r="W143" i="66"/>
  <c r="O143" i="66"/>
  <c r="L143" i="66"/>
  <c r="F143" i="66"/>
  <c r="U142" i="66"/>
  <c r="T142" i="66"/>
  <c r="S142" i="66"/>
  <c r="F142" i="66"/>
  <c r="I142" i="66" s="1"/>
  <c r="W141" i="66"/>
  <c r="S141" i="66"/>
  <c r="F141" i="66"/>
  <c r="O141" i="66" s="1"/>
  <c r="V140" i="66"/>
  <c r="U140" i="66"/>
  <c r="T140" i="66"/>
  <c r="S140" i="66"/>
  <c r="F140" i="66"/>
  <c r="T139" i="66"/>
  <c r="S139" i="66"/>
  <c r="W139" i="66" s="1"/>
  <c r="F139" i="66"/>
  <c r="W138" i="66"/>
  <c r="T138" i="66"/>
  <c r="M138" i="66"/>
  <c r="H138" i="66"/>
  <c r="F138" i="66"/>
  <c r="I138" i="66" s="1"/>
  <c r="V137" i="66"/>
  <c r="U137" i="66"/>
  <c r="T137" i="66"/>
  <c r="F137" i="66"/>
  <c r="O137" i="66" s="1"/>
  <c r="V136" i="66"/>
  <c r="T136" i="66"/>
  <c r="S136" i="66"/>
  <c r="K136" i="66"/>
  <c r="F136" i="66"/>
  <c r="O136" i="66" s="1"/>
  <c r="T135" i="66"/>
  <c r="W135" i="66" s="1"/>
  <c r="S135" i="66"/>
  <c r="K135" i="66"/>
  <c r="I135" i="66"/>
  <c r="H135" i="66"/>
  <c r="F135" i="66"/>
  <c r="O135" i="66" s="1"/>
  <c r="U134" i="66"/>
  <c r="T134" i="66"/>
  <c r="S134" i="66"/>
  <c r="K134" i="66"/>
  <c r="F134" i="66"/>
  <c r="O134" i="66" s="1"/>
  <c r="U133" i="66"/>
  <c r="W133" i="66" s="1"/>
  <c r="T133" i="66"/>
  <c r="K133" i="66"/>
  <c r="F133" i="66"/>
  <c r="O133" i="66" s="1"/>
  <c r="U132" i="66"/>
  <c r="W132" i="66" s="1"/>
  <c r="S132" i="66"/>
  <c r="O132" i="66"/>
  <c r="M132" i="66"/>
  <c r="L132" i="66"/>
  <c r="K132" i="66"/>
  <c r="I132" i="66"/>
  <c r="H132" i="66"/>
  <c r="V131" i="66"/>
  <c r="T131" i="66"/>
  <c r="S131" i="66"/>
  <c r="F131" i="66"/>
  <c r="O131" i="66" s="1"/>
  <c r="V130" i="66"/>
  <c r="T130" i="66"/>
  <c r="S130" i="66"/>
  <c r="W130" i="66" s="1"/>
  <c r="J130" i="66"/>
  <c r="J179" i="66" s="1"/>
  <c r="F130" i="66"/>
  <c r="M130" i="66" s="1"/>
  <c r="W129" i="66"/>
  <c r="U129" i="66"/>
  <c r="T129" i="66"/>
  <c r="O129" i="66"/>
  <c r="M129" i="66"/>
  <c r="L129" i="66"/>
  <c r="K129" i="66"/>
  <c r="I129" i="66"/>
  <c r="H129" i="66"/>
  <c r="P126" i="66"/>
  <c r="N126" i="66"/>
  <c r="V125" i="66"/>
  <c r="W125" i="66" s="1"/>
  <c r="S125" i="66"/>
  <c r="L125" i="66"/>
  <c r="K125" i="66"/>
  <c r="F125" i="66"/>
  <c r="O125" i="66" s="1"/>
  <c r="S124" i="66"/>
  <c r="W124" i="66" s="1"/>
  <c r="F124" i="66"/>
  <c r="I124" i="66" s="1"/>
  <c r="V123" i="66"/>
  <c r="U123" i="66"/>
  <c r="T123" i="66"/>
  <c r="S123" i="66"/>
  <c r="F123" i="66"/>
  <c r="V122" i="66"/>
  <c r="U122" i="66"/>
  <c r="T122" i="66"/>
  <c r="S122" i="66"/>
  <c r="Q122" i="66"/>
  <c r="F122" i="66"/>
  <c r="O122" i="66" s="1"/>
  <c r="V121" i="66"/>
  <c r="T121" i="66"/>
  <c r="S121" i="66"/>
  <c r="W121" i="66" s="1"/>
  <c r="F121" i="66"/>
  <c r="K121" i="66" s="1"/>
  <c r="V120" i="66"/>
  <c r="U120" i="66"/>
  <c r="S120" i="66"/>
  <c r="Q120" i="66"/>
  <c r="J120" i="66"/>
  <c r="F120" i="66"/>
  <c r="V119" i="66"/>
  <c r="U119" i="66"/>
  <c r="T119" i="66"/>
  <c r="S119" i="66"/>
  <c r="J119" i="66"/>
  <c r="F119" i="66"/>
  <c r="M119" i="66" s="1"/>
  <c r="U118" i="66"/>
  <c r="T118" i="66"/>
  <c r="S118" i="66"/>
  <c r="K118" i="66"/>
  <c r="F118" i="66"/>
  <c r="O118" i="66" s="1"/>
  <c r="V117" i="66"/>
  <c r="W117" i="66" s="1"/>
  <c r="T117" i="66"/>
  <c r="S117" i="66"/>
  <c r="Q117" i="66"/>
  <c r="Q126" i="66" s="1"/>
  <c r="M117" i="66"/>
  <c r="F117" i="66"/>
  <c r="L117" i="66" s="1"/>
  <c r="V116" i="66"/>
  <c r="U116" i="66"/>
  <c r="T116" i="66"/>
  <c r="S116" i="66"/>
  <c r="J116" i="66"/>
  <c r="J126" i="66" s="1"/>
  <c r="I116" i="66"/>
  <c r="H116" i="66"/>
  <c r="F116" i="66"/>
  <c r="M116" i="66" s="1"/>
  <c r="Q113" i="66"/>
  <c r="P113" i="66"/>
  <c r="J113" i="66"/>
  <c r="T112" i="66"/>
  <c r="W112" i="66" s="1"/>
  <c r="N112" i="66"/>
  <c r="F112" i="66"/>
  <c r="M112" i="66" s="1"/>
  <c r="V111" i="66"/>
  <c r="S111" i="66"/>
  <c r="W111" i="66" s="1"/>
  <c r="O111" i="66"/>
  <c r="N111" i="66"/>
  <c r="K111" i="66"/>
  <c r="I111" i="66"/>
  <c r="H111" i="66"/>
  <c r="F111" i="66"/>
  <c r="M111" i="66" s="1"/>
  <c r="V110" i="66"/>
  <c r="T110" i="66"/>
  <c r="S110" i="66"/>
  <c r="N110" i="66"/>
  <c r="F110" i="66"/>
  <c r="L110" i="66" s="1"/>
  <c r="V109" i="66"/>
  <c r="U109" i="66"/>
  <c r="T109" i="66"/>
  <c r="N109" i="66"/>
  <c r="F109" i="66"/>
  <c r="M109" i="66" s="1"/>
  <c r="U108" i="66"/>
  <c r="T108" i="66"/>
  <c r="N108" i="66"/>
  <c r="F108" i="66"/>
  <c r="M108" i="66" s="1"/>
  <c r="V107" i="66"/>
  <c r="V113" i="66" s="1"/>
  <c r="S107" i="66"/>
  <c r="N107" i="66"/>
  <c r="M107" i="66"/>
  <c r="I107" i="66"/>
  <c r="H107" i="66"/>
  <c r="F107" i="66"/>
  <c r="Q104" i="66"/>
  <c r="P104" i="66"/>
  <c r="J104" i="66"/>
  <c r="U103" i="66"/>
  <c r="S103" i="66"/>
  <c r="F103" i="66"/>
  <c r="O103" i="66" s="1"/>
  <c r="T102" i="66"/>
  <c r="S102" i="66"/>
  <c r="N102" i="66"/>
  <c r="N104" i="66" s="1"/>
  <c r="F102" i="66"/>
  <c r="O102" i="66" s="1"/>
  <c r="V101" i="66"/>
  <c r="U101" i="66"/>
  <c r="W101" i="66" s="1"/>
  <c r="F101" i="66"/>
  <c r="K101" i="66" s="1"/>
  <c r="V100" i="66"/>
  <c r="V104" i="66" s="1"/>
  <c r="F100" i="66"/>
  <c r="F104" i="66" s="1"/>
  <c r="Q97" i="66"/>
  <c r="P97" i="66"/>
  <c r="V96" i="66"/>
  <c r="S96" i="66"/>
  <c r="N96" i="66"/>
  <c r="F96" i="66"/>
  <c r="O96" i="66" s="1"/>
  <c r="V95" i="66"/>
  <c r="T95" i="66"/>
  <c r="S95" i="66"/>
  <c r="W95" i="66" s="1"/>
  <c r="N95" i="66"/>
  <c r="F95" i="66"/>
  <c r="V94" i="66"/>
  <c r="T94" i="66"/>
  <c r="S94" i="66"/>
  <c r="W94" i="66" s="1"/>
  <c r="N94" i="66"/>
  <c r="K94" i="66"/>
  <c r="I94" i="66"/>
  <c r="F94" i="66"/>
  <c r="M94" i="66" s="1"/>
  <c r="V93" i="66"/>
  <c r="S93" i="66"/>
  <c r="W93" i="66" s="1"/>
  <c r="N93" i="66"/>
  <c r="L93" i="66"/>
  <c r="K93" i="66"/>
  <c r="I93" i="66"/>
  <c r="F93" i="66"/>
  <c r="O93" i="66" s="1"/>
  <c r="V92" i="66"/>
  <c r="T92" i="66"/>
  <c r="S92" i="66"/>
  <c r="N92" i="66"/>
  <c r="F92" i="66"/>
  <c r="L92" i="66" s="1"/>
  <c r="U91" i="66"/>
  <c r="W91" i="66" s="1"/>
  <c r="S91" i="66"/>
  <c r="N91" i="66"/>
  <c r="F91" i="66"/>
  <c r="V90" i="66"/>
  <c r="T90" i="66"/>
  <c r="S90" i="66"/>
  <c r="N90" i="66"/>
  <c r="F90" i="66"/>
  <c r="M90" i="66" s="1"/>
  <c r="V89" i="66"/>
  <c r="U89" i="66"/>
  <c r="T89" i="66"/>
  <c r="S89" i="66"/>
  <c r="N89" i="66"/>
  <c r="F89" i="66"/>
  <c r="L89" i="66" s="1"/>
  <c r="W88" i="66"/>
  <c r="V88" i="66"/>
  <c r="N88" i="66"/>
  <c r="F88" i="66"/>
  <c r="L88" i="66" s="1"/>
  <c r="V87" i="66"/>
  <c r="U87" i="66"/>
  <c r="T87" i="66"/>
  <c r="T97" i="66" s="1"/>
  <c r="S87" i="66"/>
  <c r="N87" i="66"/>
  <c r="K87" i="66"/>
  <c r="J87" i="66"/>
  <c r="H87" i="66"/>
  <c r="F87" i="66"/>
  <c r="O87" i="66" s="1"/>
  <c r="V86" i="66"/>
  <c r="O86" i="66"/>
  <c r="N86" i="66"/>
  <c r="J86" i="66"/>
  <c r="J97" i="66" s="1"/>
  <c r="I86" i="66"/>
  <c r="F86" i="66"/>
  <c r="M86" i="66" s="1"/>
  <c r="V85" i="66"/>
  <c r="W85" i="66" s="1"/>
  <c r="N85" i="66"/>
  <c r="F85" i="66"/>
  <c r="F97" i="66" s="1"/>
  <c r="Q82" i="66"/>
  <c r="P82" i="66"/>
  <c r="J82" i="66"/>
  <c r="W81" i="66"/>
  <c r="V81" i="66"/>
  <c r="S81" i="66"/>
  <c r="N81" i="66"/>
  <c r="F81" i="66"/>
  <c r="V80" i="66"/>
  <c r="S80" i="66"/>
  <c r="F80" i="66"/>
  <c r="O80" i="66" s="1"/>
  <c r="S79" i="66"/>
  <c r="W79" i="66" s="1"/>
  <c r="N79" i="66"/>
  <c r="M79" i="66"/>
  <c r="L79" i="66"/>
  <c r="F79" i="66"/>
  <c r="K79" i="66" s="1"/>
  <c r="V78" i="66"/>
  <c r="U78" i="66"/>
  <c r="U82" i="66" s="1"/>
  <c r="T78" i="66"/>
  <c r="S78" i="66"/>
  <c r="S82" i="66" s="1"/>
  <c r="N78" i="66"/>
  <c r="M78" i="66"/>
  <c r="F78" i="66"/>
  <c r="L78" i="66" s="1"/>
  <c r="V77" i="66"/>
  <c r="W77" i="66" s="1"/>
  <c r="O77" i="66"/>
  <c r="M77" i="66"/>
  <c r="L77" i="66"/>
  <c r="K77" i="66"/>
  <c r="I77" i="66"/>
  <c r="H77" i="66"/>
  <c r="V76" i="66"/>
  <c r="W76" i="66" s="1"/>
  <c r="O76" i="66"/>
  <c r="N76" i="66"/>
  <c r="M76" i="66"/>
  <c r="L76" i="66"/>
  <c r="K76" i="66"/>
  <c r="I76" i="66"/>
  <c r="H76" i="66"/>
  <c r="V75" i="66"/>
  <c r="O75" i="66"/>
  <c r="M75" i="66"/>
  <c r="L75" i="66"/>
  <c r="K75" i="66"/>
  <c r="I75" i="66"/>
  <c r="H75" i="66"/>
  <c r="T74" i="66"/>
  <c r="T82" i="66" s="1"/>
  <c r="N74" i="66"/>
  <c r="N82" i="66" s="1"/>
  <c r="F74" i="66"/>
  <c r="L74" i="66" s="1"/>
  <c r="X71" i="66"/>
  <c r="Q71" i="66"/>
  <c r="P71" i="66"/>
  <c r="W70" i="66"/>
  <c r="V70" i="66"/>
  <c r="N70" i="66"/>
  <c r="F70" i="66"/>
  <c r="V69" i="66"/>
  <c r="S69" i="66"/>
  <c r="O69" i="66"/>
  <c r="N69" i="66"/>
  <c r="H69" i="66"/>
  <c r="F69" i="66"/>
  <c r="M69" i="66" s="1"/>
  <c r="S68" i="66"/>
  <c r="W68" i="66" s="1"/>
  <c r="O68" i="66"/>
  <c r="N68" i="66"/>
  <c r="F68" i="66"/>
  <c r="M68" i="66" s="1"/>
  <c r="T67" i="66"/>
  <c r="S67" i="66"/>
  <c r="W67" i="66" s="1"/>
  <c r="N67" i="66"/>
  <c r="K67" i="66"/>
  <c r="F67" i="66"/>
  <c r="M67" i="66" s="1"/>
  <c r="V66" i="66"/>
  <c r="U66" i="66"/>
  <c r="T66" i="66"/>
  <c r="S66" i="66"/>
  <c r="N66" i="66"/>
  <c r="F66" i="66"/>
  <c r="K66" i="66" s="1"/>
  <c r="W65" i="66"/>
  <c r="T65" i="66"/>
  <c r="S65" i="66"/>
  <c r="N65" i="66"/>
  <c r="M65" i="66"/>
  <c r="F65" i="66"/>
  <c r="V64" i="66"/>
  <c r="T64" i="66"/>
  <c r="S64" i="66"/>
  <c r="W64" i="66" s="1"/>
  <c r="N64" i="66"/>
  <c r="K64" i="66"/>
  <c r="F64" i="66"/>
  <c r="M64" i="66" s="1"/>
  <c r="U63" i="66"/>
  <c r="T63" i="66"/>
  <c r="S63" i="66"/>
  <c r="N63" i="66"/>
  <c r="M63" i="66"/>
  <c r="F63" i="66"/>
  <c r="K63" i="66" s="1"/>
  <c r="W62" i="66"/>
  <c r="V62" i="66"/>
  <c r="S62" i="66"/>
  <c r="N62" i="66"/>
  <c r="M62" i="66"/>
  <c r="F62" i="66"/>
  <c r="K62" i="66" s="1"/>
  <c r="T61" i="66"/>
  <c r="W61" i="66" s="1"/>
  <c r="S61" i="66"/>
  <c r="N61" i="66"/>
  <c r="F61" i="66"/>
  <c r="M61" i="66" s="1"/>
  <c r="V60" i="66"/>
  <c r="T60" i="66"/>
  <c r="S60" i="66"/>
  <c r="W60" i="66" s="1"/>
  <c r="O60" i="66"/>
  <c r="M60" i="66"/>
  <c r="L60" i="66"/>
  <c r="K60" i="66"/>
  <c r="I60" i="66"/>
  <c r="H60" i="66"/>
  <c r="V59" i="66"/>
  <c r="V71" i="66" s="1"/>
  <c r="S59" i="66"/>
  <c r="W59" i="66" s="1"/>
  <c r="O59" i="66"/>
  <c r="N59" i="66"/>
  <c r="J59" i="66"/>
  <c r="J71" i="66" s="1"/>
  <c r="I59" i="66"/>
  <c r="F59" i="66"/>
  <c r="M59" i="66" s="1"/>
  <c r="U56" i="66"/>
  <c r="Q56" i="66"/>
  <c r="P56" i="66"/>
  <c r="N56" i="66"/>
  <c r="J56" i="66"/>
  <c r="V55" i="66"/>
  <c r="V56" i="66" s="1"/>
  <c r="S55" i="66"/>
  <c r="O55" i="66"/>
  <c r="M55" i="66"/>
  <c r="L55" i="66"/>
  <c r="K55" i="66"/>
  <c r="I55" i="66"/>
  <c r="H55" i="66"/>
  <c r="R55" i="66" s="1"/>
  <c r="W54" i="66"/>
  <c r="N54" i="66"/>
  <c r="L54" i="66"/>
  <c r="L56" i="66" s="1"/>
  <c r="F54" i="66"/>
  <c r="K54" i="66" s="1"/>
  <c r="K56" i="66" s="1"/>
  <c r="Q51" i="66"/>
  <c r="P51" i="66"/>
  <c r="N51" i="66"/>
  <c r="V50" i="66"/>
  <c r="U50" i="66"/>
  <c r="S50" i="66"/>
  <c r="F50" i="66"/>
  <c r="U49" i="66"/>
  <c r="T49" i="66"/>
  <c r="S49" i="66"/>
  <c r="J49" i="66"/>
  <c r="J51" i="66" s="1"/>
  <c r="F49" i="66"/>
  <c r="M49" i="66" s="1"/>
  <c r="W48" i="66"/>
  <c r="M48" i="66"/>
  <c r="F48" i="66"/>
  <c r="O48" i="66" s="1"/>
  <c r="W47" i="66"/>
  <c r="F47" i="66"/>
  <c r="K47" i="66" s="1"/>
  <c r="W46" i="66"/>
  <c r="I46" i="66"/>
  <c r="H46" i="66"/>
  <c r="F46" i="66"/>
  <c r="O46" i="66" s="1"/>
  <c r="T45" i="66"/>
  <c r="S45" i="66"/>
  <c r="W45" i="66" s="1"/>
  <c r="F45" i="66"/>
  <c r="O45" i="66" s="1"/>
  <c r="U44" i="66"/>
  <c r="F44" i="66"/>
  <c r="H44" i="66" s="1"/>
  <c r="T43" i="66"/>
  <c r="S43" i="66"/>
  <c r="O43" i="66"/>
  <c r="M43" i="66"/>
  <c r="L43" i="66"/>
  <c r="K43" i="66"/>
  <c r="I43" i="66"/>
  <c r="H43" i="66"/>
  <c r="R43" i="66" s="1"/>
  <c r="W42" i="66"/>
  <c r="T42" i="66"/>
  <c r="S42" i="66"/>
  <c r="F42" i="66"/>
  <c r="O42" i="66" s="1"/>
  <c r="W41" i="66"/>
  <c r="T41" i="66"/>
  <c r="L41" i="66"/>
  <c r="F41" i="66"/>
  <c r="K41" i="66" s="1"/>
  <c r="V40" i="66"/>
  <c r="V51" i="66" s="1"/>
  <c r="S40" i="66"/>
  <c r="W40" i="66" s="1"/>
  <c r="M40" i="66"/>
  <c r="L40" i="66"/>
  <c r="F40" i="66"/>
  <c r="K40" i="66" s="1"/>
  <c r="Q37" i="66"/>
  <c r="P37" i="66"/>
  <c r="N37" i="66"/>
  <c r="V36" i="66"/>
  <c r="V37" i="66" s="1"/>
  <c r="U36" i="66"/>
  <c r="U37" i="66" s="1"/>
  <c r="T36" i="66"/>
  <c r="T37" i="66" s="1"/>
  <c r="S36" i="66"/>
  <c r="S37" i="66" s="1"/>
  <c r="J36" i="66"/>
  <c r="J37" i="66" s="1"/>
  <c r="F36" i="66"/>
  <c r="M36" i="66" s="1"/>
  <c r="M37" i="66" s="1"/>
  <c r="P33" i="66"/>
  <c r="P180" i="66" s="1"/>
  <c r="J33" i="66"/>
  <c r="V32" i="66"/>
  <c r="U32" i="66"/>
  <c r="T32" i="66"/>
  <c r="S32" i="66"/>
  <c r="L32" i="66"/>
  <c r="K32" i="66"/>
  <c r="I32" i="66"/>
  <c r="F32" i="66"/>
  <c r="M32" i="66" s="1"/>
  <c r="U31" i="66"/>
  <c r="S31" i="66"/>
  <c r="K31" i="66"/>
  <c r="I31" i="66"/>
  <c r="F31" i="66"/>
  <c r="L31" i="66" s="1"/>
  <c r="T30" i="66"/>
  <c r="S30" i="66"/>
  <c r="W30" i="66" s="1"/>
  <c r="N30" i="66"/>
  <c r="F30" i="66"/>
  <c r="V29" i="66"/>
  <c r="U29" i="66"/>
  <c r="O29" i="66"/>
  <c r="N29" i="66"/>
  <c r="H29" i="66"/>
  <c r="F29" i="66"/>
  <c r="V28" i="66"/>
  <c r="W28" i="66" s="1"/>
  <c r="S28" i="66"/>
  <c r="F28" i="66"/>
  <c r="W27" i="66"/>
  <c r="V27" i="66"/>
  <c r="O27" i="66"/>
  <c r="M27" i="66"/>
  <c r="L27" i="66"/>
  <c r="F27" i="66"/>
  <c r="S26" i="66"/>
  <c r="W26" i="66" s="1"/>
  <c r="N26" i="66"/>
  <c r="F26" i="66"/>
  <c r="U25" i="66"/>
  <c r="T25" i="66"/>
  <c r="S25" i="66"/>
  <c r="N25" i="66"/>
  <c r="I25" i="66"/>
  <c r="H25" i="66"/>
  <c r="F25" i="66"/>
  <c r="O25" i="66" s="1"/>
  <c r="T24" i="66"/>
  <c r="S24" i="66"/>
  <c r="W24" i="66" s="1"/>
  <c r="O24" i="66"/>
  <c r="F24" i="66"/>
  <c r="V23" i="66"/>
  <c r="W23" i="66" s="1"/>
  <c r="Q23" i="66"/>
  <c r="N23" i="66"/>
  <c r="K23" i="66"/>
  <c r="I23" i="66"/>
  <c r="H23" i="66"/>
  <c r="F23" i="66"/>
  <c r="O23" i="66" s="1"/>
  <c r="V22" i="66"/>
  <c r="W22" i="66" s="1"/>
  <c r="Q22" i="66"/>
  <c r="N22" i="66"/>
  <c r="F22" i="66"/>
  <c r="W21" i="66"/>
  <c r="V21" i="66"/>
  <c r="Q21" i="66"/>
  <c r="O21" i="66"/>
  <c r="L21" i="66"/>
  <c r="K21" i="66"/>
  <c r="F21" i="66"/>
  <c r="M21" i="66" s="1"/>
  <c r="U20" i="66"/>
  <c r="W20" i="66" s="1"/>
  <c r="O20" i="66"/>
  <c r="N20" i="66"/>
  <c r="M20" i="66"/>
  <c r="L20" i="66"/>
  <c r="K20" i="66"/>
  <c r="I20" i="66"/>
  <c r="H20" i="66"/>
  <c r="T19" i="66"/>
  <c r="W19" i="66" s="1"/>
  <c r="F19" i="66"/>
  <c r="O19" i="66" s="1"/>
  <c r="T18" i="66"/>
  <c r="S18" i="66"/>
  <c r="O18" i="66"/>
  <c r="M18" i="66"/>
  <c r="L18" i="66"/>
  <c r="K18" i="66"/>
  <c r="I18" i="66"/>
  <c r="H18" i="66"/>
  <c r="R18" i="66" s="1"/>
  <c r="U17" i="66"/>
  <c r="T17" i="66"/>
  <c r="S17" i="66"/>
  <c r="F17" i="66"/>
  <c r="O17" i="66" s="1"/>
  <c r="U16" i="66"/>
  <c r="T16" i="66"/>
  <c r="N16" i="66"/>
  <c r="F16" i="66"/>
  <c r="O16" i="66" s="1"/>
  <c r="U15" i="66"/>
  <c r="S15" i="66"/>
  <c r="W15" i="66" s="1"/>
  <c r="Q15" i="66"/>
  <c r="O15" i="66"/>
  <c r="M15" i="66"/>
  <c r="L15" i="66"/>
  <c r="K15" i="66"/>
  <c r="I15" i="66"/>
  <c r="R15" i="66" s="1"/>
  <c r="H15" i="66"/>
  <c r="V14" i="66"/>
  <c r="W14" i="66" s="1"/>
  <c r="K14" i="66"/>
  <c r="H14" i="66"/>
  <c r="F14" i="66"/>
  <c r="O14" i="66" s="1"/>
  <c r="V13" i="66"/>
  <c r="W13" i="66" s="1"/>
  <c r="Q13" i="66"/>
  <c r="N13" i="66"/>
  <c r="F13" i="66"/>
  <c r="O13" i="66" s="1"/>
  <c r="V12" i="66"/>
  <c r="U12" i="66"/>
  <c r="W12" i="66" s="1"/>
  <c r="N12" i="66"/>
  <c r="M12" i="66"/>
  <c r="K12" i="66"/>
  <c r="F12" i="66"/>
  <c r="L12" i="66" s="1"/>
  <c r="W11" i="66"/>
  <c r="T11" i="66"/>
  <c r="S11" i="66"/>
  <c r="L11" i="66"/>
  <c r="F11" i="66"/>
  <c r="K11" i="66" s="1"/>
  <c r="U10" i="66"/>
  <c r="T10" i="66"/>
  <c r="O10" i="66"/>
  <c r="N10" i="66"/>
  <c r="M10" i="66"/>
  <c r="L10" i="66"/>
  <c r="K10" i="66"/>
  <c r="I10" i="66"/>
  <c r="H10" i="66"/>
  <c r="W9" i="66"/>
  <c r="N9" i="66"/>
  <c r="N33" i="66" s="1"/>
  <c r="I4" i="66"/>
  <c r="F4" i="66"/>
  <c r="R10" i="66" l="1"/>
  <c r="M11" i="66"/>
  <c r="H13" i="66"/>
  <c r="M13" i="66"/>
  <c r="L14" i="66"/>
  <c r="H16" i="66"/>
  <c r="M16" i="66"/>
  <c r="L17" i="66"/>
  <c r="L19" i="66"/>
  <c r="I13" i="66"/>
  <c r="I16" i="66"/>
  <c r="H17" i="66"/>
  <c r="H19" i="66"/>
  <c r="M22" i="66"/>
  <c r="O22" i="66"/>
  <c r="R9" i="66"/>
  <c r="V33" i="66"/>
  <c r="K13" i="66"/>
  <c r="R13" i="66" s="1"/>
  <c r="Q33" i="66"/>
  <c r="Q180" i="66" s="1"/>
  <c r="I14" i="66"/>
  <c r="K16" i="66"/>
  <c r="T33" i="66"/>
  <c r="I17" i="66"/>
  <c r="W18" i="66"/>
  <c r="I19" i="66"/>
  <c r="O28" i="66"/>
  <c r="M28" i="66"/>
  <c r="H28" i="66"/>
  <c r="L13" i="66"/>
  <c r="L16" i="66"/>
  <c r="K17" i="66"/>
  <c r="K19" i="66"/>
  <c r="R20" i="66"/>
  <c r="W25" i="66"/>
  <c r="M30" i="66"/>
  <c r="L30" i="66"/>
  <c r="M31" i="66"/>
  <c r="I36" i="66"/>
  <c r="I37" i="66" s="1"/>
  <c r="T51" i="66"/>
  <c r="W43" i="66"/>
  <c r="O44" i="66"/>
  <c r="I45" i="66"/>
  <c r="L47" i="66"/>
  <c r="I49" i="66"/>
  <c r="W50" i="66"/>
  <c r="W55" i="66"/>
  <c r="S56" i="66"/>
  <c r="H59" i="66"/>
  <c r="N71" i="66"/>
  <c r="N180" i="66" s="1"/>
  <c r="R60" i="66"/>
  <c r="L62" i="66"/>
  <c r="L63" i="66"/>
  <c r="T71" i="66"/>
  <c r="I64" i="66"/>
  <c r="O64" i="66"/>
  <c r="M66" i="66"/>
  <c r="I67" i="66"/>
  <c r="O67" i="66"/>
  <c r="H68" i="66"/>
  <c r="W69" i="66"/>
  <c r="M74" i="66"/>
  <c r="R76" i="66"/>
  <c r="K78" i="66"/>
  <c r="W80" i="66"/>
  <c r="K85" i="66"/>
  <c r="O85" i="66"/>
  <c r="H86" i="66"/>
  <c r="L86" i="66"/>
  <c r="K90" i="66"/>
  <c r="H94" i="66"/>
  <c r="O94" i="66"/>
  <c r="I96" i="66"/>
  <c r="I100" i="66"/>
  <c r="W100" i="66"/>
  <c r="L101" i="66"/>
  <c r="L102" i="66"/>
  <c r="K103" i="66"/>
  <c r="F113" i="66"/>
  <c r="L107" i="66"/>
  <c r="I108" i="66"/>
  <c r="T113" i="66"/>
  <c r="I109" i="66"/>
  <c r="W109" i="66"/>
  <c r="L111" i="66"/>
  <c r="K112" i="66"/>
  <c r="I118" i="66"/>
  <c r="I119" i="66"/>
  <c r="L121" i="66"/>
  <c r="K122" i="66"/>
  <c r="K124" i="66"/>
  <c r="K131" i="66"/>
  <c r="I133" i="66"/>
  <c r="I134" i="66"/>
  <c r="I136" i="66"/>
  <c r="K137" i="66"/>
  <c r="I145" i="66"/>
  <c r="M146" i="66"/>
  <c r="M147" i="66"/>
  <c r="L148" i="66"/>
  <c r="I152" i="66"/>
  <c r="O152" i="66"/>
  <c r="O160" i="66"/>
  <c r="L164" i="66"/>
  <c r="K165" i="66"/>
  <c r="L169" i="66"/>
  <c r="K170" i="66"/>
  <c r="W170" i="66"/>
  <c r="I171" i="66"/>
  <c r="W171" i="66"/>
  <c r="I172" i="66"/>
  <c r="K175" i="66"/>
  <c r="I176" i="66"/>
  <c r="O176" i="66"/>
  <c r="K45" i="66"/>
  <c r="M47" i="66"/>
  <c r="L85" i="66"/>
  <c r="K96" i="66"/>
  <c r="K100" i="66"/>
  <c r="M101" i="66"/>
  <c r="M102" i="66"/>
  <c r="L103" i="66"/>
  <c r="K108" i="66"/>
  <c r="M121" i="66"/>
  <c r="L122" i="66"/>
  <c r="L124" i="66"/>
  <c r="L131" i="66"/>
  <c r="O166" i="66"/>
  <c r="L170" i="66"/>
  <c r="L175" i="66"/>
  <c r="W31" i="66"/>
  <c r="O36" i="66"/>
  <c r="O37" i="66" s="1"/>
  <c r="I47" i="66"/>
  <c r="O49" i="66"/>
  <c r="F56" i="66"/>
  <c r="L64" i="66"/>
  <c r="L67" i="66"/>
  <c r="F71" i="66"/>
  <c r="K80" i="66"/>
  <c r="H85" i="66"/>
  <c r="M85" i="66"/>
  <c r="M88" i="66"/>
  <c r="H90" i="66"/>
  <c r="O90" i="66"/>
  <c r="L96" i="66"/>
  <c r="W96" i="66"/>
  <c r="L100" i="66"/>
  <c r="I101" i="66"/>
  <c r="I102" i="66"/>
  <c r="H103" i="66"/>
  <c r="N113" i="66"/>
  <c r="O109" i="66"/>
  <c r="H112" i="66"/>
  <c r="O112" i="66"/>
  <c r="L118" i="66"/>
  <c r="O119" i="66"/>
  <c r="I121" i="66"/>
  <c r="H122" i="66"/>
  <c r="M122" i="66"/>
  <c r="H124" i="66"/>
  <c r="M124" i="66"/>
  <c r="H131" i="66"/>
  <c r="M131" i="66"/>
  <c r="L133" i="66"/>
  <c r="L134" i="66"/>
  <c r="L136" i="66"/>
  <c r="H142" i="66"/>
  <c r="W142" i="66"/>
  <c r="L145" i="66"/>
  <c r="K146" i="66"/>
  <c r="L150" i="66"/>
  <c r="L152" i="66"/>
  <c r="W156" i="66"/>
  <c r="W157" i="66"/>
  <c r="I159" i="66"/>
  <c r="I160" i="66"/>
  <c r="M162" i="66"/>
  <c r="I164" i="66"/>
  <c r="O164" i="66"/>
  <c r="H165" i="66"/>
  <c r="O165" i="66"/>
  <c r="H166" i="66"/>
  <c r="I169" i="66"/>
  <c r="H170" i="66"/>
  <c r="O172" i="66"/>
  <c r="H175" i="66"/>
  <c r="M175" i="66"/>
  <c r="L176" i="66"/>
  <c r="W29" i="66"/>
  <c r="H36" i="66"/>
  <c r="H37" i="66" s="1"/>
  <c r="F37" i="66"/>
  <c r="M41" i="66"/>
  <c r="H45" i="66"/>
  <c r="K46" i="66"/>
  <c r="H49" i="66"/>
  <c r="M54" i="66"/>
  <c r="M56" i="66" s="1"/>
  <c r="K59" i="66"/>
  <c r="S71" i="66"/>
  <c r="H64" i="66"/>
  <c r="R64" i="66" s="1"/>
  <c r="L66" i="66"/>
  <c r="H67" i="66"/>
  <c r="W74" i="66"/>
  <c r="R77" i="66"/>
  <c r="I85" i="66"/>
  <c r="N97" i="66"/>
  <c r="K86" i="66"/>
  <c r="M89" i="66"/>
  <c r="I90" i="66"/>
  <c r="W90" i="66"/>
  <c r="M92" i="66"/>
  <c r="W92" i="66"/>
  <c r="H96" i="66"/>
  <c r="M96" i="66"/>
  <c r="H100" i="66"/>
  <c r="K102" i="66"/>
  <c r="S104" i="66"/>
  <c r="I103" i="66"/>
  <c r="W103" i="66"/>
  <c r="K107" i="66"/>
  <c r="O107" i="66"/>
  <c r="H108" i="66"/>
  <c r="O108" i="66"/>
  <c r="H109" i="66"/>
  <c r="M110" i="66"/>
  <c r="W110" i="66"/>
  <c r="I112" i="66"/>
  <c r="O116" i="66"/>
  <c r="H118" i="66"/>
  <c r="H119" i="66"/>
  <c r="W120" i="66"/>
  <c r="I122" i="66"/>
  <c r="W123" i="66"/>
  <c r="M125" i="66"/>
  <c r="V179" i="66"/>
  <c r="I131" i="66"/>
  <c r="W131" i="66"/>
  <c r="H133" i="66"/>
  <c r="M133" i="66"/>
  <c r="H134" i="66"/>
  <c r="M134" i="66"/>
  <c r="L135" i="66"/>
  <c r="H136" i="66"/>
  <c r="I137" i="66"/>
  <c r="W140" i="66"/>
  <c r="M142" i="66"/>
  <c r="H145" i="66"/>
  <c r="K148" i="66"/>
  <c r="M150" i="66"/>
  <c r="H152" i="66"/>
  <c r="M157" i="66"/>
  <c r="L158" i="66"/>
  <c r="K159" i="66"/>
  <c r="L163" i="66"/>
  <c r="W163" i="66"/>
  <c r="K164" i="66"/>
  <c r="W164" i="66"/>
  <c r="I165" i="66"/>
  <c r="W165" i="66"/>
  <c r="I166" i="66"/>
  <c r="M168" i="66"/>
  <c r="K169" i="66"/>
  <c r="I170" i="66"/>
  <c r="O170" i="66"/>
  <c r="H171" i="66"/>
  <c r="O171" i="66"/>
  <c r="H172" i="66"/>
  <c r="I175" i="66"/>
  <c r="H176" i="66"/>
  <c r="O178" i="66"/>
  <c r="U71" i="66"/>
  <c r="W137" i="66"/>
  <c r="W78" i="66"/>
  <c r="U33" i="66"/>
  <c r="U51" i="66"/>
  <c r="U113" i="66"/>
  <c r="W134" i="66"/>
  <c r="W49" i="66"/>
  <c r="W10" i="66"/>
  <c r="W36" i="66"/>
  <c r="W37" i="66" s="1"/>
  <c r="U104" i="66"/>
  <c r="W119" i="66"/>
  <c r="W87" i="66"/>
  <c r="W116" i="66"/>
  <c r="W122" i="66"/>
  <c r="W17" i="66"/>
  <c r="H22" i="66"/>
  <c r="L29" i="66"/>
  <c r="K29" i="66"/>
  <c r="I29" i="66"/>
  <c r="M42" i="66"/>
  <c r="L50" i="66"/>
  <c r="K50" i="66"/>
  <c r="I50" i="66"/>
  <c r="H50" i="66"/>
  <c r="L65" i="66"/>
  <c r="K65" i="66"/>
  <c r="I65" i="66"/>
  <c r="O65" i="66"/>
  <c r="H65" i="66"/>
  <c r="W66" i="66"/>
  <c r="M70" i="66"/>
  <c r="M71" i="66" s="1"/>
  <c r="L70" i="66"/>
  <c r="K70" i="66"/>
  <c r="I70" i="66"/>
  <c r="O70" i="66"/>
  <c r="H70" i="66"/>
  <c r="R75" i="66"/>
  <c r="L81" i="66"/>
  <c r="K81" i="66"/>
  <c r="I81" i="66"/>
  <c r="O81" i="66"/>
  <c r="H81" i="66"/>
  <c r="M81" i="66"/>
  <c r="O11" i="66"/>
  <c r="W16" i="66"/>
  <c r="I22" i="66"/>
  <c r="M24" i="66"/>
  <c r="L24" i="66"/>
  <c r="K24" i="66"/>
  <c r="K26" i="66"/>
  <c r="I26" i="66"/>
  <c r="O26" i="66"/>
  <c r="H26" i="66"/>
  <c r="R26" i="66" s="1"/>
  <c r="W32" i="66"/>
  <c r="J180" i="66"/>
  <c r="M50" i="66"/>
  <c r="R50" i="66" s="1"/>
  <c r="H11" i="66"/>
  <c r="H12" i="66"/>
  <c r="O12" i="66"/>
  <c r="M14" i="66"/>
  <c r="R14" i="66" s="1"/>
  <c r="M17" i="66"/>
  <c r="R17" i="66" s="1"/>
  <c r="M19" i="66"/>
  <c r="R19" i="66" s="1"/>
  <c r="H21" i="66"/>
  <c r="K22" i="66"/>
  <c r="H24" i="66"/>
  <c r="M25" i="66"/>
  <c r="L25" i="66"/>
  <c r="K25" i="66"/>
  <c r="R25" i="66" s="1"/>
  <c r="L26" i="66"/>
  <c r="K27" i="66"/>
  <c r="I27" i="66"/>
  <c r="H27" i="66"/>
  <c r="R27" i="66" s="1"/>
  <c r="M29" i="66"/>
  <c r="O50" i="66"/>
  <c r="W56" i="66"/>
  <c r="L61" i="66"/>
  <c r="K61" i="66"/>
  <c r="K71" i="66" s="1"/>
  <c r="I61" i="66"/>
  <c r="O61" i="66"/>
  <c r="H61" i="66"/>
  <c r="R61" i="66" s="1"/>
  <c r="L42" i="66"/>
  <c r="K42" i="66"/>
  <c r="I42" i="66"/>
  <c r="H42" i="66"/>
  <c r="F33" i="66"/>
  <c r="I11" i="66"/>
  <c r="S33" i="66"/>
  <c r="I12" i="66"/>
  <c r="I21" i="66"/>
  <c r="L22" i="66"/>
  <c r="M23" i="66"/>
  <c r="L23" i="66"/>
  <c r="R23" i="66" s="1"/>
  <c r="I24" i="66"/>
  <c r="M26" i="66"/>
  <c r="L28" i="66"/>
  <c r="K28" i="66"/>
  <c r="I28" i="66"/>
  <c r="K30" i="66"/>
  <c r="I30" i="66"/>
  <c r="O30" i="66"/>
  <c r="H30" i="66"/>
  <c r="R30" i="66" s="1"/>
  <c r="M44" i="66"/>
  <c r="L44" i="66"/>
  <c r="K44" i="66"/>
  <c r="I44" i="66"/>
  <c r="R44" i="66" s="1"/>
  <c r="W63" i="66"/>
  <c r="W86" i="66"/>
  <c r="V97" i="66"/>
  <c r="K120" i="66"/>
  <c r="M120" i="66"/>
  <c r="L120" i="66"/>
  <c r="I120" i="66"/>
  <c r="H120" i="66"/>
  <c r="O120" i="66"/>
  <c r="L48" i="66"/>
  <c r="K48" i="66"/>
  <c r="I48" i="66"/>
  <c r="R48" i="66" s="1"/>
  <c r="H48" i="66"/>
  <c r="O40" i="66"/>
  <c r="O41" i="66"/>
  <c r="F51" i="66"/>
  <c r="S51" i="66"/>
  <c r="I68" i="66"/>
  <c r="R68" i="66" s="1"/>
  <c r="I69" i="66"/>
  <c r="F82" i="66"/>
  <c r="M80" i="66"/>
  <c r="M82" i="66" s="1"/>
  <c r="K140" i="66"/>
  <c r="H140" i="66"/>
  <c r="M140" i="66"/>
  <c r="L140" i="66"/>
  <c r="O140" i="66"/>
  <c r="I140" i="66"/>
  <c r="O155" i="66"/>
  <c r="H155" i="66"/>
  <c r="M155" i="66"/>
  <c r="L155" i="66"/>
  <c r="K155" i="66"/>
  <c r="I155" i="66"/>
  <c r="O31" i="66"/>
  <c r="O32" i="66"/>
  <c r="K36" i="66"/>
  <c r="K37" i="66" s="1"/>
  <c r="H40" i="66"/>
  <c r="H41" i="66"/>
  <c r="W44" i="66"/>
  <c r="L45" i="66"/>
  <c r="L46" i="66"/>
  <c r="O47" i="66"/>
  <c r="R47" i="66" s="1"/>
  <c r="K49" i="66"/>
  <c r="R49" i="66" s="1"/>
  <c r="H54" i="66"/>
  <c r="H56" i="66" s="1"/>
  <c r="O54" i="66"/>
  <c r="O56" i="66" s="1"/>
  <c r="H62" i="66"/>
  <c r="O62" i="66"/>
  <c r="H66" i="66"/>
  <c r="O66" i="66"/>
  <c r="K68" i="66"/>
  <c r="K69" i="66"/>
  <c r="R69" i="66" s="1"/>
  <c r="H74" i="66"/>
  <c r="O74" i="66"/>
  <c r="V82" i="66"/>
  <c r="V180" i="66" s="1"/>
  <c r="O78" i="66"/>
  <c r="K104" i="66"/>
  <c r="M113" i="66"/>
  <c r="H31" i="66"/>
  <c r="R31" i="66" s="1"/>
  <c r="H32" i="66"/>
  <c r="R32" i="66" s="1"/>
  <c r="L36" i="66"/>
  <c r="L37" i="66" s="1"/>
  <c r="I40" i="66"/>
  <c r="I41" i="66"/>
  <c r="M45" i="66"/>
  <c r="M46" i="66"/>
  <c r="H47" i="66"/>
  <c r="L49" i="66"/>
  <c r="I54" i="66"/>
  <c r="I56" i="66" s="1"/>
  <c r="L59" i="66"/>
  <c r="I62" i="66"/>
  <c r="H63" i="66"/>
  <c r="O63" i="66"/>
  <c r="I66" i="66"/>
  <c r="R66" i="66"/>
  <c r="L68" i="66"/>
  <c r="L69" i="66"/>
  <c r="I74" i="66"/>
  <c r="W75" i="66"/>
  <c r="H78" i="66"/>
  <c r="R78" i="66" s="1"/>
  <c r="U97" i="66"/>
  <c r="W89" i="66"/>
  <c r="L104" i="66"/>
  <c r="T104" i="66"/>
  <c r="W102" i="66"/>
  <c r="W104" i="66" s="1"/>
  <c r="O173" i="66"/>
  <c r="H173" i="66"/>
  <c r="M173" i="66"/>
  <c r="L173" i="66"/>
  <c r="K173" i="66"/>
  <c r="I173" i="66"/>
  <c r="I63" i="66"/>
  <c r="R63" i="66" s="1"/>
  <c r="K74" i="66"/>
  <c r="K82" i="66" s="1"/>
  <c r="I78" i="66"/>
  <c r="I79" i="66"/>
  <c r="O79" i="66"/>
  <c r="H79" i="66"/>
  <c r="M95" i="66"/>
  <c r="L95" i="66"/>
  <c r="K95" i="66"/>
  <c r="I95" i="66"/>
  <c r="O95" i="66"/>
  <c r="H95" i="66"/>
  <c r="R111" i="66"/>
  <c r="V126" i="66"/>
  <c r="L80" i="66"/>
  <c r="L82" i="66" s="1"/>
  <c r="I80" i="66"/>
  <c r="H80" i="66"/>
  <c r="M91" i="66"/>
  <c r="L91" i="66"/>
  <c r="K91" i="66"/>
  <c r="I91" i="66"/>
  <c r="O91" i="66"/>
  <c r="H91" i="66"/>
  <c r="R107" i="66"/>
  <c r="S113" i="66"/>
  <c r="W107" i="66"/>
  <c r="W118" i="66"/>
  <c r="O117" i="66"/>
  <c r="K123" i="66"/>
  <c r="I123" i="66"/>
  <c r="F126" i="66"/>
  <c r="I130" i="66"/>
  <c r="O130" i="66"/>
  <c r="K139" i="66"/>
  <c r="H139" i="66"/>
  <c r="M139" i="66"/>
  <c r="L139" i="66"/>
  <c r="R164" i="66"/>
  <c r="O167" i="66"/>
  <c r="H167" i="66"/>
  <c r="M167" i="66"/>
  <c r="L167" i="66"/>
  <c r="K167" i="66"/>
  <c r="I167" i="66"/>
  <c r="L87" i="66"/>
  <c r="H88" i="66"/>
  <c r="O88" i="66"/>
  <c r="H89" i="66"/>
  <c r="O89" i="66"/>
  <c r="L90" i="66"/>
  <c r="R90" i="66" s="1"/>
  <c r="H92" i="66"/>
  <c r="O92" i="66"/>
  <c r="M93" i="66"/>
  <c r="L94" i="66"/>
  <c r="R94" i="66" s="1"/>
  <c r="M100" i="66"/>
  <c r="R100" i="66" s="1"/>
  <c r="O101" i="66"/>
  <c r="M103" i="66"/>
  <c r="R103" i="66" s="1"/>
  <c r="L108" i="66"/>
  <c r="R108" i="66" s="1"/>
  <c r="K109" i="66"/>
  <c r="H110" i="66"/>
  <c r="O110" i="66"/>
  <c r="O113" i="66" s="1"/>
  <c r="L112" i="66"/>
  <c r="R112" i="66" s="1"/>
  <c r="K116" i="66"/>
  <c r="T126" i="66"/>
  <c r="H117" i="66"/>
  <c r="M118" i="66"/>
  <c r="K119" i="66"/>
  <c r="H121" i="66"/>
  <c r="O121" i="66"/>
  <c r="H123" i="66"/>
  <c r="R129" i="66"/>
  <c r="H130" i="66"/>
  <c r="R131" i="66"/>
  <c r="R134" i="66"/>
  <c r="W136" i="66"/>
  <c r="I139" i="66"/>
  <c r="H141" i="66"/>
  <c r="M141" i="66"/>
  <c r="K141" i="66"/>
  <c r="I141" i="66"/>
  <c r="K144" i="66"/>
  <c r="H144" i="66"/>
  <c r="M144" i="66"/>
  <c r="L144" i="66"/>
  <c r="R158" i="66"/>
  <c r="O161" i="66"/>
  <c r="H161" i="66"/>
  <c r="R161" i="66" s="1"/>
  <c r="L161" i="66"/>
  <c r="K161" i="66"/>
  <c r="I161" i="66"/>
  <c r="R175" i="66"/>
  <c r="M87" i="66"/>
  <c r="M97" i="66" s="1"/>
  <c r="I88" i="66"/>
  <c r="I89" i="66"/>
  <c r="I92" i="66"/>
  <c r="S97" i="66"/>
  <c r="O100" i="66"/>
  <c r="H101" i="66"/>
  <c r="H104" i="66" s="1"/>
  <c r="H102" i="66"/>
  <c r="R102" i="66" s="1"/>
  <c r="W108" i="66"/>
  <c r="L109" i="66"/>
  <c r="I110" i="66"/>
  <c r="I113" i="66" s="1"/>
  <c r="L116" i="66"/>
  <c r="U126" i="66"/>
  <c r="I117" i="66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89" i="66"/>
  <c r="K92" i="66"/>
  <c r="H93" i="66"/>
  <c r="R93" i="66" s="1"/>
  <c r="K110" i="66"/>
  <c r="K117" i="66"/>
  <c r="R117" i="66" s="1"/>
  <c r="M123" i="66"/>
  <c r="I125" i="66"/>
  <c r="H125" i="66"/>
  <c r="R125" i="66" s="1"/>
  <c r="S126" i="66"/>
  <c r="U179" i="66"/>
  <c r="K130" i="66"/>
  <c r="R133" i="66"/>
  <c r="H143" i="66"/>
  <c r="R143" i="66" s="1"/>
  <c r="M143" i="66"/>
  <c r="K143" i="66"/>
  <c r="I143" i="66"/>
  <c r="O156" i="66"/>
  <c r="H156" i="66"/>
  <c r="M156" i="66"/>
  <c r="L156" i="66"/>
  <c r="K156" i="66"/>
  <c r="I156" i="66"/>
  <c r="R163" i="66"/>
  <c r="I87" i="66"/>
  <c r="I97" i="66" s="1"/>
  <c r="O123" i="66"/>
  <c r="L130" i="66"/>
  <c r="R132" i="66"/>
  <c r="H137" i="66"/>
  <c r="M137" i="66"/>
  <c r="L137" i="66"/>
  <c r="R176" i="66"/>
  <c r="F179" i="66"/>
  <c r="O124" i="66"/>
  <c r="R124" i="66" s="1"/>
  <c r="M135" i="66"/>
  <c r="M136" i="66"/>
  <c r="R136" i="66" s="1"/>
  <c r="K138" i="66"/>
  <c r="R138" i="66" s="1"/>
  <c r="K142" i="66"/>
  <c r="O145" i="66"/>
  <c r="R145" i="66" s="1"/>
  <c r="H146" i="66"/>
  <c r="O146" i="66"/>
  <c r="O147" i="66"/>
  <c r="M148" i="66"/>
  <c r="R148" i="66" s="1"/>
  <c r="O149" i="66"/>
  <c r="H150" i="66"/>
  <c r="H151" i="66"/>
  <c r="O151" i="66"/>
  <c r="L153" i="66"/>
  <c r="R153" i="66" s="1"/>
  <c r="K154" i="66"/>
  <c r="L159" i="66"/>
  <c r="R159" i="66" s="1"/>
  <c r="K160" i="66"/>
  <c r="H162" i="66"/>
  <c r="R162" i="66" s="1"/>
  <c r="O162" i="66"/>
  <c r="L165" i="66"/>
  <c r="R165" i="66" s="1"/>
  <c r="K166" i="66"/>
  <c r="R166" i="66" s="1"/>
  <c r="H168" i="66"/>
  <c r="O168" i="66"/>
  <c r="L171" i="66"/>
  <c r="R171" i="66" s="1"/>
  <c r="K172" i="66"/>
  <c r="H174" i="66"/>
  <c r="O174" i="66"/>
  <c r="R174" i="66" s="1"/>
  <c r="L177" i="66"/>
  <c r="R177" i="66" s="1"/>
  <c r="K178" i="66"/>
  <c r="L138" i="66"/>
  <c r="L142" i="66"/>
  <c r="I146" i="66"/>
  <c r="H147" i="66"/>
  <c r="H149" i="66"/>
  <c r="R149" i="66" s="1"/>
  <c r="I150" i="66"/>
  <c r="I151" i="66"/>
  <c r="L154" i="66"/>
  <c r="H157" i="66"/>
  <c r="R157" i="66" s="1"/>
  <c r="L160" i="66"/>
  <c r="I162" i="66"/>
  <c r="L166" i="66"/>
  <c r="I168" i="66"/>
  <c r="L172" i="66"/>
  <c r="R172" i="66" s="1"/>
  <c r="I174" i="66"/>
  <c r="L178" i="66"/>
  <c r="R178" i="66" s="1"/>
  <c r="K150" i="66"/>
  <c r="M154" i="66"/>
  <c r="M160" i="66"/>
  <c r="K162" i="66"/>
  <c r="K168" i="66"/>
  <c r="K179" i="66" s="1"/>
  <c r="K174" i="66"/>
  <c r="O138" i="66"/>
  <c r="O142" i="66"/>
  <c r="I154" i="66"/>
  <c r="R154" i="66" s="1"/>
  <c r="R151" i="66" l="1"/>
  <c r="R156" i="66"/>
  <c r="H126" i="66"/>
  <c r="R110" i="66"/>
  <c r="R92" i="66"/>
  <c r="R89" i="66"/>
  <c r="R167" i="66"/>
  <c r="I179" i="66"/>
  <c r="O126" i="66"/>
  <c r="R80" i="66"/>
  <c r="R95" i="66"/>
  <c r="R79" i="66"/>
  <c r="R54" i="66"/>
  <c r="R74" i="66"/>
  <c r="R45" i="66"/>
  <c r="L33" i="66"/>
  <c r="I33" i="66"/>
  <c r="K51" i="66"/>
  <c r="M33" i="66"/>
  <c r="R36" i="66"/>
  <c r="R86" i="66"/>
  <c r="R16" i="66"/>
  <c r="K113" i="66"/>
  <c r="R139" i="66"/>
  <c r="T180" i="66"/>
  <c r="R140" i="66"/>
  <c r="R101" i="66"/>
  <c r="F180" i="66"/>
  <c r="O71" i="66"/>
  <c r="K33" i="66"/>
  <c r="R22" i="66"/>
  <c r="W71" i="66"/>
  <c r="R29" i="66"/>
  <c r="R150" i="66"/>
  <c r="O179" i="66"/>
  <c r="R168" i="66"/>
  <c r="R146" i="66"/>
  <c r="R144" i="66"/>
  <c r="M126" i="66"/>
  <c r="H97" i="66"/>
  <c r="R173" i="66"/>
  <c r="H71" i="66"/>
  <c r="R41" i="66"/>
  <c r="R28" i="66"/>
  <c r="R42" i="66"/>
  <c r="I71" i="66"/>
  <c r="R21" i="66"/>
  <c r="R65" i="66"/>
  <c r="R170" i="66"/>
  <c r="R122" i="66"/>
  <c r="I104" i="66"/>
  <c r="R67" i="66"/>
  <c r="H179" i="66"/>
  <c r="R147" i="66"/>
  <c r="R160" i="66"/>
  <c r="M179" i="66"/>
  <c r="L179" i="66"/>
  <c r="K97" i="66"/>
  <c r="I126" i="66"/>
  <c r="R109" i="66"/>
  <c r="R141" i="66"/>
  <c r="O97" i="66"/>
  <c r="L97" i="66"/>
  <c r="R91" i="66"/>
  <c r="L71" i="66"/>
  <c r="O82" i="66"/>
  <c r="R46" i="66"/>
  <c r="H51" i="66"/>
  <c r="R155" i="66"/>
  <c r="R118" i="66"/>
  <c r="R120" i="66"/>
  <c r="R12" i="66"/>
  <c r="O33" i="66"/>
  <c r="R81" i="66"/>
  <c r="R70" i="66"/>
  <c r="M51" i="66"/>
  <c r="R152" i="66"/>
  <c r="R96" i="66"/>
  <c r="W51" i="66"/>
  <c r="W97" i="66"/>
  <c r="W179" i="66"/>
  <c r="W82" i="66"/>
  <c r="W126" i="66"/>
  <c r="W33" i="66"/>
  <c r="U180" i="66"/>
  <c r="R82" i="66"/>
  <c r="H33" i="66"/>
  <c r="R37" i="66"/>
  <c r="Y37" i="66"/>
  <c r="R56" i="66"/>
  <c r="Y56" i="66"/>
  <c r="R104" i="66"/>
  <c r="Y104" i="66"/>
  <c r="R121" i="66"/>
  <c r="I51" i="66"/>
  <c r="R135" i="66"/>
  <c r="L51" i="66"/>
  <c r="L180" i="66" s="1"/>
  <c r="R130" i="66"/>
  <c r="R142" i="66"/>
  <c r="R137" i="66"/>
  <c r="R119" i="66"/>
  <c r="M104" i="66"/>
  <c r="M180" i="66" s="1"/>
  <c r="H113" i="66"/>
  <c r="I82" i="66"/>
  <c r="I180" i="66" s="1"/>
  <c r="L113" i="66"/>
  <c r="O51" i="66"/>
  <c r="O180" i="66" s="1"/>
  <c r="S180" i="66"/>
  <c r="R24" i="66"/>
  <c r="R59" i="66"/>
  <c r="R11" i="66"/>
  <c r="L126" i="66"/>
  <c r="R62" i="66"/>
  <c r="K126" i="66"/>
  <c r="K180" i="66" s="1"/>
  <c r="R116" i="66"/>
  <c r="R113" i="66"/>
  <c r="Y113" i="66"/>
  <c r="H82" i="66"/>
  <c r="R87" i="66"/>
  <c r="R97" i="66" s="1"/>
  <c r="O104" i="66"/>
  <c r="R88" i="66"/>
  <c r="R123" i="66"/>
  <c r="W113" i="66"/>
  <c r="R40" i="66"/>
  <c r="U116" i="1"/>
  <c r="X116" i="1" s="1"/>
  <c r="U135" i="1"/>
  <c r="U70" i="1"/>
  <c r="T70" i="1"/>
  <c r="T36" i="1"/>
  <c r="T33" i="1"/>
  <c r="W180" i="66" l="1"/>
  <c r="R126" i="66"/>
  <c r="Y126" i="66"/>
  <c r="H180" i="66"/>
  <c r="Y82" i="66"/>
  <c r="Y33" i="66"/>
  <c r="R33" i="66"/>
  <c r="R71" i="66"/>
  <c r="Y71" i="66"/>
  <c r="Y179" i="66"/>
  <c r="Y51" i="66"/>
  <c r="R51" i="66"/>
  <c r="R179" i="66"/>
  <c r="Y97" i="66"/>
  <c r="R180" i="66" l="1"/>
  <c r="Y180" i="66"/>
  <c r="Z181" i="65" l="1"/>
  <c r="Z106" i="65"/>
  <c r="Z40" i="65"/>
  <c r="Z32" i="65"/>
  <c r="Z31" i="65"/>
  <c r="Z30" i="65"/>
  <c r="Z28" i="65"/>
  <c r="Z27" i="65"/>
  <c r="Z11" i="65"/>
  <c r="Z10" i="65"/>
  <c r="X180" i="65" l="1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79" i="65" s="1"/>
  <c r="Z115" i="65"/>
  <c r="Z114" i="65"/>
  <c r="Z124" i="65" s="1"/>
  <c r="Z111" i="65"/>
  <c r="Z99" i="65"/>
  <c r="Z103" i="65" s="1"/>
  <c r="Z96" i="65"/>
  <c r="Z81" i="65"/>
  <c r="Z70" i="65"/>
  <c r="Z56" i="65"/>
  <c r="Z51" i="65"/>
  <c r="Z37" i="65"/>
  <c r="Z36" i="65"/>
  <c r="Z9" i="65"/>
  <c r="Z33" i="65" s="1"/>
  <c r="G180" i="65"/>
  <c r="D180" i="65"/>
  <c r="Q179" i="65"/>
  <c r="P179" i="65"/>
  <c r="W178" i="65"/>
  <c r="T178" i="65"/>
  <c r="S178" i="65"/>
  <c r="N178" i="65"/>
  <c r="F178" i="65"/>
  <c r="L178" i="65" s="1"/>
  <c r="W177" i="65"/>
  <c r="T177" i="65"/>
  <c r="S177" i="65"/>
  <c r="N177" i="65"/>
  <c r="F177" i="65"/>
  <c r="M177" i="65" s="1"/>
  <c r="T176" i="65"/>
  <c r="S176" i="65"/>
  <c r="W176" i="65" s="1"/>
  <c r="N176" i="65"/>
  <c r="H176" i="65"/>
  <c r="F176" i="65"/>
  <c r="T175" i="65"/>
  <c r="S175" i="65"/>
  <c r="W175" i="65" s="1"/>
  <c r="N175" i="65"/>
  <c r="F175" i="65"/>
  <c r="O175" i="65" s="1"/>
  <c r="T174" i="65"/>
  <c r="S174" i="65"/>
  <c r="W174" i="65" s="1"/>
  <c r="N174" i="65"/>
  <c r="F174" i="65"/>
  <c r="L174" i="65" s="1"/>
  <c r="T173" i="65"/>
  <c r="S173" i="65"/>
  <c r="N173" i="65"/>
  <c r="F173" i="65"/>
  <c r="O173" i="65" s="1"/>
  <c r="T172" i="65"/>
  <c r="S172" i="65"/>
  <c r="W172" i="65" s="1"/>
  <c r="N172" i="65"/>
  <c r="F172" i="65"/>
  <c r="M172" i="65" s="1"/>
  <c r="T171" i="65"/>
  <c r="S171" i="65"/>
  <c r="W171" i="65" s="1"/>
  <c r="N171" i="65"/>
  <c r="F171" i="65"/>
  <c r="M171" i="65" s="1"/>
  <c r="T170" i="65"/>
  <c r="S170" i="65"/>
  <c r="W170" i="65" s="1"/>
  <c r="N170" i="65"/>
  <c r="F170" i="65"/>
  <c r="H170" i="65" s="1"/>
  <c r="T169" i="65"/>
  <c r="S169" i="65"/>
  <c r="W169" i="65" s="1"/>
  <c r="N169" i="65"/>
  <c r="F169" i="65"/>
  <c r="O169" i="65" s="1"/>
  <c r="T168" i="65"/>
  <c r="S168" i="65"/>
  <c r="W168" i="65" s="1"/>
  <c r="N168" i="65"/>
  <c r="F168" i="65"/>
  <c r="I168" i="65" s="1"/>
  <c r="T167" i="65"/>
  <c r="S167" i="65"/>
  <c r="W167" i="65" s="1"/>
  <c r="N167" i="65"/>
  <c r="F167" i="65"/>
  <c r="O167" i="65" s="1"/>
  <c r="T166" i="65"/>
  <c r="S166" i="65"/>
  <c r="N166" i="65"/>
  <c r="M166" i="65"/>
  <c r="F166" i="65"/>
  <c r="L166" i="65" s="1"/>
  <c r="T165" i="65"/>
  <c r="W165" i="65" s="1"/>
  <c r="S165" i="65"/>
  <c r="N165" i="65"/>
  <c r="L165" i="65"/>
  <c r="F165" i="65"/>
  <c r="H165" i="65" s="1"/>
  <c r="T164" i="65"/>
  <c r="W164" i="65" s="1"/>
  <c r="S164" i="65"/>
  <c r="N164" i="65"/>
  <c r="F164" i="65"/>
  <c r="T163" i="65"/>
  <c r="S163" i="65"/>
  <c r="N163" i="65"/>
  <c r="F163" i="65"/>
  <c r="K163" i="65" s="1"/>
  <c r="T162" i="65"/>
  <c r="S162" i="65"/>
  <c r="N162" i="65"/>
  <c r="F162" i="65"/>
  <c r="M162" i="65" s="1"/>
  <c r="T161" i="65"/>
  <c r="S161" i="65"/>
  <c r="W161" i="65" s="1"/>
  <c r="N161" i="65"/>
  <c r="F161" i="65"/>
  <c r="O161" i="65" s="1"/>
  <c r="T160" i="65"/>
  <c r="S160" i="65"/>
  <c r="W160" i="65" s="1"/>
  <c r="N160" i="65"/>
  <c r="F160" i="65"/>
  <c r="K160" i="65" s="1"/>
  <c r="T159" i="65"/>
  <c r="S159" i="65"/>
  <c r="W159" i="65" s="1"/>
  <c r="N159" i="65"/>
  <c r="F159" i="65"/>
  <c r="H159" i="65" s="1"/>
  <c r="T158" i="65"/>
  <c r="S158" i="65"/>
  <c r="W158" i="65" s="1"/>
  <c r="N158" i="65"/>
  <c r="F158" i="65"/>
  <c r="H158" i="65" s="1"/>
  <c r="T157" i="65"/>
  <c r="S157" i="65"/>
  <c r="W157" i="65" s="1"/>
  <c r="O157" i="65"/>
  <c r="N157" i="65"/>
  <c r="F157" i="65"/>
  <c r="U156" i="65"/>
  <c r="T156" i="65"/>
  <c r="S156" i="65"/>
  <c r="N156" i="65"/>
  <c r="F156" i="65"/>
  <c r="O156" i="65" s="1"/>
  <c r="T155" i="65"/>
  <c r="W155" i="65" s="1"/>
  <c r="N155" i="65"/>
  <c r="L155" i="65"/>
  <c r="K155" i="65"/>
  <c r="I155" i="65"/>
  <c r="F155" i="65"/>
  <c r="O155" i="65" s="1"/>
  <c r="T154" i="65"/>
  <c r="S154" i="65"/>
  <c r="N154" i="65"/>
  <c r="L154" i="65"/>
  <c r="K154" i="65"/>
  <c r="F154" i="65"/>
  <c r="M154" i="65" s="1"/>
  <c r="T153" i="65"/>
  <c r="S153" i="65"/>
  <c r="W153" i="65" s="1"/>
  <c r="N153" i="65"/>
  <c r="M153" i="65"/>
  <c r="L153" i="65"/>
  <c r="F153" i="65"/>
  <c r="H153" i="65" s="1"/>
  <c r="T152" i="65"/>
  <c r="S152" i="65"/>
  <c r="W152" i="65" s="1"/>
  <c r="N152" i="65"/>
  <c r="I152" i="65"/>
  <c r="F152" i="65"/>
  <c r="H152" i="65" s="1"/>
  <c r="U151" i="65"/>
  <c r="T151" i="65"/>
  <c r="S151" i="65"/>
  <c r="N151" i="65"/>
  <c r="M151" i="65"/>
  <c r="H151" i="65"/>
  <c r="F151" i="65"/>
  <c r="L151" i="65" s="1"/>
  <c r="V150" i="65"/>
  <c r="S150" i="65"/>
  <c r="W150" i="65" s="1"/>
  <c r="F150" i="65"/>
  <c r="O150" i="65" s="1"/>
  <c r="U149" i="65"/>
  <c r="T149" i="65"/>
  <c r="F149" i="65"/>
  <c r="O149" i="65" s="1"/>
  <c r="S148" i="65"/>
  <c r="W148" i="65" s="1"/>
  <c r="F148" i="65"/>
  <c r="K148" i="65" s="1"/>
  <c r="U147" i="65"/>
  <c r="T147" i="65"/>
  <c r="S147" i="65"/>
  <c r="F147" i="65"/>
  <c r="O147" i="65" s="1"/>
  <c r="T146" i="65"/>
  <c r="S146" i="65"/>
  <c r="F146" i="65"/>
  <c r="O146" i="65" s="1"/>
  <c r="T145" i="65"/>
  <c r="W145" i="65" s="1"/>
  <c r="K145" i="65"/>
  <c r="H145" i="65"/>
  <c r="F145" i="65"/>
  <c r="O145" i="65" s="1"/>
  <c r="T144" i="65"/>
  <c r="W144" i="65" s="1"/>
  <c r="F144" i="65"/>
  <c r="W143" i="65"/>
  <c r="F143" i="65"/>
  <c r="K143" i="65" s="1"/>
  <c r="W142" i="65"/>
  <c r="M142" i="65"/>
  <c r="K142" i="65"/>
  <c r="H142" i="65"/>
  <c r="F142" i="65"/>
  <c r="O142" i="65" s="1"/>
  <c r="U141" i="65"/>
  <c r="T141" i="65"/>
  <c r="S141" i="65"/>
  <c r="L141" i="65"/>
  <c r="I141" i="65"/>
  <c r="F141" i="65"/>
  <c r="M141" i="65" s="1"/>
  <c r="S140" i="65"/>
  <c r="W140" i="65" s="1"/>
  <c r="I140" i="65"/>
  <c r="F140" i="65"/>
  <c r="O140" i="65" s="1"/>
  <c r="V139" i="65"/>
  <c r="U139" i="65"/>
  <c r="T139" i="65"/>
  <c r="S139" i="65"/>
  <c r="M139" i="65"/>
  <c r="L139" i="65"/>
  <c r="F139" i="65"/>
  <c r="O139" i="65" s="1"/>
  <c r="T138" i="65"/>
  <c r="W138" i="65" s="1"/>
  <c r="S138" i="65"/>
  <c r="F138" i="65"/>
  <c r="L138" i="65" s="1"/>
  <c r="T137" i="65"/>
  <c r="W137" i="65" s="1"/>
  <c r="O137" i="65"/>
  <c r="L137" i="65"/>
  <c r="K137" i="65"/>
  <c r="F137" i="65"/>
  <c r="M137" i="65" s="1"/>
  <c r="V136" i="65"/>
  <c r="T136" i="65"/>
  <c r="S136" i="65"/>
  <c r="F136" i="65"/>
  <c r="I136" i="65" s="1"/>
  <c r="T135" i="65"/>
  <c r="S135" i="65"/>
  <c r="M135" i="65"/>
  <c r="K135" i="65"/>
  <c r="H135" i="65"/>
  <c r="F135" i="65"/>
  <c r="I135" i="65" s="1"/>
  <c r="U134" i="65"/>
  <c r="W134" i="65" s="1"/>
  <c r="T134" i="65"/>
  <c r="S134" i="65"/>
  <c r="M134" i="65"/>
  <c r="I134" i="65"/>
  <c r="H134" i="65"/>
  <c r="F134" i="65"/>
  <c r="K134" i="65" s="1"/>
  <c r="U133" i="65"/>
  <c r="W133" i="65" s="1"/>
  <c r="T133" i="65"/>
  <c r="H133" i="65"/>
  <c r="F133" i="65"/>
  <c r="V132" i="65"/>
  <c r="U132" i="65"/>
  <c r="T132" i="65"/>
  <c r="F132" i="65"/>
  <c r="K132" i="65" s="1"/>
  <c r="V131" i="65"/>
  <c r="T131" i="65"/>
  <c r="S131" i="65"/>
  <c r="F131" i="65"/>
  <c r="U130" i="65"/>
  <c r="W130" i="65" s="1"/>
  <c r="S130" i="65"/>
  <c r="O130" i="65"/>
  <c r="M130" i="65"/>
  <c r="L130" i="65"/>
  <c r="K130" i="65"/>
  <c r="I130" i="65"/>
  <c r="H130" i="65"/>
  <c r="R130" i="65" s="1"/>
  <c r="V129" i="65"/>
  <c r="T129" i="65"/>
  <c r="S129" i="65"/>
  <c r="F129" i="65"/>
  <c r="V128" i="65"/>
  <c r="T128" i="65"/>
  <c r="S128" i="65"/>
  <c r="W128" i="65" s="1"/>
  <c r="J128" i="65"/>
  <c r="J179" i="65" s="1"/>
  <c r="I128" i="65"/>
  <c r="F128" i="65"/>
  <c r="M128" i="65" s="1"/>
  <c r="U127" i="65"/>
  <c r="T127" i="65"/>
  <c r="O127" i="65"/>
  <c r="M127" i="65"/>
  <c r="L127" i="65"/>
  <c r="K127" i="65"/>
  <c r="I127" i="65"/>
  <c r="H127" i="65"/>
  <c r="P124" i="65"/>
  <c r="N124" i="65"/>
  <c r="V123" i="65"/>
  <c r="S123" i="65"/>
  <c r="W123" i="65" s="1"/>
  <c r="O123" i="65"/>
  <c r="F123" i="65"/>
  <c r="K123" i="65" s="1"/>
  <c r="S122" i="65"/>
  <c r="W122" i="65" s="1"/>
  <c r="I122" i="65"/>
  <c r="H122" i="65"/>
  <c r="F122" i="65"/>
  <c r="K122" i="65" s="1"/>
  <c r="V121" i="65"/>
  <c r="U121" i="65"/>
  <c r="W121" i="65" s="1"/>
  <c r="T121" i="65"/>
  <c r="S121" i="65"/>
  <c r="L121" i="65"/>
  <c r="F121" i="65"/>
  <c r="O121" i="65" s="1"/>
  <c r="V120" i="65"/>
  <c r="U120" i="65"/>
  <c r="T120" i="65"/>
  <c r="S120" i="65"/>
  <c r="Q120" i="65"/>
  <c r="K120" i="65"/>
  <c r="F120" i="65"/>
  <c r="O120" i="65" s="1"/>
  <c r="V119" i="65"/>
  <c r="T119" i="65"/>
  <c r="S119" i="65"/>
  <c r="W119" i="65" s="1"/>
  <c r="H119" i="65"/>
  <c r="F119" i="65"/>
  <c r="K119" i="65" s="1"/>
  <c r="V118" i="65"/>
  <c r="U118" i="65"/>
  <c r="S118" i="65"/>
  <c r="Q118" i="65"/>
  <c r="J118" i="65"/>
  <c r="F118" i="65"/>
  <c r="M118" i="65" s="1"/>
  <c r="V117" i="65"/>
  <c r="U117" i="65"/>
  <c r="T117" i="65"/>
  <c r="S117" i="65"/>
  <c r="O117" i="65"/>
  <c r="J117" i="65"/>
  <c r="I117" i="65"/>
  <c r="H117" i="65"/>
  <c r="F117" i="65"/>
  <c r="M117" i="65" s="1"/>
  <c r="U116" i="65"/>
  <c r="W116" i="65" s="1"/>
  <c r="T116" i="65"/>
  <c r="S116" i="65"/>
  <c r="K116" i="65"/>
  <c r="I116" i="65"/>
  <c r="F116" i="65"/>
  <c r="O116" i="65" s="1"/>
  <c r="V115" i="65"/>
  <c r="T115" i="65"/>
  <c r="S115" i="65"/>
  <c r="Q115" i="65"/>
  <c r="Q124" i="65" s="1"/>
  <c r="F115" i="65"/>
  <c r="O115" i="65" s="1"/>
  <c r="V114" i="65"/>
  <c r="U114" i="65"/>
  <c r="T114" i="65"/>
  <c r="S114" i="65"/>
  <c r="O114" i="65"/>
  <c r="L114" i="65"/>
  <c r="J114" i="65"/>
  <c r="J124" i="65" s="1"/>
  <c r="I114" i="65"/>
  <c r="H114" i="65"/>
  <c r="F114" i="65"/>
  <c r="K114" i="65" s="1"/>
  <c r="Q111" i="65"/>
  <c r="P111" i="65"/>
  <c r="J111" i="65"/>
  <c r="V110" i="65"/>
  <c r="S110" i="65"/>
  <c r="W110" i="65" s="1"/>
  <c r="N110" i="65"/>
  <c r="M110" i="65"/>
  <c r="F110" i="65"/>
  <c r="V109" i="65"/>
  <c r="T109" i="65"/>
  <c r="S109" i="65"/>
  <c r="N109" i="65"/>
  <c r="H109" i="65"/>
  <c r="F109" i="65"/>
  <c r="K109" i="65" s="1"/>
  <c r="V108" i="65"/>
  <c r="U108" i="65"/>
  <c r="T108" i="65"/>
  <c r="T111" i="65" s="1"/>
  <c r="N108" i="65"/>
  <c r="K108" i="65"/>
  <c r="F108" i="65"/>
  <c r="H108" i="65" s="1"/>
  <c r="U107" i="65"/>
  <c r="W107" i="65" s="1"/>
  <c r="T107" i="65"/>
  <c r="O107" i="65"/>
  <c r="N107" i="65"/>
  <c r="I107" i="65"/>
  <c r="H107" i="65"/>
  <c r="F107" i="65"/>
  <c r="K107" i="65" s="1"/>
  <c r="V106" i="65"/>
  <c r="S106" i="65"/>
  <c r="N106" i="65"/>
  <c r="F106" i="65"/>
  <c r="Q103" i="65"/>
  <c r="P103" i="65"/>
  <c r="J103" i="65"/>
  <c r="U102" i="65"/>
  <c r="S102" i="65"/>
  <c r="M102" i="65"/>
  <c r="K102" i="65"/>
  <c r="F102" i="65"/>
  <c r="O102" i="65" s="1"/>
  <c r="T101" i="65"/>
  <c r="T103" i="65" s="1"/>
  <c r="S101" i="65"/>
  <c r="N101" i="65"/>
  <c r="N103" i="65" s="1"/>
  <c r="F101" i="65"/>
  <c r="V100" i="65"/>
  <c r="V103" i="65" s="1"/>
  <c r="U100" i="65"/>
  <c r="W100" i="65" s="1"/>
  <c r="F100" i="65"/>
  <c r="O100" i="65" s="1"/>
  <c r="W99" i="65"/>
  <c r="V99" i="65"/>
  <c r="F99" i="65"/>
  <c r="K99" i="65" s="1"/>
  <c r="Q96" i="65"/>
  <c r="P96" i="65"/>
  <c r="V95" i="65"/>
  <c r="S95" i="65"/>
  <c r="N95" i="65"/>
  <c r="K95" i="65"/>
  <c r="H95" i="65"/>
  <c r="F95" i="65"/>
  <c r="O95" i="65" s="1"/>
  <c r="V94" i="65"/>
  <c r="T94" i="65"/>
  <c r="S94" i="65"/>
  <c r="N94" i="65"/>
  <c r="F94" i="65"/>
  <c r="V93" i="65"/>
  <c r="T93" i="65"/>
  <c r="S93" i="65"/>
  <c r="O93" i="65"/>
  <c r="N93" i="65"/>
  <c r="M93" i="65"/>
  <c r="K93" i="65"/>
  <c r="I93" i="65"/>
  <c r="H93" i="65"/>
  <c r="F93" i="65"/>
  <c r="L93" i="65" s="1"/>
  <c r="V92" i="65"/>
  <c r="W92" i="65" s="1"/>
  <c r="S92" i="65"/>
  <c r="N92" i="65"/>
  <c r="F92" i="65"/>
  <c r="V91" i="65"/>
  <c r="T91" i="65"/>
  <c r="S91" i="65"/>
  <c r="O91" i="65"/>
  <c r="N91" i="65"/>
  <c r="L91" i="65"/>
  <c r="I91" i="65"/>
  <c r="H91" i="65"/>
  <c r="F91" i="65"/>
  <c r="K91" i="65" s="1"/>
  <c r="U90" i="65"/>
  <c r="S90" i="65"/>
  <c r="N90" i="65"/>
  <c r="K90" i="65"/>
  <c r="I90" i="65"/>
  <c r="F90" i="65"/>
  <c r="L90" i="65" s="1"/>
  <c r="V89" i="65"/>
  <c r="T89" i="65"/>
  <c r="S89" i="65"/>
  <c r="W89" i="65" s="1"/>
  <c r="N89" i="65"/>
  <c r="F89" i="65"/>
  <c r="M89" i="65" s="1"/>
  <c r="V88" i="65"/>
  <c r="U88" i="65"/>
  <c r="T88" i="65"/>
  <c r="S88" i="65"/>
  <c r="N88" i="65"/>
  <c r="F88" i="65"/>
  <c r="K88" i="65" s="1"/>
  <c r="W87" i="65"/>
  <c r="V87" i="65"/>
  <c r="N87" i="65"/>
  <c r="F87" i="65"/>
  <c r="K87" i="65" s="1"/>
  <c r="V86" i="65"/>
  <c r="U86" i="65"/>
  <c r="T86" i="65"/>
  <c r="S86" i="65"/>
  <c r="S96" i="65" s="1"/>
  <c r="N86" i="65"/>
  <c r="L86" i="65"/>
  <c r="J86" i="65"/>
  <c r="I86" i="65"/>
  <c r="F86" i="65"/>
  <c r="M86" i="65" s="1"/>
  <c r="V85" i="65"/>
  <c r="W85" i="65" s="1"/>
  <c r="N85" i="65"/>
  <c r="J85" i="65"/>
  <c r="F85" i="65"/>
  <c r="H85" i="65" s="1"/>
  <c r="V84" i="65"/>
  <c r="W84" i="65" s="1"/>
  <c r="N84" i="65"/>
  <c r="N96" i="65" s="1"/>
  <c r="H84" i="65"/>
  <c r="F84" i="65"/>
  <c r="K84" i="65" s="1"/>
  <c r="Q81" i="65"/>
  <c r="P81" i="65"/>
  <c r="J81" i="65"/>
  <c r="V80" i="65"/>
  <c r="W80" i="65" s="1"/>
  <c r="S80" i="65"/>
  <c r="N80" i="65"/>
  <c r="F80" i="65"/>
  <c r="K80" i="65" s="1"/>
  <c r="W79" i="65"/>
  <c r="V79" i="65"/>
  <c r="S79" i="65"/>
  <c r="F79" i="65"/>
  <c r="K79" i="65" s="1"/>
  <c r="W78" i="65"/>
  <c r="S78" i="65"/>
  <c r="N78" i="65"/>
  <c r="H78" i="65"/>
  <c r="F78" i="65"/>
  <c r="K78" i="65" s="1"/>
  <c r="V77" i="65"/>
  <c r="U77" i="65"/>
  <c r="U81" i="65" s="1"/>
  <c r="T77" i="65"/>
  <c r="S77" i="65"/>
  <c r="S81" i="65" s="1"/>
  <c r="N77" i="65"/>
  <c r="M77" i="65"/>
  <c r="H77" i="65"/>
  <c r="F77" i="65"/>
  <c r="L77" i="65" s="1"/>
  <c r="W76" i="65"/>
  <c r="V76" i="65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R75" i="65" s="1"/>
  <c r="Y75" i="65" s="1"/>
  <c r="H75" i="65"/>
  <c r="W74" i="65"/>
  <c r="V74" i="65"/>
  <c r="O74" i="65"/>
  <c r="M74" i="65"/>
  <c r="L74" i="65"/>
  <c r="K74" i="65"/>
  <c r="I74" i="65"/>
  <c r="H74" i="65"/>
  <c r="T73" i="65"/>
  <c r="W73" i="65" s="1"/>
  <c r="N73" i="65"/>
  <c r="F73" i="65"/>
  <c r="F81" i="65" s="1"/>
  <c r="Q70" i="65"/>
  <c r="P70" i="65"/>
  <c r="V69" i="65"/>
  <c r="W69" i="65" s="1"/>
  <c r="N69" i="65"/>
  <c r="F69" i="65"/>
  <c r="M69" i="65" s="1"/>
  <c r="V68" i="65"/>
  <c r="S68" i="65"/>
  <c r="N68" i="65"/>
  <c r="K68" i="65"/>
  <c r="H68" i="65"/>
  <c r="F68" i="65"/>
  <c r="L68" i="65" s="1"/>
  <c r="S67" i="65"/>
  <c r="W67" i="65" s="1"/>
  <c r="N67" i="65"/>
  <c r="F67" i="65"/>
  <c r="H67" i="65" s="1"/>
  <c r="T66" i="65"/>
  <c r="S66" i="65"/>
  <c r="N66" i="65"/>
  <c r="F66" i="65"/>
  <c r="L66" i="65" s="1"/>
  <c r="V65" i="65"/>
  <c r="U65" i="65"/>
  <c r="T65" i="65"/>
  <c r="S65" i="65"/>
  <c r="O65" i="65"/>
  <c r="N65" i="65"/>
  <c r="L65" i="65"/>
  <c r="I65" i="65"/>
  <c r="H65" i="65"/>
  <c r="F65" i="65"/>
  <c r="K65" i="65" s="1"/>
  <c r="T64" i="65"/>
  <c r="S64" i="65"/>
  <c r="N64" i="65"/>
  <c r="F64" i="65"/>
  <c r="U63" i="65"/>
  <c r="T63" i="65"/>
  <c r="S63" i="65"/>
  <c r="N63" i="65"/>
  <c r="F63" i="65"/>
  <c r="I63" i="65" s="1"/>
  <c r="V62" i="65"/>
  <c r="S62" i="65"/>
  <c r="W62" i="65" s="1"/>
  <c r="N62" i="65"/>
  <c r="M62" i="65"/>
  <c r="F62" i="65"/>
  <c r="T61" i="65"/>
  <c r="S61" i="65"/>
  <c r="N61" i="65"/>
  <c r="K61" i="65"/>
  <c r="F61" i="65"/>
  <c r="O61" i="65" s="1"/>
  <c r="V60" i="65"/>
  <c r="T60" i="65"/>
  <c r="S60" i="65"/>
  <c r="S70" i="65" s="1"/>
  <c r="O60" i="65"/>
  <c r="M60" i="65"/>
  <c r="L60" i="65"/>
  <c r="K60" i="65"/>
  <c r="I60" i="65"/>
  <c r="H60" i="65"/>
  <c r="V59" i="65"/>
  <c r="V70" i="65" s="1"/>
  <c r="S59" i="65"/>
  <c r="W59" i="65" s="1"/>
  <c r="N59" i="65"/>
  <c r="J59" i="65"/>
  <c r="J70" i="65" s="1"/>
  <c r="F59" i="65"/>
  <c r="F70" i="65" s="1"/>
  <c r="V56" i="65"/>
  <c r="U56" i="65"/>
  <c r="Q56" i="65"/>
  <c r="P56" i="65"/>
  <c r="J56" i="65"/>
  <c r="V55" i="65"/>
  <c r="S55" i="65"/>
  <c r="S56" i="65" s="1"/>
  <c r="O55" i="65"/>
  <c r="M55" i="65"/>
  <c r="L55" i="65"/>
  <c r="K55" i="65"/>
  <c r="I55" i="65"/>
  <c r="H55" i="65"/>
  <c r="W54" i="65"/>
  <c r="N54" i="65"/>
  <c r="N56" i="65" s="1"/>
  <c r="F54" i="65"/>
  <c r="M54" i="65" s="1"/>
  <c r="Q51" i="65"/>
  <c r="P51" i="65"/>
  <c r="N51" i="65"/>
  <c r="V50" i="65"/>
  <c r="U50" i="65"/>
  <c r="S50" i="65"/>
  <c r="L50" i="65"/>
  <c r="K50" i="65"/>
  <c r="H50" i="65"/>
  <c r="F50" i="65"/>
  <c r="O50" i="65" s="1"/>
  <c r="U49" i="65"/>
  <c r="T49" i="65"/>
  <c r="S49" i="65"/>
  <c r="J49" i="65"/>
  <c r="J51" i="65" s="1"/>
  <c r="F49" i="65"/>
  <c r="M49" i="65" s="1"/>
  <c r="W48" i="65"/>
  <c r="F48" i="65"/>
  <c r="I48" i="65" s="1"/>
  <c r="W47" i="65"/>
  <c r="F47" i="65"/>
  <c r="L47" i="65" s="1"/>
  <c r="W46" i="65"/>
  <c r="F46" i="65"/>
  <c r="O46" i="65" s="1"/>
  <c r="T45" i="65"/>
  <c r="W45" i="65" s="1"/>
  <c r="S45" i="65"/>
  <c r="F45" i="65"/>
  <c r="O45" i="65" s="1"/>
  <c r="U44" i="65"/>
  <c r="L44" i="65"/>
  <c r="H44" i="65"/>
  <c r="F44" i="65"/>
  <c r="O44" i="65" s="1"/>
  <c r="T43" i="65"/>
  <c r="W43" i="65" s="1"/>
  <c r="S43" i="65"/>
  <c r="O43" i="65"/>
  <c r="M43" i="65"/>
  <c r="L43" i="65"/>
  <c r="K43" i="65"/>
  <c r="I43" i="65"/>
  <c r="H43" i="65"/>
  <c r="T42" i="65"/>
  <c r="S42" i="65"/>
  <c r="K42" i="65"/>
  <c r="I42" i="65"/>
  <c r="F42" i="65"/>
  <c r="O42" i="65" s="1"/>
  <c r="T41" i="65"/>
  <c r="M41" i="65"/>
  <c r="H41" i="65"/>
  <c r="F41" i="65"/>
  <c r="O41" i="65" s="1"/>
  <c r="V40" i="65"/>
  <c r="S40" i="65"/>
  <c r="M40" i="65"/>
  <c r="H40" i="65"/>
  <c r="F40" i="65"/>
  <c r="O40" i="65" s="1"/>
  <c r="Q37" i="65"/>
  <c r="P37" i="65"/>
  <c r="N37" i="65"/>
  <c r="V36" i="65"/>
  <c r="V37" i="65" s="1"/>
  <c r="U36" i="65"/>
  <c r="U37" i="65" s="1"/>
  <c r="T36" i="65"/>
  <c r="S36" i="65"/>
  <c r="S37" i="65" s="1"/>
  <c r="O36" i="65"/>
  <c r="O37" i="65" s="1"/>
  <c r="L36" i="65"/>
  <c r="L37" i="65" s="1"/>
  <c r="J36" i="65"/>
  <c r="J37" i="65" s="1"/>
  <c r="I36" i="65"/>
  <c r="I37" i="65" s="1"/>
  <c r="H36" i="65"/>
  <c r="H37" i="65" s="1"/>
  <c r="F36" i="65"/>
  <c r="M36" i="65" s="1"/>
  <c r="M37" i="65" s="1"/>
  <c r="P33" i="65"/>
  <c r="P180" i="65" s="1"/>
  <c r="J33" i="65"/>
  <c r="V32" i="65"/>
  <c r="U32" i="65"/>
  <c r="S32" i="65"/>
  <c r="W32" i="65" s="1"/>
  <c r="M32" i="65"/>
  <c r="F32" i="65"/>
  <c r="I32" i="65" s="1"/>
  <c r="U31" i="65"/>
  <c r="S31" i="65"/>
  <c r="W31" i="65" s="1"/>
  <c r="M31" i="65"/>
  <c r="F31" i="65"/>
  <c r="I31" i="65" s="1"/>
  <c r="T30" i="65"/>
  <c r="S30" i="65"/>
  <c r="W30" i="65" s="1"/>
  <c r="N30" i="65"/>
  <c r="F30" i="65"/>
  <c r="K30" i="65" s="1"/>
  <c r="V29" i="65"/>
  <c r="U29" i="65"/>
  <c r="W29" i="65" s="1"/>
  <c r="N29" i="65"/>
  <c r="F29" i="65"/>
  <c r="M29" i="65" s="1"/>
  <c r="V28" i="65"/>
  <c r="S28" i="65"/>
  <c r="F28" i="65"/>
  <c r="O28" i="65" s="1"/>
  <c r="W27" i="65"/>
  <c r="V27" i="65"/>
  <c r="F27" i="65"/>
  <c r="L27" i="65" s="1"/>
  <c r="W26" i="65"/>
  <c r="S26" i="65"/>
  <c r="N26" i="65"/>
  <c r="F26" i="65"/>
  <c r="L26" i="65" s="1"/>
  <c r="U25" i="65"/>
  <c r="T25" i="65"/>
  <c r="S25" i="65"/>
  <c r="N25" i="65"/>
  <c r="K25" i="65"/>
  <c r="F25" i="65"/>
  <c r="M25" i="65" s="1"/>
  <c r="T24" i="65"/>
  <c r="S24" i="65"/>
  <c r="I24" i="65"/>
  <c r="F24" i="65"/>
  <c r="M24" i="65" s="1"/>
  <c r="V23" i="65"/>
  <c r="W23" i="65" s="1"/>
  <c r="Q23" i="65"/>
  <c r="K23" i="65"/>
  <c r="I23" i="65"/>
  <c r="F23" i="65"/>
  <c r="O23" i="65" s="1"/>
  <c r="V22" i="65"/>
  <c r="W22" i="65" s="1"/>
  <c r="Q22" i="65"/>
  <c r="O22" i="65"/>
  <c r="N22" i="65"/>
  <c r="L22" i="65"/>
  <c r="K22" i="65"/>
  <c r="H22" i="65"/>
  <c r="F22" i="65"/>
  <c r="M22" i="65" s="1"/>
  <c r="V21" i="65"/>
  <c r="W21" i="65" s="1"/>
  <c r="Q21" i="65"/>
  <c r="F21" i="65"/>
  <c r="O21" i="65" s="1"/>
  <c r="U20" i="65"/>
  <c r="W20" i="65" s="1"/>
  <c r="O20" i="65"/>
  <c r="N20" i="65"/>
  <c r="M20" i="65"/>
  <c r="L20" i="65"/>
  <c r="K20" i="65"/>
  <c r="I20" i="65"/>
  <c r="H20" i="65"/>
  <c r="R20" i="65" s="1"/>
  <c r="T19" i="65"/>
  <c r="W19" i="65" s="1"/>
  <c r="K19" i="65"/>
  <c r="I19" i="65"/>
  <c r="F19" i="65"/>
  <c r="O19" i="65" s="1"/>
  <c r="T18" i="65"/>
  <c r="S18" i="65"/>
  <c r="W18" i="65" s="1"/>
  <c r="O18" i="65"/>
  <c r="M18" i="65"/>
  <c r="L18" i="65"/>
  <c r="K18" i="65"/>
  <c r="I18" i="65"/>
  <c r="H18" i="65"/>
  <c r="U17" i="65"/>
  <c r="T17" i="65"/>
  <c r="S17" i="65"/>
  <c r="F17" i="65"/>
  <c r="O17" i="65" s="1"/>
  <c r="U16" i="65"/>
  <c r="T16" i="65"/>
  <c r="N16" i="65"/>
  <c r="K16" i="65"/>
  <c r="I16" i="65"/>
  <c r="F16" i="65"/>
  <c r="M16" i="65" s="1"/>
  <c r="U15" i="65"/>
  <c r="S15" i="65"/>
  <c r="W15" i="65" s="1"/>
  <c r="Q15" i="65"/>
  <c r="O15" i="65"/>
  <c r="M15" i="65"/>
  <c r="L15" i="65"/>
  <c r="K15" i="65"/>
  <c r="I15" i="65"/>
  <c r="H15" i="65"/>
  <c r="V14" i="65"/>
  <c r="W14" i="65" s="1"/>
  <c r="M14" i="65"/>
  <c r="K14" i="65"/>
  <c r="I14" i="65"/>
  <c r="H14" i="65"/>
  <c r="F14" i="65"/>
  <c r="O14" i="65" s="1"/>
  <c r="V13" i="65"/>
  <c r="W13" i="65" s="1"/>
  <c r="Q13" i="65"/>
  <c r="Q33" i="65" s="1"/>
  <c r="Q180" i="65" s="1"/>
  <c r="N13" i="65"/>
  <c r="F13" i="65"/>
  <c r="M13" i="65" s="1"/>
  <c r="V12" i="65"/>
  <c r="U12" i="65"/>
  <c r="W12" i="65" s="1"/>
  <c r="N12" i="65"/>
  <c r="F12" i="65"/>
  <c r="M12" i="65" s="1"/>
  <c r="T11" i="65"/>
  <c r="S11" i="65"/>
  <c r="S33" i="65" s="1"/>
  <c r="L11" i="65"/>
  <c r="K11" i="65"/>
  <c r="F11" i="65"/>
  <c r="O11" i="65" s="1"/>
  <c r="U10" i="65"/>
  <c r="T10" i="65"/>
  <c r="T33" i="65" s="1"/>
  <c r="O10" i="65"/>
  <c r="N10" i="65"/>
  <c r="M10" i="65"/>
  <c r="L10" i="65"/>
  <c r="K10" i="65"/>
  <c r="I10" i="65"/>
  <c r="H10" i="65"/>
  <c r="W9" i="65"/>
  <c r="N9" i="65"/>
  <c r="N33" i="65" s="1"/>
  <c r="I4" i="65"/>
  <c r="F4" i="65"/>
  <c r="W10" i="65" l="1"/>
  <c r="K12" i="65"/>
  <c r="R9" i="65"/>
  <c r="Y9" i="65" s="1"/>
  <c r="H11" i="65"/>
  <c r="W11" i="65"/>
  <c r="L12" i="65"/>
  <c r="V33" i="65"/>
  <c r="R14" i="65"/>
  <c r="Y14" i="65" s="1"/>
  <c r="L14" i="65"/>
  <c r="I17" i="65"/>
  <c r="H19" i="65"/>
  <c r="M19" i="65"/>
  <c r="K21" i="65"/>
  <c r="O24" i="65"/>
  <c r="I25" i="65"/>
  <c r="I28" i="65"/>
  <c r="W28" i="65"/>
  <c r="I29" i="65"/>
  <c r="K36" i="65"/>
  <c r="K37" i="65" s="1"/>
  <c r="I40" i="65"/>
  <c r="W40" i="65"/>
  <c r="I41" i="65"/>
  <c r="W42" i="65"/>
  <c r="K44" i="65"/>
  <c r="H45" i="65"/>
  <c r="H46" i="65"/>
  <c r="K48" i="65"/>
  <c r="I54" i="65"/>
  <c r="I56" i="65" s="1"/>
  <c r="T70" i="65"/>
  <c r="L61" i="65"/>
  <c r="K63" i="65"/>
  <c r="O63" i="65"/>
  <c r="M65" i="65"/>
  <c r="H66" i="65"/>
  <c r="M66" i="65"/>
  <c r="W66" i="65"/>
  <c r="O68" i="65"/>
  <c r="I69" i="65"/>
  <c r="N81" i="65"/>
  <c r="I77" i="65"/>
  <c r="I78" i="65"/>
  <c r="O78" i="65"/>
  <c r="H79" i="65"/>
  <c r="H80" i="65"/>
  <c r="T81" i="65"/>
  <c r="O84" i="65"/>
  <c r="J96" i="65"/>
  <c r="I87" i="65"/>
  <c r="O87" i="65"/>
  <c r="H88" i="65"/>
  <c r="W88" i="65"/>
  <c r="I89" i="65"/>
  <c r="M90" i="65"/>
  <c r="M91" i="65"/>
  <c r="R91" i="65" s="1"/>
  <c r="Y91" i="65" s="1"/>
  <c r="W93" i="65"/>
  <c r="O99" i="65"/>
  <c r="K100" i="65"/>
  <c r="L107" i="65"/>
  <c r="L108" i="65"/>
  <c r="W108" i="65"/>
  <c r="I109" i="65"/>
  <c r="O109" i="65"/>
  <c r="H115" i="65"/>
  <c r="M115" i="65"/>
  <c r="K117" i="65"/>
  <c r="H118" i="65"/>
  <c r="L118" i="65"/>
  <c r="I119" i="65"/>
  <c r="L120" i="65"/>
  <c r="L122" i="65"/>
  <c r="I123" i="65"/>
  <c r="L128" i="65"/>
  <c r="L136" i="65"/>
  <c r="L140" i="65"/>
  <c r="I146" i="65"/>
  <c r="I147" i="65"/>
  <c r="I149" i="65"/>
  <c r="I150" i="65"/>
  <c r="M156" i="65"/>
  <c r="I158" i="65"/>
  <c r="M159" i="65"/>
  <c r="L160" i="65"/>
  <c r="K161" i="65"/>
  <c r="I162" i="65"/>
  <c r="W166" i="65"/>
  <c r="L167" i="65"/>
  <c r="K168" i="65"/>
  <c r="O168" i="65"/>
  <c r="K172" i="65"/>
  <c r="I173" i="65"/>
  <c r="H174" i="65"/>
  <c r="M174" i="65"/>
  <c r="M178" i="65"/>
  <c r="K17" i="65"/>
  <c r="L21" i="65"/>
  <c r="W24" i="65"/>
  <c r="K28" i="65"/>
  <c r="K29" i="65"/>
  <c r="O29" i="65"/>
  <c r="K40" i="65"/>
  <c r="K41" i="65"/>
  <c r="I45" i="65"/>
  <c r="I46" i="65"/>
  <c r="L48" i="65"/>
  <c r="K54" i="65"/>
  <c r="K56" i="65" s="1"/>
  <c r="R55" i="65"/>
  <c r="R60" i="65"/>
  <c r="L63" i="65"/>
  <c r="R65" i="65"/>
  <c r="I66" i="65"/>
  <c r="K69" i="65"/>
  <c r="K77" i="65"/>
  <c r="O77" i="65"/>
  <c r="L78" i="65"/>
  <c r="I79" i="65"/>
  <c r="I80" i="65"/>
  <c r="O80" i="65"/>
  <c r="M85" i="65"/>
  <c r="L87" i="65"/>
  <c r="I88" i="65"/>
  <c r="O88" i="65"/>
  <c r="K89" i="65"/>
  <c r="O89" i="65"/>
  <c r="W91" i="65"/>
  <c r="R93" i="65"/>
  <c r="Y93" i="65" s="1"/>
  <c r="W94" i="65"/>
  <c r="V96" i="65"/>
  <c r="L100" i="65"/>
  <c r="U103" i="65"/>
  <c r="M107" i="65"/>
  <c r="L109" i="65"/>
  <c r="I115" i="65"/>
  <c r="L117" i="65"/>
  <c r="R117" i="65" s="1"/>
  <c r="I118" i="65"/>
  <c r="O118" i="65"/>
  <c r="L119" i="65"/>
  <c r="M122" i="65"/>
  <c r="W132" i="65"/>
  <c r="W135" i="65"/>
  <c r="O136" i="65"/>
  <c r="H140" i="65"/>
  <c r="M140" i="65"/>
  <c r="K141" i="65"/>
  <c r="I142" i="65"/>
  <c r="I145" i="65"/>
  <c r="K146" i="65"/>
  <c r="W146" i="65"/>
  <c r="K147" i="65"/>
  <c r="K149" i="65"/>
  <c r="K150" i="65"/>
  <c r="I151" i="65"/>
  <c r="M155" i="65"/>
  <c r="I156" i="65"/>
  <c r="M160" i="65"/>
  <c r="L161" i="65"/>
  <c r="K162" i="65"/>
  <c r="O162" i="65"/>
  <c r="H163" i="65"/>
  <c r="O163" i="65"/>
  <c r="O165" i="65"/>
  <c r="M167" i="65"/>
  <c r="L168" i="65"/>
  <c r="L172" i="65"/>
  <c r="K173" i="65"/>
  <c r="I174" i="65"/>
  <c r="H12" i="65"/>
  <c r="O12" i="65"/>
  <c r="I13" i="65"/>
  <c r="L17" i="65"/>
  <c r="L28" i="65"/>
  <c r="L29" i="65"/>
  <c r="L40" i="65"/>
  <c r="L41" i="65"/>
  <c r="R43" i="65"/>
  <c r="Y43" i="65" s="1"/>
  <c r="L45" i="65"/>
  <c r="L46" i="65"/>
  <c r="W61" i="65"/>
  <c r="H63" i="65"/>
  <c r="R63" i="65" s="1"/>
  <c r="M63" i="65"/>
  <c r="W64" i="65"/>
  <c r="K66" i="65"/>
  <c r="O66" i="65"/>
  <c r="R74" i="65"/>
  <c r="Y74" i="65" s="1"/>
  <c r="M78" i="65"/>
  <c r="L79" i="65"/>
  <c r="L80" i="65"/>
  <c r="M87" i="65"/>
  <c r="L88" i="65"/>
  <c r="L89" i="65"/>
  <c r="R107" i="65"/>
  <c r="O108" i="65"/>
  <c r="M109" i="65"/>
  <c r="N111" i="65"/>
  <c r="K115" i="65"/>
  <c r="W115" i="65"/>
  <c r="M119" i="65"/>
  <c r="L146" i="65"/>
  <c r="L147" i="65"/>
  <c r="L149" i="65"/>
  <c r="L150" i="65"/>
  <c r="K151" i="65"/>
  <c r="O151" i="65"/>
  <c r="O152" i="65"/>
  <c r="O153" i="65"/>
  <c r="K156" i="65"/>
  <c r="O158" i="65"/>
  <c r="O159" i="65"/>
  <c r="M161" i="65"/>
  <c r="L162" i="65"/>
  <c r="I163" i="65"/>
  <c r="W163" i="65"/>
  <c r="I167" i="65"/>
  <c r="H168" i="65"/>
  <c r="R168" i="65" s="1"/>
  <c r="Y168" i="65" s="1"/>
  <c r="M168" i="65"/>
  <c r="L173" i="65"/>
  <c r="K174" i="65"/>
  <c r="O174" i="65"/>
  <c r="K178" i="65"/>
  <c r="K13" i="65"/>
  <c r="R15" i="65"/>
  <c r="Y15" i="65" s="1"/>
  <c r="H17" i="65"/>
  <c r="M17" i="65"/>
  <c r="R18" i="65"/>
  <c r="Y18" i="65" s="1"/>
  <c r="L19" i="65"/>
  <c r="H21" i="65"/>
  <c r="K24" i="65"/>
  <c r="O27" i="65"/>
  <c r="H28" i="65"/>
  <c r="M28" i="65"/>
  <c r="H29" i="65"/>
  <c r="R29" i="65" s="1"/>
  <c r="M45" i="65"/>
  <c r="M46" i="65"/>
  <c r="R77" i="65"/>
  <c r="R78" i="65"/>
  <c r="Y78" i="65" s="1"/>
  <c r="M79" i="65"/>
  <c r="M80" i="65"/>
  <c r="H87" i="65"/>
  <c r="R87" i="65" s="1"/>
  <c r="Y87" i="65" s="1"/>
  <c r="M88" i="65"/>
  <c r="H89" i="65"/>
  <c r="M99" i="65"/>
  <c r="R109" i="65"/>
  <c r="L115" i="65"/>
  <c r="K118" i="65"/>
  <c r="M132" i="65"/>
  <c r="O134" i="65"/>
  <c r="O135" i="65"/>
  <c r="K136" i="65"/>
  <c r="W136" i="65"/>
  <c r="K140" i="65"/>
  <c r="L142" i="65"/>
  <c r="R142" i="65" s="1"/>
  <c r="Y142" i="65" s="1"/>
  <c r="M143" i="65"/>
  <c r="H146" i="65"/>
  <c r="M146" i="65"/>
  <c r="H147" i="65"/>
  <c r="R147" i="65" s="1"/>
  <c r="M147" i="65"/>
  <c r="H149" i="65"/>
  <c r="M149" i="65"/>
  <c r="H150" i="65"/>
  <c r="M150" i="65"/>
  <c r="W154" i="65"/>
  <c r="L156" i="65"/>
  <c r="L159" i="65"/>
  <c r="I161" i="65"/>
  <c r="H162" i="65"/>
  <c r="K167" i="65"/>
  <c r="M173" i="65"/>
  <c r="W49" i="65"/>
  <c r="U51" i="65"/>
  <c r="W25" i="65"/>
  <c r="W118" i="65"/>
  <c r="W16" i="65"/>
  <c r="W149" i="65"/>
  <c r="W147" i="65"/>
  <c r="Y147" i="65" s="1"/>
  <c r="W17" i="65"/>
  <c r="W44" i="65"/>
  <c r="U124" i="65"/>
  <c r="Y130" i="65"/>
  <c r="W36" i="65"/>
  <c r="W37" i="65" s="1"/>
  <c r="W77" i="65"/>
  <c r="Y29" i="65"/>
  <c r="W90" i="65"/>
  <c r="Y107" i="65"/>
  <c r="U111" i="65"/>
  <c r="W139" i="65"/>
  <c r="U70" i="65"/>
  <c r="W102" i="65"/>
  <c r="W117" i="65"/>
  <c r="W151" i="65"/>
  <c r="Y20" i="65"/>
  <c r="W65" i="65"/>
  <c r="Y65" i="65" s="1"/>
  <c r="U96" i="65"/>
  <c r="U179" i="65"/>
  <c r="Z180" i="65"/>
  <c r="Z182" i="65" s="1"/>
  <c r="R17" i="65"/>
  <c r="R28" i="65"/>
  <c r="Y28" i="65" s="1"/>
  <c r="R41" i="65"/>
  <c r="R19" i="65"/>
  <c r="Y19" i="65" s="1"/>
  <c r="R36" i="65"/>
  <c r="T37" i="65"/>
  <c r="T180" i="65" s="1"/>
  <c r="O47" i="65"/>
  <c r="O59" i="65"/>
  <c r="O64" i="65"/>
  <c r="H64" i="65"/>
  <c r="L64" i="65"/>
  <c r="R10" i="65"/>
  <c r="Y10" i="65" s="1"/>
  <c r="L30" i="65"/>
  <c r="K31" i="65"/>
  <c r="K32" i="65"/>
  <c r="U33" i="65"/>
  <c r="I11" i="65"/>
  <c r="I12" i="65"/>
  <c r="R12" i="65"/>
  <c r="Y12" i="65" s="1"/>
  <c r="H13" i="65"/>
  <c r="O13" i="65"/>
  <c r="H16" i="65"/>
  <c r="O16" i="65"/>
  <c r="I21" i="65"/>
  <c r="I22" i="65"/>
  <c r="R22" i="65" s="1"/>
  <c r="Y22" i="65" s="1"/>
  <c r="H23" i="65"/>
  <c r="H24" i="65"/>
  <c r="H25" i="65"/>
  <c r="O25" i="65"/>
  <c r="M26" i="65"/>
  <c r="M27" i="65"/>
  <c r="M30" i="65"/>
  <c r="L31" i="65"/>
  <c r="L32" i="65"/>
  <c r="J180" i="65"/>
  <c r="F37" i="65"/>
  <c r="H42" i="65"/>
  <c r="I44" i="65"/>
  <c r="K45" i="65"/>
  <c r="R45" i="65" s="1"/>
  <c r="Y45" i="65" s="1"/>
  <c r="K46" i="65"/>
  <c r="R46" i="65" s="1"/>
  <c r="Y46" i="65" s="1"/>
  <c r="M47" i="65"/>
  <c r="H48" i="65"/>
  <c r="M50" i="65"/>
  <c r="R50" i="65" s="1"/>
  <c r="I50" i="65"/>
  <c r="F56" i="65"/>
  <c r="L54" i="65"/>
  <c r="L56" i="65" s="1"/>
  <c r="O54" i="65"/>
  <c r="O56" i="65" s="1"/>
  <c r="H54" i="65"/>
  <c r="N70" i="65"/>
  <c r="H61" i="65"/>
  <c r="O67" i="65"/>
  <c r="O69" i="65"/>
  <c r="H69" i="65"/>
  <c r="L69" i="65"/>
  <c r="H86" i="65"/>
  <c r="R86" i="65" s="1"/>
  <c r="K86" i="65"/>
  <c r="O86" i="65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K73" i="65"/>
  <c r="K81" i="65" s="1"/>
  <c r="O73" i="65"/>
  <c r="H73" i="65"/>
  <c r="H81" i="65" s="1"/>
  <c r="L73" i="65"/>
  <c r="L81" i="65" s="1"/>
  <c r="M101" i="65"/>
  <c r="I101" i="65"/>
  <c r="L101" i="65"/>
  <c r="K101" i="65"/>
  <c r="K103" i="65" s="1"/>
  <c r="H101" i="65"/>
  <c r="H30" i="65"/>
  <c r="R30" i="65" s="1"/>
  <c r="Y30" i="65" s="1"/>
  <c r="O30" i="65"/>
  <c r="O32" i="65"/>
  <c r="H47" i="65"/>
  <c r="H51" i="65" s="1"/>
  <c r="O49" i="65"/>
  <c r="H49" i="65"/>
  <c r="K49" i="65"/>
  <c r="S51" i="65"/>
  <c r="S180" i="65" s="1"/>
  <c r="I59" i="65"/>
  <c r="L62" i="65"/>
  <c r="O62" i="65"/>
  <c r="H62" i="65"/>
  <c r="I64" i="65"/>
  <c r="I73" i="65"/>
  <c r="I81" i="65" s="1"/>
  <c r="T96" i="65"/>
  <c r="W86" i="65"/>
  <c r="S111" i="65"/>
  <c r="W106" i="65"/>
  <c r="T124" i="65"/>
  <c r="W114" i="65"/>
  <c r="I67" i="65"/>
  <c r="M67" i="65"/>
  <c r="H26" i="65"/>
  <c r="O26" i="65"/>
  <c r="T51" i="65"/>
  <c r="W50" i="65"/>
  <c r="M11" i="65"/>
  <c r="L13" i="65"/>
  <c r="L16" i="65"/>
  <c r="M21" i="65"/>
  <c r="R21" i="65" s="1"/>
  <c r="Y21" i="65" s="1"/>
  <c r="L23" i="65"/>
  <c r="L24" i="65"/>
  <c r="L25" i="65"/>
  <c r="I26" i="65"/>
  <c r="I27" i="65"/>
  <c r="I30" i="65"/>
  <c r="H31" i="65"/>
  <c r="H32" i="65"/>
  <c r="R32" i="65" s="1"/>
  <c r="Y32" i="65" s="1"/>
  <c r="F33" i="65"/>
  <c r="W41" i="65"/>
  <c r="L42" i="65"/>
  <c r="M44" i="65"/>
  <c r="I47" i="65"/>
  <c r="M48" i="65"/>
  <c r="I49" i="65"/>
  <c r="M56" i="65"/>
  <c r="I62" i="65"/>
  <c r="W63" i="65"/>
  <c r="Y63" i="65" s="1"/>
  <c r="K64" i="65"/>
  <c r="K67" i="65"/>
  <c r="I68" i="65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O129" i="65"/>
  <c r="K129" i="65"/>
  <c r="I129" i="65"/>
  <c r="K133" i="65"/>
  <c r="I133" i="65"/>
  <c r="O133" i="65"/>
  <c r="M133" i="65"/>
  <c r="R133" i="65" s="1"/>
  <c r="Y133" i="65" s="1"/>
  <c r="L133" i="65"/>
  <c r="R40" i="65"/>
  <c r="H59" i="65"/>
  <c r="K59" i="65"/>
  <c r="H27" i="65"/>
  <c r="O31" i="65"/>
  <c r="M23" i="65"/>
  <c r="K26" i="65"/>
  <c r="K33" i="65" s="1"/>
  <c r="K27" i="65"/>
  <c r="M42" i="65"/>
  <c r="K47" i="65"/>
  <c r="K51" i="65" s="1"/>
  <c r="O48" i="65"/>
  <c r="O51" i="65" s="1"/>
  <c r="F51" i="65"/>
  <c r="V51" i="65"/>
  <c r="W55" i="65"/>
  <c r="Y55" i="65" s="1"/>
  <c r="L59" i="65"/>
  <c r="W60" i="65"/>
  <c r="K62" i="65"/>
  <c r="M64" i="65"/>
  <c r="L67" i="65"/>
  <c r="L84" i="65"/>
  <c r="F96" i="65"/>
  <c r="I84" i="65"/>
  <c r="R84" i="65" s="1"/>
  <c r="M84" i="65"/>
  <c r="K85" i="65"/>
  <c r="K96" i="65" s="1"/>
  <c r="O85" i="65"/>
  <c r="I85" i="65"/>
  <c r="R85" i="65" s="1"/>
  <c r="Y85" i="65" s="1"/>
  <c r="L85" i="65"/>
  <c r="W101" i="65"/>
  <c r="S103" i="65"/>
  <c r="K124" i="65"/>
  <c r="W120" i="65"/>
  <c r="T179" i="65"/>
  <c r="W127" i="65"/>
  <c r="M131" i="65"/>
  <c r="H131" i="65"/>
  <c r="L131" i="65"/>
  <c r="O131" i="65"/>
  <c r="K131" i="65"/>
  <c r="I131" i="65"/>
  <c r="L170" i="65"/>
  <c r="K170" i="65"/>
  <c r="I170" i="65"/>
  <c r="R170" i="65" s="1"/>
  <c r="Y170" i="65" s="1"/>
  <c r="O170" i="65"/>
  <c r="M170" i="65"/>
  <c r="L49" i="65"/>
  <c r="M59" i="65"/>
  <c r="M61" i="65"/>
  <c r="I61" i="65"/>
  <c r="R61" i="65" s="1"/>
  <c r="Y61" i="65" s="1"/>
  <c r="F103" i="65"/>
  <c r="L106" i="65"/>
  <c r="F111" i="65"/>
  <c r="O106" i="65"/>
  <c r="H106" i="65"/>
  <c r="M106" i="65"/>
  <c r="K106" i="65"/>
  <c r="K111" i="65" s="1"/>
  <c r="I106" i="65"/>
  <c r="O79" i="65"/>
  <c r="R79" i="65" s="1"/>
  <c r="Y79" i="65" s="1"/>
  <c r="H90" i="65"/>
  <c r="O90" i="65"/>
  <c r="M95" i="65"/>
  <c r="I95" i="65"/>
  <c r="W95" i="65"/>
  <c r="H100" i="65"/>
  <c r="I102" i="65"/>
  <c r="W109" i="65"/>
  <c r="Y109" i="65" s="1"/>
  <c r="K110" i="65"/>
  <c r="L116" i="65"/>
  <c r="H116" i="65"/>
  <c r="H120" i="65"/>
  <c r="K121" i="65"/>
  <c r="L123" i="65"/>
  <c r="H123" i="65"/>
  <c r="R123" i="65" s="1"/>
  <c r="Y123" i="65" s="1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R176" i="65" s="1"/>
  <c r="Y176" i="65" s="1"/>
  <c r="O176" i="65"/>
  <c r="M176" i="65"/>
  <c r="L99" i="65"/>
  <c r="H99" i="65"/>
  <c r="L110" i="65"/>
  <c r="O110" i="65"/>
  <c r="H110" i="65"/>
  <c r="M121" i="65"/>
  <c r="I121" i="65"/>
  <c r="S179" i="65"/>
  <c r="L132" i="65"/>
  <c r="I132" i="65"/>
  <c r="O132" i="65"/>
  <c r="L144" i="65"/>
  <c r="K144" i="65"/>
  <c r="M144" i="65"/>
  <c r="H144" i="65"/>
  <c r="O144" i="65"/>
  <c r="M148" i="65"/>
  <c r="L148" i="65"/>
  <c r="O148" i="65"/>
  <c r="I148" i="65"/>
  <c r="R149" i="65"/>
  <c r="L164" i="65"/>
  <c r="K164" i="65"/>
  <c r="M164" i="65"/>
  <c r="I164" i="65"/>
  <c r="O164" i="65"/>
  <c r="I99" i="65"/>
  <c r="I103" i="65" s="1"/>
  <c r="M100" i="65"/>
  <c r="I100" i="65"/>
  <c r="L102" i="65"/>
  <c r="H102" i="65"/>
  <c r="I108" i="65"/>
  <c r="R108" i="65" s="1"/>
  <c r="Y108" i="65" s="1"/>
  <c r="M108" i="65"/>
  <c r="I110" i="65"/>
  <c r="I120" i="65"/>
  <c r="M120" i="65"/>
  <c r="H121" i="65"/>
  <c r="H132" i="65"/>
  <c r="I138" i="65"/>
  <c r="H138" i="65"/>
  <c r="M138" i="65"/>
  <c r="K138" i="65"/>
  <c r="O138" i="65"/>
  <c r="I143" i="65"/>
  <c r="H143" i="65"/>
  <c r="R143" i="65" s="1"/>
  <c r="Y143" i="65" s="1"/>
  <c r="O143" i="65"/>
  <c r="L143" i="65"/>
  <c r="I144" i="65"/>
  <c r="H148" i="65"/>
  <c r="M157" i="65"/>
  <c r="L157" i="65"/>
  <c r="K157" i="65"/>
  <c r="H157" i="65"/>
  <c r="R157" i="65" s="1"/>
  <c r="Y157" i="65" s="1"/>
  <c r="R162" i="65"/>
  <c r="H164" i="65"/>
  <c r="F124" i="65"/>
  <c r="M114" i="65"/>
  <c r="R114" i="65" s="1"/>
  <c r="O119" i="65"/>
  <c r="R119" i="65" s="1"/>
  <c r="Y119" i="65" s="1"/>
  <c r="O122" i="65"/>
  <c r="R122" i="65" s="1"/>
  <c r="Y122" i="65" s="1"/>
  <c r="O128" i="65"/>
  <c r="H128" i="65"/>
  <c r="F179" i="65"/>
  <c r="W129" i="65"/>
  <c r="H136" i="65"/>
  <c r="R136" i="65" s="1"/>
  <c r="Y136" i="65" s="1"/>
  <c r="I137" i="65"/>
  <c r="K139" i="65"/>
  <c r="L152" i="65"/>
  <c r="K152" i="65"/>
  <c r="L158" i="65"/>
  <c r="R158" i="65" s="1"/>
  <c r="Y158" i="65" s="1"/>
  <c r="K158" i="65"/>
  <c r="K165" i="65"/>
  <c r="I165" i="65"/>
  <c r="I169" i="65"/>
  <c r="I175" i="65"/>
  <c r="S124" i="65"/>
  <c r="K128" i="65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R152" i="65" s="1"/>
  <c r="Y152" i="65" s="1"/>
  <c r="I154" i="65"/>
  <c r="R154" i="65" s="1"/>
  <c r="Y154" i="65" s="1"/>
  <c r="O154" i="65"/>
  <c r="H154" i="65"/>
  <c r="M158" i="65"/>
  <c r="I160" i="65"/>
  <c r="R160" i="65" s="1"/>
  <c r="Y160" i="65" s="1"/>
  <c r="O160" i="65"/>
  <c r="H160" i="65"/>
  <c r="M163" i="65"/>
  <c r="L163" i="65"/>
  <c r="R163" i="65" s="1"/>
  <c r="Y163" i="65" s="1"/>
  <c r="M165" i="65"/>
  <c r="W173" i="65"/>
  <c r="I166" i="65"/>
  <c r="O166" i="65"/>
  <c r="H166" i="65"/>
  <c r="M169" i="65"/>
  <c r="L169" i="65"/>
  <c r="K169" i="65"/>
  <c r="K171" i="65"/>
  <c r="I171" i="65"/>
  <c r="O171" i="65"/>
  <c r="H171" i="65"/>
  <c r="M175" i="65"/>
  <c r="L175" i="65"/>
  <c r="K175" i="65"/>
  <c r="K177" i="65"/>
  <c r="I177" i="65"/>
  <c r="O177" i="65"/>
  <c r="H177" i="65"/>
  <c r="H137" i="65"/>
  <c r="I139" i="65"/>
  <c r="H139" i="65"/>
  <c r="R139" i="65" s="1"/>
  <c r="N179" i="65"/>
  <c r="K153" i="65"/>
  <c r="I153" i="65"/>
  <c r="R153" i="65" s="1"/>
  <c r="Y153" i="65" s="1"/>
  <c r="W156" i="65"/>
  <c r="K159" i="65"/>
  <c r="I159" i="65"/>
  <c r="K166" i="65"/>
  <c r="H169" i="65"/>
  <c r="R169" i="65" s="1"/>
  <c r="Y169" i="65" s="1"/>
  <c r="L171" i="65"/>
  <c r="H175" i="65"/>
  <c r="L177" i="65"/>
  <c r="O141" i="65"/>
  <c r="H172" i="65"/>
  <c r="R172" i="65" s="1"/>
  <c r="Y172" i="65" s="1"/>
  <c r="O172" i="65"/>
  <c r="H178" i="65"/>
  <c r="O178" i="65"/>
  <c r="R127" i="65"/>
  <c r="H141" i="65"/>
  <c r="H155" i="65"/>
  <c r="R155" i="65" s="1"/>
  <c r="Y155" i="65" s="1"/>
  <c r="H156" i="65"/>
  <c r="R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Y149" i="65" l="1"/>
  <c r="R165" i="65"/>
  <c r="Y165" i="65" s="1"/>
  <c r="R102" i="65"/>
  <c r="O179" i="65"/>
  <c r="R120" i="65"/>
  <c r="R95" i="65"/>
  <c r="Y95" i="65" s="1"/>
  <c r="R131" i="65"/>
  <c r="Y131" i="65" s="1"/>
  <c r="R27" i="65"/>
  <c r="Y27" i="65" s="1"/>
  <c r="R129" i="65"/>
  <c r="Y129" i="65" s="1"/>
  <c r="L51" i="65"/>
  <c r="W103" i="65"/>
  <c r="R151" i="65"/>
  <c r="R80" i="65"/>
  <c r="Y80" i="65" s="1"/>
  <c r="H179" i="65"/>
  <c r="R121" i="65"/>
  <c r="Y121" i="65" s="1"/>
  <c r="I111" i="65"/>
  <c r="M179" i="65"/>
  <c r="L70" i="65"/>
  <c r="L33" i="65"/>
  <c r="R67" i="65"/>
  <c r="Y67" i="65" s="1"/>
  <c r="R24" i="65"/>
  <c r="Y24" i="65" s="1"/>
  <c r="R150" i="65"/>
  <c r="Y150" i="65" s="1"/>
  <c r="R115" i="65"/>
  <c r="Y115" i="65" s="1"/>
  <c r="V180" i="65"/>
  <c r="R178" i="65"/>
  <c r="Y178" i="65" s="1"/>
  <c r="R166" i="65"/>
  <c r="Y166" i="65" s="1"/>
  <c r="R175" i="65"/>
  <c r="Y175" i="65" s="1"/>
  <c r="R138" i="65"/>
  <c r="Y138" i="65" s="1"/>
  <c r="R148" i="65"/>
  <c r="Y148" i="65" s="1"/>
  <c r="R110" i="65"/>
  <c r="Y110" i="65" s="1"/>
  <c r="L103" i="65"/>
  <c r="L124" i="65"/>
  <c r="R100" i="65"/>
  <c r="Y100" i="65" s="1"/>
  <c r="K179" i="65"/>
  <c r="R68" i="65"/>
  <c r="Y68" i="65" s="1"/>
  <c r="R47" i="65"/>
  <c r="Y47" i="65" s="1"/>
  <c r="R101" i="65"/>
  <c r="Y101" i="65" s="1"/>
  <c r="O96" i="65"/>
  <c r="N180" i="65"/>
  <c r="R48" i="65"/>
  <c r="Y48" i="65" s="1"/>
  <c r="R23" i="65"/>
  <c r="Y23" i="65" s="1"/>
  <c r="R64" i="65"/>
  <c r="Y64" i="65" s="1"/>
  <c r="Y151" i="65"/>
  <c r="R174" i="65"/>
  <c r="Y174" i="65" s="1"/>
  <c r="R140" i="65"/>
  <c r="Y140" i="65" s="1"/>
  <c r="R88" i="65"/>
  <c r="Y88" i="65" s="1"/>
  <c r="R66" i="65"/>
  <c r="Y66" i="65" s="1"/>
  <c r="R177" i="65"/>
  <c r="Y177" i="65" s="1"/>
  <c r="R141" i="65"/>
  <c r="R159" i="65"/>
  <c r="Y159" i="65" s="1"/>
  <c r="R137" i="65"/>
  <c r="Y137" i="65" s="1"/>
  <c r="R171" i="65"/>
  <c r="Y171" i="65" s="1"/>
  <c r="R128" i="65"/>
  <c r="Y128" i="65" s="1"/>
  <c r="I124" i="65"/>
  <c r="R144" i="65"/>
  <c r="Y144" i="65" s="1"/>
  <c r="L111" i="65"/>
  <c r="L179" i="65"/>
  <c r="M51" i="65"/>
  <c r="M33" i="65"/>
  <c r="H33" i="65"/>
  <c r="W56" i="65"/>
  <c r="R42" i="65"/>
  <c r="Y42" i="65" s="1"/>
  <c r="R31" i="65"/>
  <c r="Y31" i="65" s="1"/>
  <c r="O33" i="65"/>
  <c r="R11" i="65"/>
  <c r="Y41" i="65"/>
  <c r="Y117" i="65"/>
  <c r="Y77" i="65"/>
  <c r="Y102" i="65"/>
  <c r="Y139" i="65"/>
  <c r="W33" i="65"/>
  <c r="Y118" i="65"/>
  <c r="Y17" i="65"/>
  <c r="W70" i="65"/>
  <c r="Y156" i="65"/>
  <c r="W96" i="65"/>
  <c r="W51" i="65"/>
  <c r="Y86" i="65"/>
  <c r="Y50" i="65"/>
  <c r="Y141" i="65"/>
  <c r="W81" i="65"/>
  <c r="Y120" i="65"/>
  <c r="U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K180" i="65" s="1"/>
  <c r="R26" i="65"/>
  <c r="Y26" i="65" s="1"/>
  <c r="R59" i="65"/>
  <c r="R116" i="65"/>
  <c r="Y116" i="65" s="1"/>
  <c r="H70" i="65"/>
  <c r="M103" i="65"/>
  <c r="R179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Y84" i="65"/>
  <c r="I179" i="65"/>
  <c r="R69" i="65"/>
  <c r="Y69" i="65" s="1"/>
  <c r="Y60" i="65"/>
  <c r="R54" i="65"/>
  <c r="H56" i="65"/>
  <c r="R16" i="65"/>
  <c r="Y16" i="65" s="1"/>
  <c r="M124" i="65"/>
  <c r="I70" i="65"/>
  <c r="R37" i="65"/>
  <c r="Y36" i="65"/>
  <c r="Y37" i="65" s="1"/>
  <c r="R99" i="65"/>
  <c r="W124" i="65"/>
  <c r="L96" i="65"/>
  <c r="L180" i="65" s="1"/>
  <c r="R164" i="65"/>
  <c r="Y164" i="65" s="1"/>
  <c r="M111" i="65"/>
  <c r="H96" i="65"/>
  <c r="M70" i="65"/>
  <c r="M180" i="65" s="1"/>
  <c r="W179" i="65"/>
  <c r="Y40" i="65"/>
  <c r="W111" i="65"/>
  <c r="R94" i="65"/>
  <c r="Y94" i="65" s="1"/>
  <c r="R92" i="65"/>
  <c r="Y92" i="65" s="1"/>
  <c r="R13" i="65"/>
  <c r="Y13" i="65" s="1"/>
  <c r="O70" i="65"/>
  <c r="U181" i="1"/>
  <c r="U180" i="1"/>
  <c r="U66" i="1"/>
  <c r="U82" i="1"/>
  <c r="H180" i="65" l="1"/>
  <c r="O180" i="65"/>
  <c r="I180" i="65"/>
  <c r="X82" i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42" i="1"/>
  <c r="U69" i="1"/>
  <c r="T69" i="1"/>
  <c r="T25" i="1"/>
  <c r="X25" i="1" s="1"/>
  <c r="R180" i="65" l="1"/>
  <c r="Y180" i="65"/>
  <c r="U128" i="1" l="1"/>
  <c r="U177" i="1"/>
  <c r="U130" i="1"/>
  <c r="T130" i="1"/>
  <c r="X177" i="1" l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97" i="64"/>
  <c r="N111" i="64"/>
  <c r="N124" i="64"/>
  <c r="N179" i="64"/>
  <c r="N78" i="64"/>
  <c r="N74" i="64"/>
  <c r="N82" i="64" s="1"/>
  <c r="N67" i="64"/>
  <c r="N66" i="64"/>
  <c r="N65" i="64"/>
  <c r="N64" i="64"/>
  <c r="N63" i="64"/>
  <c r="N62" i="64"/>
  <c r="N60" i="64"/>
  <c r="N71" i="64" s="1"/>
  <c r="N180" i="64" l="1"/>
  <c r="G180" i="64"/>
  <c r="D180" i="64"/>
  <c r="Q179" i="64"/>
  <c r="P179" i="64"/>
  <c r="X178" i="64"/>
  <c r="X179" i="64" s="1"/>
  <c r="T178" i="64"/>
  <c r="S178" i="64"/>
  <c r="W178" i="64" s="1"/>
  <c r="O178" i="64"/>
  <c r="K178" i="64"/>
  <c r="I178" i="64"/>
  <c r="F178" i="64"/>
  <c r="M178" i="64" s="1"/>
  <c r="T177" i="64"/>
  <c r="S177" i="64"/>
  <c r="F177" i="64"/>
  <c r="I177" i="64" s="1"/>
  <c r="T176" i="64"/>
  <c r="S176" i="64"/>
  <c r="W176" i="64" s="1"/>
  <c r="L176" i="64"/>
  <c r="K176" i="64"/>
  <c r="H176" i="64"/>
  <c r="F176" i="64"/>
  <c r="O176" i="64" s="1"/>
  <c r="S175" i="64"/>
  <c r="W175" i="64" s="1"/>
  <c r="O175" i="64"/>
  <c r="K175" i="64"/>
  <c r="H175" i="64"/>
  <c r="F175" i="64"/>
  <c r="M175" i="64" s="1"/>
  <c r="T174" i="64"/>
  <c r="S174" i="64"/>
  <c r="F174" i="64"/>
  <c r="T173" i="64"/>
  <c r="S173" i="64"/>
  <c r="W173" i="64" s="1"/>
  <c r="F173" i="64"/>
  <c r="M173" i="64" s="1"/>
  <c r="T172" i="64"/>
  <c r="S172" i="64"/>
  <c r="F172" i="64"/>
  <c r="L172" i="64" s="1"/>
  <c r="T171" i="64"/>
  <c r="S171" i="64"/>
  <c r="W171" i="64" s="1"/>
  <c r="O171" i="64"/>
  <c r="M171" i="64"/>
  <c r="K171" i="64"/>
  <c r="I171" i="64"/>
  <c r="H171" i="64"/>
  <c r="F171" i="64"/>
  <c r="L171" i="64" s="1"/>
  <c r="T170" i="64"/>
  <c r="S170" i="64"/>
  <c r="W170" i="64" s="1"/>
  <c r="F170" i="64"/>
  <c r="S169" i="64"/>
  <c r="W169" i="64" s="1"/>
  <c r="F169" i="64"/>
  <c r="W168" i="64"/>
  <c r="T168" i="64"/>
  <c r="S168" i="64"/>
  <c r="F168" i="64"/>
  <c r="L168" i="64" s="1"/>
  <c r="T167" i="64"/>
  <c r="S167" i="64"/>
  <c r="F167" i="64"/>
  <c r="W166" i="64"/>
  <c r="S166" i="64"/>
  <c r="F166" i="64"/>
  <c r="T165" i="64"/>
  <c r="W165" i="64" s="1"/>
  <c r="S165" i="64"/>
  <c r="M165" i="64"/>
  <c r="K165" i="64"/>
  <c r="F165" i="64"/>
  <c r="H165" i="64" s="1"/>
  <c r="T164" i="64"/>
  <c r="S164" i="64"/>
  <c r="W164" i="64" s="1"/>
  <c r="F164" i="64"/>
  <c r="T163" i="64"/>
  <c r="S163" i="64"/>
  <c r="W163" i="64" s="1"/>
  <c r="K163" i="64"/>
  <c r="F163" i="64"/>
  <c r="O163" i="64" s="1"/>
  <c r="T162" i="64"/>
  <c r="S162" i="64"/>
  <c r="F162" i="64"/>
  <c r="L162" i="64" s="1"/>
  <c r="W161" i="64"/>
  <c r="T161" i="64"/>
  <c r="S161" i="64"/>
  <c r="M161" i="64"/>
  <c r="F161" i="64"/>
  <c r="L161" i="64" s="1"/>
  <c r="T160" i="64"/>
  <c r="W160" i="64" s="1"/>
  <c r="S160" i="64"/>
  <c r="L160" i="64"/>
  <c r="I160" i="64"/>
  <c r="F160" i="64"/>
  <c r="T159" i="64"/>
  <c r="S159" i="64"/>
  <c r="W159" i="64" s="1"/>
  <c r="K159" i="64"/>
  <c r="H159" i="64"/>
  <c r="F159" i="64"/>
  <c r="O159" i="64" s="1"/>
  <c r="T158" i="64"/>
  <c r="S158" i="64"/>
  <c r="F158" i="64"/>
  <c r="T157" i="64"/>
  <c r="S157" i="64"/>
  <c r="W157" i="64" s="1"/>
  <c r="O157" i="64"/>
  <c r="K157" i="64"/>
  <c r="I157" i="64"/>
  <c r="F157" i="64"/>
  <c r="M157" i="64" s="1"/>
  <c r="U156" i="64"/>
  <c r="T156" i="64"/>
  <c r="S156" i="64"/>
  <c r="L156" i="64"/>
  <c r="F156" i="64"/>
  <c r="K156" i="64" s="1"/>
  <c r="T155" i="64"/>
  <c r="W155" i="64" s="1"/>
  <c r="L155" i="64"/>
  <c r="K155" i="64"/>
  <c r="H155" i="64"/>
  <c r="F155" i="64"/>
  <c r="O155" i="64" s="1"/>
  <c r="T154" i="64"/>
  <c r="S154" i="64"/>
  <c r="F154" i="64"/>
  <c r="L154" i="64" s="1"/>
  <c r="T153" i="64"/>
  <c r="S153" i="64"/>
  <c r="M153" i="64"/>
  <c r="K153" i="64"/>
  <c r="H153" i="64"/>
  <c r="F153" i="64"/>
  <c r="O153" i="64" s="1"/>
  <c r="T152" i="64"/>
  <c r="S152" i="64"/>
  <c r="F152" i="64"/>
  <c r="U151" i="64"/>
  <c r="T151" i="64"/>
  <c r="S151" i="64"/>
  <c r="F151" i="64"/>
  <c r="V150" i="64"/>
  <c r="S150" i="64"/>
  <c r="W150" i="64" s="1"/>
  <c r="K150" i="64"/>
  <c r="H150" i="64"/>
  <c r="F150" i="64"/>
  <c r="L150" i="64" s="1"/>
  <c r="U149" i="64"/>
  <c r="T149" i="64"/>
  <c r="L149" i="64"/>
  <c r="F149" i="64"/>
  <c r="S148" i="64"/>
  <c r="W148" i="64" s="1"/>
  <c r="F148" i="64"/>
  <c r="U147" i="64"/>
  <c r="T147" i="64"/>
  <c r="S147" i="64"/>
  <c r="I147" i="64"/>
  <c r="F147" i="64"/>
  <c r="T146" i="64"/>
  <c r="S146" i="64"/>
  <c r="W146" i="64" s="1"/>
  <c r="O146" i="64"/>
  <c r="K146" i="64"/>
  <c r="I146" i="64"/>
  <c r="H146" i="64"/>
  <c r="F146" i="64"/>
  <c r="M146" i="64" s="1"/>
  <c r="T145" i="64"/>
  <c r="W145" i="64" s="1"/>
  <c r="O145" i="64"/>
  <c r="M145" i="64"/>
  <c r="K145" i="64"/>
  <c r="I145" i="64"/>
  <c r="H145" i="64"/>
  <c r="F145" i="64"/>
  <c r="L145" i="64" s="1"/>
  <c r="T144" i="64"/>
  <c r="W144" i="64" s="1"/>
  <c r="O144" i="64"/>
  <c r="M144" i="64"/>
  <c r="K144" i="64"/>
  <c r="I144" i="64"/>
  <c r="H144" i="64"/>
  <c r="F144" i="64"/>
  <c r="L144" i="64" s="1"/>
  <c r="W143" i="64"/>
  <c r="F143" i="64"/>
  <c r="L143" i="64" s="1"/>
  <c r="W142" i="64"/>
  <c r="F142" i="64"/>
  <c r="K142" i="64" s="1"/>
  <c r="U141" i="64"/>
  <c r="T141" i="64"/>
  <c r="S141" i="64"/>
  <c r="O141" i="64"/>
  <c r="M141" i="64"/>
  <c r="I141" i="64"/>
  <c r="H141" i="64"/>
  <c r="F141" i="64"/>
  <c r="L141" i="64" s="1"/>
  <c r="T140" i="64"/>
  <c r="S140" i="64"/>
  <c r="W140" i="64" s="1"/>
  <c r="F140" i="64"/>
  <c r="V139" i="64"/>
  <c r="U139" i="64"/>
  <c r="T139" i="64"/>
  <c r="S139" i="64"/>
  <c r="K139" i="64"/>
  <c r="H139" i="64"/>
  <c r="F139" i="64"/>
  <c r="O139" i="64" s="1"/>
  <c r="T138" i="64"/>
  <c r="S138" i="64"/>
  <c r="F138" i="64"/>
  <c r="W137" i="64"/>
  <c r="T137" i="64"/>
  <c r="L137" i="64"/>
  <c r="I137" i="64"/>
  <c r="F137" i="64"/>
  <c r="V136" i="64"/>
  <c r="S136" i="64"/>
  <c r="W136" i="64" s="1"/>
  <c r="O136" i="64"/>
  <c r="M136" i="64"/>
  <c r="K136" i="64"/>
  <c r="I136" i="64"/>
  <c r="H136" i="64"/>
  <c r="F136" i="64"/>
  <c r="L136" i="64" s="1"/>
  <c r="T135" i="64"/>
  <c r="S135" i="64"/>
  <c r="L135" i="64"/>
  <c r="F135" i="64"/>
  <c r="U134" i="64"/>
  <c r="T134" i="64"/>
  <c r="S134" i="64"/>
  <c r="F134" i="64"/>
  <c r="U133" i="64"/>
  <c r="W133" i="64" s="1"/>
  <c r="T133" i="64"/>
  <c r="K133" i="64"/>
  <c r="H133" i="64"/>
  <c r="F133" i="64"/>
  <c r="O133" i="64" s="1"/>
  <c r="V132" i="64"/>
  <c r="U132" i="64"/>
  <c r="T132" i="64"/>
  <c r="O132" i="64"/>
  <c r="K132" i="64"/>
  <c r="I132" i="64"/>
  <c r="H132" i="64"/>
  <c r="F132" i="64"/>
  <c r="L132" i="64" s="1"/>
  <c r="V131" i="64"/>
  <c r="T131" i="64"/>
  <c r="S131" i="64"/>
  <c r="F131" i="64"/>
  <c r="L131" i="64" s="1"/>
  <c r="U130" i="64"/>
  <c r="S130" i="64"/>
  <c r="O130" i="64"/>
  <c r="M130" i="64"/>
  <c r="L130" i="64"/>
  <c r="K130" i="64"/>
  <c r="I130" i="64"/>
  <c r="H130" i="64"/>
  <c r="V129" i="64"/>
  <c r="T129" i="64"/>
  <c r="S129" i="64"/>
  <c r="O129" i="64"/>
  <c r="H129" i="64"/>
  <c r="F129" i="64"/>
  <c r="L129" i="64" s="1"/>
  <c r="V128" i="64"/>
  <c r="S128" i="64"/>
  <c r="L128" i="64"/>
  <c r="J128" i="64"/>
  <c r="J179" i="64" s="1"/>
  <c r="H128" i="64"/>
  <c r="F128" i="64"/>
  <c r="K128" i="64" s="1"/>
  <c r="U127" i="64"/>
  <c r="T127" i="64"/>
  <c r="W127" i="64" s="1"/>
  <c r="O127" i="64"/>
  <c r="M127" i="64"/>
  <c r="L127" i="64"/>
  <c r="K127" i="64"/>
  <c r="I127" i="64"/>
  <c r="H127" i="64"/>
  <c r="X124" i="64"/>
  <c r="P124" i="64"/>
  <c r="V123" i="64"/>
  <c r="S123" i="64"/>
  <c r="W123" i="64" s="1"/>
  <c r="O123" i="64"/>
  <c r="M123" i="64"/>
  <c r="K123" i="64"/>
  <c r="I123" i="64"/>
  <c r="H123" i="64"/>
  <c r="F123" i="64"/>
  <c r="L123" i="64" s="1"/>
  <c r="S122" i="64"/>
  <c r="W122" i="64" s="1"/>
  <c r="O122" i="64"/>
  <c r="M122" i="64"/>
  <c r="K122" i="64"/>
  <c r="I122" i="64"/>
  <c r="H122" i="64"/>
  <c r="F122" i="64"/>
  <c r="L122" i="64" s="1"/>
  <c r="V121" i="64"/>
  <c r="U121" i="64"/>
  <c r="T121" i="64"/>
  <c r="S121" i="64"/>
  <c r="L121" i="64"/>
  <c r="I121" i="64"/>
  <c r="F121" i="64"/>
  <c r="V120" i="64"/>
  <c r="U120" i="64"/>
  <c r="T120" i="64"/>
  <c r="S120" i="64"/>
  <c r="Q120" i="64"/>
  <c r="I120" i="64"/>
  <c r="F120" i="64"/>
  <c r="V119" i="64"/>
  <c r="T119" i="64"/>
  <c r="S119" i="64"/>
  <c r="W119" i="64" s="1"/>
  <c r="L119" i="64"/>
  <c r="F119" i="64"/>
  <c r="V118" i="64"/>
  <c r="U118" i="64"/>
  <c r="S118" i="64"/>
  <c r="Q118" i="64"/>
  <c r="O118" i="64"/>
  <c r="J118" i="64"/>
  <c r="F118" i="64"/>
  <c r="V117" i="64"/>
  <c r="U117" i="64"/>
  <c r="T117" i="64"/>
  <c r="S117" i="64"/>
  <c r="J117" i="64"/>
  <c r="F117" i="64"/>
  <c r="K117" i="64" s="1"/>
  <c r="U116" i="64"/>
  <c r="T116" i="64"/>
  <c r="S116" i="64"/>
  <c r="F116" i="64"/>
  <c r="V115" i="64"/>
  <c r="T115" i="64"/>
  <c r="S115" i="64"/>
  <c r="W115" i="64" s="1"/>
  <c r="Q115" i="64"/>
  <c r="Q124" i="64" s="1"/>
  <c r="K115" i="64"/>
  <c r="I115" i="64"/>
  <c r="F115" i="64"/>
  <c r="O115" i="64" s="1"/>
  <c r="V114" i="64"/>
  <c r="U114" i="64"/>
  <c r="W114" i="64" s="1"/>
  <c r="T114" i="64"/>
  <c r="S114" i="64"/>
  <c r="J114" i="64"/>
  <c r="J124" i="64" s="1"/>
  <c r="I114" i="64"/>
  <c r="F114" i="64"/>
  <c r="F124" i="64" s="1"/>
  <c r="Q111" i="64"/>
  <c r="P111" i="64"/>
  <c r="J111" i="64"/>
  <c r="X110" i="64"/>
  <c r="X111" i="64" s="1"/>
  <c r="V110" i="64"/>
  <c r="S110" i="64"/>
  <c r="F110" i="64"/>
  <c r="V109" i="64"/>
  <c r="T109" i="64"/>
  <c r="S109" i="64"/>
  <c r="F109" i="64"/>
  <c r="V108" i="64"/>
  <c r="U108" i="64"/>
  <c r="T108" i="64"/>
  <c r="F108" i="64"/>
  <c r="M108" i="64" s="1"/>
  <c r="U107" i="64"/>
  <c r="U111" i="64" s="1"/>
  <c r="T107" i="64"/>
  <c r="F107" i="64"/>
  <c r="V106" i="64"/>
  <c r="S106" i="64"/>
  <c r="H106" i="64"/>
  <c r="F106" i="64"/>
  <c r="O106" i="64" s="1"/>
  <c r="X103" i="64"/>
  <c r="T103" i="64"/>
  <c r="P103" i="64"/>
  <c r="J103" i="64"/>
  <c r="U102" i="64"/>
  <c r="S102" i="64"/>
  <c r="H102" i="64"/>
  <c r="F102" i="64"/>
  <c r="O102" i="64" s="1"/>
  <c r="T101" i="64"/>
  <c r="S101" i="64"/>
  <c r="F101" i="64"/>
  <c r="I101" i="64" s="1"/>
  <c r="V100" i="64"/>
  <c r="V103" i="64" s="1"/>
  <c r="U100" i="64"/>
  <c r="K100" i="64"/>
  <c r="H100" i="64"/>
  <c r="F100" i="64"/>
  <c r="F103" i="64" s="1"/>
  <c r="X97" i="64"/>
  <c r="Q97" i="64"/>
  <c r="P97" i="64"/>
  <c r="V96" i="64"/>
  <c r="S96" i="64"/>
  <c r="O96" i="64"/>
  <c r="K96" i="64"/>
  <c r="I96" i="64"/>
  <c r="F96" i="64"/>
  <c r="M96" i="64" s="1"/>
  <c r="W95" i="64"/>
  <c r="V95" i="64"/>
  <c r="T95" i="64"/>
  <c r="S95" i="64"/>
  <c r="O95" i="64"/>
  <c r="M95" i="64"/>
  <c r="F95" i="64"/>
  <c r="H95" i="64" s="1"/>
  <c r="W94" i="64"/>
  <c r="V94" i="64"/>
  <c r="T94" i="64"/>
  <c r="S94" i="64"/>
  <c r="O94" i="64"/>
  <c r="K94" i="64"/>
  <c r="F94" i="64"/>
  <c r="H94" i="64" s="1"/>
  <c r="V93" i="64"/>
  <c r="S93" i="64"/>
  <c r="K93" i="64"/>
  <c r="I93" i="64"/>
  <c r="F93" i="64"/>
  <c r="M93" i="64" s="1"/>
  <c r="V92" i="64"/>
  <c r="T92" i="64"/>
  <c r="S92" i="64"/>
  <c r="F92" i="64"/>
  <c r="U91" i="64"/>
  <c r="W91" i="64" s="1"/>
  <c r="S91" i="64"/>
  <c r="F91" i="64"/>
  <c r="O91" i="64" s="1"/>
  <c r="V90" i="64"/>
  <c r="T90" i="64"/>
  <c r="S90" i="64"/>
  <c r="W90" i="64" s="1"/>
  <c r="K90" i="64"/>
  <c r="F90" i="64"/>
  <c r="O90" i="64" s="1"/>
  <c r="V89" i="64"/>
  <c r="U89" i="64"/>
  <c r="T89" i="64"/>
  <c r="S89" i="64"/>
  <c r="K89" i="64"/>
  <c r="F89" i="64"/>
  <c r="V88" i="64"/>
  <c r="W88" i="64" s="1"/>
  <c r="M88" i="64"/>
  <c r="L88" i="64"/>
  <c r="K88" i="64"/>
  <c r="F88" i="64"/>
  <c r="V87" i="64"/>
  <c r="U87" i="64"/>
  <c r="T87" i="64"/>
  <c r="S87" i="64"/>
  <c r="J87" i="64"/>
  <c r="F87" i="64"/>
  <c r="M87" i="64" s="1"/>
  <c r="V86" i="64"/>
  <c r="W86" i="64" s="1"/>
  <c r="J86" i="64"/>
  <c r="F86" i="64"/>
  <c r="M86" i="64" s="1"/>
  <c r="V85" i="64"/>
  <c r="W85" i="64" s="1"/>
  <c r="F85" i="64"/>
  <c r="O85" i="64" s="1"/>
  <c r="Q82" i="64"/>
  <c r="P82" i="64"/>
  <c r="J82" i="64"/>
  <c r="X81" i="64"/>
  <c r="V81" i="64"/>
  <c r="S81" i="64"/>
  <c r="F81" i="64"/>
  <c r="X80" i="64"/>
  <c r="V80" i="64"/>
  <c r="S80" i="64"/>
  <c r="L80" i="64"/>
  <c r="K80" i="64"/>
  <c r="F80" i="64"/>
  <c r="O80" i="64" s="1"/>
  <c r="X79" i="64"/>
  <c r="W79" i="64"/>
  <c r="S79" i="64"/>
  <c r="M79" i="64"/>
  <c r="L79" i="64"/>
  <c r="K79" i="64"/>
  <c r="F79" i="64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X75" i="64"/>
  <c r="V75" i="64"/>
  <c r="W75" i="64" s="1"/>
  <c r="O75" i="64"/>
  <c r="M75" i="64"/>
  <c r="L75" i="64"/>
  <c r="K75" i="64"/>
  <c r="I75" i="64"/>
  <c r="H75" i="64"/>
  <c r="T74" i="64"/>
  <c r="T82" i="64" s="1"/>
  <c r="F74" i="64"/>
  <c r="I74" i="64" s="1"/>
  <c r="Q71" i="64"/>
  <c r="P71" i="64"/>
  <c r="V70" i="64"/>
  <c r="W70" i="64" s="1"/>
  <c r="O70" i="64"/>
  <c r="M70" i="64"/>
  <c r="K70" i="64"/>
  <c r="I70" i="64"/>
  <c r="H70" i="64"/>
  <c r="F70" i="64"/>
  <c r="L70" i="64" s="1"/>
  <c r="V69" i="64"/>
  <c r="W69" i="64" s="1"/>
  <c r="O69" i="64"/>
  <c r="M69" i="64"/>
  <c r="K69" i="64"/>
  <c r="I69" i="64"/>
  <c r="H69" i="64"/>
  <c r="F69" i="64"/>
  <c r="L69" i="64" s="1"/>
  <c r="X68" i="64"/>
  <c r="S68" i="64"/>
  <c r="W68" i="64" s="1"/>
  <c r="M68" i="64"/>
  <c r="K68" i="64"/>
  <c r="I68" i="64"/>
  <c r="H68" i="64"/>
  <c r="F68" i="64"/>
  <c r="O68" i="64" s="1"/>
  <c r="T67" i="64"/>
  <c r="S67" i="64"/>
  <c r="W67" i="64" s="1"/>
  <c r="F67" i="64"/>
  <c r="L67" i="64" s="1"/>
  <c r="V66" i="64"/>
  <c r="U66" i="64"/>
  <c r="T66" i="64"/>
  <c r="S66" i="64"/>
  <c r="O66" i="64"/>
  <c r="F66" i="64"/>
  <c r="I66" i="64" s="1"/>
  <c r="T65" i="64"/>
  <c r="S65" i="64"/>
  <c r="K65" i="64"/>
  <c r="I65" i="64"/>
  <c r="F65" i="64"/>
  <c r="M65" i="64" s="1"/>
  <c r="X64" i="64"/>
  <c r="U64" i="64"/>
  <c r="T64" i="64"/>
  <c r="S64" i="64"/>
  <c r="F64" i="64"/>
  <c r="W63" i="64"/>
  <c r="V63" i="64"/>
  <c r="S63" i="64"/>
  <c r="H63" i="64"/>
  <c r="F63" i="64"/>
  <c r="T62" i="64"/>
  <c r="S62" i="64"/>
  <c r="W62" i="64" s="1"/>
  <c r="O62" i="64"/>
  <c r="F62" i="64"/>
  <c r="X61" i="64"/>
  <c r="V61" i="64"/>
  <c r="S61" i="64"/>
  <c r="O61" i="64"/>
  <c r="M61" i="64"/>
  <c r="L61" i="64"/>
  <c r="K61" i="64"/>
  <c r="I61" i="64"/>
  <c r="H61" i="64"/>
  <c r="V60" i="64"/>
  <c r="V71" i="64" s="1"/>
  <c r="S60" i="64"/>
  <c r="J60" i="64"/>
  <c r="J71" i="64" s="1"/>
  <c r="F60" i="64"/>
  <c r="K60" i="64" s="1"/>
  <c r="X57" i="64"/>
  <c r="U57" i="64"/>
  <c r="Q57" i="64"/>
  <c r="P57" i="64"/>
  <c r="J57" i="64"/>
  <c r="X56" i="64"/>
  <c r="V56" i="64"/>
  <c r="O56" i="64"/>
  <c r="M56" i="64"/>
  <c r="L56" i="64"/>
  <c r="K56" i="64"/>
  <c r="I56" i="64"/>
  <c r="H56" i="64"/>
  <c r="W55" i="64"/>
  <c r="F55" i="64"/>
  <c r="F57" i="64" s="1"/>
  <c r="X52" i="64"/>
  <c r="Q52" i="64"/>
  <c r="P52" i="64"/>
  <c r="V51" i="64"/>
  <c r="U51" i="64"/>
  <c r="S51" i="64"/>
  <c r="M51" i="64"/>
  <c r="F51" i="64"/>
  <c r="U50" i="64"/>
  <c r="T50" i="64"/>
  <c r="S50" i="64"/>
  <c r="J50" i="64"/>
  <c r="J52" i="64" s="1"/>
  <c r="F50" i="64"/>
  <c r="M50" i="64" s="1"/>
  <c r="W49" i="64"/>
  <c r="O49" i="64"/>
  <c r="F49" i="64"/>
  <c r="W48" i="64"/>
  <c r="O48" i="64"/>
  <c r="F48" i="64"/>
  <c r="W47" i="64"/>
  <c r="F47" i="64"/>
  <c r="W46" i="64"/>
  <c r="T46" i="64"/>
  <c r="S46" i="64"/>
  <c r="O46" i="64"/>
  <c r="M46" i="64"/>
  <c r="H46" i="64"/>
  <c r="F46" i="64"/>
  <c r="U45" i="64"/>
  <c r="W45" i="64" s="1"/>
  <c r="O45" i="64"/>
  <c r="M45" i="64"/>
  <c r="K45" i="64"/>
  <c r="I45" i="64"/>
  <c r="H45" i="64"/>
  <c r="F45" i="64"/>
  <c r="L45" i="64" s="1"/>
  <c r="T44" i="64"/>
  <c r="S44" i="64"/>
  <c r="O44" i="64"/>
  <c r="M44" i="64"/>
  <c r="L44" i="64"/>
  <c r="K44" i="64"/>
  <c r="I44" i="64"/>
  <c r="H44" i="64"/>
  <c r="R44" i="64" s="1"/>
  <c r="T43" i="64"/>
  <c r="S43" i="64"/>
  <c r="L43" i="64"/>
  <c r="K43" i="64"/>
  <c r="I43" i="64"/>
  <c r="F43" i="64"/>
  <c r="O43" i="64" s="1"/>
  <c r="T42" i="64"/>
  <c r="I42" i="64"/>
  <c r="F42" i="64"/>
  <c r="O42" i="64" s="1"/>
  <c r="V41" i="64"/>
  <c r="V52" i="64" s="1"/>
  <c r="S41" i="64"/>
  <c r="M41" i="64"/>
  <c r="L41" i="64"/>
  <c r="K41" i="64"/>
  <c r="F41" i="64"/>
  <c r="V38" i="64"/>
  <c r="Q38" i="64"/>
  <c r="P38" i="64"/>
  <c r="F38" i="64"/>
  <c r="V37" i="64"/>
  <c r="U37" i="64"/>
  <c r="U38" i="64" s="1"/>
  <c r="T37" i="64"/>
  <c r="T38" i="64" s="1"/>
  <c r="S37" i="64"/>
  <c r="S38" i="64" s="1"/>
  <c r="O37" i="64"/>
  <c r="O38" i="64" s="1"/>
  <c r="J37" i="64"/>
  <c r="J38" i="64" s="1"/>
  <c r="I37" i="64"/>
  <c r="I38" i="64" s="1"/>
  <c r="H37" i="64"/>
  <c r="F37" i="64"/>
  <c r="M37" i="64" s="1"/>
  <c r="M38" i="64" s="1"/>
  <c r="X34" i="64"/>
  <c r="P34" i="64"/>
  <c r="P180" i="64" s="1"/>
  <c r="J34" i="64"/>
  <c r="V33" i="64"/>
  <c r="U33" i="64"/>
  <c r="S33" i="64"/>
  <c r="F33" i="64"/>
  <c r="I33" i="64" s="1"/>
  <c r="U32" i="64"/>
  <c r="W32" i="64" s="1"/>
  <c r="S32" i="64"/>
  <c r="M32" i="64"/>
  <c r="L32" i="64"/>
  <c r="K32" i="64"/>
  <c r="F32" i="64"/>
  <c r="I32" i="64" s="1"/>
  <c r="T31" i="64"/>
  <c r="S31" i="64"/>
  <c r="W31" i="64" s="1"/>
  <c r="F31" i="64"/>
  <c r="V30" i="64"/>
  <c r="U30" i="64"/>
  <c r="W30" i="64" s="1"/>
  <c r="F30" i="64"/>
  <c r="H30" i="64" s="1"/>
  <c r="V29" i="64"/>
  <c r="S29" i="64"/>
  <c r="F29" i="64"/>
  <c r="O29" i="64" s="1"/>
  <c r="V28" i="64"/>
  <c r="W28" i="64" s="1"/>
  <c r="O28" i="64"/>
  <c r="F28" i="64"/>
  <c r="H28" i="64" s="1"/>
  <c r="S27" i="64"/>
  <c r="W27" i="64" s="1"/>
  <c r="I27" i="64"/>
  <c r="F27" i="64"/>
  <c r="U26" i="64"/>
  <c r="T26" i="64"/>
  <c r="S26" i="64"/>
  <c r="F26" i="64"/>
  <c r="O26" i="64" s="1"/>
  <c r="T25" i="64"/>
  <c r="S25" i="64"/>
  <c r="W25" i="64" s="1"/>
  <c r="M25" i="64"/>
  <c r="F25" i="64"/>
  <c r="K25" i="64" s="1"/>
  <c r="V24" i="64"/>
  <c r="W24" i="64" s="1"/>
  <c r="Q24" i="64"/>
  <c r="F24" i="64"/>
  <c r="V23" i="64"/>
  <c r="W23" i="64" s="1"/>
  <c r="Q23" i="64"/>
  <c r="F23" i="64"/>
  <c r="O23" i="64" s="1"/>
  <c r="W22" i="64"/>
  <c r="V22" i="64"/>
  <c r="Q22" i="64"/>
  <c r="M22" i="64"/>
  <c r="H22" i="64"/>
  <c r="F22" i="64"/>
  <c r="U21" i="64"/>
  <c r="W21" i="64" s="1"/>
  <c r="O21" i="64"/>
  <c r="M21" i="64"/>
  <c r="L21" i="64"/>
  <c r="K21" i="64"/>
  <c r="I21" i="64"/>
  <c r="H21" i="64"/>
  <c r="R21" i="64" s="1"/>
  <c r="W20" i="64"/>
  <c r="T20" i="64"/>
  <c r="F20" i="64"/>
  <c r="L20" i="64" s="1"/>
  <c r="U19" i="64"/>
  <c r="W19" i="64" s="1"/>
  <c r="T19" i="64"/>
  <c r="S19" i="64"/>
  <c r="Q19" i="64"/>
  <c r="O19" i="64"/>
  <c r="K19" i="64"/>
  <c r="I19" i="64"/>
  <c r="H19" i="64"/>
  <c r="F19" i="64"/>
  <c r="M19" i="64" s="1"/>
  <c r="T18" i="64"/>
  <c r="S18" i="64"/>
  <c r="O18" i="64"/>
  <c r="M18" i="64"/>
  <c r="L18" i="64"/>
  <c r="K18" i="64"/>
  <c r="I18" i="64"/>
  <c r="H18" i="64"/>
  <c r="U17" i="64"/>
  <c r="T17" i="64"/>
  <c r="S17" i="64"/>
  <c r="K17" i="64"/>
  <c r="F17" i="64"/>
  <c r="U16" i="64"/>
  <c r="T16" i="64"/>
  <c r="M16" i="64"/>
  <c r="L16" i="64"/>
  <c r="F16" i="64"/>
  <c r="U15" i="64"/>
  <c r="S15" i="64"/>
  <c r="Q15" i="64"/>
  <c r="O15" i="64"/>
  <c r="M15" i="64"/>
  <c r="L15" i="64"/>
  <c r="K15" i="64"/>
  <c r="I15" i="64"/>
  <c r="H15" i="64"/>
  <c r="W14" i="64"/>
  <c r="V14" i="64"/>
  <c r="H14" i="64"/>
  <c r="F14" i="64"/>
  <c r="O14" i="64" s="1"/>
  <c r="V13" i="64"/>
  <c r="W13" i="64" s="1"/>
  <c r="Q13" i="64"/>
  <c r="F13" i="64"/>
  <c r="V12" i="64"/>
  <c r="U12" i="64"/>
  <c r="W12" i="64" s="1"/>
  <c r="K12" i="64"/>
  <c r="F12" i="64"/>
  <c r="M12" i="64" s="1"/>
  <c r="T11" i="64"/>
  <c r="S11" i="64"/>
  <c r="I11" i="64"/>
  <c r="F11" i="64"/>
  <c r="U10" i="64"/>
  <c r="T10" i="64"/>
  <c r="O10" i="64"/>
  <c r="M10" i="64"/>
  <c r="L10" i="64"/>
  <c r="K10" i="64"/>
  <c r="I10" i="64"/>
  <c r="H10" i="64"/>
  <c r="W9" i="64"/>
  <c r="I4" i="64"/>
  <c r="F4" i="64"/>
  <c r="T34" i="64" l="1"/>
  <c r="M17" i="64"/>
  <c r="L17" i="64"/>
  <c r="W15" i="64"/>
  <c r="O11" i="64"/>
  <c r="K11" i="64"/>
  <c r="L12" i="64"/>
  <c r="H12" i="64"/>
  <c r="R18" i="64"/>
  <c r="L25" i="64"/>
  <c r="K26" i="64"/>
  <c r="I28" i="64"/>
  <c r="W29" i="64"/>
  <c r="O30" i="64"/>
  <c r="M33" i="64"/>
  <c r="L42" i="64"/>
  <c r="W43" i="64"/>
  <c r="R45" i="64"/>
  <c r="I50" i="64"/>
  <c r="K55" i="64"/>
  <c r="K57" i="64" s="1"/>
  <c r="L60" i="64"/>
  <c r="W65" i="64"/>
  <c r="M67" i="64"/>
  <c r="R70" i="64"/>
  <c r="O74" i="64"/>
  <c r="K85" i="64"/>
  <c r="K101" i="64"/>
  <c r="O108" i="64"/>
  <c r="W118" i="64"/>
  <c r="M129" i="64"/>
  <c r="K131" i="64"/>
  <c r="W135" i="64"/>
  <c r="M142" i="64"/>
  <c r="M168" i="64"/>
  <c r="R171" i="64"/>
  <c r="Y171" i="64" s="1"/>
  <c r="O173" i="64"/>
  <c r="L26" i="64"/>
  <c r="M42" i="64"/>
  <c r="W44" i="64"/>
  <c r="Y44" i="64" s="1"/>
  <c r="O55" i="64"/>
  <c r="O57" i="64" s="1"/>
  <c r="X82" i="64"/>
  <c r="L85" i="64"/>
  <c r="K86" i="64"/>
  <c r="K87" i="64"/>
  <c r="V97" i="64"/>
  <c r="O101" i="64"/>
  <c r="M131" i="64"/>
  <c r="O142" i="64"/>
  <c r="W154" i="64"/>
  <c r="M156" i="64"/>
  <c r="H161" i="64"/>
  <c r="O161" i="64"/>
  <c r="L163" i="64"/>
  <c r="H168" i="64"/>
  <c r="O168" i="64"/>
  <c r="H173" i="64"/>
  <c r="H26" i="64"/>
  <c r="M26" i="64"/>
  <c r="K33" i="64"/>
  <c r="W33" i="64"/>
  <c r="L50" i="64"/>
  <c r="W50" i="64"/>
  <c r="H55" i="64"/>
  <c r="H57" i="64" s="1"/>
  <c r="L65" i="64"/>
  <c r="K67" i="64"/>
  <c r="H74" i="64"/>
  <c r="R75" i="64"/>
  <c r="Y75" i="64" s="1"/>
  <c r="R76" i="64"/>
  <c r="Y76" i="64" s="1"/>
  <c r="M80" i="64"/>
  <c r="H85" i="64"/>
  <c r="M85" i="64"/>
  <c r="H86" i="64"/>
  <c r="L86" i="64"/>
  <c r="H87" i="64"/>
  <c r="O87" i="64"/>
  <c r="L91" i="64"/>
  <c r="L93" i="64"/>
  <c r="L96" i="64"/>
  <c r="W96" i="64"/>
  <c r="O100" i="64"/>
  <c r="O103" i="64" s="1"/>
  <c r="H101" i="64"/>
  <c r="H103" i="64" s="1"/>
  <c r="M102" i="64"/>
  <c r="M106" i="64"/>
  <c r="H108" i="64"/>
  <c r="W108" i="64"/>
  <c r="V111" i="64"/>
  <c r="M114" i="64"/>
  <c r="L115" i="64"/>
  <c r="K129" i="64"/>
  <c r="W129" i="64"/>
  <c r="R130" i="64"/>
  <c r="H131" i="64"/>
  <c r="O131" i="64"/>
  <c r="M132" i="64"/>
  <c r="M133" i="64"/>
  <c r="M139" i="64"/>
  <c r="W139" i="64"/>
  <c r="K141" i="64"/>
  <c r="H142" i="64"/>
  <c r="L146" i="64"/>
  <c r="W149" i="64"/>
  <c r="M150" i="64"/>
  <c r="I154" i="64"/>
  <c r="M155" i="64"/>
  <c r="H156" i="64"/>
  <c r="O156" i="64"/>
  <c r="L157" i="64"/>
  <c r="M159" i="64"/>
  <c r="K161" i="64"/>
  <c r="H163" i="64"/>
  <c r="M163" i="64"/>
  <c r="O165" i="64"/>
  <c r="K168" i="64"/>
  <c r="W172" i="64"/>
  <c r="K173" i="64"/>
  <c r="W174" i="64"/>
  <c r="L175" i="64"/>
  <c r="M176" i="64"/>
  <c r="L178" i="64"/>
  <c r="R69" i="64"/>
  <c r="Y69" i="64" s="1"/>
  <c r="V34" i="64"/>
  <c r="W16" i="64"/>
  <c r="L19" i="64"/>
  <c r="R19" i="64" s="1"/>
  <c r="Y19" i="64" s="1"/>
  <c r="M23" i="64"/>
  <c r="I26" i="64"/>
  <c r="R26" i="64" s="1"/>
  <c r="L33" i="64"/>
  <c r="K37" i="64"/>
  <c r="K38" i="64" s="1"/>
  <c r="K42" i="64"/>
  <c r="M43" i="64"/>
  <c r="H50" i="64"/>
  <c r="O50" i="64"/>
  <c r="I55" i="64"/>
  <c r="R56" i="64"/>
  <c r="X71" i="64"/>
  <c r="W64" i="64"/>
  <c r="H65" i="64"/>
  <c r="R65" i="64" s="1"/>
  <c r="Y65" i="64" s="1"/>
  <c r="O65" i="64"/>
  <c r="L68" i="64"/>
  <c r="R68" i="64" s="1"/>
  <c r="Y68" i="64" s="1"/>
  <c r="I80" i="64"/>
  <c r="W80" i="64"/>
  <c r="W81" i="64"/>
  <c r="I85" i="64"/>
  <c r="I86" i="64"/>
  <c r="O86" i="64"/>
  <c r="I87" i="64"/>
  <c r="I90" i="64"/>
  <c r="M91" i="64"/>
  <c r="H93" i="64"/>
  <c r="R93" i="64" s="1"/>
  <c r="O93" i="64"/>
  <c r="H96" i="64"/>
  <c r="W109" i="64"/>
  <c r="M115" i="64"/>
  <c r="W116" i="64"/>
  <c r="I131" i="64"/>
  <c r="W131" i="64"/>
  <c r="R146" i="64"/>
  <c r="O150" i="64"/>
  <c r="W153" i="64"/>
  <c r="H157" i="64"/>
  <c r="W162" i="64"/>
  <c r="I163" i="64"/>
  <c r="W167" i="64"/>
  <c r="H178" i="64"/>
  <c r="W89" i="64"/>
  <c r="U71" i="64"/>
  <c r="W37" i="64"/>
  <c r="W38" i="64" s="1"/>
  <c r="U97" i="64"/>
  <c r="W66" i="64"/>
  <c r="W78" i="64"/>
  <c r="W87" i="64"/>
  <c r="U52" i="64"/>
  <c r="Y21" i="64"/>
  <c r="W26" i="64"/>
  <c r="W120" i="64"/>
  <c r="U124" i="64"/>
  <c r="W147" i="64"/>
  <c r="Y45" i="64"/>
  <c r="W51" i="64"/>
  <c r="W102" i="64"/>
  <c r="W130" i="64"/>
  <c r="Y130" i="64" s="1"/>
  <c r="W134" i="64"/>
  <c r="W151" i="64"/>
  <c r="W17" i="64"/>
  <c r="U34" i="64"/>
  <c r="R86" i="64"/>
  <c r="Y86" i="64" s="1"/>
  <c r="R77" i="64"/>
  <c r="Y77" i="64" s="1"/>
  <c r="K31" i="64"/>
  <c r="I31" i="64"/>
  <c r="O31" i="64"/>
  <c r="H31" i="64"/>
  <c r="S34" i="64"/>
  <c r="W11" i="64"/>
  <c r="M13" i="64"/>
  <c r="L13" i="64"/>
  <c r="K13" i="64"/>
  <c r="M78" i="64"/>
  <c r="L78" i="64"/>
  <c r="K78" i="64"/>
  <c r="O78" i="64"/>
  <c r="I78" i="64"/>
  <c r="M81" i="64"/>
  <c r="L81" i="64"/>
  <c r="K81" i="64"/>
  <c r="O81" i="64"/>
  <c r="I81" i="64"/>
  <c r="H13" i="64"/>
  <c r="K24" i="64"/>
  <c r="I24" i="64"/>
  <c r="O24" i="64"/>
  <c r="H24" i="64"/>
  <c r="H29" i="64"/>
  <c r="L31" i="64"/>
  <c r="H78" i="64"/>
  <c r="R78" i="64" s="1"/>
  <c r="W110" i="64"/>
  <c r="W10" i="64"/>
  <c r="L11" i="64"/>
  <c r="O12" i="64"/>
  <c r="I13" i="64"/>
  <c r="L22" i="64"/>
  <c r="K22" i="64"/>
  <c r="I22" i="64"/>
  <c r="L24" i="64"/>
  <c r="O27" i="64"/>
  <c r="I29" i="64"/>
  <c r="M31" i="64"/>
  <c r="I57" i="64"/>
  <c r="V57" i="64"/>
  <c r="W56" i="64"/>
  <c r="Y56" i="64" s="1"/>
  <c r="F82" i="64"/>
  <c r="K138" i="64"/>
  <c r="O138" i="64"/>
  <c r="H138" i="64"/>
  <c r="M138" i="64"/>
  <c r="R138" i="64"/>
  <c r="L138" i="64"/>
  <c r="I138" i="64"/>
  <c r="T52" i="64"/>
  <c r="W42" i="64"/>
  <c r="L14" i="64"/>
  <c r="K14" i="64"/>
  <c r="I14" i="64"/>
  <c r="K20" i="64"/>
  <c r="I20" i="64"/>
  <c r="O20" i="64"/>
  <c r="H20" i="64"/>
  <c r="M24" i="64"/>
  <c r="L30" i="64"/>
  <c r="K30" i="64"/>
  <c r="I30" i="64"/>
  <c r="R61" i="64"/>
  <c r="W61" i="64"/>
  <c r="Y70" i="64"/>
  <c r="L116" i="64"/>
  <c r="K116" i="64"/>
  <c r="O116" i="64"/>
  <c r="M116" i="64"/>
  <c r="I116" i="64"/>
  <c r="H116" i="64"/>
  <c r="R116" i="64" s="1"/>
  <c r="Y116" i="64" s="1"/>
  <c r="Y146" i="64"/>
  <c r="R9" i="64"/>
  <c r="O167" i="64"/>
  <c r="H167" i="64"/>
  <c r="M167" i="64"/>
  <c r="K167" i="64"/>
  <c r="L167" i="64"/>
  <c r="I167" i="64"/>
  <c r="O13" i="64"/>
  <c r="M27" i="64"/>
  <c r="L27" i="64"/>
  <c r="K27" i="64"/>
  <c r="S52" i="64"/>
  <c r="W107" i="64"/>
  <c r="T111" i="64"/>
  <c r="K109" i="64"/>
  <c r="I109" i="64"/>
  <c r="M109" i="64"/>
  <c r="L109" i="64"/>
  <c r="H109" i="64"/>
  <c r="R109" i="64" s="1"/>
  <c r="Y109" i="64" s="1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L23" i="64"/>
  <c r="K23" i="64"/>
  <c r="I23" i="64"/>
  <c r="R10" i="64"/>
  <c r="H11" i="64"/>
  <c r="R11" i="64"/>
  <c r="Y11" i="64" s="1"/>
  <c r="I12" i="64"/>
  <c r="R12" i="64" s="1"/>
  <c r="Y12" i="64" s="1"/>
  <c r="Q34" i="64"/>
  <c r="Q180" i="64" s="1"/>
  <c r="M14" i="64"/>
  <c r="R14" i="64" s="1"/>
  <c r="Y14" i="64" s="1"/>
  <c r="R15" i="64"/>
  <c r="Y15" i="64" s="1"/>
  <c r="K16" i="64"/>
  <c r="I16" i="64"/>
  <c r="O16" i="64"/>
  <c r="H16" i="64"/>
  <c r="W18" i="64"/>
  <c r="Y18" i="64" s="1"/>
  <c r="M20" i="64"/>
  <c r="O22" i="64"/>
  <c r="H23" i="64"/>
  <c r="R23" i="64" s="1"/>
  <c r="Y23" i="64" s="1"/>
  <c r="H27" i="64"/>
  <c r="R27" i="64" s="1"/>
  <c r="Y27" i="64" s="1"/>
  <c r="M28" i="64"/>
  <c r="L28" i="64"/>
  <c r="K28" i="64"/>
  <c r="R28" i="64" s="1"/>
  <c r="Y28" i="64" s="1"/>
  <c r="M30" i="64"/>
  <c r="H38" i="64"/>
  <c r="W41" i="64"/>
  <c r="L63" i="64"/>
  <c r="K63" i="64"/>
  <c r="I63" i="64"/>
  <c r="O63" i="64"/>
  <c r="M63" i="64"/>
  <c r="W92" i="64"/>
  <c r="K118" i="64"/>
  <c r="M118" i="64"/>
  <c r="L118" i="64"/>
  <c r="I118" i="64"/>
  <c r="H118" i="64"/>
  <c r="K47" i="64"/>
  <c r="I47" i="64"/>
  <c r="O47" i="64"/>
  <c r="H47" i="64"/>
  <c r="L48" i="64"/>
  <c r="K48" i="64"/>
  <c r="I48" i="64"/>
  <c r="M49" i="64"/>
  <c r="L49" i="64"/>
  <c r="K49" i="64"/>
  <c r="F71" i="64"/>
  <c r="S71" i="64"/>
  <c r="W60" i="64"/>
  <c r="T71" i="64"/>
  <c r="I110" i="64"/>
  <c r="O110" i="64"/>
  <c r="H110" i="64"/>
  <c r="M110" i="64"/>
  <c r="L110" i="64"/>
  <c r="W132" i="64"/>
  <c r="T179" i="64"/>
  <c r="O134" i="64"/>
  <c r="H134" i="64"/>
  <c r="M134" i="64"/>
  <c r="K134" i="64"/>
  <c r="L134" i="64"/>
  <c r="K158" i="64"/>
  <c r="O158" i="64"/>
  <c r="H158" i="64"/>
  <c r="R158" i="64" s="1"/>
  <c r="Y158" i="64" s="1"/>
  <c r="M158" i="64"/>
  <c r="L158" i="64"/>
  <c r="O174" i="64"/>
  <c r="H174" i="64"/>
  <c r="M174" i="64"/>
  <c r="K174" i="64"/>
  <c r="L174" i="64"/>
  <c r="I174" i="64"/>
  <c r="O32" i="64"/>
  <c r="O33" i="64"/>
  <c r="F52" i="64"/>
  <c r="L47" i="64"/>
  <c r="H48" i="64"/>
  <c r="H49" i="64"/>
  <c r="M62" i="64"/>
  <c r="L62" i="64"/>
  <c r="K62" i="64"/>
  <c r="K64" i="64"/>
  <c r="I64" i="64"/>
  <c r="O64" i="64"/>
  <c r="H64" i="64"/>
  <c r="R85" i="64"/>
  <c r="J97" i="64"/>
  <c r="J180" i="64" s="1"/>
  <c r="T97" i="64"/>
  <c r="L107" i="64"/>
  <c r="K107" i="64"/>
  <c r="O107" i="64"/>
  <c r="M107" i="64"/>
  <c r="K110" i="64"/>
  <c r="W117" i="64"/>
  <c r="R123" i="64"/>
  <c r="Y123" i="64" s="1"/>
  <c r="I134" i="64"/>
  <c r="I158" i="64"/>
  <c r="O166" i="64"/>
  <c r="H166" i="64"/>
  <c r="M166" i="64"/>
  <c r="K166" i="64"/>
  <c r="L166" i="64"/>
  <c r="I166" i="64"/>
  <c r="M170" i="64"/>
  <c r="K170" i="64"/>
  <c r="O170" i="64"/>
  <c r="H170" i="64"/>
  <c r="L170" i="64"/>
  <c r="I170" i="64"/>
  <c r="H17" i="64"/>
  <c r="O17" i="64"/>
  <c r="H25" i="64"/>
  <c r="O25" i="64"/>
  <c r="H32" i="64"/>
  <c r="R32" i="64"/>
  <c r="Y32" i="64" s="1"/>
  <c r="H33" i="64"/>
  <c r="R33" i="64" s="1"/>
  <c r="Y33" i="64" s="1"/>
  <c r="L37" i="64"/>
  <c r="L38" i="64" s="1"/>
  <c r="H41" i="64"/>
  <c r="O41" i="64"/>
  <c r="M47" i="64"/>
  <c r="M48" i="64"/>
  <c r="I49" i="64"/>
  <c r="K51" i="64"/>
  <c r="I51" i="64"/>
  <c r="O51" i="64"/>
  <c r="H51" i="64"/>
  <c r="K71" i="64"/>
  <c r="H62" i="64"/>
  <c r="L64" i="64"/>
  <c r="M66" i="64"/>
  <c r="L66" i="64"/>
  <c r="K66" i="64"/>
  <c r="V82" i="64"/>
  <c r="I92" i="64"/>
  <c r="O92" i="64"/>
  <c r="H92" i="64"/>
  <c r="M92" i="64"/>
  <c r="L92" i="64"/>
  <c r="K92" i="64"/>
  <c r="M111" i="64"/>
  <c r="H107" i="64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I46" i="64"/>
  <c r="R46" i="64" s="1"/>
  <c r="Y46" i="64" s="1"/>
  <c r="L51" i="64"/>
  <c r="I62" i="64"/>
  <c r="M64" i="64"/>
  <c r="H66" i="64"/>
  <c r="R66" i="64" s="1"/>
  <c r="M74" i="64"/>
  <c r="M82" i="64" s="1"/>
  <c r="L74" i="64"/>
  <c r="L82" i="64" s="1"/>
  <c r="K74" i="64"/>
  <c r="I89" i="64"/>
  <c r="O89" i="64"/>
  <c r="H89" i="64"/>
  <c r="M89" i="64"/>
  <c r="L89" i="64"/>
  <c r="W93" i="64"/>
  <c r="Y93" i="64" s="1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R151" i="64" s="1"/>
  <c r="L151" i="64"/>
  <c r="I151" i="64"/>
  <c r="I152" i="64"/>
  <c r="R152" i="64" s="1"/>
  <c r="I169" i="64"/>
  <c r="M177" i="64"/>
  <c r="K177" i="64"/>
  <c r="O177" i="64"/>
  <c r="H177" i="64"/>
  <c r="R177" i="64" s="1"/>
  <c r="L177" i="64"/>
  <c r="K50" i="64"/>
  <c r="R50" i="64" s="1"/>
  <c r="Y50" i="64" s="1"/>
  <c r="L55" i="64"/>
  <c r="L57" i="64" s="1"/>
  <c r="M60" i="64"/>
  <c r="M71" i="64" s="1"/>
  <c r="M94" i="64"/>
  <c r="L94" i="64"/>
  <c r="K95" i="64"/>
  <c r="I95" i="64"/>
  <c r="M100" i="64"/>
  <c r="L100" i="64"/>
  <c r="W100" i="64"/>
  <c r="L102" i="64"/>
  <c r="K102" i="64"/>
  <c r="K103" i="64" s="1"/>
  <c r="F111" i="64"/>
  <c r="L106" i="64"/>
  <c r="K106" i="64"/>
  <c r="S111" i="64"/>
  <c r="W106" i="64"/>
  <c r="W111" i="64" s="1"/>
  <c r="L108" i="64"/>
  <c r="K108" i="64"/>
  <c r="V124" i="64"/>
  <c r="O120" i="64"/>
  <c r="H120" i="64"/>
  <c r="M120" i="64"/>
  <c r="K120" i="64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W82" i="64" s="1"/>
  <c r="H79" i="64"/>
  <c r="R79" i="64" s="1"/>
  <c r="Y79" i="64" s="1"/>
  <c r="O79" i="64"/>
  <c r="F97" i="64"/>
  <c r="M90" i="64"/>
  <c r="M97" i="64" s="1"/>
  <c r="L90" i="64"/>
  <c r="K91" i="64"/>
  <c r="K97" i="64" s="1"/>
  <c r="I91" i="64"/>
  <c r="L114" i="64"/>
  <c r="K114" i="64"/>
  <c r="O114" i="64"/>
  <c r="O124" i="64" s="1"/>
  <c r="R136" i="64"/>
  <c r="Y136" i="64" s="1"/>
  <c r="R144" i="64"/>
  <c r="Y144" i="64" s="1"/>
  <c r="M162" i="64"/>
  <c r="K162" i="64"/>
  <c r="O162" i="64"/>
  <c r="H162" i="64"/>
  <c r="K164" i="64"/>
  <c r="O164" i="64"/>
  <c r="H164" i="64"/>
  <c r="M164" i="64"/>
  <c r="L164" i="64"/>
  <c r="I60" i="64"/>
  <c r="O60" i="64"/>
  <c r="O71" i="64" s="1"/>
  <c r="I67" i="64"/>
  <c r="I79" i="64"/>
  <c r="I82" i="64" s="1"/>
  <c r="H80" i="64"/>
  <c r="R80" i="64" s="1"/>
  <c r="Y80" i="64" s="1"/>
  <c r="S97" i="64"/>
  <c r="I88" i="64"/>
  <c r="I97" i="64" s="1"/>
  <c r="O88" i="64"/>
  <c r="H88" i="64"/>
  <c r="H90" i="64"/>
  <c r="R90" i="64" s="1"/>
  <c r="Y90" i="64" s="1"/>
  <c r="H91" i="64"/>
  <c r="I94" i="64"/>
  <c r="R94" i="64" s="1"/>
  <c r="Y94" i="64" s="1"/>
  <c r="L95" i="64"/>
  <c r="I100" i="64"/>
  <c r="M101" i="64"/>
  <c r="L101" i="64"/>
  <c r="I102" i="64"/>
  <c r="U103" i="64"/>
  <c r="I106" i="64"/>
  <c r="I108" i="64"/>
  <c r="H114" i="64"/>
  <c r="R114" i="64" s="1"/>
  <c r="L120" i="64"/>
  <c r="R127" i="64"/>
  <c r="L147" i="64"/>
  <c r="O148" i="64"/>
  <c r="H148" i="64"/>
  <c r="M148" i="64"/>
  <c r="K148" i="64"/>
  <c r="L148" i="64"/>
  <c r="I148" i="64"/>
  <c r="W158" i="64"/>
  <c r="O160" i="64"/>
  <c r="H160" i="64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W177" i="64"/>
  <c r="M128" i="64"/>
  <c r="R131" i="64"/>
  <c r="Y131" i="64" s="1"/>
  <c r="L133" i="64"/>
  <c r="L139" i="64"/>
  <c r="L142" i="64"/>
  <c r="I150" i="64"/>
  <c r="R150" i="64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R173" i="64" s="1"/>
  <c r="Y173" i="64" s="1"/>
  <c r="I175" i="64"/>
  <c r="R175" i="64" s="1"/>
  <c r="Y175" i="64" s="1"/>
  <c r="I176" i="64"/>
  <c r="R176" i="64" s="1"/>
  <c r="Y176" i="64" s="1"/>
  <c r="I128" i="64"/>
  <c r="O128" i="64"/>
  <c r="O179" i="64" s="1"/>
  <c r="R132" i="64"/>
  <c r="F179" i="64"/>
  <c r="I129" i="64"/>
  <c r="R129" i="64" s="1"/>
  <c r="Y129" i="64" s="1"/>
  <c r="I133" i="64"/>
  <c r="I139" i="64"/>
  <c r="R139" i="64" s="1"/>
  <c r="Y139" i="64" s="1"/>
  <c r="I142" i="64"/>
  <c r="R142" i="64" s="1"/>
  <c r="Y142" i="64" s="1"/>
  <c r="I153" i="64"/>
  <c r="I159" i="64"/>
  <c r="R159" i="64" s="1"/>
  <c r="Y159" i="64" s="1"/>
  <c r="I165" i="64"/>
  <c r="R165" i="64" s="1"/>
  <c r="Y165" i="64" s="1"/>
  <c r="I173" i="64"/>
  <c r="W92" i="1"/>
  <c r="Y132" i="64" l="1"/>
  <c r="W71" i="64"/>
  <c r="M179" i="64"/>
  <c r="R91" i="64"/>
  <c r="Y91" i="64" s="1"/>
  <c r="R67" i="64"/>
  <c r="Y67" i="64" s="1"/>
  <c r="R162" i="64"/>
  <c r="Y162" i="64" s="1"/>
  <c r="R89" i="64"/>
  <c r="K52" i="64"/>
  <c r="R169" i="64"/>
  <c r="Y169" i="64" s="1"/>
  <c r="R25" i="64"/>
  <c r="Y25" i="64" s="1"/>
  <c r="R170" i="64"/>
  <c r="Y170" i="64" s="1"/>
  <c r="R64" i="64"/>
  <c r="Y64" i="64" s="1"/>
  <c r="R48" i="64"/>
  <c r="Y48" i="64" s="1"/>
  <c r="L34" i="64"/>
  <c r="V180" i="64"/>
  <c r="W34" i="64"/>
  <c r="R24" i="64"/>
  <c r="Y24" i="64" s="1"/>
  <c r="O82" i="64"/>
  <c r="K34" i="64"/>
  <c r="R164" i="64"/>
  <c r="Y164" i="64" s="1"/>
  <c r="R95" i="64"/>
  <c r="Y95" i="64" s="1"/>
  <c r="Y177" i="64"/>
  <c r="R51" i="64"/>
  <c r="R166" i="64"/>
  <c r="Y166" i="64" s="1"/>
  <c r="L71" i="64"/>
  <c r="L52" i="64"/>
  <c r="R174" i="64"/>
  <c r="Y174" i="64" s="1"/>
  <c r="R30" i="64"/>
  <c r="Y30" i="64" s="1"/>
  <c r="R20" i="64"/>
  <c r="Y20" i="64" s="1"/>
  <c r="Y138" i="64"/>
  <c r="R13" i="64"/>
  <c r="Y13" i="64" s="1"/>
  <c r="R31" i="64"/>
  <c r="Y31" i="64" s="1"/>
  <c r="R121" i="64"/>
  <c r="K179" i="64"/>
  <c r="R160" i="64"/>
  <c r="Y160" i="64" s="1"/>
  <c r="R120" i="64"/>
  <c r="L111" i="64"/>
  <c r="Y152" i="64"/>
  <c r="R107" i="64"/>
  <c r="R17" i="64"/>
  <c r="Y17" i="64" s="1"/>
  <c r="R134" i="64"/>
  <c r="M124" i="64"/>
  <c r="O34" i="64"/>
  <c r="H34" i="64"/>
  <c r="R167" i="64"/>
  <c r="Y167" i="64" s="1"/>
  <c r="T180" i="64"/>
  <c r="R22" i="64"/>
  <c r="Y22" i="64" s="1"/>
  <c r="Y26" i="64"/>
  <c r="L179" i="64"/>
  <c r="R153" i="64"/>
  <c r="Y153" i="64" s="1"/>
  <c r="I179" i="64"/>
  <c r="R147" i="64"/>
  <c r="R108" i="64"/>
  <c r="Y108" i="64" s="1"/>
  <c r="R101" i="64"/>
  <c r="Y101" i="64" s="1"/>
  <c r="O97" i="64"/>
  <c r="R92" i="64"/>
  <c r="Y92" i="64" s="1"/>
  <c r="M52" i="64"/>
  <c r="R110" i="64"/>
  <c r="Y110" i="64" s="1"/>
  <c r="O111" i="64"/>
  <c r="R47" i="64"/>
  <c r="Y47" i="64" s="1"/>
  <c r="R63" i="64"/>
  <c r="Y63" i="64" s="1"/>
  <c r="M34" i="64"/>
  <c r="I124" i="64"/>
  <c r="I34" i="64"/>
  <c r="X92" i="1"/>
  <c r="Y89" i="64"/>
  <c r="Y66" i="64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L180" i="64" s="1"/>
  <c r="R117" i="64"/>
  <c r="Y117" i="64" s="1"/>
  <c r="H52" i="64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K180" i="64" s="1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X145" i="1"/>
  <c r="X182" i="1"/>
  <c r="X187" i="1"/>
  <c r="X180" i="1"/>
  <c r="X183" i="1"/>
  <c r="X168" i="1"/>
  <c r="X164" i="1"/>
  <c r="U163" i="1"/>
  <c r="U155" i="1"/>
  <c r="T138" i="1"/>
  <c r="T117" i="1"/>
  <c r="T86" i="1"/>
  <c r="X86" i="1" s="1"/>
  <c r="T76" i="1"/>
  <c r="X76" i="1" s="1"/>
  <c r="T66" i="1"/>
  <c r="S39" i="63"/>
  <c r="S40" i="63" s="1"/>
  <c r="R39" i="63"/>
  <c r="R40" i="63" s="1"/>
  <c r="U188" i="1"/>
  <c r="T188" i="1"/>
  <c r="L188" i="1"/>
  <c r="I180" i="64" l="1"/>
  <c r="H180" i="64"/>
  <c r="X18" i="1"/>
  <c r="X188" i="1"/>
  <c r="H188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8" i="1"/>
  <c r="O188" i="1"/>
  <c r="K188" i="1"/>
  <c r="J188" i="1"/>
  <c r="R180" i="64" l="1"/>
  <c r="Y180" i="64"/>
  <c r="R188" i="1"/>
  <c r="Z188" i="1" l="1"/>
  <c r="R27" i="63"/>
  <c r="X78" i="1"/>
  <c r="X77" i="1"/>
  <c r="S17" i="63"/>
  <c r="R36" i="63" l="1"/>
  <c r="R26" i="63"/>
  <c r="X117" i="1"/>
  <c r="J117" i="1"/>
  <c r="L100" i="1"/>
  <c r="L99" i="1"/>
  <c r="O24" i="1"/>
  <c r="W100" i="1"/>
  <c r="X100" i="1" s="1"/>
  <c r="W99" i="1"/>
  <c r="X99" i="1" s="1"/>
  <c r="W24" i="1"/>
  <c r="X24" i="1" s="1"/>
  <c r="X87" i="1"/>
  <c r="L88" i="1"/>
  <c r="L87" i="1"/>
  <c r="T88" i="1"/>
  <c r="H86" i="1"/>
  <c r="W84" i="1"/>
  <c r="X84" i="1" s="1"/>
  <c r="O84" i="1"/>
  <c r="L84" i="1"/>
  <c r="K84" i="1"/>
  <c r="J84" i="1"/>
  <c r="H84" i="1"/>
  <c r="G84" i="1"/>
  <c r="W83" i="1"/>
  <c r="O83" i="1"/>
  <c r="L83" i="1"/>
  <c r="K83" i="1"/>
  <c r="J83" i="1"/>
  <c r="H83" i="1"/>
  <c r="G83" i="1"/>
  <c r="X83" i="1" l="1"/>
  <c r="X88" i="1"/>
  <c r="K117" i="1"/>
  <c r="L117" i="1"/>
  <c r="G117" i="1"/>
  <c r="O117" i="1"/>
  <c r="K88" i="1"/>
  <c r="H117" i="1"/>
  <c r="K100" i="1"/>
  <c r="H24" i="1"/>
  <c r="J24" i="1"/>
  <c r="L24" i="1"/>
  <c r="G99" i="1"/>
  <c r="O99" i="1"/>
  <c r="K24" i="1"/>
  <c r="H99" i="1"/>
  <c r="G100" i="1"/>
  <c r="O100" i="1"/>
  <c r="J99" i="1"/>
  <c r="K99" i="1"/>
  <c r="J100" i="1"/>
  <c r="H100" i="1"/>
  <c r="G24" i="1"/>
  <c r="J86" i="1"/>
  <c r="K86" i="1"/>
  <c r="R83" i="1"/>
  <c r="Z83" i="1" s="1"/>
  <c r="L86" i="1"/>
  <c r="R84" i="1"/>
  <c r="Z84" i="1" s="1"/>
  <c r="G86" i="1"/>
  <c r="O86" i="1"/>
  <c r="O87" i="1"/>
  <c r="H87" i="1"/>
  <c r="G88" i="1"/>
  <c r="O88" i="1"/>
  <c r="H88" i="1"/>
  <c r="K87" i="1"/>
  <c r="J88" i="1"/>
  <c r="G87" i="1"/>
  <c r="J87" i="1"/>
  <c r="R24" i="1" l="1"/>
  <c r="R117" i="1"/>
  <c r="Z117" i="1" s="1"/>
  <c r="R99" i="1"/>
  <c r="Z99" i="1" s="1"/>
  <c r="R100" i="1"/>
  <c r="Z100" i="1" s="1"/>
  <c r="Z24" i="1"/>
  <c r="R86" i="1"/>
  <c r="Z86" i="1" s="1"/>
  <c r="R88" i="1"/>
  <c r="Z88" i="1" s="1"/>
  <c r="R87" i="1"/>
  <c r="Z87" i="1" s="1"/>
  <c r="O78" i="1"/>
  <c r="K78" i="1"/>
  <c r="G78" i="1"/>
  <c r="L78" i="1"/>
  <c r="L77" i="1"/>
  <c r="H77" i="1"/>
  <c r="G77" i="1"/>
  <c r="O77" i="1"/>
  <c r="V69" i="1"/>
  <c r="V79" i="1" s="1"/>
  <c r="J69" i="1"/>
  <c r="W66" i="1"/>
  <c r="X66" i="1" s="1"/>
  <c r="O66" i="1"/>
  <c r="L66" i="1"/>
  <c r="K66" i="1"/>
  <c r="J66" i="1"/>
  <c r="H66" i="1"/>
  <c r="G66" i="1"/>
  <c r="W61" i="1"/>
  <c r="W62" i="1" s="1"/>
  <c r="O61" i="1"/>
  <c r="L61" i="1"/>
  <c r="K61" i="1"/>
  <c r="J61" i="1"/>
  <c r="H61" i="1"/>
  <c r="G61" i="1"/>
  <c r="W13" i="1"/>
  <c r="X13" i="1" s="1"/>
  <c r="O13" i="1"/>
  <c r="L18" i="1"/>
  <c r="K18" i="1"/>
  <c r="J18" i="1"/>
  <c r="O18" i="1"/>
  <c r="J23" i="1"/>
  <c r="X23" i="1"/>
  <c r="H36" i="1"/>
  <c r="V36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X69" i="1" l="1"/>
  <c r="X61" i="1"/>
  <c r="X62" i="1" s="1"/>
  <c r="X36" i="1"/>
  <c r="S34" i="63"/>
  <c r="S10" i="63"/>
  <c r="S20" i="63"/>
  <c r="S28" i="63"/>
  <c r="R28" i="63"/>
  <c r="R10" i="63"/>
  <c r="R34" i="63"/>
  <c r="R20" i="63"/>
  <c r="O23" i="1"/>
  <c r="K13" i="1"/>
  <c r="J13" i="1"/>
  <c r="K23" i="1"/>
  <c r="K69" i="1"/>
  <c r="H13" i="1"/>
  <c r="L13" i="1"/>
  <c r="G23" i="1"/>
  <c r="G36" i="1"/>
  <c r="R61" i="1"/>
  <c r="J76" i="1"/>
  <c r="K76" i="1"/>
  <c r="J77" i="1"/>
  <c r="H78" i="1"/>
  <c r="L76" i="1"/>
  <c r="K77" i="1"/>
  <c r="J78" i="1"/>
  <c r="G76" i="1"/>
  <c r="O76" i="1"/>
  <c r="H76" i="1"/>
  <c r="L69" i="1"/>
  <c r="O69" i="1"/>
  <c r="G69" i="1"/>
  <c r="H69" i="1"/>
  <c r="R66" i="1"/>
  <c r="Z66" i="1" s="1"/>
  <c r="G13" i="1"/>
  <c r="H18" i="1"/>
  <c r="G18" i="1"/>
  <c r="L23" i="1"/>
  <c r="H23" i="1"/>
  <c r="J36" i="1"/>
  <c r="L36" i="1"/>
  <c r="K36" i="1"/>
  <c r="O36" i="1"/>
  <c r="R13" i="1" l="1"/>
  <c r="Z13" i="1" s="1"/>
  <c r="R23" i="1"/>
  <c r="Z23" i="1" s="1"/>
  <c r="R36" i="1"/>
  <c r="Z36" i="1" s="1"/>
  <c r="R18" i="1"/>
  <c r="Z18" i="1" s="1"/>
  <c r="S41" i="63"/>
  <c r="R41" i="63"/>
  <c r="R69" i="1"/>
  <c r="Z69" i="1" s="1"/>
  <c r="R78" i="1"/>
  <c r="Z78" i="1" s="1"/>
  <c r="R77" i="1"/>
  <c r="R76" i="1"/>
  <c r="Z76" i="1" s="1"/>
  <c r="Z61" i="1"/>
  <c r="Z77" i="1" l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V109" i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W11" i="1"/>
  <c r="W142" i="1"/>
  <c r="X142" i="1" s="1"/>
  <c r="W130" i="1"/>
  <c r="W129" i="1"/>
  <c r="W126" i="1"/>
  <c r="W17" i="1"/>
  <c r="W115" i="1"/>
  <c r="W98" i="1"/>
  <c r="W94" i="1"/>
  <c r="W93" i="1"/>
  <c r="W85" i="1"/>
  <c r="W89" i="1" s="1"/>
  <c r="W68" i="1"/>
  <c r="W55" i="1"/>
  <c r="W31" i="1"/>
  <c r="X93" i="1" l="1"/>
  <c r="O41" i="63"/>
  <c r="L41" i="63"/>
  <c r="K41" i="63"/>
  <c r="H41" i="63"/>
  <c r="I41" i="63"/>
  <c r="M41" i="63"/>
  <c r="Z15" i="62" l="1"/>
  <c r="Z114" i="62"/>
  <c r="Z113" i="62"/>
  <c r="Z112" i="62"/>
  <c r="Z109" i="62"/>
  <c r="Z108" i="62"/>
  <c r="Z107" i="62"/>
  <c r="Z106" i="62"/>
  <c r="Z105" i="62"/>
  <c r="Z156" i="62" s="1"/>
  <c r="Z111" i="62"/>
  <c r="Z99" i="62"/>
  <c r="Z98" i="62"/>
  <c r="Z97" i="62"/>
  <c r="Z96" i="62"/>
  <c r="Z95" i="62"/>
  <c r="Z94" i="62"/>
  <c r="Z93" i="62"/>
  <c r="Z92" i="62"/>
  <c r="Z102" i="62" s="1"/>
  <c r="Z88" i="62"/>
  <c r="Z87" i="62"/>
  <c r="Z86" i="62"/>
  <c r="Z85" i="62"/>
  <c r="Z89" i="62" s="1"/>
  <c r="Z79" i="62"/>
  <c r="Z78" i="62"/>
  <c r="Z82" i="62" s="1"/>
  <c r="Z74" i="62"/>
  <c r="Z73" i="62"/>
  <c r="Z72" i="62"/>
  <c r="Z71" i="62"/>
  <c r="Z70" i="62"/>
  <c r="Z68" i="62"/>
  <c r="Z67" i="62"/>
  <c r="Z75" i="62" s="1"/>
  <c r="Z10" i="62"/>
  <c r="Z63" i="62"/>
  <c r="Z69" i="62"/>
  <c r="Z62" i="62"/>
  <c r="Z64" i="62" s="1"/>
  <c r="Z55" i="62"/>
  <c r="Z54" i="62"/>
  <c r="Z53" i="62"/>
  <c r="Z59" i="62" s="1"/>
  <c r="Z49" i="62"/>
  <c r="Z50" i="62" s="1"/>
  <c r="Z45" i="62"/>
  <c r="Z44" i="62"/>
  <c r="Z43" i="62"/>
  <c r="Z42" i="62"/>
  <c r="Z41" i="62"/>
  <c r="Z40" i="62"/>
  <c r="Z39" i="62"/>
  <c r="Z38" i="62"/>
  <c r="Z37" i="62"/>
  <c r="Z36" i="62"/>
  <c r="Z35" i="62"/>
  <c r="Z46" i="62" s="1"/>
  <c r="Z31" i="62"/>
  <c r="Z32" i="62" s="1"/>
  <c r="Z25" i="62"/>
  <c r="Z19" i="62"/>
  <c r="Z18" i="62"/>
  <c r="Z17" i="62"/>
  <c r="Z16" i="62"/>
  <c r="Z14" i="62"/>
  <c r="Z13" i="62"/>
  <c r="Z12" i="62"/>
  <c r="Z11" i="62"/>
  <c r="Z9" i="62"/>
  <c r="Z28" i="62" s="1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50" i="62" s="1"/>
  <c r="Y45" i="62"/>
  <c r="Y44" i="62"/>
  <c r="Y43" i="62"/>
  <c r="Y42" i="62"/>
  <c r="Y41" i="62"/>
  <c r="Y40" i="62"/>
  <c r="Y39" i="62"/>
  <c r="Y38" i="62"/>
  <c r="Y37" i="62"/>
  <c r="Y36" i="62"/>
  <c r="Y35" i="62"/>
  <c r="Y31" i="62"/>
  <c r="Y32" i="62" s="1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T155" i="62"/>
  <c r="S155" i="62"/>
  <c r="W155" i="62" s="1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W128" i="62" s="1"/>
  <c r="S128" i="62"/>
  <c r="N128" i="62"/>
  <c r="G128" i="62"/>
  <c r="F128" i="62"/>
  <c r="M128" i="62" s="1"/>
  <c r="Y127" i="62"/>
  <c r="U127" i="62"/>
  <c r="W127" i="62" s="1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N125" i="62"/>
  <c r="K125" i="62"/>
  <c r="H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W20" i="62" s="1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Y156" i="62" l="1"/>
  <c r="Y82" i="62"/>
  <c r="Y64" i="62"/>
  <c r="Y75" i="62"/>
  <c r="W125" i="62"/>
  <c r="W132" i="62"/>
  <c r="Y28" i="62"/>
  <c r="Y46" i="62"/>
  <c r="Y59" i="62"/>
  <c r="Y89" i="62"/>
  <c r="Y102" i="62"/>
  <c r="W139" i="62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53" i="62" l="1"/>
  <c r="R154" i="62"/>
  <c r="R147" i="62"/>
  <c r="R130" i="62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W128" i="1" l="1"/>
  <c r="Y87" i="60"/>
  <c r="Y50" i="60"/>
  <c r="T75" i="1"/>
  <c r="AH50" i="58" l="1"/>
  <c r="AI50" i="58" s="1"/>
  <c r="AJ50" i="58" s="1"/>
  <c r="AG50" i="58"/>
  <c r="AH46" i="58" l="1"/>
  <c r="AG46" i="58"/>
  <c r="AI46" i="58" s="1"/>
  <c r="AJ46" i="58" s="1"/>
  <c r="AH45" i="58"/>
  <c r="AG45" i="58"/>
  <c r="AJ44" i="58"/>
  <c r="AJ43" i="58"/>
  <c r="AI44" i="58"/>
  <c r="AI43" i="58"/>
  <c r="AH44" i="58"/>
  <c r="AG44" i="58"/>
  <c r="AH43" i="58"/>
  <c r="AG43" i="58"/>
  <c r="AI40" i="58"/>
  <c r="AJ40" i="58" s="1"/>
  <c r="AH40" i="58"/>
  <c r="AG40" i="58"/>
  <c r="AH35" i="58"/>
  <c r="AG35" i="58"/>
  <c r="AH31" i="58"/>
  <c r="AI31" i="58" s="1"/>
  <c r="AJ31" i="58" s="1"/>
  <c r="AG31" i="58"/>
  <c r="AH30" i="58"/>
  <c r="AI30" i="58" s="1"/>
  <c r="AG30" i="58"/>
  <c r="AH29" i="58"/>
  <c r="AI29" i="58" s="1"/>
  <c r="AG29" i="58"/>
  <c r="AH28" i="58"/>
  <c r="AI28" i="58" s="1"/>
  <c r="AG28" i="58"/>
  <c r="AH27" i="58"/>
  <c r="AI27" i="58" s="1"/>
  <c r="AJ27" i="58" s="1"/>
  <c r="AJ32" i="58" s="1"/>
  <c r="AG27" i="58"/>
  <c r="AG22" i="58"/>
  <c r="AH23" i="58"/>
  <c r="AI23" i="58" s="1"/>
  <c r="AJ23" i="58" s="1"/>
  <c r="AG23" i="58"/>
  <c r="AH22" i="58"/>
  <c r="AI22" i="58" s="1"/>
  <c r="AJ22" i="58" s="1"/>
  <c r="AJ24" i="58" s="1"/>
  <c r="AH14" i="58"/>
  <c r="AI14" i="58" s="1"/>
  <c r="AJ14" i="58" s="1"/>
  <c r="AG14" i="58"/>
  <c r="AH12" i="58"/>
  <c r="AI12" i="58" s="1"/>
  <c r="AG12" i="58"/>
  <c r="AH9" i="58"/>
  <c r="AG9" i="58"/>
  <c r="AH17" i="58"/>
  <c r="AI17" i="58" s="1"/>
  <c r="AG17" i="58"/>
  <c r="AH18" i="58"/>
  <c r="AI18" i="58" s="1"/>
  <c r="AJ18" i="58" s="1"/>
  <c r="AG18" i="58"/>
  <c r="AI35" i="58" l="1"/>
  <c r="AI9" i="58"/>
  <c r="AJ9" i="58" s="1"/>
  <c r="AI45" i="58"/>
  <c r="AJ45" i="58" s="1"/>
  <c r="AJ47" i="58" s="1"/>
  <c r="AJ63" i="58" s="1"/>
  <c r="X167" i="1" l="1"/>
  <c r="X148" i="1"/>
  <c r="X140" i="1"/>
  <c r="X130" i="1"/>
  <c r="X129" i="1"/>
  <c r="X126" i="1"/>
  <c r="X11" i="1"/>
  <c r="X55" i="1"/>
  <c r="X31" i="1"/>
  <c r="X20" i="1"/>
  <c r="V120" i="1" l="1"/>
  <c r="V132" i="1"/>
  <c r="X51" i="1"/>
  <c r="X138" i="1"/>
  <c r="D50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Y157" i="60" l="1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G157" i="60"/>
  <c r="F157" i="60"/>
  <c r="O157" i="60" s="1"/>
  <c r="T156" i="60"/>
  <c r="W156" i="60" s="1"/>
  <c r="S156" i="60"/>
  <c r="N156" i="60"/>
  <c r="F156" i="60"/>
  <c r="I156" i="60" s="1"/>
  <c r="W155" i="60"/>
  <c r="S155" i="60"/>
  <c r="N155" i="60"/>
  <c r="F155" i="60"/>
  <c r="I155" i="60" s="1"/>
  <c r="T154" i="60"/>
  <c r="S154" i="60"/>
  <c r="N154" i="60"/>
  <c r="H154" i="60"/>
  <c r="F154" i="60"/>
  <c r="L154" i="60" s="1"/>
  <c r="T153" i="60"/>
  <c r="S153" i="60"/>
  <c r="W153" i="60" s="1"/>
  <c r="N153" i="60"/>
  <c r="L153" i="60"/>
  <c r="F153" i="60"/>
  <c r="M153" i="60" s="1"/>
  <c r="T152" i="60"/>
  <c r="S152" i="60"/>
  <c r="W152" i="60" s="1"/>
  <c r="N152" i="60"/>
  <c r="K152" i="60"/>
  <c r="H152" i="60"/>
  <c r="F152" i="60"/>
  <c r="M152" i="60" s="1"/>
  <c r="T151" i="60"/>
  <c r="S151" i="60"/>
  <c r="N151" i="60"/>
  <c r="G151" i="60"/>
  <c r="F151" i="60"/>
  <c r="O151" i="60" s="1"/>
  <c r="T150" i="60"/>
  <c r="S150" i="60"/>
  <c r="N150" i="60"/>
  <c r="I150" i="60"/>
  <c r="F150" i="60"/>
  <c r="S149" i="60"/>
  <c r="W149" i="60" s="1"/>
  <c r="N149" i="60"/>
  <c r="F149" i="60"/>
  <c r="I149" i="60" s="1"/>
  <c r="T148" i="60"/>
  <c r="S148" i="60"/>
  <c r="N148" i="60"/>
  <c r="K148" i="60"/>
  <c r="I148" i="60"/>
  <c r="H148" i="60"/>
  <c r="F148" i="60"/>
  <c r="L148" i="60" s="1"/>
  <c r="T147" i="60"/>
  <c r="S147" i="60"/>
  <c r="N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S144" i="60"/>
  <c r="N144" i="60"/>
  <c r="F144" i="60"/>
  <c r="T143" i="60"/>
  <c r="S143" i="60"/>
  <c r="W143" i="60" s="1"/>
  <c r="N143" i="60"/>
  <c r="F143" i="60"/>
  <c r="M143" i="60" s="1"/>
  <c r="T142" i="60"/>
  <c r="S142" i="60"/>
  <c r="N142" i="60"/>
  <c r="F142" i="60"/>
  <c r="T141" i="60"/>
  <c r="S141" i="60"/>
  <c r="N141" i="60"/>
  <c r="L141" i="60"/>
  <c r="H141" i="60"/>
  <c r="F141" i="60"/>
  <c r="O141" i="60" s="1"/>
  <c r="T140" i="60"/>
  <c r="S140" i="60"/>
  <c r="N140" i="60"/>
  <c r="F140" i="60"/>
  <c r="M141" i="60" s="1"/>
  <c r="T139" i="60"/>
  <c r="S139" i="60"/>
  <c r="N139" i="60"/>
  <c r="F139" i="60"/>
  <c r="L139" i="60" s="1"/>
  <c r="T138" i="60"/>
  <c r="W138" i="60" s="1"/>
  <c r="S138" i="60"/>
  <c r="N138" i="60"/>
  <c r="F138" i="60"/>
  <c r="L138" i="60" s="1"/>
  <c r="W137" i="60"/>
  <c r="T137" i="60"/>
  <c r="S137" i="60"/>
  <c r="N137" i="60"/>
  <c r="H137" i="60"/>
  <c r="F137" i="60"/>
  <c r="M137" i="60" s="1"/>
  <c r="U136" i="60"/>
  <c r="T136" i="60"/>
  <c r="S136" i="60"/>
  <c r="N136" i="60"/>
  <c r="G136" i="60"/>
  <c r="F136" i="60"/>
  <c r="M136" i="60" s="1"/>
  <c r="W135" i="60"/>
  <c r="T135" i="60"/>
  <c r="N135" i="60"/>
  <c r="L135" i="60"/>
  <c r="F135" i="60"/>
  <c r="T134" i="60"/>
  <c r="S134" i="60"/>
  <c r="W134" i="60" s="1"/>
  <c r="N134" i="60"/>
  <c r="H134" i="60"/>
  <c r="F134" i="60"/>
  <c r="L134" i="60" s="1"/>
  <c r="T133" i="60"/>
  <c r="S133" i="60"/>
  <c r="N133" i="60"/>
  <c r="L133" i="60"/>
  <c r="I133" i="60"/>
  <c r="F133" i="60"/>
  <c r="T132" i="60"/>
  <c r="S132" i="60"/>
  <c r="W132" i="60" s="1"/>
  <c r="N132" i="60"/>
  <c r="F132" i="60"/>
  <c r="M132" i="60" s="1"/>
  <c r="U131" i="60"/>
  <c r="T131" i="60"/>
  <c r="S131" i="60"/>
  <c r="N131" i="60"/>
  <c r="F131" i="60"/>
  <c r="L131" i="60" s="1"/>
  <c r="V130" i="60"/>
  <c r="S130" i="60"/>
  <c r="N130" i="60"/>
  <c r="L130" i="60"/>
  <c r="G130" i="60"/>
  <c r="F130" i="60"/>
  <c r="M130" i="60" s="1"/>
  <c r="U129" i="60"/>
  <c r="T129" i="60"/>
  <c r="N129" i="60"/>
  <c r="L129" i="60"/>
  <c r="I129" i="60"/>
  <c r="F129" i="60"/>
  <c r="S128" i="60"/>
  <c r="W128" i="60" s="1"/>
  <c r="N128" i="60"/>
  <c r="L128" i="60"/>
  <c r="F128" i="60"/>
  <c r="U127" i="60"/>
  <c r="S127" i="60"/>
  <c r="N127" i="60"/>
  <c r="F127" i="60"/>
  <c r="M127" i="60" s="1"/>
  <c r="T126" i="60"/>
  <c r="S126" i="60"/>
  <c r="N126" i="60"/>
  <c r="I126" i="60"/>
  <c r="F126" i="60"/>
  <c r="L126" i="60" s="1"/>
  <c r="T125" i="60"/>
  <c r="W125" i="60" s="1"/>
  <c r="N125" i="60"/>
  <c r="F125" i="60"/>
  <c r="L125" i="60" s="1"/>
  <c r="T124" i="60"/>
  <c r="W124" i="60" s="1"/>
  <c r="N124" i="60"/>
  <c r="F124" i="60"/>
  <c r="W123" i="60"/>
  <c r="N123" i="60"/>
  <c r="M123" i="60"/>
  <c r="F123" i="60"/>
  <c r="K123" i="60" s="1"/>
  <c r="W122" i="60"/>
  <c r="N122" i="60"/>
  <c r="F122" i="60"/>
  <c r="L122" i="60" s="1"/>
  <c r="U121" i="60"/>
  <c r="T121" i="60"/>
  <c r="S121" i="60"/>
  <c r="N121" i="60"/>
  <c r="L121" i="60"/>
  <c r="F121" i="60"/>
  <c r="T120" i="60"/>
  <c r="S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N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N114" i="60"/>
  <c r="M114" i="60"/>
  <c r="I114" i="60"/>
  <c r="H114" i="60"/>
  <c r="F114" i="60"/>
  <c r="L114" i="60" s="1"/>
  <c r="V113" i="60"/>
  <c r="U113" i="60"/>
  <c r="T113" i="60"/>
  <c r="N113" i="60"/>
  <c r="K113" i="60"/>
  <c r="H113" i="60"/>
  <c r="F113" i="60"/>
  <c r="O113" i="60" s="1"/>
  <c r="V112" i="60"/>
  <c r="T112" i="60"/>
  <c r="S112" i="60"/>
  <c r="N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O110" i="60"/>
  <c r="N110" i="60"/>
  <c r="L110" i="60"/>
  <c r="I110" i="60"/>
  <c r="H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G104" i="60"/>
  <c r="G105" i="60" s="1"/>
  <c r="F104" i="60"/>
  <c r="M104" i="60" s="1"/>
  <c r="W103" i="60"/>
  <c r="S103" i="60"/>
  <c r="N103" i="60"/>
  <c r="F103" i="60"/>
  <c r="T102" i="60"/>
  <c r="W102" i="60" s="1"/>
  <c r="S102" i="60"/>
  <c r="O102" i="60"/>
  <c r="N102" i="60"/>
  <c r="M102" i="60"/>
  <c r="K102" i="60"/>
  <c r="I102" i="60"/>
  <c r="H102" i="60"/>
  <c r="F102" i="60"/>
  <c r="L102" i="60" s="1"/>
  <c r="V101" i="60"/>
  <c r="U101" i="60"/>
  <c r="T101" i="60"/>
  <c r="S101" i="60"/>
  <c r="N101" i="60"/>
  <c r="F101" i="60"/>
  <c r="M101" i="60" s="1"/>
  <c r="V100" i="60"/>
  <c r="U100" i="60"/>
  <c r="T100" i="60"/>
  <c r="S100" i="60"/>
  <c r="Q100" i="60"/>
  <c r="N100" i="60"/>
  <c r="F100" i="60"/>
  <c r="I100" i="60" s="1"/>
  <c r="V99" i="60"/>
  <c r="T99" i="60"/>
  <c r="S99" i="60"/>
  <c r="O99" i="60"/>
  <c r="N99" i="60"/>
  <c r="I99" i="60"/>
  <c r="H99" i="60"/>
  <c r="F99" i="60"/>
  <c r="M99" i="60" s="1"/>
  <c r="V98" i="60"/>
  <c r="U98" i="60"/>
  <c r="T98" i="60"/>
  <c r="S98" i="60"/>
  <c r="Q98" i="60"/>
  <c r="N98" i="60"/>
  <c r="J98" i="60"/>
  <c r="F98" i="60"/>
  <c r="M98" i="60" s="1"/>
  <c r="V97" i="60"/>
  <c r="U97" i="60"/>
  <c r="T97" i="60"/>
  <c r="S97" i="60"/>
  <c r="N97" i="60"/>
  <c r="L97" i="60"/>
  <c r="J97" i="60"/>
  <c r="I97" i="60"/>
  <c r="H97" i="60"/>
  <c r="F97" i="60"/>
  <c r="M97" i="60" s="1"/>
  <c r="U96" i="60"/>
  <c r="T96" i="60"/>
  <c r="S96" i="60"/>
  <c r="N96" i="60"/>
  <c r="F96" i="60"/>
  <c r="V95" i="60"/>
  <c r="T95" i="60"/>
  <c r="S95" i="60"/>
  <c r="Q95" i="60"/>
  <c r="N95" i="60"/>
  <c r="K95" i="60"/>
  <c r="F95" i="60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F90" i="60"/>
  <c r="O90" i="60" s="1"/>
  <c r="V89" i="60"/>
  <c r="U89" i="60"/>
  <c r="T89" i="60"/>
  <c r="F89" i="60"/>
  <c r="K89" i="60" s="1"/>
  <c r="U88" i="60"/>
  <c r="T88" i="60"/>
  <c r="F88" i="60"/>
  <c r="L88" i="60" s="1"/>
  <c r="V87" i="60"/>
  <c r="W87" i="60" s="1"/>
  <c r="S87" i="60"/>
  <c r="F87" i="60"/>
  <c r="L87" i="60" s="1"/>
  <c r="Q84" i="60"/>
  <c r="P84" i="60"/>
  <c r="J84" i="60"/>
  <c r="G84" i="60"/>
  <c r="U83" i="60"/>
  <c r="S83" i="60"/>
  <c r="L83" i="60"/>
  <c r="H83" i="60"/>
  <c r="G83" i="60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O81" i="60"/>
  <c r="F81" i="60"/>
  <c r="M81" i="60" s="1"/>
  <c r="U80" i="60"/>
  <c r="U84" i="60" s="1"/>
  <c r="F80" i="60"/>
  <c r="M80" i="60" s="1"/>
  <c r="Q77" i="60"/>
  <c r="P77" i="60"/>
  <c r="V76" i="60"/>
  <c r="S76" i="60"/>
  <c r="W76" i="60" s="1"/>
  <c r="N76" i="60"/>
  <c r="F76" i="60"/>
  <c r="M76" i="60" s="1"/>
  <c r="U75" i="60"/>
  <c r="S75" i="60"/>
  <c r="N75" i="60"/>
  <c r="F75" i="60"/>
  <c r="T74" i="60"/>
  <c r="W74" i="60" s="1"/>
  <c r="S74" i="60"/>
  <c r="N74" i="60"/>
  <c r="F74" i="60"/>
  <c r="M74" i="60" s="1"/>
  <c r="T73" i="60"/>
  <c r="S73" i="60"/>
  <c r="N73" i="60"/>
  <c r="M73" i="60"/>
  <c r="H73" i="60"/>
  <c r="F73" i="60"/>
  <c r="L73" i="60" s="1"/>
  <c r="V72" i="60"/>
  <c r="T72" i="60"/>
  <c r="S72" i="60"/>
  <c r="N72" i="60"/>
  <c r="F72" i="60"/>
  <c r="M72" i="60" s="1"/>
  <c r="W71" i="60"/>
  <c r="V71" i="60"/>
  <c r="O71" i="60"/>
  <c r="N71" i="60"/>
  <c r="M71" i="60"/>
  <c r="K71" i="60"/>
  <c r="I71" i="60"/>
  <c r="H71" i="60"/>
  <c r="F71" i="60"/>
  <c r="L71" i="60" s="1"/>
  <c r="V70" i="60"/>
  <c r="V77" i="60" s="1"/>
  <c r="N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S63" i="60"/>
  <c r="N63" i="60"/>
  <c r="K63" i="60"/>
  <c r="F63" i="60"/>
  <c r="L63" i="60" s="1"/>
  <c r="U62" i="60"/>
  <c r="T62" i="60"/>
  <c r="S62" i="60"/>
  <c r="S65" i="60" s="1"/>
  <c r="N62" i="60"/>
  <c r="J62" i="60"/>
  <c r="J65" i="60" s="1"/>
  <c r="F62" i="60"/>
  <c r="O62" i="60" s="1"/>
  <c r="T61" i="60"/>
  <c r="T65" i="60" s="1"/>
  <c r="N61" i="60"/>
  <c r="I61" i="60"/>
  <c r="F61" i="60"/>
  <c r="M61" i="60" s="1"/>
  <c r="Q58" i="60"/>
  <c r="P58" i="60"/>
  <c r="V57" i="60"/>
  <c r="U57" i="60"/>
  <c r="T57" i="60"/>
  <c r="S57" i="60"/>
  <c r="N57" i="60"/>
  <c r="F57" i="60"/>
  <c r="I57" i="60" s="1"/>
  <c r="V56" i="60"/>
  <c r="S56" i="60"/>
  <c r="W56" i="60" s="1"/>
  <c r="N56" i="60"/>
  <c r="G56" i="60"/>
  <c r="F56" i="60"/>
  <c r="M56" i="60" s="1"/>
  <c r="V55" i="60"/>
  <c r="U55" i="60"/>
  <c r="T55" i="60"/>
  <c r="S55" i="60"/>
  <c r="N55" i="60"/>
  <c r="F55" i="60"/>
  <c r="K55" i="60" s="1"/>
  <c r="W54" i="60"/>
  <c r="V54" i="60"/>
  <c r="S54" i="60"/>
  <c r="N54" i="60"/>
  <c r="J54" i="60"/>
  <c r="J58" i="60" s="1"/>
  <c r="G54" i="60"/>
  <c r="F54" i="60"/>
  <c r="L54" i="60" s="1"/>
  <c r="V51" i="60"/>
  <c r="U51" i="60"/>
  <c r="Q51" i="60"/>
  <c r="P51" i="60"/>
  <c r="J51" i="60"/>
  <c r="G51" i="60"/>
  <c r="W50" i="60"/>
  <c r="W51" i="60" s="1"/>
  <c r="N50" i="60"/>
  <c r="N51" i="60" s="1"/>
  <c r="F50" i="60"/>
  <c r="Q47" i="60"/>
  <c r="P47" i="60"/>
  <c r="V46" i="60"/>
  <c r="U46" i="60"/>
  <c r="S46" i="60"/>
  <c r="O46" i="60"/>
  <c r="N46" i="60"/>
  <c r="I46" i="60"/>
  <c r="F46" i="60"/>
  <c r="M46" i="60" s="1"/>
  <c r="U45" i="60"/>
  <c r="T45" i="60"/>
  <c r="S45" i="60"/>
  <c r="N45" i="60"/>
  <c r="J45" i="60"/>
  <c r="J47" i="60" s="1"/>
  <c r="F45" i="60"/>
  <c r="O45" i="60" s="1"/>
  <c r="W44" i="60"/>
  <c r="N44" i="60"/>
  <c r="F44" i="60"/>
  <c r="K44" i="60" s="1"/>
  <c r="W43" i="60"/>
  <c r="N43" i="60"/>
  <c r="F43" i="60"/>
  <c r="I43" i="60" s="1"/>
  <c r="W42" i="60"/>
  <c r="N42" i="60"/>
  <c r="F42" i="60"/>
  <c r="M42" i="60" s="1"/>
  <c r="T41" i="60"/>
  <c r="S41" i="60"/>
  <c r="W41" i="60" s="1"/>
  <c r="N41" i="60"/>
  <c r="I41" i="60"/>
  <c r="F41" i="60"/>
  <c r="L41" i="60" s="1"/>
  <c r="U40" i="60"/>
  <c r="W40" i="60" s="1"/>
  <c r="N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F38" i="60"/>
  <c r="K38" i="60" s="1"/>
  <c r="T37" i="60"/>
  <c r="N37" i="60"/>
  <c r="F37" i="60"/>
  <c r="K37" i="60" s="1"/>
  <c r="V36" i="60"/>
  <c r="V47" i="60" s="1"/>
  <c r="S36" i="60"/>
  <c r="N36" i="60"/>
  <c r="L36" i="60"/>
  <c r="H36" i="60"/>
  <c r="F36" i="60"/>
  <c r="O36" i="60" s="1"/>
  <c r="Q33" i="60"/>
  <c r="P33" i="60"/>
  <c r="G33" i="60"/>
  <c r="V32" i="60"/>
  <c r="T32" i="60"/>
  <c r="S32" i="60"/>
  <c r="R32" i="60"/>
  <c r="N32" i="60"/>
  <c r="F32" i="60"/>
  <c r="M32" i="60" s="1"/>
  <c r="V31" i="60"/>
  <c r="U31" i="60"/>
  <c r="U33" i="60" s="1"/>
  <c r="T31" i="60"/>
  <c r="T33" i="60" s="1"/>
  <c r="S31" i="60"/>
  <c r="N31" i="60"/>
  <c r="N33" i="60" s="1"/>
  <c r="J31" i="60"/>
  <c r="J33" i="60" s="1"/>
  <c r="F31" i="60"/>
  <c r="F33" i="60" s="1"/>
  <c r="P28" i="60"/>
  <c r="J28" i="60"/>
  <c r="U27" i="60"/>
  <c r="S27" i="60"/>
  <c r="O27" i="60"/>
  <c r="G27" i="60"/>
  <c r="F27" i="60"/>
  <c r="M27" i="60" s="1"/>
  <c r="T26" i="60"/>
  <c r="S26" i="60"/>
  <c r="W26" i="60" s="1"/>
  <c r="N26" i="60"/>
  <c r="F26" i="60"/>
  <c r="M26" i="60" s="1"/>
  <c r="V25" i="60"/>
  <c r="U25" i="60"/>
  <c r="N25" i="60"/>
  <c r="F25" i="60"/>
  <c r="K25" i="60" s="1"/>
  <c r="W24" i="60"/>
  <c r="V24" i="60"/>
  <c r="S24" i="60"/>
  <c r="N24" i="60"/>
  <c r="G24" i="60"/>
  <c r="F24" i="60"/>
  <c r="L24" i="60" s="1"/>
  <c r="V23" i="60"/>
  <c r="W23" i="60" s="1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F21" i="60"/>
  <c r="K21" i="60" s="1"/>
  <c r="T20" i="60"/>
  <c r="S20" i="60"/>
  <c r="N20" i="60"/>
  <c r="M20" i="60"/>
  <c r="F20" i="60"/>
  <c r="I20" i="60" s="1"/>
  <c r="W19" i="60"/>
  <c r="V19" i="60"/>
  <c r="Q19" i="60"/>
  <c r="N19" i="60"/>
  <c r="F19" i="60"/>
  <c r="I19" i="60" s="1"/>
  <c r="V18" i="60"/>
  <c r="W18" i="60" s="1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L16" i="60"/>
  <c r="I16" i="60"/>
  <c r="F16" i="60"/>
  <c r="K16" i="60" s="1"/>
  <c r="U15" i="60"/>
  <c r="T15" i="60"/>
  <c r="S15" i="60"/>
  <c r="Q15" i="60"/>
  <c r="N15" i="60"/>
  <c r="F15" i="60"/>
  <c r="L15" i="60" s="1"/>
  <c r="V14" i="60"/>
  <c r="W14" i="60" s="1"/>
  <c r="Q14" i="60"/>
  <c r="N14" i="60"/>
  <c r="F14" i="60"/>
  <c r="O14" i="60" s="1"/>
  <c r="T13" i="60"/>
  <c r="S13" i="60"/>
  <c r="N13" i="60"/>
  <c r="F13" i="60"/>
  <c r="M13" i="60" s="1"/>
  <c r="U12" i="60"/>
  <c r="T12" i="60"/>
  <c r="S12" i="60"/>
  <c r="N12" i="60"/>
  <c r="F12" i="60"/>
  <c r="L12" i="60" s="1"/>
  <c r="U11" i="60"/>
  <c r="T11" i="60"/>
  <c r="N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L11" i="60" l="1"/>
  <c r="M16" i="60"/>
  <c r="M21" i="60"/>
  <c r="K26" i="60"/>
  <c r="I31" i="60"/>
  <c r="M36" i="60"/>
  <c r="M40" i="60"/>
  <c r="H41" i="60"/>
  <c r="M41" i="60"/>
  <c r="K45" i="60"/>
  <c r="O55" i="60"/>
  <c r="K72" i="60"/>
  <c r="H74" i="60"/>
  <c r="O74" i="60"/>
  <c r="I76" i="60"/>
  <c r="K80" i="60"/>
  <c r="K87" i="60"/>
  <c r="H90" i="60"/>
  <c r="M100" i="60"/>
  <c r="H101" i="60"/>
  <c r="O101" i="60"/>
  <c r="K112" i="60"/>
  <c r="M118" i="60"/>
  <c r="W120" i="60"/>
  <c r="I122" i="60"/>
  <c r="H127" i="60"/>
  <c r="W127" i="60"/>
  <c r="H131" i="60"/>
  <c r="H132" i="60"/>
  <c r="O137" i="60"/>
  <c r="O11" i="60"/>
  <c r="O42" i="60"/>
  <c r="L45" i="60"/>
  <c r="W73" i="60"/>
  <c r="I74" i="60"/>
  <c r="W83" i="60"/>
  <c r="T91" i="60"/>
  <c r="I90" i="60"/>
  <c r="O97" i="60"/>
  <c r="L99" i="60"/>
  <c r="I101" i="60"/>
  <c r="H104" i="60"/>
  <c r="L113" i="60"/>
  <c r="K114" i="60"/>
  <c r="O114" i="60"/>
  <c r="H118" i="60"/>
  <c r="H123" i="60"/>
  <c r="O123" i="60"/>
  <c r="K131" i="60"/>
  <c r="W133" i="60"/>
  <c r="K134" i="60"/>
  <c r="K137" i="60"/>
  <c r="H139" i="60"/>
  <c r="W140" i="60"/>
  <c r="H143" i="60"/>
  <c r="W144" i="60"/>
  <c r="I147" i="60"/>
  <c r="I151" i="60"/>
  <c r="W151" i="60"/>
  <c r="I154" i="60"/>
  <c r="H11" i="60"/>
  <c r="I21" i="60"/>
  <c r="L31" i="60"/>
  <c r="L32" i="60"/>
  <c r="K36" i="60"/>
  <c r="I40" i="60"/>
  <c r="K41" i="60"/>
  <c r="O41" i="60"/>
  <c r="H42" i="60"/>
  <c r="H45" i="60"/>
  <c r="L55" i="60"/>
  <c r="W63" i="60"/>
  <c r="L70" i="60"/>
  <c r="L74" i="60"/>
  <c r="K90" i="60"/>
  <c r="W95" i="60"/>
  <c r="K97" i="60"/>
  <c r="L101" i="60"/>
  <c r="O112" i="60"/>
  <c r="K118" i="60"/>
  <c r="W118" i="60"/>
  <c r="O120" i="60"/>
  <c r="O127" i="60"/>
  <c r="I130" i="60"/>
  <c r="M131" i="60"/>
  <c r="O132" i="60"/>
  <c r="M134" i="60"/>
  <c r="H136" i="60"/>
  <c r="M139" i="60"/>
  <c r="K143" i="60"/>
  <c r="L147" i="60"/>
  <c r="M148" i="60"/>
  <c r="L151" i="60"/>
  <c r="O152" i="60"/>
  <c r="I153" i="60"/>
  <c r="K154" i="60"/>
  <c r="R154" i="60" s="1"/>
  <c r="I157" i="60"/>
  <c r="O13" i="60"/>
  <c r="I15" i="60"/>
  <c r="L21" i="60"/>
  <c r="M31" i="60"/>
  <c r="M33" i="60" s="1"/>
  <c r="L40" i="60"/>
  <c r="L42" i="60"/>
  <c r="H54" i="60"/>
  <c r="K56" i="60"/>
  <c r="M90" i="60"/>
  <c r="J105" i="60"/>
  <c r="W101" i="60"/>
  <c r="L118" i="60"/>
  <c r="M154" i="60"/>
  <c r="L157" i="60"/>
  <c r="W75" i="60"/>
  <c r="W126" i="60"/>
  <c r="W139" i="60"/>
  <c r="W141" i="60"/>
  <c r="O143" i="60"/>
  <c r="W154" i="60"/>
  <c r="Y77" i="60"/>
  <c r="R41" i="60"/>
  <c r="O63" i="60"/>
  <c r="K69" i="60"/>
  <c r="M15" i="60"/>
  <c r="H22" i="60"/>
  <c r="O26" i="60"/>
  <c r="H32" i="60"/>
  <c r="L43" i="60"/>
  <c r="L44" i="60"/>
  <c r="S58" i="60"/>
  <c r="H56" i="60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R16" i="60" s="1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H55" i="60"/>
  <c r="T58" i="60"/>
  <c r="I56" i="60"/>
  <c r="N65" i="60"/>
  <c r="I63" i="60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O43" i="60"/>
  <c r="L46" i="60"/>
  <c r="M55" i="60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77" i="60"/>
  <c r="W111" i="60"/>
  <c r="W113" i="60"/>
  <c r="Q28" i="60"/>
  <c r="M12" i="60"/>
  <c r="I14" i="60"/>
  <c r="H15" i="60"/>
  <c r="O15" i="60"/>
  <c r="M18" i="60"/>
  <c r="O19" i="60"/>
  <c r="O20" i="60"/>
  <c r="H20" i="60"/>
  <c r="L22" i="60"/>
  <c r="O22" i="60"/>
  <c r="W27" i="60"/>
  <c r="I37" i="60"/>
  <c r="O37" i="60"/>
  <c r="H37" i="60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I11" i="60"/>
  <c r="H12" i="60"/>
  <c r="O12" i="60"/>
  <c r="L14" i="60"/>
  <c r="V28" i="60"/>
  <c r="K15" i="60"/>
  <c r="K19" i="60"/>
  <c r="K20" i="60"/>
  <c r="W21" i="60"/>
  <c r="I22" i="60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I82" i="60"/>
  <c r="K82" i="60"/>
  <c r="H82" i="60"/>
  <c r="I88" i="60"/>
  <c r="H88" i="60"/>
  <c r="M88" i="60"/>
  <c r="O88" i="60"/>
  <c r="K88" i="60"/>
  <c r="M96" i="60"/>
  <c r="L96" i="60"/>
  <c r="I96" i="60"/>
  <c r="O96" i="60"/>
  <c r="K96" i="60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R19" i="60" s="1"/>
  <c r="L20" i="60"/>
  <c r="K22" i="60"/>
  <c r="K23" i="60"/>
  <c r="O23" i="60"/>
  <c r="H23" i="60"/>
  <c r="H24" i="60"/>
  <c r="W25" i="60"/>
  <c r="I33" i="60"/>
  <c r="M50" i="60"/>
  <c r="M51" i="60" s="1"/>
  <c r="O75" i="60"/>
  <c r="K91" i="60"/>
  <c r="S47" i="60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H84" i="60" s="1"/>
  <c r="V84" i="60"/>
  <c r="W84" i="60" s="1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R150" i="60" s="1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O125" i="60"/>
  <c r="H125" i="60"/>
  <c r="M125" i="60"/>
  <c r="O128" i="60"/>
  <c r="H128" i="60"/>
  <c r="R128" i="60" s="1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/>
  <c r="K130" i="60"/>
  <c r="I131" i="60"/>
  <c r="R131" i="60" s="1"/>
  <c r="I141" i="60"/>
  <c r="R141" i="60" s="1"/>
  <c r="K146" i="60"/>
  <c r="K147" i="60"/>
  <c r="M151" i="60"/>
  <c r="K153" i="60"/>
  <c r="M157" i="60"/>
  <c r="I109" i="60"/>
  <c r="O109" i="60"/>
  <c r="I113" i="60"/>
  <c r="R113" i="60" s="1"/>
  <c r="I117" i="60"/>
  <c r="I118" i="60"/>
  <c r="R118" i="60" s="1"/>
  <c r="I123" i="60"/>
  <c r="I127" i="60"/>
  <c r="I132" i="60"/>
  <c r="I137" i="60"/>
  <c r="R137" i="60" s="1"/>
  <c r="H151" i="60"/>
  <c r="H157" i="60"/>
  <c r="R157" i="60" s="1"/>
  <c r="W157" i="1"/>
  <c r="W147" i="1"/>
  <c r="W12" i="1"/>
  <c r="X163" i="1"/>
  <c r="X165" i="1"/>
  <c r="X169" i="1"/>
  <c r="X170" i="1"/>
  <c r="X173" i="1"/>
  <c r="X174" i="1"/>
  <c r="X175" i="1"/>
  <c r="X176" i="1"/>
  <c r="X178" i="1"/>
  <c r="X181" i="1"/>
  <c r="X186" i="1"/>
  <c r="X179" i="1"/>
  <c r="U172" i="1"/>
  <c r="X162" i="1"/>
  <c r="X156" i="1"/>
  <c r="X128" i="1"/>
  <c r="X98" i="1"/>
  <c r="U71" i="1"/>
  <c r="U79" i="1" s="1"/>
  <c r="K105" i="60" l="1"/>
  <c r="R11" i="60"/>
  <c r="R37" i="60"/>
  <c r="R55" i="60"/>
  <c r="R63" i="60"/>
  <c r="R132" i="60"/>
  <c r="R125" i="60"/>
  <c r="R24" i="60"/>
  <c r="L84" i="60"/>
  <c r="M58" i="60"/>
  <c r="R98" i="60"/>
  <c r="R115" i="60"/>
  <c r="R89" i="60"/>
  <c r="R23" i="60"/>
  <c r="O91" i="60"/>
  <c r="R20" i="60"/>
  <c r="R56" i="60"/>
  <c r="R69" i="60"/>
  <c r="R123" i="60"/>
  <c r="R45" i="60"/>
  <c r="R62" i="60"/>
  <c r="S159" i="60"/>
  <c r="R22" i="60"/>
  <c r="R12" i="60"/>
  <c r="R15" i="60"/>
  <c r="R139" i="60"/>
  <c r="R43" i="60"/>
  <c r="X12" i="1"/>
  <c r="X172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I84" i="60"/>
  <c r="R104" i="60"/>
  <c r="R27" i="60"/>
  <c r="O33" i="60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O158" i="60"/>
  <c r="W158" i="60"/>
  <c r="L105" i="60"/>
  <c r="W91" i="60"/>
  <c r="I47" i="60"/>
  <c r="N159" i="60"/>
  <c r="F159" i="60"/>
  <c r="O47" i="60"/>
  <c r="I126" i="1"/>
  <c r="I17" i="1"/>
  <c r="I39" i="1" s="1"/>
  <c r="I93" i="1"/>
  <c r="I102" i="1" s="1"/>
  <c r="I94" i="1"/>
  <c r="K159" i="60" l="1"/>
  <c r="L159" i="60"/>
  <c r="O159" i="60"/>
  <c r="R105" i="60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K33" i="1" l="1"/>
  <c r="T27" i="57"/>
  <c r="S22" i="58"/>
  <c r="R22" i="58"/>
  <c r="T22" i="58" s="1"/>
  <c r="V22" i="58" s="1"/>
  <c r="S60" i="58"/>
  <c r="T60" i="58" s="1"/>
  <c r="V60" i="58" s="1"/>
  <c r="R60" i="58"/>
  <c r="R59" i="58"/>
  <c r="AE59" i="58"/>
  <c r="AD59" i="58"/>
  <c r="AF59" i="58" s="1"/>
  <c r="S59" i="58"/>
  <c r="T57" i="58"/>
  <c r="V57" i="58" s="1"/>
  <c r="T58" i="58"/>
  <c r="V58" i="58" s="1"/>
  <c r="R58" i="58"/>
  <c r="R57" i="58"/>
  <c r="R56" i="58"/>
  <c r="R55" i="58"/>
  <c r="T54" i="58"/>
  <c r="V54" i="58" s="1"/>
  <c r="R54" i="58"/>
  <c r="R53" i="58"/>
  <c r="T52" i="58"/>
  <c r="V52" i="58" s="1"/>
  <c r="R52" i="58"/>
  <c r="S51" i="58"/>
  <c r="R51" i="58"/>
  <c r="T51" i="58" s="1"/>
  <c r="V51" i="58" s="1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V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O33" i="1" l="1"/>
  <c r="J33" i="1"/>
  <c r="H33" i="1"/>
  <c r="L33" i="1"/>
  <c r="G33" i="1"/>
  <c r="T50" i="58"/>
  <c r="V50" i="58" s="1"/>
  <c r="T55" i="58"/>
  <c r="V55" i="58" s="1"/>
  <c r="T53" i="58"/>
  <c r="V53" i="58" s="1"/>
  <c r="T59" i="58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V40" i="58" s="1"/>
  <c r="T44" i="58"/>
  <c r="V44" i="58" s="1"/>
  <c r="T30" i="58"/>
  <c r="V30" i="58" s="1"/>
  <c r="T28" i="58"/>
  <c r="V28" i="58" s="1"/>
  <c r="T35" i="58"/>
  <c r="V35" i="58" s="1"/>
  <c r="V36" i="58" s="1"/>
  <c r="T23" i="58"/>
  <c r="V23" i="58" s="1"/>
  <c r="V24" i="58" s="1"/>
  <c r="T29" i="58"/>
  <c r="V29" i="58" s="1"/>
  <c r="T27" i="58"/>
  <c r="V27" i="58" s="1"/>
  <c r="T17" i="58"/>
  <c r="V17" i="58" s="1"/>
  <c r="V19" i="58" s="1"/>
  <c r="T18" i="58"/>
  <c r="V18" i="58" s="1"/>
  <c r="T13" i="58"/>
  <c r="V13" i="58" s="1"/>
  <c r="Z40" i="58"/>
  <c r="AA60" i="58"/>
  <c r="T12" i="58"/>
  <c r="V12" i="58" s="1"/>
  <c r="V14" i="58" s="1"/>
  <c r="AA12" i="58"/>
  <c r="AA55" i="58"/>
  <c r="K35" i="58"/>
  <c r="T9" i="58"/>
  <c r="V9" i="58" s="1"/>
  <c r="V10" i="58" s="1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V47" i="58" l="1"/>
  <c r="V59" i="58"/>
  <c r="AG59" i="58" s="1"/>
  <c r="V32" i="58"/>
  <c r="R33" i="1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V61" i="58" l="1"/>
  <c r="V62" i="58" s="1"/>
  <c r="V63" i="58" s="1"/>
  <c r="AC24" i="58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Q158" i="57" l="1"/>
  <c r="P158" i="57"/>
  <c r="V157" i="57"/>
  <c r="U157" i="57"/>
  <c r="Y157" i="57" s="1"/>
  <c r="N157" i="57"/>
  <c r="G157" i="57"/>
  <c r="F157" i="57"/>
  <c r="L157" i="57" s="1"/>
  <c r="Y156" i="57"/>
  <c r="V156" i="57"/>
  <c r="U156" i="57"/>
  <c r="N156" i="57"/>
  <c r="F156" i="57"/>
  <c r="M156" i="57" s="1"/>
  <c r="U155" i="57"/>
  <c r="Y155" i="57" s="1"/>
  <c r="N155" i="57"/>
  <c r="F155" i="57"/>
  <c r="M155" i="57" s="1"/>
  <c r="V154" i="57"/>
  <c r="U154" i="57"/>
  <c r="N154" i="57"/>
  <c r="F154" i="57"/>
  <c r="O154" i="57" s="1"/>
  <c r="V153" i="57"/>
  <c r="U153" i="57"/>
  <c r="N153" i="57"/>
  <c r="I153" i="57"/>
  <c r="F153" i="57"/>
  <c r="M153" i="57" s="1"/>
  <c r="V152" i="57"/>
  <c r="U152" i="57"/>
  <c r="Y152" i="57" s="1"/>
  <c r="N152" i="57"/>
  <c r="M152" i="57"/>
  <c r="K152" i="57"/>
  <c r="H152" i="57"/>
  <c r="F152" i="57"/>
  <c r="L152" i="57" s="1"/>
  <c r="V151" i="57"/>
  <c r="U151" i="57"/>
  <c r="Y151" i="57" s="1"/>
  <c r="N151" i="57"/>
  <c r="G151" i="57"/>
  <c r="F151" i="57"/>
  <c r="M151" i="57" s="1"/>
  <c r="V150" i="57"/>
  <c r="U150" i="57"/>
  <c r="N150" i="57"/>
  <c r="M150" i="57"/>
  <c r="F150" i="57"/>
  <c r="V149" i="57"/>
  <c r="U149" i="57"/>
  <c r="O149" i="57"/>
  <c r="N149" i="57"/>
  <c r="F149" i="57"/>
  <c r="H149" i="57" s="1"/>
  <c r="V148" i="57"/>
  <c r="Y148" i="57" s="1"/>
  <c r="U148" i="57"/>
  <c r="N148" i="57"/>
  <c r="L148" i="57"/>
  <c r="H148" i="57"/>
  <c r="F148" i="57"/>
  <c r="M148" i="57" s="1"/>
  <c r="V147" i="57"/>
  <c r="U147" i="57"/>
  <c r="Y147" i="57" s="1"/>
  <c r="N147" i="57"/>
  <c r="F147" i="57"/>
  <c r="L147" i="57" s="1"/>
  <c r="U146" i="57"/>
  <c r="Y146" i="57" s="1"/>
  <c r="N146" i="57"/>
  <c r="K146" i="57"/>
  <c r="F146" i="57"/>
  <c r="L146" i="57" s="1"/>
  <c r="V145" i="57"/>
  <c r="U145" i="57"/>
  <c r="N145" i="57"/>
  <c r="F145" i="57"/>
  <c r="L145" i="57" s="1"/>
  <c r="V144" i="57"/>
  <c r="U144" i="57"/>
  <c r="N144" i="57"/>
  <c r="I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O142" i="57"/>
  <c r="N142" i="57"/>
  <c r="F142" i="57"/>
  <c r="H142" i="57" s="1"/>
  <c r="V141" i="57"/>
  <c r="U141" i="57"/>
  <c r="O141" i="57"/>
  <c r="N141" i="57"/>
  <c r="F141" i="57"/>
  <c r="K141" i="57" s="1"/>
  <c r="V140" i="57"/>
  <c r="U140" i="57"/>
  <c r="N140" i="57"/>
  <c r="K140" i="57"/>
  <c r="I140" i="57"/>
  <c r="F140" i="57"/>
  <c r="M141" i="57" s="1"/>
  <c r="V139" i="57"/>
  <c r="U139" i="57"/>
  <c r="N139" i="57"/>
  <c r="F139" i="57"/>
  <c r="L139" i="57" s="1"/>
  <c r="V138" i="57"/>
  <c r="U138" i="57"/>
  <c r="N138" i="57"/>
  <c r="F138" i="57"/>
  <c r="L138" i="57" s="1"/>
  <c r="V137" i="57"/>
  <c r="U137" i="57"/>
  <c r="Y137" i="57" s="1"/>
  <c r="N137" i="57"/>
  <c r="F137" i="57"/>
  <c r="M137" i="57" s="1"/>
  <c r="W136" i="57"/>
  <c r="V136" i="57"/>
  <c r="U136" i="57"/>
  <c r="N136" i="57"/>
  <c r="I136" i="57"/>
  <c r="H136" i="57"/>
  <c r="G136" i="57"/>
  <c r="F136" i="57"/>
  <c r="M136" i="57" s="1"/>
  <c r="V135" i="57"/>
  <c r="Y135" i="57" s="1"/>
  <c r="N135" i="57"/>
  <c r="F135" i="57"/>
  <c r="O135" i="57" s="1"/>
  <c r="V134" i="57"/>
  <c r="U134" i="57"/>
  <c r="O134" i="57"/>
  <c r="N134" i="57"/>
  <c r="L134" i="57"/>
  <c r="F134" i="57"/>
  <c r="K134" i="57" s="1"/>
  <c r="V133" i="57"/>
  <c r="U133" i="57"/>
  <c r="N133" i="57"/>
  <c r="F133" i="57"/>
  <c r="I133" i="57" s="1"/>
  <c r="V132" i="57"/>
  <c r="U132" i="57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N129" i="57"/>
  <c r="F129" i="57"/>
  <c r="L129" i="57" s="1"/>
  <c r="Y128" i="57"/>
  <c r="U128" i="57"/>
  <c r="N128" i="57"/>
  <c r="L128" i="57"/>
  <c r="K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Y126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R124" i="57" s="1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V121" i="57"/>
  <c r="U121" i="57"/>
  <c r="O121" i="57"/>
  <c r="N121" i="57"/>
  <c r="M121" i="57"/>
  <c r="L121" i="57"/>
  <c r="K121" i="57"/>
  <c r="I121" i="57"/>
  <c r="H121" i="57"/>
  <c r="V120" i="57"/>
  <c r="U120" i="57"/>
  <c r="O120" i="57"/>
  <c r="N120" i="57"/>
  <c r="M120" i="57"/>
  <c r="L120" i="57"/>
  <c r="K120" i="57"/>
  <c r="I120" i="57"/>
  <c r="R120" i="57" s="1"/>
  <c r="H120" i="57"/>
  <c r="W119" i="57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V117" i="57"/>
  <c r="Y117" i="57" s="1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O114" i="57"/>
  <c r="N114" i="57"/>
  <c r="M114" i="57"/>
  <c r="L114" i="57"/>
  <c r="K114" i="57"/>
  <c r="I114" i="57"/>
  <c r="H114" i="57"/>
  <c r="X113" i="57"/>
  <c r="W113" i="57"/>
  <c r="V113" i="57"/>
  <c r="N113" i="57"/>
  <c r="F113" i="57"/>
  <c r="L113" i="57" s="1"/>
  <c r="X112" i="57"/>
  <c r="V112" i="57"/>
  <c r="U112" i="57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N110" i="57"/>
  <c r="H110" i="57"/>
  <c r="F110" i="57"/>
  <c r="X109" i="57"/>
  <c r="U109" i="57"/>
  <c r="Y109" i="57" s="1"/>
  <c r="N109" i="57"/>
  <c r="J109" i="57"/>
  <c r="J158" i="57" s="1"/>
  <c r="I109" i="57"/>
  <c r="F109" i="57"/>
  <c r="H109" i="57" s="1"/>
  <c r="W108" i="57"/>
  <c r="V108" i="57"/>
  <c r="O108" i="57"/>
  <c r="N108" i="57"/>
  <c r="M108" i="57"/>
  <c r="L108" i="57"/>
  <c r="K108" i="57"/>
  <c r="I108" i="57"/>
  <c r="H108" i="57"/>
  <c r="R108" i="57" s="1"/>
  <c r="T108" i="57" s="1"/>
  <c r="P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G105" i="57" s="1"/>
  <c r="U103" i="57"/>
  <c r="Y103" i="57" s="1"/>
  <c r="O103" i="57"/>
  <c r="N103" i="57"/>
  <c r="M103" i="57"/>
  <c r="L103" i="57"/>
  <c r="K103" i="57"/>
  <c r="I103" i="57"/>
  <c r="H103" i="57"/>
  <c r="V102" i="57"/>
  <c r="Y102" i="57" s="1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K98" i="57"/>
  <c r="F98" i="57"/>
  <c r="H98" i="57" s="1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N95" i="57"/>
  <c r="F95" i="57"/>
  <c r="I95" i="57" s="1"/>
  <c r="X94" i="57"/>
  <c r="W94" i="57"/>
  <c r="V94" i="57"/>
  <c r="U94" i="57"/>
  <c r="N94" i="57"/>
  <c r="J94" i="57"/>
  <c r="J105" i="57" s="1"/>
  <c r="F94" i="57"/>
  <c r="M94" i="57" s="1"/>
  <c r="Q91" i="57"/>
  <c r="P91" i="57"/>
  <c r="N91" i="57"/>
  <c r="J91" i="57"/>
  <c r="V90" i="57"/>
  <c r="U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X91" i="57" s="1"/>
  <c r="U87" i="57"/>
  <c r="F87" i="57"/>
  <c r="O87" i="57" s="1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Y81" i="57" s="1"/>
  <c r="F81" i="57"/>
  <c r="O81" i="57" s="1"/>
  <c r="W80" i="57"/>
  <c r="Y80" i="57" s="1"/>
  <c r="I80" i="57"/>
  <c r="F80" i="57"/>
  <c r="L80" i="57" s="1"/>
  <c r="Q77" i="57"/>
  <c r="P77" i="57"/>
  <c r="J77" i="57"/>
  <c r="U76" i="57"/>
  <c r="Y76" i="57" s="1"/>
  <c r="N76" i="57"/>
  <c r="F76" i="57"/>
  <c r="M76" i="57" s="1"/>
  <c r="W75" i="57"/>
  <c r="Y75" i="57" s="1"/>
  <c r="U75" i="57"/>
  <c r="N75" i="57"/>
  <c r="F75" i="57"/>
  <c r="L75" i="57" s="1"/>
  <c r="V74" i="57"/>
  <c r="U74" i="57"/>
  <c r="N74" i="57"/>
  <c r="F74" i="57"/>
  <c r="M74" i="57" s="1"/>
  <c r="V73" i="57"/>
  <c r="U73" i="57"/>
  <c r="Y73" i="57" s="1"/>
  <c r="N73" i="57"/>
  <c r="F73" i="57"/>
  <c r="X72" i="57"/>
  <c r="V72" i="57"/>
  <c r="U72" i="57"/>
  <c r="N72" i="57"/>
  <c r="F72" i="57"/>
  <c r="M72" i="57" s="1"/>
  <c r="X71" i="57"/>
  <c r="Y71" i="57" s="1"/>
  <c r="N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Y68" i="57" s="1"/>
  <c r="V68" i="57"/>
  <c r="V77" i="57" s="1"/>
  <c r="O68" i="57"/>
  <c r="N68" i="57"/>
  <c r="N77" i="57" s="1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Y63" i="57" s="1"/>
  <c r="N63" i="57"/>
  <c r="F63" i="57"/>
  <c r="M63" i="57" s="1"/>
  <c r="W62" i="57"/>
  <c r="V62" i="57"/>
  <c r="U62" i="57"/>
  <c r="U65" i="57" s="1"/>
  <c r="N62" i="57"/>
  <c r="F62" i="57"/>
  <c r="O62" i="57" s="1"/>
  <c r="V61" i="57"/>
  <c r="V65" i="57" s="1"/>
  <c r="N61" i="57"/>
  <c r="N65" i="57" s="1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I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Y54" i="57" s="1"/>
  <c r="U54" i="57"/>
  <c r="N54" i="57"/>
  <c r="N58" i="57" s="1"/>
  <c r="J54" i="57"/>
  <c r="J58" i="57" s="1"/>
  <c r="G54" i="57"/>
  <c r="G58" i="57" s="1"/>
  <c r="F54" i="57"/>
  <c r="L54" i="57" s="1"/>
  <c r="X51" i="57"/>
  <c r="W51" i="57"/>
  <c r="Q51" i="57"/>
  <c r="P51" i="57"/>
  <c r="J51" i="57"/>
  <c r="G51" i="57"/>
  <c r="Y50" i="57"/>
  <c r="Y51" i="57" s="1"/>
  <c r="N50" i="57"/>
  <c r="N51" i="57" s="1"/>
  <c r="F50" i="57"/>
  <c r="F51" i="57" s="1"/>
  <c r="Q47" i="57"/>
  <c r="P47" i="57"/>
  <c r="W46" i="57"/>
  <c r="U46" i="57"/>
  <c r="N46" i="57"/>
  <c r="I46" i="57"/>
  <c r="F46" i="57"/>
  <c r="L46" i="57" s="1"/>
  <c r="W45" i="57"/>
  <c r="V45" i="57"/>
  <c r="U45" i="57"/>
  <c r="N45" i="57"/>
  <c r="J45" i="57"/>
  <c r="J47" i="57" s="1"/>
  <c r="F45" i="57"/>
  <c r="L45" i="57" s="1"/>
  <c r="Y44" i="57"/>
  <c r="N44" i="57"/>
  <c r="M44" i="57"/>
  <c r="F44" i="57"/>
  <c r="K44" i="57" s="1"/>
  <c r="X43" i="57"/>
  <c r="Y43" i="57" s="1"/>
  <c r="O43" i="57"/>
  <c r="N43" i="57"/>
  <c r="M43" i="57"/>
  <c r="L43" i="57"/>
  <c r="K43" i="57"/>
  <c r="I43" i="57"/>
  <c r="H43" i="57"/>
  <c r="Y42" i="57"/>
  <c r="N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N38" i="57"/>
  <c r="F38" i="57"/>
  <c r="M38" i="57" s="1"/>
  <c r="V37" i="57"/>
  <c r="Y37" i="57" s="1"/>
  <c r="N37" i="57"/>
  <c r="F37" i="57"/>
  <c r="I37" i="57" s="1"/>
  <c r="X36" i="57"/>
  <c r="X47" i="57" s="1"/>
  <c r="N36" i="57"/>
  <c r="F36" i="57"/>
  <c r="I36" i="57" s="1"/>
  <c r="Q33" i="57"/>
  <c r="P33" i="57"/>
  <c r="G33" i="57"/>
  <c r="X32" i="57"/>
  <c r="V32" i="57"/>
  <c r="U32" i="57"/>
  <c r="N32" i="57"/>
  <c r="F32" i="57"/>
  <c r="L32" i="57" s="1"/>
  <c r="X31" i="57"/>
  <c r="W31" i="57"/>
  <c r="W33" i="57" s="1"/>
  <c r="V31" i="57"/>
  <c r="U31" i="57"/>
  <c r="N31" i="57"/>
  <c r="N33" i="57" s="1"/>
  <c r="L31" i="57"/>
  <c r="L33" i="57" s="1"/>
  <c r="J31" i="57"/>
  <c r="J33" i="57" s="1"/>
  <c r="F31" i="57"/>
  <c r="O31" i="57" s="1"/>
  <c r="P28" i="57"/>
  <c r="J28" i="57"/>
  <c r="Y27" i="57"/>
  <c r="AA27" i="57" s="1"/>
  <c r="W27" i="57"/>
  <c r="V26" i="57"/>
  <c r="U26" i="57"/>
  <c r="Y26" i="57" s="1"/>
  <c r="N26" i="57"/>
  <c r="F26" i="57"/>
  <c r="M26" i="57" s="1"/>
  <c r="W25" i="57"/>
  <c r="Y25" i="57" s="1"/>
  <c r="N25" i="57"/>
  <c r="M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Y19" i="57"/>
  <c r="X19" i="57"/>
  <c r="Q19" i="57"/>
  <c r="N19" i="57"/>
  <c r="F19" i="57"/>
  <c r="M19" i="57" s="1"/>
  <c r="X18" i="57"/>
  <c r="Y18" i="57" s="1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Y16" i="57"/>
  <c r="V16" i="57"/>
  <c r="N16" i="57"/>
  <c r="M16" i="57"/>
  <c r="L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N13" i="57"/>
  <c r="M13" i="57"/>
  <c r="F13" i="57"/>
  <c r="K13" i="57" s="1"/>
  <c r="W12" i="57"/>
  <c r="V12" i="57"/>
  <c r="U12" i="57"/>
  <c r="N12" i="57"/>
  <c r="F12" i="57"/>
  <c r="M12" i="57" s="1"/>
  <c r="W11" i="57"/>
  <c r="V11" i="57"/>
  <c r="N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Y9" i="57"/>
  <c r="R9" i="57"/>
  <c r="T9" i="57" s="1"/>
  <c r="N9" i="57"/>
  <c r="I4" i="57"/>
  <c r="F4" i="57"/>
  <c r="K12" i="57" l="1"/>
  <c r="I26" i="57"/>
  <c r="X33" i="57"/>
  <c r="K36" i="57"/>
  <c r="O36" i="57"/>
  <c r="N47" i="57"/>
  <c r="I38" i="57"/>
  <c r="O42" i="57"/>
  <c r="H44" i="57"/>
  <c r="H46" i="57"/>
  <c r="M46" i="57"/>
  <c r="K72" i="57"/>
  <c r="Y74" i="57"/>
  <c r="V91" i="57"/>
  <c r="O94" i="57"/>
  <c r="K95" i="57"/>
  <c r="O95" i="57"/>
  <c r="Y110" i="57"/>
  <c r="K113" i="57"/>
  <c r="K133" i="57"/>
  <c r="O133" i="57"/>
  <c r="Y139" i="57"/>
  <c r="M144" i="57"/>
  <c r="I151" i="57"/>
  <c r="O151" i="57"/>
  <c r="L12" i="57"/>
  <c r="Y13" i="57"/>
  <c r="K26" i="57"/>
  <c r="O26" i="57"/>
  <c r="V33" i="57"/>
  <c r="L36" i="57"/>
  <c r="K38" i="57"/>
  <c r="O38" i="57"/>
  <c r="M54" i="57"/>
  <c r="H56" i="57"/>
  <c r="I81" i="57"/>
  <c r="L95" i="57"/>
  <c r="O109" i="57"/>
  <c r="Y114" i="57"/>
  <c r="L133" i="57"/>
  <c r="K139" i="57"/>
  <c r="K151" i="57"/>
  <c r="L26" i="57"/>
  <c r="Y32" i="57"/>
  <c r="H36" i="57"/>
  <c r="M36" i="57"/>
  <c r="L38" i="57"/>
  <c r="K42" i="57"/>
  <c r="M45" i="57"/>
  <c r="K46" i="57"/>
  <c r="O46" i="57"/>
  <c r="K62" i="57"/>
  <c r="O63" i="57"/>
  <c r="O72" i="57"/>
  <c r="X84" i="57"/>
  <c r="I90" i="57"/>
  <c r="H95" i="57"/>
  <c r="M95" i="57"/>
  <c r="O113" i="57"/>
  <c r="Y121" i="57"/>
  <c r="AA121" i="57" s="1"/>
  <c r="H133" i="57"/>
  <c r="M133" i="57"/>
  <c r="I135" i="57"/>
  <c r="M140" i="57"/>
  <c r="K144" i="57"/>
  <c r="M146" i="57"/>
  <c r="H147" i="57"/>
  <c r="L151" i="57"/>
  <c r="AA9" i="57"/>
  <c r="M11" i="57"/>
  <c r="H26" i="57"/>
  <c r="L37" i="57"/>
  <c r="H38" i="57"/>
  <c r="I54" i="57"/>
  <c r="K56" i="57"/>
  <c r="L62" i="57"/>
  <c r="K71" i="57"/>
  <c r="I72" i="57"/>
  <c r="I76" i="57"/>
  <c r="Y112" i="57"/>
  <c r="H113" i="57"/>
  <c r="R114" i="57"/>
  <c r="T114" i="57" s="1"/>
  <c r="Y119" i="57"/>
  <c r="Y120" i="57"/>
  <c r="AA120" i="57" s="1"/>
  <c r="H128" i="57"/>
  <c r="O129" i="57"/>
  <c r="Y132" i="57"/>
  <c r="Y134" i="57"/>
  <c r="K135" i="57"/>
  <c r="O136" i="57"/>
  <c r="H140" i="57"/>
  <c r="L144" i="57"/>
  <c r="Y144" i="57"/>
  <c r="I147" i="57"/>
  <c r="O148" i="57"/>
  <c r="Y150" i="57"/>
  <c r="H151" i="57"/>
  <c r="H153" i="57"/>
  <c r="Y153" i="57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I138" i="57"/>
  <c r="H141" i="57"/>
  <c r="Y141" i="57"/>
  <c r="O146" i="57"/>
  <c r="K147" i="57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R21" i="57" s="1"/>
  <c r="O21" i="57"/>
  <c r="I22" i="57"/>
  <c r="H23" i="57"/>
  <c r="H25" i="57"/>
  <c r="R25" i="57" s="1"/>
  <c r="H37" i="57"/>
  <c r="R37" i="57" s="1"/>
  <c r="T37" i="57" s="1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R146" i="57" s="1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O18" i="57"/>
  <c r="H32" i="57"/>
  <c r="X105" i="57"/>
  <c r="N158" i="57"/>
  <c r="L11" i="57"/>
  <c r="L18" i="57"/>
  <c r="L19" i="57"/>
  <c r="M23" i="57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R11" i="57" s="1"/>
  <c r="K14" i="57"/>
  <c r="K15" i="57"/>
  <c r="H18" i="57"/>
  <c r="H19" i="57"/>
  <c r="O19" i="57"/>
  <c r="K22" i="57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O12" i="57"/>
  <c r="L14" i="57"/>
  <c r="L15" i="57"/>
  <c r="H16" i="57"/>
  <c r="O16" i="57"/>
  <c r="I18" i="57"/>
  <c r="R18" i="57" s="1"/>
  <c r="I19" i="57"/>
  <c r="H20" i="57"/>
  <c r="O20" i="57"/>
  <c r="L22" i="57"/>
  <c r="K23" i="57"/>
  <c r="I24" i="57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H139" i="57"/>
  <c r="O139" i="57"/>
  <c r="H145" i="57"/>
  <c r="O145" i="57"/>
  <c r="F158" i="57"/>
  <c r="I113" i="57"/>
  <c r="I128" i="57"/>
  <c r="R128" i="57" s="1"/>
  <c r="I129" i="57"/>
  <c r="I134" i="57"/>
  <c r="H135" i="57"/>
  <c r="I139" i="57"/>
  <c r="I145" i="57"/>
  <c r="I157" i="57"/>
  <c r="R157" i="57" s="1"/>
  <c r="Y91" i="57" l="1"/>
  <c r="R14" i="57"/>
  <c r="R131" i="57"/>
  <c r="T131" i="57" s="1"/>
  <c r="M105" i="57"/>
  <c r="R132" i="57"/>
  <c r="R24" i="57"/>
  <c r="R16" i="57"/>
  <c r="R88" i="57"/>
  <c r="T88" i="57" s="1"/>
  <c r="R141" i="57"/>
  <c r="M158" i="57"/>
  <c r="R135" i="57"/>
  <c r="O105" i="57"/>
  <c r="R22" i="57"/>
  <c r="AA22" i="57" s="1"/>
  <c r="R15" i="57"/>
  <c r="M28" i="57"/>
  <c r="AA37" i="57"/>
  <c r="R147" i="57"/>
  <c r="AA147" i="57" s="1"/>
  <c r="R13" i="57"/>
  <c r="T22" i="57"/>
  <c r="T25" i="57"/>
  <c r="AA25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28" i="57" s="1"/>
  <c r="R44" i="57"/>
  <c r="R73" i="57"/>
  <c r="R19" i="57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I159" i="57" s="1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4" i="1"/>
  <c r="T27" i="1"/>
  <c r="X27" i="1" s="1"/>
  <c r="X75" i="1"/>
  <c r="T30" i="1"/>
  <c r="AA44" i="57" l="1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4" i="57"/>
  <c r="T74" i="57"/>
  <c r="AA101" i="57"/>
  <c r="T101" i="57"/>
  <c r="AA41" i="57"/>
  <c r="T41" i="57"/>
  <c r="T47" i="57" s="1"/>
  <c r="AA19" i="57"/>
  <c r="T19" i="57"/>
  <c r="T28" i="57" s="1"/>
  <c r="AA98" i="57"/>
  <c r="T98" i="57"/>
  <c r="AA134" i="57"/>
  <c r="T134" i="57"/>
  <c r="T100" i="57"/>
  <c r="AA100" i="57"/>
  <c r="R58" i="57"/>
  <c r="M159" i="57"/>
  <c r="H159" i="57"/>
  <c r="AA82" i="57"/>
  <c r="T82" i="57"/>
  <c r="T84" i="57" s="1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46" i="1"/>
  <c r="U17" i="1"/>
  <c r="U109" i="1"/>
  <c r="T52" i="1"/>
  <c r="X52" i="1" s="1"/>
  <c r="U16" i="1"/>
  <c r="AA77" i="57" l="1"/>
  <c r="T158" i="57"/>
  <c r="AA158" i="57"/>
  <c r="T105" i="57"/>
  <c r="T77" i="57"/>
  <c r="Y58" i="57"/>
  <c r="Y159" i="57" s="1"/>
  <c r="AA105" i="57"/>
  <c r="AA159" i="57" s="1"/>
  <c r="R159" i="57"/>
  <c r="T159" i="57" l="1"/>
  <c r="U32" i="1"/>
  <c r="V33" i="1" l="1"/>
  <c r="X33" i="1" l="1"/>
  <c r="Z33" i="1" s="1"/>
  <c r="T137" i="1"/>
  <c r="T155" i="1" l="1"/>
  <c r="X155" i="1" s="1"/>
  <c r="X150" i="1"/>
  <c r="T124" i="1"/>
  <c r="U10" i="1"/>
  <c r="X10" i="1" l="1"/>
  <c r="T68" i="1"/>
  <c r="U95" i="1"/>
  <c r="U102" i="1" s="1"/>
  <c r="X68" i="1" l="1"/>
  <c r="T157" i="1"/>
  <c r="X157" i="1" s="1"/>
  <c r="T136" i="1" l="1"/>
  <c r="T14" i="1"/>
  <c r="X14" i="1" l="1"/>
  <c r="O157" i="1"/>
  <c r="L157" i="1"/>
  <c r="K157" i="1"/>
  <c r="J157" i="1"/>
  <c r="H157" i="1"/>
  <c r="G157" i="1"/>
  <c r="R157" i="1" l="1"/>
  <c r="Z157" i="1" s="1"/>
  <c r="Q21" i="1" l="1"/>
  <c r="Q12" i="1"/>
  <c r="V163" i="55"/>
  <c r="V164" i="55" s="1"/>
  <c r="U163" i="55"/>
  <c r="T163" i="55"/>
  <c r="V162" i="55"/>
  <c r="U162" i="55"/>
  <c r="T162" i="55"/>
  <c r="U49" i="1" l="1"/>
  <c r="U57" i="1" s="1"/>
  <c r="X49" i="1" l="1"/>
  <c r="U166" i="1"/>
  <c r="T141" i="1"/>
  <c r="T115" i="1"/>
  <c r="X115" i="1" s="1"/>
  <c r="X166" i="1" l="1"/>
  <c r="X141" i="1"/>
  <c r="T132" i="1" l="1"/>
  <c r="U125" i="1" l="1"/>
  <c r="X125" i="1" s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Q100" i="56"/>
  <c r="R100" i="56" s="1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H98" i="56"/>
  <c r="T97" i="56"/>
  <c r="S97" i="56"/>
  <c r="R97" i="56"/>
  <c r="T96" i="56"/>
  <c r="S96" i="56"/>
  <c r="R96" i="56"/>
  <c r="O96" i="56"/>
  <c r="T95" i="56"/>
  <c r="S95" i="56"/>
  <c r="R95" i="56"/>
  <c r="Q95" i="56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S46" i="56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R12" i="56" l="1"/>
  <c r="S29" i="56"/>
  <c r="R48" i="56"/>
  <c r="Q104" i="56"/>
  <c r="R98" i="56"/>
  <c r="S63" i="56"/>
  <c r="S48" i="56"/>
  <c r="O121" i="56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4" i="1"/>
  <c r="Q14" i="1"/>
  <c r="T17" i="1"/>
  <c r="V54" i="55"/>
  <c r="T54" i="55"/>
  <c r="V100" i="55"/>
  <c r="U158" i="55"/>
  <c r="Q158" i="55"/>
  <c r="P158" i="55"/>
  <c r="T157" i="55"/>
  <c r="S157" i="55"/>
  <c r="V157" i="55" s="1"/>
  <c r="R157" i="55"/>
  <c r="I157" i="55"/>
  <c r="H157" i="55"/>
  <c r="G157" i="55"/>
  <c r="F157" i="55"/>
  <c r="L157" i="55" s="1"/>
  <c r="V156" i="55"/>
  <c r="T156" i="55"/>
  <c r="S156" i="55"/>
  <c r="R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K154" i="55"/>
  <c r="F154" i="55"/>
  <c r="O154" i="55" s="1"/>
  <c r="T153" i="55"/>
  <c r="S153" i="55"/>
  <c r="V153" i="55" s="1"/>
  <c r="R153" i="55"/>
  <c r="I153" i="55"/>
  <c r="F153" i="55"/>
  <c r="M153" i="55" s="1"/>
  <c r="T152" i="55"/>
  <c r="S152" i="55"/>
  <c r="V152" i="55" s="1"/>
  <c r="R152" i="55"/>
  <c r="K152" i="55"/>
  <c r="I152" i="55"/>
  <c r="F152" i="55"/>
  <c r="L152" i="55" s="1"/>
  <c r="T151" i="55"/>
  <c r="S151" i="55"/>
  <c r="V151" i="55" s="1"/>
  <c r="R151" i="55"/>
  <c r="M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K149" i="55"/>
  <c r="F149" i="55"/>
  <c r="O149" i="55" s="1"/>
  <c r="T148" i="55"/>
  <c r="S148" i="55"/>
  <c r="V148" i="55" s="1"/>
  <c r="R148" i="55"/>
  <c r="O148" i="55"/>
  <c r="K148" i="55"/>
  <c r="I148" i="55"/>
  <c r="F148" i="55"/>
  <c r="M148" i="55" s="1"/>
  <c r="T147" i="55"/>
  <c r="S147" i="55"/>
  <c r="V147" i="55" s="1"/>
  <c r="R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K145" i="55"/>
  <c r="F145" i="55"/>
  <c r="O145" i="55" s="1"/>
  <c r="T144" i="55"/>
  <c r="S144" i="55"/>
  <c r="V144" i="55" s="1"/>
  <c r="R144" i="55"/>
  <c r="I144" i="55"/>
  <c r="F144" i="55"/>
  <c r="M144" i="55" s="1"/>
  <c r="T143" i="55"/>
  <c r="S143" i="55"/>
  <c r="V143" i="55" s="1"/>
  <c r="R143" i="55"/>
  <c r="K143" i="55"/>
  <c r="I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F141" i="55"/>
  <c r="O141" i="55" s="1"/>
  <c r="V140" i="55"/>
  <c r="T140" i="55"/>
  <c r="S140" i="55"/>
  <c r="R140" i="55"/>
  <c r="F140" i="55"/>
  <c r="M140" i="55" s="1"/>
  <c r="V139" i="55"/>
  <c r="T139" i="55"/>
  <c r="S139" i="55"/>
  <c r="R139" i="55"/>
  <c r="O139" i="55"/>
  <c r="K139" i="55"/>
  <c r="I139" i="55"/>
  <c r="H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F137" i="55"/>
  <c r="O137" i="55" s="1"/>
  <c r="V136" i="55"/>
  <c r="T136" i="55"/>
  <c r="S136" i="55"/>
  <c r="R136" i="55"/>
  <c r="O136" i="55"/>
  <c r="I136" i="55"/>
  <c r="G136" i="55"/>
  <c r="F136" i="55"/>
  <c r="M136" i="55" s="1"/>
  <c r="V135" i="55"/>
  <c r="T135" i="55"/>
  <c r="S135" i="55"/>
  <c r="R135" i="55"/>
  <c r="O135" i="55"/>
  <c r="K135" i="55"/>
  <c r="F135" i="55"/>
  <c r="M135" i="55" s="1"/>
  <c r="V134" i="55"/>
  <c r="T134" i="55"/>
  <c r="S134" i="55"/>
  <c r="R134" i="55"/>
  <c r="O134" i="55"/>
  <c r="H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K132" i="55"/>
  <c r="F132" i="55"/>
  <c r="O132" i="55" s="1"/>
  <c r="T131" i="55"/>
  <c r="S131" i="55"/>
  <c r="V131" i="55" s="1"/>
  <c r="R131" i="55"/>
  <c r="O131" i="55"/>
  <c r="K131" i="55"/>
  <c r="I131" i="55"/>
  <c r="F131" i="55"/>
  <c r="M131" i="55" s="1"/>
  <c r="T130" i="55"/>
  <c r="S130" i="55"/>
  <c r="V130" i="55" s="1"/>
  <c r="R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T127" i="55"/>
  <c r="S127" i="55"/>
  <c r="V127" i="55" s="1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V125" i="55"/>
  <c r="T125" i="55"/>
  <c r="S125" i="55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V123" i="55"/>
  <c r="T123" i="55"/>
  <c r="S123" i="55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T121" i="55"/>
  <c r="S121" i="55"/>
  <c r="V121" i="55" s="1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T119" i="55"/>
  <c r="S119" i="55"/>
  <c r="V119" i="55" s="1"/>
  <c r="R119" i="55"/>
  <c r="K119" i="55"/>
  <c r="I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V117" i="55"/>
  <c r="T117" i="55"/>
  <c r="S117" i="55"/>
  <c r="R117" i="55"/>
  <c r="F117" i="55"/>
  <c r="M117" i="55" s="1"/>
  <c r="V116" i="55"/>
  <c r="T116" i="55"/>
  <c r="S116" i="55"/>
  <c r="R116" i="55"/>
  <c r="O116" i="55"/>
  <c r="M116" i="55"/>
  <c r="L116" i="55"/>
  <c r="K116" i="55"/>
  <c r="I116" i="55"/>
  <c r="H116" i="55"/>
  <c r="T115" i="55"/>
  <c r="S115" i="55"/>
  <c r="V115" i="55" s="1"/>
  <c r="R115" i="55"/>
  <c r="O115" i="55"/>
  <c r="N115" i="55"/>
  <c r="M115" i="55"/>
  <c r="L115" i="55"/>
  <c r="K115" i="55"/>
  <c r="I115" i="55"/>
  <c r="H115" i="55"/>
  <c r="V114" i="55"/>
  <c r="T114" i="55"/>
  <c r="S114" i="55"/>
  <c r="R114" i="55"/>
  <c r="F114" i="55"/>
  <c r="M114" i="55" s="1"/>
  <c r="V113" i="55"/>
  <c r="T113" i="55"/>
  <c r="S113" i="55"/>
  <c r="R113" i="55"/>
  <c r="O113" i="55"/>
  <c r="M113" i="55"/>
  <c r="L113" i="55"/>
  <c r="K113" i="55"/>
  <c r="I113" i="55"/>
  <c r="H113" i="55"/>
  <c r="T112" i="55"/>
  <c r="S112" i="55"/>
  <c r="V112" i="55" s="1"/>
  <c r="R112" i="55"/>
  <c r="O112" i="55"/>
  <c r="N112" i="55"/>
  <c r="N158" i="55" s="1"/>
  <c r="R158" i="55" s="1"/>
  <c r="M112" i="55"/>
  <c r="L112" i="55"/>
  <c r="K112" i="55"/>
  <c r="I112" i="55"/>
  <c r="H112" i="55"/>
  <c r="V111" i="55"/>
  <c r="T111" i="55"/>
  <c r="S111" i="55"/>
  <c r="R111" i="55"/>
  <c r="F111" i="55"/>
  <c r="M111" i="55" s="1"/>
  <c r="V110" i="55"/>
  <c r="T110" i="55"/>
  <c r="S110" i="55"/>
  <c r="R110" i="55"/>
  <c r="J110" i="55"/>
  <c r="J158" i="55" s="1"/>
  <c r="I110" i="55"/>
  <c r="F110" i="55"/>
  <c r="L110" i="55" s="1"/>
  <c r="T109" i="55"/>
  <c r="T158" i="55" s="1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V104" i="55"/>
  <c r="T104" i="55"/>
  <c r="S104" i="55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R102" i="55"/>
  <c r="Q102" i="55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O100" i="55"/>
  <c r="N100" i="55"/>
  <c r="H100" i="55"/>
  <c r="F100" i="55"/>
  <c r="I100" i="55" s="1"/>
  <c r="T99" i="55"/>
  <c r="S99" i="55"/>
  <c r="V99" i="55" s="1"/>
  <c r="R99" i="55"/>
  <c r="K99" i="55"/>
  <c r="F99" i="55"/>
  <c r="L99" i="55" s="1"/>
  <c r="T98" i="55"/>
  <c r="S98" i="55"/>
  <c r="V98" i="55" s="1"/>
  <c r="R98" i="55"/>
  <c r="O98" i="55"/>
  <c r="M98" i="55"/>
  <c r="L98" i="55"/>
  <c r="K98" i="55"/>
  <c r="I98" i="55"/>
  <c r="H98" i="55"/>
  <c r="T97" i="55"/>
  <c r="S97" i="55"/>
  <c r="V97" i="55" s="1"/>
  <c r="Q97" i="55"/>
  <c r="R97" i="55" s="1"/>
  <c r="L97" i="55"/>
  <c r="F97" i="55"/>
  <c r="T96" i="55"/>
  <c r="S96" i="55"/>
  <c r="V96" i="55" s="1"/>
  <c r="V106" i="55" s="1"/>
  <c r="R96" i="55"/>
  <c r="N96" i="55"/>
  <c r="J96" i="55"/>
  <c r="J106" i="55" s="1"/>
  <c r="F96" i="55"/>
  <c r="I96" i="55" s="1"/>
  <c r="V95" i="55"/>
  <c r="R95" i="55"/>
  <c r="V94" i="55"/>
  <c r="R94" i="55"/>
  <c r="S93" i="55"/>
  <c r="Q93" i="55"/>
  <c r="P93" i="55"/>
  <c r="N93" i="55"/>
  <c r="V93" i="55" s="1"/>
  <c r="J93" i="55"/>
  <c r="V92" i="55"/>
  <c r="U92" i="55"/>
  <c r="T92" i="55"/>
  <c r="R92" i="55"/>
  <c r="F92" i="55"/>
  <c r="L92" i="55" s="1"/>
  <c r="V91" i="55"/>
  <c r="U91" i="55"/>
  <c r="T91" i="55"/>
  <c r="R91" i="55"/>
  <c r="F91" i="55"/>
  <c r="O91" i="55" s="1"/>
  <c r="V90" i="55"/>
  <c r="U90" i="55"/>
  <c r="T90" i="55"/>
  <c r="R90" i="55"/>
  <c r="O90" i="55"/>
  <c r="F90" i="55"/>
  <c r="M90" i="55" s="1"/>
  <c r="V89" i="55"/>
  <c r="U89" i="55"/>
  <c r="T89" i="55"/>
  <c r="R89" i="55"/>
  <c r="M89" i="55"/>
  <c r="K89" i="55"/>
  <c r="F89" i="55"/>
  <c r="V88" i="55"/>
  <c r="R88" i="55"/>
  <c r="V87" i="55"/>
  <c r="R87" i="55"/>
  <c r="Q86" i="55"/>
  <c r="P86" i="55"/>
  <c r="J86" i="55"/>
  <c r="V85" i="55"/>
  <c r="U85" i="55"/>
  <c r="R85" i="55"/>
  <c r="L85" i="55"/>
  <c r="I85" i="55"/>
  <c r="G85" i="55"/>
  <c r="G86" i="55" s="1"/>
  <c r="F85" i="55"/>
  <c r="K85" i="55" s="1"/>
  <c r="U84" i="55"/>
  <c r="S84" i="55"/>
  <c r="N84" i="55"/>
  <c r="R84" i="55" s="1"/>
  <c r="M84" i="55"/>
  <c r="K84" i="55"/>
  <c r="F84" i="55"/>
  <c r="L84" i="55" s="1"/>
  <c r="V83" i="55"/>
  <c r="U83" i="55"/>
  <c r="T83" i="55"/>
  <c r="R83" i="55"/>
  <c r="L83" i="55"/>
  <c r="F83" i="55"/>
  <c r="V82" i="55"/>
  <c r="U82" i="55"/>
  <c r="R82" i="55"/>
  <c r="O82" i="55"/>
  <c r="F82" i="55"/>
  <c r="M82" i="55" s="1"/>
  <c r="V81" i="55"/>
  <c r="U81" i="55"/>
  <c r="T81" i="55"/>
  <c r="R81" i="55"/>
  <c r="M81" i="55"/>
  <c r="K81" i="55"/>
  <c r="F81" i="55"/>
  <c r="L81" i="55" s="1"/>
  <c r="V80" i="55"/>
  <c r="U80" i="55"/>
  <c r="R80" i="55"/>
  <c r="K80" i="55"/>
  <c r="I80" i="55"/>
  <c r="F80" i="55"/>
  <c r="O80" i="55" s="1"/>
  <c r="V79" i="55"/>
  <c r="R79" i="55"/>
  <c r="V78" i="55"/>
  <c r="R78" i="55"/>
  <c r="Q77" i="55"/>
  <c r="P77" i="55"/>
  <c r="N77" i="55"/>
  <c r="J77" i="55"/>
  <c r="V76" i="55"/>
  <c r="U76" i="55"/>
  <c r="S76" i="55"/>
  <c r="T76" i="55" s="1"/>
  <c r="R76" i="55"/>
  <c r="H76" i="55"/>
  <c r="F76" i="55"/>
  <c r="O76" i="55" s="1"/>
  <c r="U75" i="55"/>
  <c r="T75" i="55"/>
  <c r="S75" i="55"/>
  <c r="V75" i="55" s="1"/>
  <c r="R75" i="55"/>
  <c r="K75" i="55"/>
  <c r="I75" i="55"/>
  <c r="F75" i="55"/>
  <c r="O75" i="55" s="1"/>
  <c r="V74" i="55"/>
  <c r="U74" i="55"/>
  <c r="S74" i="55"/>
  <c r="T74" i="55" s="1"/>
  <c r="R74" i="55"/>
  <c r="H74" i="55"/>
  <c r="F74" i="55"/>
  <c r="O74" i="55" s="1"/>
  <c r="U73" i="55"/>
  <c r="T73" i="55"/>
  <c r="S73" i="55"/>
  <c r="V73" i="55" s="1"/>
  <c r="R73" i="55"/>
  <c r="F73" i="55"/>
  <c r="L73" i="55" s="1"/>
  <c r="U72" i="55"/>
  <c r="S72" i="55"/>
  <c r="T72" i="55" s="1"/>
  <c r="R72" i="55"/>
  <c r="K72" i="55"/>
  <c r="I72" i="55"/>
  <c r="F72" i="55"/>
  <c r="L72" i="55" s="1"/>
  <c r="V71" i="55"/>
  <c r="U71" i="55"/>
  <c r="S71" i="55"/>
  <c r="T71" i="55" s="1"/>
  <c r="R71" i="55"/>
  <c r="O71" i="55"/>
  <c r="K71" i="55"/>
  <c r="I71" i="55"/>
  <c r="H71" i="55"/>
  <c r="F71" i="55"/>
  <c r="L71" i="55" s="1"/>
  <c r="V70" i="55"/>
  <c r="U70" i="55"/>
  <c r="T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O69" i="55"/>
  <c r="F69" i="55"/>
  <c r="M69" i="55" s="1"/>
  <c r="U68" i="55"/>
  <c r="S68" i="55"/>
  <c r="T68" i="55" s="1"/>
  <c r="R68" i="55"/>
  <c r="O68" i="55"/>
  <c r="M68" i="55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F64" i="55"/>
  <c r="M64" i="55" s="1"/>
  <c r="U63" i="55"/>
  <c r="S63" i="55"/>
  <c r="T63" i="55" s="1"/>
  <c r="R63" i="55"/>
  <c r="O63" i="55"/>
  <c r="I63" i="55"/>
  <c r="F63" i="55"/>
  <c r="M63" i="55" s="1"/>
  <c r="U62" i="55"/>
  <c r="S62" i="55"/>
  <c r="T62" i="55" s="1"/>
  <c r="R62" i="55"/>
  <c r="F62" i="55"/>
  <c r="M62" i="55" s="1"/>
  <c r="U61" i="55"/>
  <c r="S61" i="55"/>
  <c r="R61" i="55"/>
  <c r="O61" i="55"/>
  <c r="I61" i="55"/>
  <c r="F61" i="55"/>
  <c r="V60" i="55"/>
  <c r="R60" i="55"/>
  <c r="V59" i="55"/>
  <c r="R59" i="55"/>
  <c r="Q58" i="55"/>
  <c r="P58" i="55"/>
  <c r="U57" i="55"/>
  <c r="S57" i="55"/>
  <c r="V57" i="55" s="1"/>
  <c r="R57" i="55"/>
  <c r="N57" i="55"/>
  <c r="F57" i="55"/>
  <c r="U56" i="55"/>
  <c r="S56" i="55"/>
  <c r="R56" i="55"/>
  <c r="L56" i="55"/>
  <c r="I56" i="55"/>
  <c r="G56" i="55"/>
  <c r="F56" i="55"/>
  <c r="K56" i="55" s="1"/>
  <c r="V55" i="55"/>
  <c r="U55" i="55"/>
  <c r="S55" i="55"/>
  <c r="T55" i="55" s="1"/>
  <c r="R55" i="55"/>
  <c r="F55" i="55"/>
  <c r="L55" i="55" s="1"/>
  <c r="U54" i="55"/>
  <c r="S54" i="55"/>
  <c r="R54" i="55"/>
  <c r="M54" i="55"/>
  <c r="K54" i="55"/>
  <c r="F54" i="55"/>
  <c r="L54" i="55" s="1"/>
  <c r="V53" i="55"/>
  <c r="U53" i="55"/>
  <c r="U58" i="55" s="1"/>
  <c r="S53" i="55"/>
  <c r="R53" i="55"/>
  <c r="M53" i="55"/>
  <c r="J53" i="55"/>
  <c r="J58" i="55" s="1"/>
  <c r="I53" i="55"/>
  <c r="G53" i="55"/>
  <c r="G58" i="55" s="1"/>
  <c r="F53" i="55"/>
  <c r="L53" i="55" s="1"/>
  <c r="V52" i="55"/>
  <c r="R52" i="55"/>
  <c r="V51" i="55"/>
  <c r="R51" i="55"/>
  <c r="Q50" i="55"/>
  <c r="P50" i="55"/>
  <c r="J50" i="55"/>
  <c r="G50" i="55"/>
  <c r="T49" i="55"/>
  <c r="S49" i="55"/>
  <c r="N49" i="55"/>
  <c r="R49" i="55" s="1"/>
  <c r="M49" i="55"/>
  <c r="F49" i="55"/>
  <c r="L49" i="55" s="1"/>
  <c r="V48" i="55"/>
  <c r="S48" i="55"/>
  <c r="R48" i="55"/>
  <c r="F48" i="55"/>
  <c r="L48" i="55" s="1"/>
  <c r="L50" i="55" s="1"/>
  <c r="V47" i="55"/>
  <c r="R47" i="55"/>
  <c r="V46" i="55"/>
  <c r="R46" i="55"/>
  <c r="Q45" i="55"/>
  <c r="P45" i="55"/>
  <c r="N45" i="55"/>
  <c r="R45" i="55" s="1"/>
  <c r="U44" i="55"/>
  <c r="S44" i="55"/>
  <c r="R44" i="55"/>
  <c r="F44" i="55"/>
  <c r="K44" i="55" s="1"/>
  <c r="U43" i="55"/>
  <c r="S43" i="55"/>
  <c r="V43" i="55" s="1"/>
  <c r="R43" i="55"/>
  <c r="O43" i="55"/>
  <c r="M43" i="55"/>
  <c r="J43" i="55"/>
  <c r="J45" i="55" s="1"/>
  <c r="I43" i="55"/>
  <c r="H43" i="55"/>
  <c r="F43" i="55"/>
  <c r="K43" i="55" s="1"/>
  <c r="U42" i="55"/>
  <c r="T42" i="55"/>
  <c r="S42" i="55"/>
  <c r="V42" i="55" s="1"/>
  <c r="R42" i="55"/>
  <c r="F42" i="55"/>
  <c r="L42" i="55" s="1"/>
  <c r="U41" i="55"/>
  <c r="S41" i="55"/>
  <c r="T41" i="55" s="1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I40" i="55"/>
  <c r="F40" i="55"/>
  <c r="K40" i="55" s="1"/>
  <c r="U39" i="55"/>
  <c r="S39" i="55"/>
  <c r="V39" i="55" s="1"/>
  <c r="R39" i="55"/>
  <c r="F39" i="55"/>
  <c r="K39" i="55" s="1"/>
  <c r="U38" i="55"/>
  <c r="S38" i="55"/>
  <c r="V38" i="55" s="1"/>
  <c r="R38" i="55"/>
  <c r="O38" i="55"/>
  <c r="I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T36" i="55"/>
  <c r="S36" i="55"/>
  <c r="R36" i="55"/>
  <c r="M36" i="55"/>
  <c r="F36" i="55"/>
  <c r="O36" i="55" s="1"/>
  <c r="V35" i="55"/>
  <c r="U35" i="55"/>
  <c r="S35" i="55"/>
  <c r="T35" i="55" s="1"/>
  <c r="R35" i="55"/>
  <c r="I35" i="55"/>
  <c r="H35" i="55"/>
  <c r="F35" i="55"/>
  <c r="O35" i="55" s="1"/>
  <c r="U34" i="55"/>
  <c r="T34" i="55"/>
  <c r="S34" i="55"/>
  <c r="V34" i="55" s="1"/>
  <c r="R34" i="55"/>
  <c r="F34" i="55"/>
  <c r="L34" i="55" s="1"/>
  <c r="V33" i="55"/>
  <c r="R33" i="55"/>
  <c r="V32" i="55"/>
  <c r="R32" i="55"/>
  <c r="Q31" i="55"/>
  <c r="P31" i="55"/>
  <c r="G31" i="55"/>
  <c r="T30" i="55"/>
  <c r="S30" i="55"/>
  <c r="V30" i="55" s="1"/>
  <c r="N30" i="55"/>
  <c r="R30" i="55" s="1"/>
  <c r="M30" i="55"/>
  <c r="F30" i="55"/>
  <c r="L30" i="55" s="1"/>
  <c r="T29" i="55"/>
  <c r="T31" i="55" s="1"/>
  <c r="S29" i="55"/>
  <c r="N29" i="55"/>
  <c r="N31" i="55" s="1"/>
  <c r="R31" i="55" s="1"/>
  <c r="M29" i="55"/>
  <c r="J29" i="55"/>
  <c r="J31" i="55" s="1"/>
  <c r="I29" i="55"/>
  <c r="H29" i="55"/>
  <c r="F29" i="55"/>
  <c r="O29" i="55" s="1"/>
  <c r="V28" i="55"/>
  <c r="V27" i="55"/>
  <c r="P26" i="55"/>
  <c r="J26" i="55"/>
  <c r="U25" i="55"/>
  <c r="S25" i="55"/>
  <c r="V25" i="55" s="1"/>
  <c r="R25" i="55"/>
  <c r="H25" i="55"/>
  <c r="F25" i="55"/>
  <c r="L25" i="55" s="1"/>
  <c r="U24" i="55"/>
  <c r="S24" i="55"/>
  <c r="V24" i="55" s="1"/>
  <c r="R24" i="55"/>
  <c r="F24" i="55"/>
  <c r="K24" i="55" s="1"/>
  <c r="U23" i="55"/>
  <c r="S23" i="55"/>
  <c r="N23" i="55"/>
  <c r="V23" i="55" s="1"/>
  <c r="L23" i="55"/>
  <c r="I23" i="55"/>
  <c r="G23" i="55"/>
  <c r="F23" i="55"/>
  <c r="O23" i="55" s="1"/>
  <c r="V22" i="55"/>
  <c r="S22" i="55"/>
  <c r="U22" i="55" s="1"/>
  <c r="Q22" i="55"/>
  <c r="N22" i="55"/>
  <c r="R22" i="55" s="1"/>
  <c r="G22" i="55"/>
  <c r="F22" i="55"/>
  <c r="M22" i="55" s="1"/>
  <c r="S21" i="55"/>
  <c r="U21" i="55" s="1"/>
  <c r="N21" i="55"/>
  <c r="R21" i="55" s="1"/>
  <c r="M21" i="55"/>
  <c r="H21" i="55"/>
  <c r="G21" i="55"/>
  <c r="G26" i="55" s="1"/>
  <c r="F21" i="55"/>
  <c r="I21" i="55" s="1"/>
  <c r="U20" i="55"/>
  <c r="S20" i="55"/>
  <c r="N20" i="55"/>
  <c r="R20" i="55" s="1"/>
  <c r="F20" i="55"/>
  <c r="O20" i="55" s="1"/>
  <c r="U19" i="55"/>
  <c r="S19" i="55"/>
  <c r="V19" i="55" s="1"/>
  <c r="R19" i="55"/>
  <c r="M19" i="55"/>
  <c r="K19" i="55"/>
  <c r="H19" i="55"/>
  <c r="F19" i="55"/>
  <c r="O19" i="55" s="1"/>
  <c r="S18" i="55"/>
  <c r="U18" i="55" s="1"/>
  <c r="O18" i="55"/>
  <c r="N18" i="55"/>
  <c r="R18" i="55" s="1"/>
  <c r="K18" i="55"/>
  <c r="I18" i="55"/>
  <c r="H18" i="55"/>
  <c r="F18" i="55"/>
  <c r="L18" i="55" s="1"/>
  <c r="U17" i="55"/>
  <c r="S17" i="55"/>
  <c r="V17" i="55" s="1"/>
  <c r="Q17" i="55"/>
  <c r="R17" i="55" s="1"/>
  <c r="K17" i="55"/>
  <c r="I17" i="55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S15" i="55"/>
  <c r="U15" i="55" s="1"/>
  <c r="N15" i="55"/>
  <c r="R15" i="55" s="1"/>
  <c r="F15" i="55"/>
  <c r="L15" i="55" s="1"/>
  <c r="S14" i="55"/>
  <c r="U14" i="55" s="1"/>
  <c r="Q14" i="55"/>
  <c r="Q26" i="55" s="1"/>
  <c r="N14" i="55"/>
  <c r="R14" i="55" s="1"/>
  <c r="F14" i="55"/>
  <c r="M14" i="55" s="1"/>
  <c r="U13" i="55"/>
  <c r="S13" i="55"/>
  <c r="T13" i="55" s="1"/>
  <c r="R13" i="55"/>
  <c r="F13" i="55"/>
  <c r="M13" i="55" s="1"/>
  <c r="S12" i="55"/>
  <c r="V12" i="55" s="1"/>
  <c r="R12" i="55"/>
  <c r="F12" i="55"/>
  <c r="L12" i="55" s="1"/>
  <c r="S11" i="55"/>
  <c r="U11" i="55" s="1"/>
  <c r="R11" i="55"/>
  <c r="O11" i="55"/>
  <c r="N11" i="55"/>
  <c r="M11" i="55"/>
  <c r="K11" i="55"/>
  <c r="H11" i="55"/>
  <c r="F11" i="55"/>
  <c r="L11" i="55" s="1"/>
  <c r="U10" i="55"/>
  <c r="S10" i="55"/>
  <c r="V10" i="55" s="1"/>
  <c r="R10" i="55"/>
  <c r="F10" i="55"/>
  <c r="K10" i="55" s="1"/>
  <c r="U9" i="55"/>
  <c r="S9" i="55"/>
  <c r="O9" i="55"/>
  <c r="N9" i="55"/>
  <c r="V9" i="55" s="1"/>
  <c r="M9" i="55"/>
  <c r="L9" i="55"/>
  <c r="K9" i="55"/>
  <c r="I9" i="55"/>
  <c r="H9" i="55"/>
  <c r="U8" i="55"/>
  <c r="S8" i="55"/>
  <c r="V8" i="55" s="1"/>
  <c r="O8" i="55"/>
  <c r="N8" i="55"/>
  <c r="R8" i="55" s="1"/>
  <c r="M8" i="55"/>
  <c r="K8" i="55"/>
  <c r="I8" i="55"/>
  <c r="F8" i="55"/>
  <c r="L8" i="55" s="1"/>
  <c r="V7" i="55"/>
  <c r="U7" i="55"/>
  <c r="S7" i="55"/>
  <c r="R7" i="55"/>
  <c r="I3" i="55"/>
  <c r="F3" i="55"/>
  <c r="V15" i="55" l="1"/>
  <c r="I22" i="55"/>
  <c r="M31" i="55"/>
  <c r="K30" i="55"/>
  <c r="F31" i="55"/>
  <c r="K34" i="55"/>
  <c r="M35" i="55"/>
  <c r="K36" i="55"/>
  <c r="O39" i="55"/>
  <c r="V41" i="55"/>
  <c r="K42" i="55"/>
  <c r="L43" i="55"/>
  <c r="O44" i="55"/>
  <c r="F45" i="55"/>
  <c r="S45" i="55"/>
  <c r="K49" i="55"/>
  <c r="V49" i="55"/>
  <c r="N50" i="55"/>
  <c r="R50" i="55" s="1"/>
  <c r="M55" i="55"/>
  <c r="V72" i="55"/>
  <c r="K73" i="55"/>
  <c r="M74" i="55"/>
  <c r="M76" i="55"/>
  <c r="U86" i="55"/>
  <c r="U93" i="55"/>
  <c r="M91" i="55"/>
  <c r="T93" i="55"/>
  <c r="O110" i="55"/>
  <c r="O111" i="55"/>
  <c r="O114" i="55"/>
  <c r="O117" i="55"/>
  <c r="K130" i="55"/>
  <c r="M134" i="55"/>
  <c r="O140" i="55"/>
  <c r="K147" i="55"/>
  <c r="L151" i="55"/>
  <c r="M156" i="55"/>
  <c r="I10" i="55"/>
  <c r="H15" i="55"/>
  <c r="O15" i="55"/>
  <c r="V20" i="55"/>
  <c r="L22" i="55"/>
  <c r="V29" i="55"/>
  <c r="M34" i="55"/>
  <c r="M42" i="55"/>
  <c r="M73" i="55"/>
  <c r="L96" i="55"/>
  <c r="M130" i="55"/>
  <c r="M147" i="55"/>
  <c r="O156" i="55"/>
  <c r="G157" i="56"/>
  <c r="H12" i="55"/>
  <c r="S26" i="55"/>
  <c r="K12" i="55"/>
  <c r="K15" i="55"/>
  <c r="M17" i="55"/>
  <c r="I24" i="55"/>
  <c r="K25" i="55"/>
  <c r="R29" i="55"/>
  <c r="H34" i="55"/>
  <c r="O34" i="55"/>
  <c r="U45" i="55"/>
  <c r="H42" i="55"/>
  <c r="O42" i="55"/>
  <c r="S58" i="55"/>
  <c r="H55" i="55"/>
  <c r="O56" i="55"/>
  <c r="I62" i="55"/>
  <c r="I64" i="55"/>
  <c r="M72" i="55"/>
  <c r="H73" i="55"/>
  <c r="O73" i="55"/>
  <c r="I74" i="55"/>
  <c r="M75" i="55"/>
  <c r="I76" i="55"/>
  <c r="M80" i="55"/>
  <c r="O85" i="55"/>
  <c r="F93" i="55"/>
  <c r="H91" i="55"/>
  <c r="H96" i="55"/>
  <c r="M96" i="55"/>
  <c r="K100" i="55"/>
  <c r="R100" i="55"/>
  <c r="I111" i="55"/>
  <c r="I114" i="55"/>
  <c r="I117" i="55"/>
  <c r="M119" i="55"/>
  <c r="H130" i="55"/>
  <c r="O130" i="55"/>
  <c r="I134" i="55"/>
  <c r="I140" i="55"/>
  <c r="K141" i="55"/>
  <c r="M143" i="55"/>
  <c r="K144" i="55"/>
  <c r="H147" i="55"/>
  <c r="O147" i="55"/>
  <c r="H151" i="55"/>
  <c r="O151" i="55"/>
  <c r="M152" i="55"/>
  <c r="K153" i="55"/>
  <c r="H156" i="55"/>
  <c r="M157" i="55"/>
  <c r="O10" i="55"/>
  <c r="U12" i="55"/>
  <c r="T7" i="55"/>
  <c r="T26" i="55" s="1"/>
  <c r="H8" i="55"/>
  <c r="V11" i="55"/>
  <c r="M12" i="55"/>
  <c r="V14" i="55"/>
  <c r="M15" i="55"/>
  <c r="H17" i="55"/>
  <c r="O17" i="55"/>
  <c r="M18" i="55"/>
  <c r="I20" i="55"/>
  <c r="H22" i="55"/>
  <c r="O24" i="55"/>
  <c r="M25" i="55"/>
  <c r="L29" i="55"/>
  <c r="S31" i="55"/>
  <c r="V31" i="55" s="1"/>
  <c r="H30" i="55"/>
  <c r="H31" i="55" s="1"/>
  <c r="O30" i="55"/>
  <c r="O31" i="55" s="1"/>
  <c r="U30" i="55"/>
  <c r="I34" i="55"/>
  <c r="K35" i="55"/>
  <c r="H36" i="55"/>
  <c r="I39" i="55"/>
  <c r="I42" i="55"/>
  <c r="I44" i="55"/>
  <c r="H49" i="55"/>
  <c r="O49" i="55"/>
  <c r="K53" i="55"/>
  <c r="T53" i="55"/>
  <c r="H54" i="55"/>
  <c r="K55" i="55"/>
  <c r="T57" i="55"/>
  <c r="F65" i="55"/>
  <c r="S65" i="55"/>
  <c r="O62" i="55"/>
  <c r="T64" i="55"/>
  <c r="I69" i="55"/>
  <c r="M71" i="55"/>
  <c r="M77" i="55" s="1"/>
  <c r="H72" i="55"/>
  <c r="O72" i="55"/>
  <c r="O77" i="55" s="1"/>
  <c r="I73" i="55"/>
  <c r="K74" i="55"/>
  <c r="H75" i="55"/>
  <c r="K76" i="55"/>
  <c r="R77" i="55"/>
  <c r="H80" i="55"/>
  <c r="H81" i="55"/>
  <c r="I82" i="55"/>
  <c r="T86" i="55"/>
  <c r="H84" i="55"/>
  <c r="O84" i="55"/>
  <c r="N86" i="55"/>
  <c r="R86" i="55" s="1"/>
  <c r="H89" i="55"/>
  <c r="I90" i="55"/>
  <c r="K91" i="55"/>
  <c r="N106" i="55"/>
  <c r="L100" i="55"/>
  <c r="V109" i="55"/>
  <c r="M110" i="55"/>
  <c r="K111" i="55"/>
  <c r="K114" i="55"/>
  <c r="K117" i="55"/>
  <c r="H119" i="55"/>
  <c r="O119" i="55"/>
  <c r="I130" i="55"/>
  <c r="K134" i="55"/>
  <c r="I135" i="55"/>
  <c r="G158" i="55"/>
  <c r="G159" i="55" s="1"/>
  <c r="K137" i="55"/>
  <c r="M139" i="55"/>
  <c r="K140" i="55"/>
  <c r="H143" i="55"/>
  <c r="O143" i="55"/>
  <c r="O144" i="55"/>
  <c r="I147" i="55"/>
  <c r="I151" i="55"/>
  <c r="H152" i="55"/>
  <c r="O152" i="55"/>
  <c r="O153" i="55"/>
  <c r="I156" i="55"/>
  <c r="O157" i="55"/>
  <c r="M43" i="56"/>
  <c r="X17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K45" i="55"/>
  <c r="L13" i="55"/>
  <c r="F26" i="55"/>
  <c r="N26" i="55"/>
  <c r="R9" i="55"/>
  <c r="L10" i="55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V56" i="55"/>
  <c r="V58" i="55" s="1"/>
  <c r="T56" i="55"/>
  <c r="U77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M10" i="55"/>
  <c r="I11" i="55"/>
  <c r="I12" i="55"/>
  <c r="O12" i="55"/>
  <c r="K13" i="55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I31" i="55" s="1"/>
  <c r="L35" i="55"/>
  <c r="L45" i="55" s="1"/>
  <c r="L36" i="55"/>
  <c r="T37" i="55"/>
  <c r="H38" i="55"/>
  <c r="M38" i="55"/>
  <c r="M45" i="55" s="1"/>
  <c r="T38" i="55"/>
  <c r="H39" i="55"/>
  <c r="M39" i="55"/>
  <c r="T39" i="55"/>
  <c r="H40" i="55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M97" i="55"/>
  <c r="H97" i="55"/>
  <c r="H106" i="55" s="1"/>
  <c r="K102" i="55"/>
  <c r="O102" i="55"/>
  <c r="I102" i="55"/>
  <c r="M102" i="55"/>
  <c r="H102" i="55"/>
  <c r="L102" i="55"/>
  <c r="K129" i="55"/>
  <c r="O129" i="55"/>
  <c r="I129" i="55"/>
  <c r="M129" i="55"/>
  <c r="H129" i="55"/>
  <c r="L129" i="55"/>
  <c r="K146" i="55"/>
  <c r="O146" i="55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M58" i="55" s="1"/>
  <c r="H57" i="55"/>
  <c r="V65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T65" i="55"/>
  <c r="K138" i="55"/>
  <c r="O138" i="55"/>
  <c r="I138" i="55"/>
  <c r="M138" i="55"/>
  <c r="H138" i="55"/>
  <c r="L138" i="55"/>
  <c r="I49" i="55"/>
  <c r="O53" i="55"/>
  <c r="I54" i="55"/>
  <c r="I58" i="55" s="1"/>
  <c r="O54" i="55"/>
  <c r="I55" i="55"/>
  <c r="O55" i="55"/>
  <c r="H56" i="55"/>
  <c r="M56" i="55"/>
  <c r="F58" i="55"/>
  <c r="N58" i="55"/>
  <c r="R58" i="55" s="1"/>
  <c r="K61" i="55"/>
  <c r="V61" i="55"/>
  <c r="K62" i="55"/>
  <c r="V62" i="55"/>
  <c r="K63" i="55"/>
  <c r="V63" i="55"/>
  <c r="K64" i="55"/>
  <c r="O64" i="55"/>
  <c r="O65" i="55" s="1"/>
  <c r="V68" i="55"/>
  <c r="K69" i="55"/>
  <c r="K77" i="55" s="1"/>
  <c r="V69" i="55"/>
  <c r="L74" i="55"/>
  <c r="L75" i="55"/>
  <c r="L76" i="55"/>
  <c r="F77" i="55"/>
  <c r="S77" i="55"/>
  <c r="L80" i="55"/>
  <c r="I81" i="55"/>
  <c r="O81" i="55"/>
  <c r="O86" i="55" s="1"/>
  <c r="K82" i="55"/>
  <c r="K86" i="55" s="1"/>
  <c r="I84" i="55"/>
  <c r="I86" i="55" s="1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L111" i="55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11" i="55"/>
  <c r="H114" i="55"/>
  <c r="H117" i="55"/>
  <c r="H131" i="55"/>
  <c r="I132" i="55"/>
  <c r="I158" i="55" s="1"/>
  <c r="H135" i="55"/>
  <c r="H136" i="55"/>
  <c r="I137" i="55"/>
  <c r="H140" i="55"/>
  <c r="I141" i="55"/>
  <c r="H144" i="55"/>
  <c r="I145" i="55"/>
  <c r="H148" i="55"/>
  <c r="I149" i="55"/>
  <c r="H153" i="55"/>
  <c r="I154" i="55"/>
  <c r="M106" i="55" l="1"/>
  <c r="L86" i="55"/>
  <c r="L77" i="55"/>
  <c r="K65" i="55"/>
  <c r="O158" i="55"/>
  <c r="M158" i="55"/>
  <c r="L106" i="55"/>
  <c r="I106" i="55"/>
  <c r="H45" i="55"/>
  <c r="I26" i="55"/>
  <c r="T58" i="55"/>
  <c r="K26" i="55"/>
  <c r="M26" i="55"/>
  <c r="U159" i="55"/>
  <c r="H158" i="55"/>
  <c r="H58" i="55"/>
  <c r="O26" i="55"/>
  <c r="H26" i="55"/>
  <c r="L26" i="55"/>
  <c r="L158" i="55"/>
  <c r="K158" i="55"/>
  <c r="M86" i="55"/>
  <c r="O45" i="55"/>
  <c r="O157" i="56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V77" i="55"/>
  <c r="O58" i="55"/>
  <c r="F159" i="55"/>
  <c r="O106" i="55"/>
  <c r="L65" i="55"/>
  <c r="I50" i="55"/>
  <c r="V26" i="55"/>
  <c r="V159" i="55" s="1"/>
  <c r="H65" i="55"/>
  <c r="S159" i="55"/>
  <c r="O159" i="55" l="1"/>
  <c r="L159" i="55"/>
  <c r="H159" i="55"/>
  <c r="T159" i="55"/>
  <c r="I159" i="55"/>
  <c r="R159" i="55"/>
  <c r="U85" i="1" l="1"/>
  <c r="U89" i="1" s="1"/>
  <c r="Q126" i="1" l="1"/>
  <c r="O187" i="1" l="1"/>
  <c r="J187" i="1"/>
  <c r="H187" i="1"/>
  <c r="L187" i="1"/>
  <c r="K187" i="1" l="1"/>
  <c r="G187" i="1"/>
  <c r="R187" i="1" l="1"/>
  <c r="W65" i="1"/>
  <c r="I65" i="1"/>
  <c r="I79" i="1" s="1"/>
  <c r="X65" i="1" l="1"/>
  <c r="L65" i="1"/>
  <c r="O65" i="1"/>
  <c r="K65" i="1"/>
  <c r="G65" i="1"/>
  <c r="H65" i="1"/>
  <c r="J65" i="1"/>
  <c r="Q129" i="1"/>
  <c r="Q132" i="1" s="1"/>
  <c r="R65" i="1" l="1"/>
  <c r="Z65" i="1" l="1"/>
  <c r="T85" i="1"/>
  <c r="T89" i="1" s="1"/>
  <c r="X85" i="1" l="1"/>
  <c r="X89" i="1" s="1"/>
  <c r="U123" i="1"/>
  <c r="U132" i="1" s="1"/>
  <c r="D86" i="53" l="1"/>
  <c r="W112" i="1" l="1"/>
  <c r="L112" i="1"/>
  <c r="E91" i="53"/>
  <c r="F91" i="53" s="1"/>
  <c r="D91" i="53"/>
  <c r="F90" i="53"/>
  <c r="F92" i="53" s="1"/>
  <c r="E90" i="53"/>
  <c r="D90" i="53"/>
  <c r="E87" i="53"/>
  <c r="E86" i="53"/>
  <c r="G112" i="1" l="1"/>
  <c r="O112" i="1"/>
  <c r="H112" i="1"/>
  <c r="K112" i="1"/>
  <c r="J112" i="1"/>
  <c r="D87" i="53"/>
  <c r="F86" i="53"/>
  <c r="F51" i="53"/>
  <c r="X30" i="1"/>
  <c r="O30" i="1"/>
  <c r="X29" i="1"/>
  <c r="O29" i="1"/>
  <c r="L27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K29" i="53"/>
  <c r="D54" i="53"/>
  <c r="F39" i="53"/>
  <c r="E39" i="53"/>
  <c r="F38" i="53"/>
  <c r="E38" i="53"/>
  <c r="L54" i="53" l="1"/>
  <c r="R112" i="1"/>
  <c r="H27" i="1"/>
  <c r="O27" i="1"/>
  <c r="K29" i="1"/>
  <c r="M29" i="53"/>
  <c r="K54" i="53"/>
  <c r="L55" i="53" s="1"/>
  <c r="F87" i="53"/>
  <c r="F88" i="53" s="1"/>
  <c r="J30" i="1"/>
  <c r="K30" i="1"/>
  <c r="G30" i="1"/>
  <c r="L30" i="1"/>
  <c r="H30" i="1"/>
  <c r="J29" i="1"/>
  <c r="G29" i="1"/>
  <c r="L29" i="1"/>
  <c r="H29" i="1"/>
  <c r="J27" i="1"/>
  <c r="K27" i="1"/>
  <c r="G27" i="1"/>
  <c r="G40" i="53"/>
  <c r="H40" i="53" s="1"/>
  <c r="G38" i="53"/>
  <c r="H38" i="53" s="1"/>
  <c r="G39" i="53"/>
  <c r="H39" i="53" s="1"/>
  <c r="R29" i="1" l="1"/>
  <c r="Z29" i="1" s="1"/>
  <c r="R27" i="1"/>
  <c r="Z27" i="1" s="1"/>
  <c r="R30" i="1"/>
  <c r="Z30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G30" i="53" s="1"/>
  <c r="H30" i="53" s="1"/>
  <c r="E29" i="53"/>
  <c r="G36" i="53" l="1"/>
  <c r="H36" i="53" s="1"/>
  <c r="G44" i="53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V15" i="1" l="1"/>
  <c r="V16" i="1"/>
  <c r="X16" i="1" s="1"/>
  <c r="V39" i="1" l="1"/>
  <c r="X15" i="1"/>
  <c r="U171" i="1" l="1"/>
  <c r="U120" i="1"/>
  <c r="U26" i="1"/>
  <c r="U39" i="1" s="1"/>
  <c r="T26" i="1"/>
  <c r="X171" i="1" l="1"/>
  <c r="U191" i="1"/>
  <c r="X26" i="1"/>
  <c r="Q22" i="1"/>
  <c r="Q39" i="1" s="1"/>
  <c r="W137" i="1" l="1"/>
  <c r="X137" i="1" s="1"/>
  <c r="W124" i="1"/>
  <c r="X124" i="1" s="1"/>
  <c r="W136" i="1"/>
  <c r="W123" i="1"/>
  <c r="W132" i="1" s="1"/>
  <c r="I136" i="1"/>
  <c r="I191" i="1" s="1"/>
  <c r="I123" i="1"/>
  <c r="I132" i="1" s="1"/>
  <c r="H12" i="53"/>
  <c r="X136" i="1" l="1"/>
  <c r="X123" i="1"/>
  <c r="X132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D8" i="53"/>
  <c r="D7" i="53"/>
  <c r="D6" i="53"/>
  <c r="D5" i="53"/>
  <c r="D4" i="53"/>
  <c r="F4" i="53" l="1"/>
  <c r="G4" i="53" s="1"/>
  <c r="F23" i="53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X67" i="1" l="1"/>
  <c r="W47" i="1"/>
  <c r="W57" i="1" s="1"/>
  <c r="X47" i="1" l="1"/>
  <c r="Z187" i="1"/>
  <c r="T32" i="1" l="1"/>
  <c r="T39" i="1" s="1"/>
  <c r="X32" i="1" l="1"/>
  <c r="X144" i="1"/>
  <c r="G47" i="1"/>
  <c r="H47" i="1"/>
  <c r="J47" i="1"/>
  <c r="K47" i="1"/>
  <c r="L47" i="1"/>
  <c r="O47" i="1"/>
  <c r="R47" i="1" l="1"/>
  <c r="Z47" i="1" l="1"/>
  <c r="W143" i="1"/>
  <c r="W191" i="1" s="1"/>
  <c r="W72" i="1"/>
  <c r="X72" i="1" s="1"/>
  <c r="W70" i="1"/>
  <c r="W95" i="1"/>
  <c r="W79" i="1" l="1"/>
  <c r="X70" i="1"/>
  <c r="X143" i="1"/>
  <c r="W22" i="1"/>
  <c r="X22" i="1" s="1"/>
  <c r="O28" i="1" l="1"/>
  <c r="L28" i="1"/>
  <c r="K28" i="1"/>
  <c r="J28" i="1"/>
  <c r="H28" i="1"/>
  <c r="G28" i="1"/>
  <c r="R28" i="1" l="1"/>
  <c r="Z28" i="1" s="1"/>
  <c r="W96" i="1" l="1"/>
  <c r="W102" i="1" s="1"/>
  <c r="W21" i="1"/>
  <c r="W39" i="1" s="1"/>
  <c r="W106" i="1"/>
  <c r="W109" i="1" s="1"/>
  <c r="W114" i="1"/>
  <c r="W120" i="1" s="1"/>
  <c r="T108" i="1"/>
  <c r="T109" i="1" s="1"/>
  <c r="X94" i="1" l="1"/>
  <c r="X108" i="1"/>
  <c r="X114" i="1"/>
  <c r="X106" i="1"/>
  <c r="X21" i="1"/>
  <c r="X39" i="1" s="1"/>
  <c r="L182" i="1"/>
  <c r="X109" i="1" l="1"/>
  <c r="X146" i="1"/>
  <c r="G25" i="1" l="1"/>
  <c r="H25" i="1"/>
  <c r="J25" i="1"/>
  <c r="K25" i="1"/>
  <c r="L25" i="1"/>
  <c r="O25" i="1"/>
  <c r="G155" i="1"/>
  <c r="H155" i="1"/>
  <c r="J155" i="1"/>
  <c r="K155" i="1"/>
  <c r="L155" i="1"/>
  <c r="O155" i="1"/>
  <c r="R25" i="1" l="1"/>
  <c r="Z25" i="1" s="1"/>
  <c r="R155" i="1"/>
  <c r="G32" i="1" l="1"/>
  <c r="H32" i="1"/>
  <c r="J32" i="1"/>
  <c r="K32" i="1"/>
  <c r="L32" i="1"/>
  <c r="O32" i="1"/>
  <c r="R32" i="1" l="1"/>
  <c r="Z32" i="1" s="1"/>
  <c r="G177" i="1"/>
  <c r="H177" i="1"/>
  <c r="J177" i="1"/>
  <c r="K177" i="1"/>
  <c r="L177" i="1"/>
  <c r="O177" i="1"/>
  <c r="G92" i="1"/>
  <c r="H92" i="1"/>
  <c r="J92" i="1"/>
  <c r="K92" i="1"/>
  <c r="L92" i="1"/>
  <c r="O92" i="1"/>
  <c r="R177" i="1" l="1"/>
  <c r="Z177" i="1" s="1"/>
  <c r="R92" i="1"/>
  <c r="Z92" i="1" l="1"/>
  <c r="Z155" i="1"/>
  <c r="O75" i="1"/>
  <c r="L75" i="1"/>
  <c r="K75" i="1"/>
  <c r="J75" i="1"/>
  <c r="H75" i="1"/>
  <c r="G75" i="1"/>
  <c r="G156" i="1"/>
  <c r="H156" i="1"/>
  <c r="J156" i="1"/>
  <c r="K156" i="1"/>
  <c r="L156" i="1"/>
  <c r="O156" i="1"/>
  <c r="G148" i="1"/>
  <c r="H148" i="1"/>
  <c r="J148" i="1"/>
  <c r="K148" i="1"/>
  <c r="L148" i="1"/>
  <c r="O148" i="1"/>
  <c r="R156" i="1" l="1"/>
  <c r="R148" i="1"/>
  <c r="R75" i="1"/>
  <c r="O116" i="1"/>
  <c r="L116" i="1"/>
  <c r="K116" i="1"/>
  <c r="J116" i="1"/>
  <c r="H116" i="1"/>
  <c r="G116" i="1"/>
  <c r="O146" i="1"/>
  <c r="L146" i="1"/>
  <c r="K146" i="1"/>
  <c r="J146" i="1"/>
  <c r="H146" i="1"/>
  <c r="G146" i="1"/>
  <c r="G108" i="1"/>
  <c r="H108" i="1"/>
  <c r="J108" i="1"/>
  <c r="K108" i="1"/>
  <c r="L108" i="1"/>
  <c r="O108" i="1"/>
  <c r="Z156" i="1" l="1"/>
  <c r="R108" i="1"/>
  <c r="Z108" i="1" s="1"/>
  <c r="Z75" i="1"/>
  <c r="R116" i="1"/>
  <c r="Z116" i="1" s="1"/>
  <c r="R146" i="1"/>
  <c r="Z146" i="1" s="1"/>
  <c r="G154" i="1"/>
  <c r="H154" i="1"/>
  <c r="J154" i="1"/>
  <c r="K154" i="1"/>
  <c r="L154" i="1"/>
  <c r="O154" i="1"/>
  <c r="R154" i="1" l="1"/>
  <c r="Z154" i="1" s="1"/>
  <c r="G186" i="1" l="1"/>
  <c r="H186" i="1"/>
  <c r="J186" i="1"/>
  <c r="K186" i="1"/>
  <c r="L186" i="1"/>
  <c r="O186" i="1"/>
  <c r="G185" i="1"/>
  <c r="H185" i="1"/>
  <c r="J185" i="1"/>
  <c r="K185" i="1"/>
  <c r="L185" i="1"/>
  <c r="O185" i="1"/>
  <c r="R185" i="1" l="1"/>
  <c r="R186" i="1"/>
  <c r="Z186" i="1" s="1"/>
  <c r="G176" i="1"/>
  <c r="H176" i="1"/>
  <c r="J176" i="1"/>
  <c r="K176" i="1"/>
  <c r="L176" i="1"/>
  <c r="O176" i="1"/>
  <c r="R176" i="1" l="1"/>
  <c r="G153" i="1"/>
  <c r="H153" i="1"/>
  <c r="J153" i="1"/>
  <c r="K153" i="1"/>
  <c r="L153" i="1"/>
  <c r="O153" i="1"/>
  <c r="R153" i="1" l="1"/>
  <c r="Z153" i="1" s="1"/>
  <c r="G70" i="1"/>
  <c r="H70" i="1"/>
  <c r="J70" i="1"/>
  <c r="K70" i="1"/>
  <c r="L70" i="1"/>
  <c r="O70" i="1"/>
  <c r="R70" i="1" l="1"/>
  <c r="Z70" i="1" l="1"/>
  <c r="O12" i="1"/>
  <c r="L12" i="1"/>
  <c r="K12" i="1"/>
  <c r="J12" i="1"/>
  <c r="H12" i="1"/>
  <c r="G12" i="1"/>
  <c r="R12" i="1" l="1"/>
  <c r="Z12" i="1" s="1"/>
  <c r="Z9" i="1" l="1"/>
  <c r="Z176" i="1" l="1"/>
  <c r="T112" i="1" l="1"/>
  <c r="T120" i="1" s="1"/>
  <c r="X112" i="1" l="1"/>
  <c r="X120" i="1" s="1"/>
  <c r="T149" i="1" l="1"/>
  <c r="X149" i="1" s="1"/>
  <c r="T184" i="1" l="1"/>
  <c r="X184" i="1" l="1"/>
  <c r="Z185" i="1"/>
  <c r="G21" i="1" l="1"/>
  <c r="H21" i="1"/>
  <c r="J21" i="1"/>
  <c r="K21" i="1"/>
  <c r="L21" i="1"/>
  <c r="O21" i="1"/>
  <c r="O19" i="1"/>
  <c r="L19" i="1"/>
  <c r="K19" i="1"/>
  <c r="J19" i="1"/>
  <c r="H19" i="1"/>
  <c r="G19" i="1"/>
  <c r="R21" i="1" l="1"/>
  <c r="R19" i="1"/>
  <c r="Z21" i="1"/>
  <c r="Z19" i="1" l="1"/>
  <c r="O182" i="1"/>
  <c r="K182" i="1"/>
  <c r="J182" i="1"/>
  <c r="H182" i="1"/>
  <c r="G182" i="1"/>
  <c r="R182" i="1" l="1"/>
  <c r="Z182" i="1" s="1"/>
  <c r="X135" i="1" l="1"/>
  <c r="L183" i="1"/>
  <c r="O181" i="1"/>
  <c r="L181" i="1"/>
  <c r="K181" i="1"/>
  <c r="J181" i="1"/>
  <c r="H181" i="1"/>
  <c r="G181" i="1"/>
  <c r="R181" i="1" l="1"/>
  <c r="Z181" i="1" s="1"/>
  <c r="Z112" i="1"/>
  <c r="T96" i="1" l="1"/>
  <c r="X96" i="1" s="1"/>
  <c r="G184" i="1" l="1"/>
  <c r="H184" i="1"/>
  <c r="J184" i="1"/>
  <c r="K184" i="1"/>
  <c r="L184" i="1"/>
  <c r="O184" i="1"/>
  <c r="G151" i="1"/>
  <c r="H151" i="1"/>
  <c r="J151" i="1"/>
  <c r="K151" i="1"/>
  <c r="L151" i="1"/>
  <c r="O151" i="1"/>
  <c r="R151" i="1" l="1"/>
  <c r="Z151" i="1" s="1"/>
  <c r="R184" i="1"/>
  <c r="Z184" i="1" s="1"/>
  <c r="O16" i="1" l="1"/>
  <c r="L16" i="1"/>
  <c r="K16" i="1"/>
  <c r="J16" i="1"/>
  <c r="H16" i="1"/>
  <c r="G16" i="1"/>
  <c r="R16" i="1" l="1"/>
  <c r="G183" i="1"/>
  <c r="H183" i="1"/>
  <c r="J183" i="1"/>
  <c r="K183" i="1"/>
  <c r="O183" i="1"/>
  <c r="G150" i="1"/>
  <c r="H150" i="1"/>
  <c r="J150" i="1"/>
  <c r="K150" i="1"/>
  <c r="L150" i="1"/>
  <c r="O150" i="1"/>
  <c r="R183" i="1" l="1"/>
  <c r="Z183" i="1" s="1"/>
  <c r="R150" i="1"/>
  <c r="Z150" i="1" s="1"/>
  <c r="G180" i="1" l="1"/>
  <c r="H180" i="1"/>
  <c r="J180" i="1"/>
  <c r="K180" i="1"/>
  <c r="L180" i="1"/>
  <c r="O180" i="1"/>
  <c r="G149" i="1"/>
  <c r="H149" i="1"/>
  <c r="J149" i="1"/>
  <c r="K149" i="1"/>
  <c r="L149" i="1"/>
  <c r="O149" i="1"/>
  <c r="R149" i="1" l="1"/>
  <c r="R180" i="1"/>
  <c r="Z180" i="1" l="1"/>
  <c r="G179" i="1"/>
  <c r="H179" i="1"/>
  <c r="J179" i="1"/>
  <c r="K179" i="1"/>
  <c r="L179" i="1"/>
  <c r="O179" i="1"/>
  <c r="R179" i="1" l="1"/>
  <c r="Z179" i="1" s="1"/>
  <c r="O52" i="1" l="1"/>
  <c r="L52" i="1"/>
  <c r="K52" i="1"/>
  <c r="J52" i="1"/>
  <c r="H52" i="1"/>
  <c r="G52" i="1"/>
  <c r="R52" i="1" l="1"/>
  <c r="Z52" i="1" s="1"/>
  <c r="T71" i="1"/>
  <c r="T79" i="1" s="1"/>
  <c r="T50" i="1"/>
  <c r="T57" i="1" s="1"/>
  <c r="X50" i="1" l="1"/>
  <c r="X57" i="1" s="1"/>
  <c r="X71" i="1"/>
  <c r="X79" i="1" s="1"/>
  <c r="Z16" i="1"/>
  <c r="Z148" i="1"/>
  <c r="G138" i="1" l="1"/>
  <c r="H138" i="1"/>
  <c r="J138" i="1"/>
  <c r="K138" i="1"/>
  <c r="L138" i="1"/>
  <c r="O138" i="1"/>
  <c r="R138" i="1" l="1"/>
  <c r="Z138" i="1" l="1"/>
  <c r="L144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E6" i="4" s="1"/>
  <c r="D6" i="4" s="1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 s="1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4" i="4"/>
  <c r="D4" i="4" s="1"/>
  <c r="O178" i="1"/>
  <c r="L178" i="1"/>
  <c r="K178" i="1"/>
  <c r="J178" i="1"/>
  <c r="H178" i="1"/>
  <c r="G178" i="1"/>
  <c r="O175" i="1"/>
  <c r="L175" i="1"/>
  <c r="K175" i="1"/>
  <c r="J175" i="1"/>
  <c r="H175" i="1"/>
  <c r="G175" i="1"/>
  <c r="O174" i="1"/>
  <c r="L174" i="1"/>
  <c r="K174" i="1"/>
  <c r="J174" i="1"/>
  <c r="H174" i="1"/>
  <c r="G174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45" i="1"/>
  <c r="L145" i="1"/>
  <c r="K145" i="1"/>
  <c r="J145" i="1"/>
  <c r="H145" i="1"/>
  <c r="G145" i="1"/>
  <c r="T147" i="1"/>
  <c r="T191" i="1" s="1"/>
  <c r="O147" i="1"/>
  <c r="L147" i="1"/>
  <c r="K147" i="1"/>
  <c r="J147" i="1"/>
  <c r="H147" i="1"/>
  <c r="G147" i="1"/>
  <c r="O142" i="1"/>
  <c r="L142" i="1"/>
  <c r="K142" i="1"/>
  <c r="J142" i="1"/>
  <c r="H142" i="1"/>
  <c r="G142" i="1"/>
  <c r="O141" i="1"/>
  <c r="L141" i="1"/>
  <c r="K141" i="1"/>
  <c r="J141" i="1"/>
  <c r="H141" i="1"/>
  <c r="G141" i="1"/>
  <c r="O140" i="1"/>
  <c r="L140" i="1"/>
  <c r="K140" i="1"/>
  <c r="J140" i="1"/>
  <c r="H140" i="1"/>
  <c r="G140" i="1"/>
  <c r="O130" i="1"/>
  <c r="L130" i="1"/>
  <c r="K130" i="1"/>
  <c r="J130" i="1"/>
  <c r="H130" i="1"/>
  <c r="G130" i="1"/>
  <c r="O129" i="1"/>
  <c r="L129" i="1"/>
  <c r="K129" i="1"/>
  <c r="J129" i="1"/>
  <c r="H129" i="1"/>
  <c r="G129" i="1"/>
  <c r="O128" i="1"/>
  <c r="L128" i="1"/>
  <c r="E9" i="11" s="1"/>
  <c r="D9" i="11" s="1"/>
  <c r="K128" i="1"/>
  <c r="J128" i="1"/>
  <c r="E7" i="11" s="1"/>
  <c r="D7" i="11" s="1"/>
  <c r="H128" i="1"/>
  <c r="G128" i="1"/>
  <c r="O143" i="1"/>
  <c r="L143" i="1"/>
  <c r="K143" i="1"/>
  <c r="J143" i="1"/>
  <c r="H143" i="1"/>
  <c r="G143" i="1"/>
  <c r="O72" i="1"/>
  <c r="L72" i="1"/>
  <c r="K72" i="1"/>
  <c r="J72" i="1"/>
  <c r="H72" i="1"/>
  <c r="G72" i="1"/>
  <c r="O125" i="1"/>
  <c r="L125" i="1"/>
  <c r="K125" i="1"/>
  <c r="J125" i="1"/>
  <c r="H125" i="1"/>
  <c r="G125" i="1"/>
  <c r="O137" i="1"/>
  <c r="L137" i="1"/>
  <c r="K137" i="1"/>
  <c r="J137" i="1"/>
  <c r="H137" i="1"/>
  <c r="G137" i="1"/>
  <c r="O124" i="1"/>
  <c r="L124" i="1"/>
  <c r="K124" i="1"/>
  <c r="J124" i="1"/>
  <c r="H124" i="1"/>
  <c r="G124" i="1"/>
  <c r="O136" i="1"/>
  <c r="L136" i="1"/>
  <c r="K136" i="1"/>
  <c r="J136" i="1"/>
  <c r="H136" i="1"/>
  <c r="G136" i="1"/>
  <c r="O123" i="1"/>
  <c r="L123" i="1"/>
  <c r="K123" i="1"/>
  <c r="J123" i="1"/>
  <c r="H123" i="1"/>
  <c r="G123" i="1"/>
  <c r="O135" i="1"/>
  <c r="L135" i="1"/>
  <c r="K135" i="1"/>
  <c r="J135" i="1"/>
  <c r="J191" i="1" s="1"/>
  <c r="H135" i="1"/>
  <c r="G135" i="1"/>
  <c r="O31" i="1"/>
  <c r="L31" i="1"/>
  <c r="K31" i="1"/>
  <c r="J31" i="1"/>
  <c r="H31" i="1"/>
  <c r="G31" i="1"/>
  <c r="O98" i="1"/>
  <c r="L98" i="1"/>
  <c r="K98" i="1"/>
  <c r="J98" i="1"/>
  <c r="H98" i="1"/>
  <c r="G98" i="1"/>
  <c r="O144" i="1"/>
  <c r="K144" i="1"/>
  <c r="J144" i="1"/>
  <c r="H144" i="1"/>
  <c r="G144" i="1"/>
  <c r="O67" i="1"/>
  <c r="L67" i="1"/>
  <c r="K67" i="1"/>
  <c r="J67" i="1"/>
  <c r="H67" i="1"/>
  <c r="G67" i="1"/>
  <c r="O71" i="1"/>
  <c r="L71" i="1"/>
  <c r="K71" i="1"/>
  <c r="J71" i="1"/>
  <c r="H71" i="1"/>
  <c r="G71" i="1"/>
  <c r="O115" i="1"/>
  <c r="L115" i="1"/>
  <c r="K115" i="1"/>
  <c r="J115" i="1"/>
  <c r="H115" i="1"/>
  <c r="G115" i="1"/>
  <c r="O96" i="1"/>
  <c r="L96" i="1"/>
  <c r="K96" i="1"/>
  <c r="J96" i="1"/>
  <c r="H96" i="1"/>
  <c r="G96" i="1"/>
  <c r="O106" i="1"/>
  <c r="O109" i="1" s="1"/>
  <c r="L106" i="1"/>
  <c r="L109" i="1" s="1"/>
  <c r="K106" i="1"/>
  <c r="K109" i="1" s="1"/>
  <c r="J106" i="1"/>
  <c r="J109" i="1" s="1"/>
  <c r="H106" i="1"/>
  <c r="H109" i="1" s="1"/>
  <c r="G106" i="1"/>
  <c r="G109" i="1" s="1"/>
  <c r="T95" i="1"/>
  <c r="T102" i="1" s="1"/>
  <c r="O95" i="1"/>
  <c r="L95" i="1"/>
  <c r="K95" i="1"/>
  <c r="J95" i="1"/>
  <c r="H95" i="1"/>
  <c r="G95" i="1"/>
  <c r="O114" i="1"/>
  <c r="L114" i="1"/>
  <c r="K114" i="1"/>
  <c r="J114" i="1"/>
  <c r="H114" i="1"/>
  <c r="G114" i="1"/>
  <c r="O93" i="1"/>
  <c r="L93" i="1"/>
  <c r="L102" i="1" s="1"/>
  <c r="K93" i="1"/>
  <c r="J93" i="1"/>
  <c r="H93" i="1"/>
  <c r="G93" i="1"/>
  <c r="G102" i="1" s="1"/>
  <c r="O11" i="1"/>
  <c r="L11" i="1"/>
  <c r="K11" i="1"/>
  <c r="J11" i="1"/>
  <c r="H11" i="1"/>
  <c r="G11" i="1"/>
  <c r="O50" i="1"/>
  <c r="L50" i="1"/>
  <c r="K50" i="1"/>
  <c r="J50" i="1"/>
  <c r="H50" i="1"/>
  <c r="G50" i="1"/>
  <c r="O94" i="1"/>
  <c r="L94" i="1"/>
  <c r="K94" i="1"/>
  <c r="J94" i="1"/>
  <c r="H94" i="1"/>
  <c r="G94" i="1"/>
  <c r="O48" i="1"/>
  <c r="L48" i="1"/>
  <c r="L57" i="1" s="1"/>
  <c r="K48" i="1"/>
  <c r="J48" i="1"/>
  <c r="H48" i="1"/>
  <c r="G48" i="1"/>
  <c r="G57" i="1" s="1"/>
  <c r="O113" i="1"/>
  <c r="L113" i="1"/>
  <c r="L120" i="1" s="1"/>
  <c r="K113" i="1"/>
  <c r="K120" i="1" s="1"/>
  <c r="J113" i="1"/>
  <c r="J120" i="1" s="1"/>
  <c r="H113" i="1"/>
  <c r="G113" i="1"/>
  <c r="O10" i="1"/>
  <c r="L10" i="1"/>
  <c r="K10" i="1"/>
  <c r="J10" i="1"/>
  <c r="H10" i="1"/>
  <c r="G10" i="1"/>
  <c r="E8" i="7"/>
  <c r="D8" i="7" s="1"/>
  <c r="O82" i="1"/>
  <c r="L82" i="1"/>
  <c r="K82" i="1"/>
  <c r="J82" i="1"/>
  <c r="H82" i="1"/>
  <c r="G82" i="1"/>
  <c r="O68" i="1"/>
  <c r="L68" i="1"/>
  <c r="K68" i="1"/>
  <c r="J68" i="1"/>
  <c r="H68" i="1"/>
  <c r="G68" i="1"/>
  <c r="O15" i="1"/>
  <c r="L15" i="1"/>
  <c r="K15" i="1"/>
  <c r="J15" i="1"/>
  <c r="H15" i="1"/>
  <c r="G15" i="1"/>
  <c r="O53" i="1"/>
  <c r="L53" i="1"/>
  <c r="K53" i="1"/>
  <c r="J53" i="1"/>
  <c r="H53" i="1"/>
  <c r="G53" i="1"/>
  <c r="O60" i="1"/>
  <c r="O62" i="1" s="1"/>
  <c r="L60" i="1"/>
  <c r="L62" i="1" s="1"/>
  <c r="K60" i="1"/>
  <c r="K62" i="1" s="1"/>
  <c r="J60" i="1"/>
  <c r="J62" i="1" s="1"/>
  <c r="H60" i="1"/>
  <c r="H62" i="1" s="1"/>
  <c r="G60" i="1"/>
  <c r="G62" i="1" s="1"/>
  <c r="O55" i="1"/>
  <c r="L55" i="1"/>
  <c r="K55" i="1"/>
  <c r="J55" i="1"/>
  <c r="H55" i="1"/>
  <c r="G55" i="1"/>
  <c r="O54" i="1"/>
  <c r="L54" i="1"/>
  <c r="K54" i="1"/>
  <c r="J54" i="1"/>
  <c r="H54" i="1"/>
  <c r="G54" i="1"/>
  <c r="O51" i="1"/>
  <c r="L51" i="1"/>
  <c r="K51" i="1"/>
  <c r="J51" i="1"/>
  <c r="H51" i="1"/>
  <c r="G51" i="1"/>
  <c r="O49" i="1"/>
  <c r="L49" i="1"/>
  <c r="K49" i="1"/>
  <c r="J49" i="1"/>
  <c r="H49" i="1"/>
  <c r="G49" i="1"/>
  <c r="O26" i="1"/>
  <c r="L26" i="1"/>
  <c r="K26" i="1"/>
  <c r="J26" i="1"/>
  <c r="H26" i="1"/>
  <c r="G26" i="1"/>
  <c r="O85" i="1"/>
  <c r="L85" i="1"/>
  <c r="K85" i="1"/>
  <c r="J85" i="1"/>
  <c r="H85" i="1"/>
  <c r="G85" i="1"/>
  <c r="O22" i="1"/>
  <c r="L22" i="1"/>
  <c r="K22" i="1"/>
  <c r="J22" i="1"/>
  <c r="H22" i="1"/>
  <c r="G22" i="1"/>
  <c r="O20" i="1"/>
  <c r="L20" i="1"/>
  <c r="K20" i="1"/>
  <c r="J20" i="1"/>
  <c r="H20" i="1"/>
  <c r="G20" i="1"/>
  <c r="O14" i="1"/>
  <c r="L14" i="1"/>
  <c r="K14" i="1"/>
  <c r="J14" i="1"/>
  <c r="H14" i="1"/>
  <c r="G14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K89" i="1" l="1"/>
  <c r="H79" i="1"/>
  <c r="G89" i="1"/>
  <c r="L89" i="1"/>
  <c r="H57" i="1"/>
  <c r="O57" i="1"/>
  <c r="H102" i="1"/>
  <c r="O102" i="1"/>
  <c r="J79" i="1"/>
  <c r="H89" i="1"/>
  <c r="O89" i="1"/>
  <c r="J57" i="1"/>
  <c r="J102" i="1"/>
  <c r="K79" i="1"/>
  <c r="G191" i="1"/>
  <c r="L191" i="1"/>
  <c r="O79" i="1"/>
  <c r="J89" i="1"/>
  <c r="K57" i="1"/>
  <c r="K102" i="1"/>
  <c r="G79" i="1"/>
  <c r="L79" i="1"/>
  <c r="H191" i="1"/>
  <c r="K191" i="1"/>
  <c r="O191" i="1"/>
  <c r="H120" i="1"/>
  <c r="R178" i="1"/>
  <c r="G120" i="1"/>
  <c r="O120" i="1"/>
  <c r="X95" i="1"/>
  <c r="X102" i="1" s="1"/>
  <c r="X147" i="1"/>
  <c r="X191" i="1" s="1"/>
  <c r="R26" i="1"/>
  <c r="Z26" i="1" s="1"/>
  <c r="R20" i="1"/>
  <c r="R14" i="1"/>
  <c r="R22" i="1"/>
  <c r="R15" i="1"/>
  <c r="R10" i="1"/>
  <c r="R11" i="1"/>
  <c r="R31" i="1"/>
  <c r="Z31" i="1" s="1"/>
  <c r="F192" i="1"/>
  <c r="AE65" i="74" s="1"/>
  <c r="E12" i="7"/>
  <c r="D12" i="7" s="1"/>
  <c r="E9" i="7"/>
  <c r="D9" i="7" s="1"/>
  <c r="E10" i="7"/>
  <c r="D10" i="7" s="1"/>
  <c r="E6" i="7"/>
  <c r="D6" i="7" s="1"/>
  <c r="Z149" i="1"/>
  <c r="E8" i="6"/>
  <c r="D8" i="6" s="1"/>
  <c r="E12" i="6"/>
  <c r="D12" i="6" s="1"/>
  <c r="E9" i="6"/>
  <c r="D9" i="6" s="1"/>
  <c r="E6" i="6"/>
  <c r="D6" i="6" s="1"/>
  <c r="R94" i="1"/>
  <c r="R4" i="12"/>
  <c r="R7" i="12"/>
  <c r="R8" i="12"/>
  <c r="R145" i="1"/>
  <c r="Z145" i="1" s="1"/>
  <c r="R163" i="1"/>
  <c r="Z163" i="1" s="1"/>
  <c r="R96" i="1"/>
  <c r="Z96" i="1" s="1"/>
  <c r="R53" i="1"/>
  <c r="Z53" i="1" s="1"/>
  <c r="R113" i="1"/>
  <c r="R169" i="1"/>
  <c r="Z169" i="1" s="1"/>
  <c r="R171" i="1"/>
  <c r="Z171" i="1" s="1"/>
  <c r="R68" i="1"/>
  <c r="R54" i="1"/>
  <c r="Z54" i="1" s="1"/>
  <c r="R71" i="1"/>
  <c r="Z71" i="1" s="1"/>
  <c r="R123" i="1"/>
  <c r="R144" i="1"/>
  <c r="Z144" i="1" s="1"/>
  <c r="R51" i="1"/>
  <c r="R114" i="1"/>
  <c r="R95" i="1"/>
  <c r="R98" i="1"/>
  <c r="Z98" i="1" s="1"/>
  <c r="R124" i="1"/>
  <c r="Z124" i="1" s="1"/>
  <c r="R125" i="1"/>
  <c r="R72" i="1"/>
  <c r="R129" i="1"/>
  <c r="Z129" i="1" s="1"/>
  <c r="R140" i="1"/>
  <c r="R141" i="1"/>
  <c r="Z141" i="1" s="1"/>
  <c r="R147" i="1"/>
  <c r="R165" i="1"/>
  <c r="Z165" i="1" s="1"/>
  <c r="R166" i="1"/>
  <c r="Z166" i="1" s="1"/>
  <c r="R173" i="1"/>
  <c r="Z173" i="1" s="1"/>
  <c r="R175" i="1"/>
  <c r="Z175" i="1" s="1"/>
  <c r="R85" i="1"/>
  <c r="R48" i="1"/>
  <c r="R106" i="1"/>
  <c r="R109" i="1" s="1"/>
  <c r="R115" i="1"/>
  <c r="Z115" i="1" s="1"/>
  <c r="R162" i="1"/>
  <c r="Z162" i="1" s="1"/>
  <c r="R168" i="1"/>
  <c r="R170" i="1"/>
  <c r="Z170" i="1" s="1"/>
  <c r="R143" i="1"/>
  <c r="Z143" i="1" s="1"/>
  <c r="R55" i="1"/>
  <c r="Z55" i="1" s="1"/>
  <c r="R50" i="1"/>
  <c r="R93" i="1"/>
  <c r="R136" i="1"/>
  <c r="R137" i="1"/>
  <c r="R128" i="1"/>
  <c r="Z128" i="1" s="1"/>
  <c r="R130" i="1"/>
  <c r="Z130" i="1" s="1"/>
  <c r="R142" i="1"/>
  <c r="Z142" i="1" s="1"/>
  <c r="R164" i="1"/>
  <c r="Z164" i="1" s="1"/>
  <c r="R167" i="1"/>
  <c r="R172" i="1"/>
  <c r="R174" i="1"/>
  <c r="Z174" i="1" s="1"/>
  <c r="Z178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E6" i="13"/>
  <c r="D6" i="13" s="1"/>
  <c r="R49" i="1"/>
  <c r="R82" i="1"/>
  <c r="R89" i="1" s="1"/>
  <c r="R135" i="1"/>
  <c r="R60" i="1"/>
  <c r="R62" i="1" s="1"/>
  <c r="C14" i="23"/>
  <c r="E10" i="6"/>
  <c r="D10" i="6" s="1"/>
  <c r="E12" i="11"/>
  <c r="D12" i="11" s="1"/>
  <c r="D4" i="5"/>
  <c r="D5" i="9" l="1"/>
  <c r="R102" i="1"/>
  <c r="R191" i="1"/>
  <c r="R57" i="1"/>
  <c r="R79" i="1"/>
  <c r="Z137" i="1"/>
  <c r="R120" i="1"/>
  <c r="Z72" i="1"/>
  <c r="Z50" i="1"/>
  <c r="Z20" i="1"/>
  <c r="Z140" i="1"/>
  <c r="Z168" i="1"/>
  <c r="Z106" i="1"/>
  <c r="Z109" i="1" s="1"/>
  <c r="Z67" i="1"/>
  <c r="Z48" i="1"/>
  <c r="E14" i="7"/>
  <c r="D14" i="7" s="1"/>
  <c r="Z85" i="1"/>
  <c r="Z68" i="1"/>
  <c r="Z136" i="1"/>
  <c r="Z114" i="1"/>
  <c r="Z93" i="1"/>
  <c r="Z94" i="1"/>
  <c r="Z11" i="1"/>
  <c r="Z113" i="1"/>
  <c r="Z123" i="1"/>
  <c r="Z14" i="1"/>
  <c r="Z147" i="1"/>
  <c r="Z135" i="1"/>
  <c r="Z15" i="1"/>
  <c r="Z167" i="1"/>
  <c r="Z51" i="1"/>
  <c r="Z172" i="1"/>
  <c r="Z22" i="1"/>
  <c r="Z10" i="1"/>
  <c r="Z125" i="1"/>
  <c r="Z95" i="1"/>
  <c r="E14" i="4"/>
  <c r="D14" i="4" s="1"/>
  <c r="D5" i="7"/>
  <c r="D14" i="5"/>
  <c r="E14" i="5"/>
  <c r="Z49" i="1"/>
  <c r="L17" i="1"/>
  <c r="L39" i="1" s="1"/>
  <c r="E14" i="13"/>
  <c r="D14" i="13" s="1"/>
  <c r="K17" i="1"/>
  <c r="K39" i="1" s="1"/>
  <c r="E13" i="8"/>
  <c r="D13" i="8" s="1"/>
  <c r="G17" i="1"/>
  <c r="G39" i="1" s="1"/>
  <c r="O17" i="1"/>
  <c r="O39" i="1" s="1"/>
  <c r="J17" i="1"/>
  <c r="J39" i="1" s="1"/>
  <c r="H17" i="1"/>
  <c r="H39" i="1" s="1"/>
  <c r="L126" i="1"/>
  <c r="L132" i="1" s="1"/>
  <c r="Z82" i="1"/>
  <c r="Z89" i="1" s="1"/>
  <c r="Z60" i="1"/>
  <c r="E14" i="6"/>
  <c r="D14" i="6" s="1"/>
  <c r="Z57" i="1" l="1"/>
  <c r="Z79" i="1"/>
  <c r="Z102" i="1"/>
  <c r="Z191" i="1"/>
  <c r="Z120" i="1"/>
  <c r="H48" i="68" s="1"/>
  <c r="Z62" i="1"/>
  <c r="H43" i="68" s="1"/>
  <c r="H47" i="68"/>
  <c r="H41" i="68"/>
  <c r="R17" i="1"/>
  <c r="R39" i="1" s="1"/>
  <c r="J126" i="1"/>
  <c r="J132" i="1" s="1"/>
  <c r="O126" i="1"/>
  <c r="O132" i="1" s="1"/>
  <c r="K126" i="1"/>
  <c r="K132" i="1" s="1"/>
  <c r="G126" i="1"/>
  <c r="G132" i="1" s="1"/>
  <c r="H126" i="1"/>
  <c r="H132" i="1" s="1"/>
  <c r="H45" i="68" l="1"/>
  <c r="H42" i="68"/>
  <c r="H46" i="68"/>
  <c r="H44" i="68"/>
  <c r="H50" i="68"/>
  <c r="Z17" i="1"/>
  <c r="Z39" i="1" s="1"/>
  <c r="R126" i="1"/>
  <c r="R132" i="1" s="1"/>
  <c r="Z126" i="1" l="1"/>
  <c r="Z132" i="1" s="1"/>
  <c r="H49" i="68" l="1"/>
  <c r="H40" i="68"/>
  <c r="H51" i="68" l="1"/>
  <c r="P192" i="1"/>
  <c r="H192" i="1"/>
  <c r="L192" i="1"/>
  <c r="Q192" i="1"/>
  <c r="W192" i="1"/>
  <c r="G192" i="1"/>
  <c r="K192" i="1"/>
  <c r="Z192" i="1"/>
  <c r="I192" i="1"/>
  <c r="U192" i="1"/>
  <c r="V192" i="1"/>
  <c r="M192" i="1"/>
  <c r="O192" i="1"/>
  <c r="R192" i="1"/>
  <c r="J192" i="1"/>
  <c r="X192" i="1"/>
  <c r="T192" i="1"/>
  <c r="G23" i="68" l="1"/>
  <c r="G25" i="68"/>
  <c r="G24" i="68"/>
  <c r="G22" i="68"/>
  <c r="H20" i="68"/>
  <c r="H26" i="68" l="1"/>
  <c r="H27" i="68" s="1"/>
  <c r="H29" i="68" l="1"/>
</calcChain>
</file>

<file path=xl/sharedStrings.xml><?xml version="1.0" encoding="utf-8"?>
<sst xmlns="http://schemas.openxmlformats.org/spreadsheetml/2006/main" count="7105" uniqueCount="696">
  <si>
    <t xml:space="preserve"> </t>
  </si>
  <si>
    <t>STAFF PAYROLL FOR THE MONTH OF APRIL 2022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</si>
  <si>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</si>
  <si>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</si>
  <si>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</si>
  <si>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</si>
  <si>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</si>
  <si>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</si>
  <si>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</si>
  <si>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</si>
  <si>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HARDSHIP</t>
  </si>
  <si>
    <t>LEAVE</t>
  </si>
  <si>
    <t>OUT FIT</t>
  </si>
  <si>
    <t>LEGISLATIVE</t>
  </si>
  <si>
    <t>GROSS</t>
  </si>
  <si>
    <t>MARCH,2022</t>
  </si>
  <si>
    <t>APRIL,2022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</si>
  <si>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</si>
  <si>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</si>
  <si>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</si>
  <si>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</si>
  <si>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</si>
  <si>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</si>
  <si>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</si>
  <si>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</si>
  <si>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</si>
  <si>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</si>
  <si>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</si>
  <si>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</si>
  <si>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AUCTION</t>
  </si>
  <si>
    <t>COOP SOCIETY</t>
  </si>
  <si>
    <t>COOP. LOAN RECOVERY</t>
  </si>
  <si>
    <t>NHF DEDUCTION</t>
  </si>
  <si>
    <t>PAYE</t>
  </si>
  <si>
    <t>TOTAL</t>
  </si>
  <si>
    <t>S/N</t>
  </si>
  <si>
    <t>DG OFFICE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</si>
  <si>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</si>
  <si>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</si>
  <si>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</si>
  <si>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</si>
  <si>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</si>
  <si>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</si>
  <si>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</si>
  <si>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DR JAKE DABANG DAN AZUMI</t>
  </si>
  <si>
    <t>DEPUTY DIRECTOR  TRAINING</t>
  </si>
  <si>
    <t>16(8)</t>
  </si>
  <si>
    <t>DR ABDULSALAM NASIRU NAEEM</t>
  </si>
  <si>
    <t>SA ACADEMICS</t>
  </si>
  <si>
    <t>RAHEEM USMAN AYIGORO</t>
  </si>
  <si>
    <t>SA-INFRASTRUCTURE</t>
  </si>
  <si>
    <t>16 (8)</t>
  </si>
  <si>
    <t>AKINSANMI ADEJOKE OLUKEMI</t>
  </si>
  <si>
    <t>HEAD INFORMATION/PROTOCOL</t>
  </si>
  <si>
    <t>15(9)</t>
  </si>
  <si>
    <t>DR IKEME ARTHUR J.O</t>
  </si>
  <si>
    <t>SNR RESEARCH FELLOW</t>
  </si>
  <si>
    <t>MOSHOOD M. OLALERE</t>
  </si>
  <si>
    <t>MANAGER ADMIN DG's OFFICE</t>
  </si>
  <si>
    <t>ANDRAWUS MUSA</t>
  </si>
  <si>
    <t xml:space="preserve">ASST. DIRECTOR, STORE </t>
  </si>
  <si>
    <t>AYOBOLU OLAJIDE OLUFUNSHO</t>
  </si>
  <si>
    <t>ASST.DIR., INFORMATION</t>
  </si>
  <si>
    <t>15 (7)</t>
  </si>
  <si>
    <t>HUSSEIN EGYE MUSA</t>
  </si>
  <si>
    <t>CHIEF PROTOCOL OFFICER</t>
  </si>
  <si>
    <t>14(9)</t>
  </si>
  <si>
    <t>DONALD E. MKPANAM</t>
  </si>
  <si>
    <t>CHIEF ICT OFFICER</t>
  </si>
  <si>
    <t>JOY HARUNA MAKERI</t>
  </si>
  <si>
    <t>RESEARCH FELLOW 1 TRAINING</t>
  </si>
  <si>
    <t>ALI ABDULLAHI</t>
  </si>
  <si>
    <t>ASST. CHIEF ICT OFFICER</t>
  </si>
  <si>
    <t>13(11)</t>
  </si>
  <si>
    <t>MARIAM MOHAMMED BELLO</t>
  </si>
  <si>
    <t>SA- SPECIAL DUTIES</t>
  </si>
  <si>
    <t>13 (7)</t>
  </si>
  <si>
    <t>PERCY TERFA GBAHABO</t>
  </si>
  <si>
    <t>HEAD, NILDS LIAISON OFFICE</t>
  </si>
  <si>
    <t>13(8)</t>
  </si>
  <si>
    <t>ADUGBA RICHARD TERSEER</t>
  </si>
  <si>
    <t>INFORMATION OFFICER</t>
  </si>
  <si>
    <t>10(10)</t>
  </si>
  <si>
    <t>CHRISTIAN MADUABUCHI ODO</t>
  </si>
  <si>
    <t>PRINCIPAL ICT OFFICER</t>
  </si>
  <si>
    <t>12(8)</t>
  </si>
  <si>
    <t>HASSANA AHMED IBRAHIM</t>
  </si>
  <si>
    <t>PA- TO DG</t>
  </si>
  <si>
    <t>VICTOR ASUKWO</t>
  </si>
  <si>
    <t>ICT OFFICER</t>
  </si>
  <si>
    <t>8 (10)</t>
  </si>
  <si>
    <t>SULEIMAN ABUBAKAR SODEEQ</t>
  </si>
  <si>
    <t>ASST. ADMIN. OFFICER</t>
  </si>
  <si>
    <t>8(7)</t>
  </si>
  <si>
    <t>YAKUB OLUWATOYIN USMAN</t>
  </si>
  <si>
    <t>10(8)</t>
  </si>
  <si>
    <t>ANTHONY EDET</t>
  </si>
  <si>
    <t>ASST. MGR  M&amp;E</t>
  </si>
  <si>
    <t>13(9)</t>
  </si>
  <si>
    <t>EGUATU U. ONYEJELEM</t>
  </si>
  <si>
    <t>OFFICER M&amp;E</t>
  </si>
  <si>
    <t>ODEH SUZIE</t>
  </si>
  <si>
    <t>ADMIN. OFFICER, LIASION OFFICE</t>
  </si>
  <si>
    <t>10(9)</t>
  </si>
  <si>
    <t>IJEOMA NKOLIKWA</t>
  </si>
  <si>
    <t>ASSISTANT STORES OFFICER</t>
  </si>
  <si>
    <t>8(10)</t>
  </si>
  <si>
    <t>ABDULRAHMAN A SULAIMAN</t>
  </si>
  <si>
    <t>8 (9)</t>
  </si>
  <si>
    <t>TASSNEEM IBRAHIM</t>
  </si>
  <si>
    <t>ASSIST. INFORMATION</t>
  </si>
  <si>
    <t>8(9)</t>
  </si>
  <si>
    <t>JIMOH ADEBAYO ZAKA</t>
  </si>
  <si>
    <t>ASST. OFFICER/COMM</t>
  </si>
  <si>
    <t>HABEEBA K MUHAMMAD SALIHU</t>
  </si>
  <si>
    <t>INTERNAL AUDIT</t>
  </si>
  <si>
    <t>OSANAIYE DAVID AKINYEMI</t>
  </si>
  <si>
    <t>DIRECTOR INTERNAL AUDIT</t>
  </si>
  <si>
    <t>17(8)</t>
  </si>
  <si>
    <t>JAMILA ABDUL</t>
  </si>
  <si>
    <t>AUDITOR II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</si>
  <si>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</si>
  <si>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</si>
  <si>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</si>
  <si>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</si>
  <si>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</si>
  <si>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</si>
  <si>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</si>
  <si>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</si>
  <si>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15(8)</t>
  </si>
  <si>
    <t>IBRAHIM USMAN</t>
  </si>
  <si>
    <t>RESEARCH FELLOW I</t>
  </si>
  <si>
    <t>14(11)</t>
  </si>
  <si>
    <t>DR MOHAMMED O. AMALI</t>
  </si>
  <si>
    <t>YAHAYA SHAMSU</t>
  </si>
  <si>
    <t>RESEARCH FELLOW 1</t>
  </si>
  <si>
    <t>OFORDEME ADAOBI JULIA</t>
  </si>
  <si>
    <t>RESEARCH FELLOW 11</t>
  </si>
  <si>
    <t>13(10)</t>
  </si>
  <si>
    <t>DORIS DAKDA AARON</t>
  </si>
  <si>
    <t>RESEARCH FELLOW II</t>
  </si>
  <si>
    <t>ZAINAB AKINDE</t>
  </si>
  <si>
    <t>RESEARCH OFFICER</t>
  </si>
  <si>
    <t>9(7)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</si>
  <si>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</si>
  <si>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</si>
  <si>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</si>
  <si>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</si>
  <si>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</si>
  <si>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</si>
  <si>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AND GOVERNANCE</t>
  </si>
  <si>
    <t>DR. ADEWALE ADEREMI</t>
  </si>
  <si>
    <t>DIRECTOR, DEMOCRATIC STUDIES</t>
  </si>
  <si>
    <t>NDANUSA MOHAMMED MANZUMA</t>
  </si>
  <si>
    <t>EMILY EDOISA IKHIDE</t>
  </si>
  <si>
    <t>EJALONIBU GANIYU LAYI</t>
  </si>
  <si>
    <t>LONA POLIT BONKAT</t>
  </si>
  <si>
    <t>YUNUSA ABDULLAHI</t>
  </si>
  <si>
    <t>UDEFUNA NNADOZIE PATRICK</t>
  </si>
  <si>
    <t>10(13)</t>
  </si>
  <si>
    <t>OSOLAFIA MUHAMMAD EGYE</t>
  </si>
  <si>
    <t>PRINCIPAL RESEARCH OFFICER</t>
  </si>
  <si>
    <t>SHAFIU YAHYA MIKAIL</t>
  </si>
  <si>
    <t>12(7)</t>
  </si>
  <si>
    <t>HASSAN YERIMA</t>
  </si>
  <si>
    <t>HAUWA PATE SADIQ</t>
  </si>
  <si>
    <t>PROGRAMME OFFICER</t>
  </si>
  <si>
    <t>ABAYOMI KAYODE QUADRI</t>
  </si>
  <si>
    <t>10(7)</t>
  </si>
  <si>
    <t>NNANDI LIVINUS ATURE</t>
  </si>
  <si>
    <t>RESEARCH ASSISTANT</t>
  </si>
  <si>
    <t>LUCKY AGWOM</t>
  </si>
  <si>
    <t>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</si>
  <si>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</si>
  <si>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</si>
  <si>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</si>
  <si>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</si>
  <si>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</si>
  <si>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</si>
  <si>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UZODINMA EMMANUEL EZENWA</t>
  </si>
  <si>
    <t>IGWE STACY</t>
  </si>
  <si>
    <t>DARE SHEU MAGBON</t>
  </si>
  <si>
    <t>ASSIST. PG</t>
  </si>
  <si>
    <t>MOHAMMED BELLO</t>
  </si>
  <si>
    <t>RESEARCH ASSITANT PG</t>
  </si>
  <si>
    <t>ECONOMIC DEV. AND SOCIAL RESEARCH</t>
  </si>
  <si>
    <t>DR ASEMOTA OMOROGBE JOSEPH</t>
  </si>
  <si>
    <t>Ag. DEPUTY DIRECTOR, ECO &amp; SOC DEV DEPT</t>
  </si>
  <si>
    <t>TERFA WILLIAMS ABRAHAM</t>
  </si>
  <si>
    <t>DR AUGUSTINE C. OSIGWE</t>
  </si>
  <si>
    <t>NGARA CHRISTOPHER OCHANJA</t>
  </si>
  <si>
    <t>14(10)</t>
  </si>
  <si>
    <t>OMOJU OLUWASOLA EMMANUEL</t>
  </si>
  <si>
    <t>FESTUS OSAGU NDIDI</t>
  </si>
  <si>
    <t>14(7)</t>
  </si>
  <si>
    <t>IBE EZECHI CYRIACUS</t>
  </si>
  <si>
    <t>OSIKHEN LEO IGBANOI</t>
  </si>
  <si>
    <t>OKUNGBOWA OSARETIN GODSPOWER</t>
  </si>
  <si>
    <t>YUSUF IBRAHIM</t>
  </si>
  <si>
    <t>TRAINING AND INTERNATIONAL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</si>
  <si>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</si>
  <si>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</si>
  <si>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</si>
  <si>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</si>
  <si>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</si>
  <si>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</si>
  <si>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</si>
  <si>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TRAINING OFFICER </t>
  </si>
  <si>
    <t>10(11)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</si>
  <si>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</si>
  <si>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</si>
  <si>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</si>
  <si>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</si>
  <si>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</si>
  <si>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</si>
  <si>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</si>
  <si>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</si>
  <si>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</si>
  <si>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</si>
  <si>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TITILAYO DANIEL MARVELLOUS</t>
  </si>
  <si>
    <t>ENENCHE JEREMIAH AGADA</t>
  </si>
  <si>
    <t>ABBAS ZAINAB</t>
  </si>
  <si>
    <t>FINANCE &amp; ACCOUNT</t>
  </si>
  <si>
    <t>IBRAHIM M. MSHELIA</t>
  </si>
  <si>
    <t>DIR. FINANCE &amp; ACCOUNTS</t>
  </si>
  <si>
    <t>KABIR MUHAMMAD SULAIMAN</t>
  </si>
  <si>
    <t>DD FINANCE &amp; ACCOUNTS</t>
  </si>
  <si>
    <t>16(9)</t>
  </si>
  <si>
    <t>RAHILA NURUDEEN HABU</t>
  </si>
  <si>
    <t>ASST. DIRECTOR, ACCOUNTS</t>
  </si>
  <si>
    <t>TONDO IORWUESE EDWARD</t>
  </si>
  <si>
    <t>ARAOYE GANIYAT TITILOLA</t>
  </si>
  <si>
    <t>15(7)</t>
  </si>
  <si>
    <t>SHEHU ABDULLAHI</t>
  </si>
  <si>
    <t>ASST. 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</si>
  <si>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</si>
  <si>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</si>
  <si>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</si>
  <si>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</si>
  <si>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</si>
  <si>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13 (8)</t>
  </si>
  <si>
    <t>9</t>
  </si>
  <si>
    <t>ADMINISTRATION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</si>
  <si>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</si>
  <si>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</si>
  <si>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</si>
  <si>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</si>
  <si>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</si>
  <si>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</si>
  <si>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</si>
  <si>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ASST.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</si>
  <si>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</si>
  <si>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</si>
  <si>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</si>
  <si>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</si>
  <si>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</si>
  <si>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</si>
  <si>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</si>
  <si>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</si>
  <si>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</si>
  <si>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</si>
  <si>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</si>
  <si>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</si>
  <si>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</si>
  <si>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SENIOR CONFIDENTIAL SECR</t>
  </si>
  <si>
    <t>ABDULWAHAB DAHIRU</t>
  </si>
  <si>
    <t>ADMIN OFFICER</t>
  </si>
  <si>
    <t>BASSEY NSONGURUA UDOFIA</t>
  </si>
  <si>
    <t>CONFIDENTIAL SECRETARY</t>
  </si>
  <si>
    <t>YUSIF SADIQ SANI</t>
  </si>
  <si>
    <t>STELLA NGOZI PAUL</t>
  </si>
  <si>
    <t>OWOEYE TOSIN KAYODE</t>
  </si>
  <si>
    <t>ISERE RICHARD KANTEE</t>
  </si>
  <si>
    <t>SNR ADMIN OFFICER</t>
  </si>
  <si>
    <t>NAZIRU RABIU IBRAHIM</t>
  </si>
  <si>
    <t>GIDEON B. LAMIDO</t>
  </si>
  <si>
    <t>ASST OFFICER ASSETS &amp; MAINT</t>
  </si>
  <si>
    <t>IWODI ENE JUDITH</t>
  </si>
  <si>
    <t>SARATU H. GWALEM</t>
  </si>
  <si>
    <t>ADMIN. ASSISTANT DLSS</t>
  </si>
  <si>
    <t>BUKOLA HAUWA SHIRU</t>
  </si>
  <si>
    <t>ADMIN. ASST.</t>
  </si>
  <si>
    <t>OLOLADE ABRU IDOWU</t>
  </si>
  <si>
    <t>CHARITY EZENWAJIOBI</t>
  </si>
  <si>
    <t>CHRISTABEL UKOH</t>
  </si>
  <si>
    <t>HARUNA MUSA</t>
  </si>
  <si>
    <t>OLATUNJI OYEDELE YUSUF</t>
  </si>
  <si>
    <t>CHIEF DRIVER</t>
  </si>
  <si>
    <t>7(4)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</si>
  <si>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</si>
  <si>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</si>
  <si>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</si>
  <si>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</si>
  <si>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</si>
  <si>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</si>
  <si>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</si>
  <si>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</si>
  <si>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5(13)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</si>
  <si>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</si>
  <si>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</si>
  <si>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</si>
  <si>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</si>
  <si>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</si>
  <si>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</si>
  <si>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</si>
  <si>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5(10)</t>
  </si>
  <si>
    <t>JOHN GIMAH</t>
  </si>
  <si>
    <t>ABUBAKAR MUSA DANLAMI</t>
  </si>
  <si>
    <t>5(11)</t>
  </si>
  <si>
    <t>OYINLOLA ISMAHEEL TAIWO</t>
  </si>
  <si>
    <t>5(9)</t>
  </si>
  <si>
    <t>IBRAHIM ZAKARI AHMAD</t>
  </si>
  <si>
    <t>DRIVER</t>
  </si>
  <si>
    <t>5 (8)</t>
  </si>
  <si>
    <t>SHEDRACK NASARA M.</t>
  </si>
  <si>
    <t>IBRAHIM ALIYU</t>
  </si>
  <si>
    <t>ABUBAKAR AMINU DOLE</t>
  </si>
  <si>
    <t>DARAMOLA SANJO SAMSON</t>
  </si>
  <si>
    <t>JONATHAN GABRIEL</t>
  </si>
  <si>
    <t>4(10)</t>
  </si>
  <si>
    <t>ZHOKWO PETER</t>
  </si>
  <si>
    <t>JOHN ETIMBUK UDO</t>
  </si>
  <si>
    <t>ABDULLAHI YUSUF</t>
  </si>
  <si>
    <t>5(8)</t>
  </si>
  <si>
    <t>LAWAL TANIMU</t>
  </si>
  <si>
    <t>4(8)</t>
  </si>
  <si>
    <t>SUNDAY ADEYI</t>
  </si>
  <si>
    <t>56</t>
  </si>
  <si>
    <t>GRAND TOTAL</t>
  </si>
  <si>
    <t>PREPARED BY:</t>
  </si>
  <si>
    <t>SIGNATURE</t>
  </si>
  <si>
    <t>DATE</t>
  </si>
  <si>
    <t>NATIONAL INSTITUTE FOR LEGISLATIVE AND DEMOCRATIC STUDIES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</si>
  <si>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</si>
  <si>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</si>
  <si>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</si>
  <si>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</si>
  <si>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</si>
  <si>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</si>
  <si>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</si>
  <si>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</si>
  <si>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</si>
  <si>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</si>
  <si>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</si>
  <si>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</si>
  <si>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ASST. DIRECTOR, FINANCE AND ACCOUNTS</t>
  </si>
  <si>
    <t xml:space="preserve">DATE: </t>
  </si>
  <si>
    <t>30th APRIL, 2022</t>
  </si>
  <si>
    <t>SUBJECT: PAYROLL FOR THE MONTH OF APRIL, 2022</t>
  </si>
  <si>
    <t>Find below the details of NILDS Staff Payroll for the month of  March, 2022</t>
  </si>
  <si>
    <t>GROSS SALARY FOR APRIL, 2022</t>
  </si>
  <si>
    <t>COOP SOCIETY DEDUCTIONS</t>
  </si>
  <si>
    <t>COOP LOAN RECOVERY</t>
  </si>
  <si>
    <t>PAYE DEDUCTIONS</t>
  </si>
  <si>
    <t>NHF DEDUCTIONS</t>
  </si>
  <si>
    <t>TOTAL DEDUCTIONS FOR APRIL, 2022</t>
  </si>
  <si>
    <t>NET PAY AS PER APRIL, 2022 PAYROLL</t>
  </si>
  <si>
    <t>NET PAY AS PER  MARCH, 2022 PAYROLL</t>
  </si>
  <si>
    <t>NET INCREASE/ (DECREASE)  IN PAY FOR  APRIL, 2022</t>
  </si>
  <si>
    <t>ANALYSED AS FOLLOWS:</t>
  </si>
  <si>
    <t>Effect of Cooperative adjustment for April 2022</t>
  </si>
  <si>
    <t>Net effect of removal of payment of 14 days salary to Emily Ekhide</t>
  </si>
  <si>
    <t>Net effect of NHF adjustment</t>
  </si>
  <si>
    <t>Net effect of salary adjustment of Maryam Bello from PA to SA</t>
  </si>
  <si>
    <t>Net effect of salary adjustment of Livinus Nnandi from grade 8 to 9 &amp; 2 months arrears</t>
  </si>
  <si>
    <t xml:space="preserve">Net effect of enrolment of new Staff Jamila Abdul &amp; 7 others in payrol on pro-rata </t>
  </si>
  <si>
    <t>MARCH, 2022</t>
  </si>
  <si>
    <t>APRIL, 2022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</si>
  <si>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</si>
  <si>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</si>
  <si>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</si>
  <si>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</si>
  <si>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</si>
  <si>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</si>
  <si>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</si>
  <si>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</si>
  <si>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International</t>
  </si>
  <si>
    <t>Library &amp; Documentation</t>
  </si>
  <si>
    <t>Finance and Accounts</t>
  </si>
  <si>
    <t>Admin &amp; HR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</si>
  <si>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N37,904,134.49 </t>
    </r>
    <r>
      <rPr>
        <sz val="14"/>
        <rFont val="Times New Roman"/>
        <family val="1"/>
      </rPr>
      <t xml:space="preserve">to Guaranty Trust Bank  being  April 2022 Salary, </t>
    </r>
    <r>
      <rPr>
        <b/>
        <sz val="14"/>
        <rFont val="Times New Roman"/>
        <family val="1"/>
      </rPr>
      <t xml:space="preserve">N11,613,080.74 </t>
    </r>
    <r>
      <rPr>
        <sz val="14"/>
        <rFont val="Times New Roman"/>
        <family val="1"/>
      </rPr>
      <t>being NILDS Coop Society deductions for April 2022</t>
    </r>
    <r>
      <rPr>
        <b/>
        <sz val="14"/>
        <rFont val="Times New Roman"/>
        <family val="1"/>
      </rPr>
      <t xml:space="preserve"> N1,499,928.27 </t>
    </r>
    <r>
      <rPr>
        <sz val="14"/>
        <rFont val="Times New Roman"/>
        <family val="1"/>
      </rPr>
      <t xml:space="preserve">being PAYE Tax Deductions from Staff Salary for the month  of April 2022 and </t>
    </r>
    <r>
      <rPr>
        <b/>
        <sz val="14"/>
        <rFont val="Times New Roman"/>
        <family val="1"/>
      </rPr>
      <t xml:space="preserve">N26,877.44 </t>
    </r>
    <r>
      <rPr>
        <sz val="14"/>
        <rFont val="Times New Roman"/>
        <family val="1"/>
      </rPr>
      <t xml:space="preserve"> being NHF deductions from staff for April 2022 </t>
    </r>
  </si>
  <si>
    <t>IORWUESE TONDO</t>
  </si>
  <si>
    <t>Asst.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</si>
  <si>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</si>
  <si>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</si>
  <si>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STAFF PAYROLL FOR THE MONTH OF DECEMBER, 2021</t>
  </si>
  <si>
    <t>NEW GROSS</t>
  </si>
  <si>
    <t>OLD GROSS</t>
  </si>
  <si>
    <t>DIFFERENCE</t>
  </si>
  <si>
    <t>OLD PAYE</t>
  </si>
  <si>
    <t>NEW PAYE</t>
  </si>
  <si>
    <t>SARAFADEEN ALABELEWE</t>
  </si>
  <si>
    <t>SA- ADMIN</t>
  </si>
  <si>
    <t>PA- SPECIAL DUTIES</t>
  </si>
  <si>
    <t>IKPEAZU CHINEDU ANITA</t>
  </si>
  <si>
    <t>14(8)</t>
  </si>
  <si>
    <t>JUMARE FADILA</t>
  </si>
  <si>
    <t>RIFKATU NGHARGBU</t>
  </si>
  <si>
    <t>`12333</t>
  </si>
  <si>
    <t>USMAN WAZIRI</t>
  </si>
  <si>
    <t>55</t>
  </si>
  <si>
    <t>STAFF PAYROLL FOR THE MONTH OF FEBRUARY 2022</t>
  </si>
  <si>
    <t>15 and Above</t>
  </si>
  <si>
    <t>9 to 14</t>
  </si>
  <si>
    <t>8 and Below</t>
  </si>
  <si>
    <t>SCHEDULE OF 13TH MONTH SALARY FOR 3 STAFF FOR YEAR, 2021</t>
  </si>
  <si>
    <t>NOVEMBER,2021</t>
  </si>
  <si>
    <t>1</t>
  </si>
  <si>
    <t>16 (7)</t>
  </si>
  <si>
    <t>54</t>
  </si>
  <si>
    <t>GRAND TOTAL ON PAYROLL</t>
  </si>
  <si>
    <t>GRAND TOTAL (PAYROL + TENURE)</t>
  </si>
  <si>
    <t>+++</t>
  </si>
  <si>
    <t>+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</si>
  <si>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</si>
  <si>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</si>
  <si>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</si>
  <si>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</si>
  <si>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</si>
  <si>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</si>
  <si>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</si>
  <si>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</si>
  <si>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</si>
  <si>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</si>
  <si>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</si>
  <si>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</si>
  <si>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</si>
  <si>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</si>
  <si>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</si>
  <si>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</si>
  <si>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</si>
  <si>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</si>
  <si>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</si>
  <si>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 xml:space="preserve">OLD SALARY </t>
  </si>
  <si>
    <t>AUGUST,2021</t>
  </si>
  <si>
    <t>SEPTEMBER,2021</t>
  </si>
  <si>
    <t xml:space="preserve">NEW SALARY </t>
  </si>
  <si>
    <t>NEWGROSS</t>
  </si>
  <si>
    <t>GRADE LEVEL</t>
  </si>
  <si>
    <t>AREARS FOR AUGUST</t>
  </si>
  <si>
    <t>TOTAL DIFFERENCE</t>
  </si>
  <si>
    <t>DIFF</t>
  </si>
  <si>
    <t>AM PROTOCOL</t>
  </si>
  <si>
    <t>14 (8)</t>
  </si>
  <si>
    <t>AM ICT</t>
  </si>
  <si>
    <t>AM TRAINING</t>
  </si>
  <si>
    <t>ASST. MANAGER , ASSETS &amp; MAINT.</t>
  </si>
  <si>
    <t>PERSONNEL OFFICER</t>
  </si>
  <si>
    <t>SECRETARY</t>
  </si>
  <si>
    <t>10 (7)</t>
  </si>
  <si>
    <t>5 (7)</t>
  </si>
  <si>
    <t>14</t>
  </si>
  <si>
    <t>Net effect of staff promotiton</t>
  </si>
  <si>
    <t>GROSS SALARY</t>
  </si>
  <si>
    <t>SHIFT DUTY ALLOWANCES (11% of GROSS)</t>
  </si>
  <si>
    <t>8(8)</t>
  </si>
  <si>
    <t>STAFF PAYROLL FOR THE MONTH OF APRIL, 2022</t>
  </si>
  <si>
    <t>EFFECT OF ADDITION OF NEW STAFF</t>
  </si>
  <si>
    <t>OLD</t>
  </si>
  <si>
    <t>JUNE,2021</t>
  </si>
  <si>
    <t>JULY,2021</t>
  </si>
  <si>
    <t>NEW</t>
  </si>
  <si>
    <t>OLD TAX</t>
  </si>
  <si>
    <t>NEW TAX</t>
  </si>
  <si>
    <t>AUDITOR 11</t>
  </si>
  <si>
    <t>8 (7)</t>
  </si>
  <si>
    <t>9 (7)</t>
  </si>
  <si>
    <t>DEMOCRATIC STUDIES</t>
  </si>
  <si>
    <t>12 (7)</t>
  </si>
  <si>
    <t>ECONOMIC AND SOCIAL DEV.</t>
  </si>
  <si>
    <t>FESTUS OSAGU</t>
  </si>
  <si>
    <t>14 (7)</t>
  </si>
  <si>
    <t>SNR ADMIN/HR OFFICER</t>
  </si>
  <si>
    <t>ASST. ADMIN/HR</t>
  </si>
  <si>
    <t>2</t>
  </si>
  <si>
    <t>GRAND NET EFFECT</t>
  </si>
  <si>
    <t>WELFARE FOR  JULY, 2021</t>
  </si>
  <si>
    <t>WELFARE</t>
  </si>
  <si>
    <t>SA ADMINISTRATION</t>
  </si>
  <si>
    <t>16(7)</t>
  </si>
  <si>
    <t>MANAGER, INFORMATION</t>
  </si>
  <si>
    <t>TESSNEEM IBRAHIM</t>
  </si>
  <si>
    <t>NWOSU MATHEW EZE</t>
  </si>
  <si>
    <t>Ag. DIRECTOR INT. AUDIT</t>
  </si>
  <si>
    <t>ONYEAKU CHUKWUKA EDMOND</t>
  </si>
  <si>
    <t>13(7)</t>
  </si>
  <si>
    <t>POST GRADUATE SCHOOL</t>
  </si>
  <si>
    <t>DEPUTY DIRECTOR, PG</t>
  </si>
  <si>
    <t>CHIOMA UWAZURUIKE</t>
  </si>
  <si>
    <t>MANAGER, PROGRAMME</t>
  </si>
  <si>
    <t>ASSISTANT OFFICER PG</t>
  </si>
  <si>
    <t>ONYIMADU C. ONYEBUCHI</t>
  </si>
  <si>
    <t>MRS AMINA U IBRAHIM</t>
  </si>
  <si>
    <t>ASST. MANAGER, TRAINING</t>
  </si>
  <si>
    <t>ASSISTANT LIAISON OFFICER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</si>
  <si>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</si>
  <si>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</si>
  <si>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</si>
  <si>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</si>
  <si>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</si>
  <si>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8 (8)</t>
  </si>
  <si>
    <t>10</t>
  </si>
  <si>
    <t>DIR. FINANCE &amp; ADMIN</t>
  </si>
  <si>
    <t>DIR ADMIN/HR</t>
  </si>
  <si>
    <t>DD ADMIN/HR</t>
  </si>
  <si>
    <t>MANAGER, ASSETS/MAINT.</t>
  </si>
  <si>
    <t>7(3)</t>
  </si>
  <si>
    <t>5(12)</t>
  </si>
  <si>
    <t>BASHIR AUWAL</t>
  </si>
  <si>
    <t>4(9)</t>
  </si>
  <si>
    <t>4(7)</t>
  </si>
  <si>
    <t>50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</si>
  <si>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</si>
  <si>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</si>
  <si>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</si>
  <si>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</si>
  <si>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</si>
  <si>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</si>
  <si>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</si>
  <si>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</si>
  <si>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</si>
  <si>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</si>
  <si>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</si>
  <si>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</si>
  <si>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</si>
  <si>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</si>
  <si>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</si>
  <si>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</si>
  <si>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</si>
  <si>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</si>
  <si>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</si>
  <si>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</si>
  <si>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</si>
  <si>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</si>
  <si>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</si>
  <si>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</si>
  <si>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</si>
  <si>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</si>
  <si>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</si>
  <si>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10(12)</t>
  </si>
  <si>
    <t>17(7)</t>
  </si>
  <si>
    <t>BASHIRU ABBA WALI</t>
  </si>
  <si>
    <t>OFF. INT. AUDIT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</si>
  <si>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</si>
  <si>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</si>
  <si>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</si>
  <si>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</si>
  <si>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</si>
  <si>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</si>
  <si>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</si>
  <si>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</si>
  <si>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</si>
  <si>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</si>
  <si>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11</t>
  </si>
  <si>
    <t>ADMIN ASSISTANT</t>
  </si>
  <si>
    <t>4(12)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</si>
  <si>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</si>
  <si>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</si>
  <si>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</si>
  <si>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</si>
  <si>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</si>
  <si>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</si>
  <si>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</si>
  <si>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</si>
  <si>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</si>
  <si>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</si>
  <si>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</si>
  <si>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</si>
  <si>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</si>
  <si>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</si>
  <si>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</si>
  <si>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</si>
  <si>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</si>
  <si>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</si>
  <si>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</si>
  <si>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</si>
  <si>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</si>
  <si>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</si>
  <si>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</si>
  <si>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</si>
  <si>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</si>
  <si>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</si>
  <si>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</si>
  <si>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</si>
  <si>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</si>
  <si>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</si>
  <si>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</si>
  <si>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</si>
  <si>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</si>
  <si>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</si>
  <si>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</si>
  <si>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</si>
  <si>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</si>
  <si>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</si>
  <si>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</si>
  <si>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</si>
  <si>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</si>
  <si>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</si>
  <si>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</si>
  <si>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</si>
  <si>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</si>
  <si>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</si>
  <si>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</si>
  <si>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</si>
  <si>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</si>
  <si>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</si>
  <si>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</si>
  <si>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</si>
  <si>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</si>
  <si>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</si>
  <si>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</si>
  <si>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</si>
  <si>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</si>
  <si>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</si>
  <si>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</si>
  <si>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</si>
  <si>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</si>
  <si>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</si>
  <si>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</si>
  <si>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</si>
  <si>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</si>
  <si>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</si>
  <si>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</si>
  <si>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</si>
  <si>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</si>
  <si>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</si>
  <si>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</si>
  <si>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</si>
  <si>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</si>
  <si>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</si>
  <si>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</si>
  <si>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</si>
  <si>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</si>
  <si>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</si>
  <si>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</si>
  <si>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</si>
  <si>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</si>
  <si>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</si>
  <si>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</si>
  <si>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</si>
  <si>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</si>
  <si>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</si>
  <si>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</si>
  <si>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</si>
  <si>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</si>
  <si>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</si>
  <si>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</si>
  <si>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</si>
  <si>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</si>
  <si>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</si>
  <si>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</si>
  <si>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</si>
  <si>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</si>
  <si>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</si>
  <si>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</si>
  <si>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</si>
  <si>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</si>
  <si>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</si>
  <si>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</si>
  <si>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</si>
  <si>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</si>
  <si>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</si>
  <si>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</si>
  <si>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</si>
  <si>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</si>
  <si>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</si>
  <si>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</si>
  <si>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</si>
  <si>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</si>
  <si>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</si>
  <si>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</si>
  <si>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</si>
  <si>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</si>
  <si>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</si>
  <si>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</si>
  <si>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BASIC SALARY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</si>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</sst>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4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b/>
      <u val="doubleAccounting"/>
      <sz val="15"/>
      <name val="Times New Roman"/>
      <family val="1"/>
    </font>
    <font>
      <sz val="12"/>
      <name val="Tahn"/>
      <charset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center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43" fontId="2" fillId="4" borderId="0" xfId="1" applyFont="1" applyFill="1"/>
    <xf numFmtId="3" fontId="4" fillId="0" borderId="1" xfId="0" applyNumberFormat="1" applyFont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14" fillId="0" borderId="1" xfId="0" applyNumberFormat="1" applyFont="1" applyBorder="1" applyAlignment="1">
      <alignment horizontal="center"/>
    </xf>
    <xf numFmtId="43" fontId="14" fillId="0" borderId="1" xfId="1" applyFont="1" applyFill="1" applyBorder="1"/>
    <xf numFmtId="0" fontId="0" fillId="0" borderId="0" xfId="0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43" fontId="15" fillId="0" borderId="0" xfId="1" applyFont="1"/>
    <xf numFmtId="43" fontId="16" fillId="0" borderId="0" xfId="1" applyFont="1"/>
    <xf numFmtId="164" fontId="15" fillId="0" borderId="0" xfId="0" applyNumberFormat="1" applyFont="1"/>
    <xf numFmtId="164" fontId="16" fillId="0" borderId="0" xfId="0" applyNumberFormat="1" applyFont="1"/>
    <xf numFmtId="0" fontId="17" fillId="0" borderId="0" xfId="0" applyFont="1"/>
    <xf numFmtId="0" fontId="16" fillId="0" borderId="0" xfId="0" applyFont="1"/>
    <xf numFmtId="43" fontId="0" fillId="0" borderId="0" xfId="1" applyFont="1"/>
    <xf numFmtId="164" fontId="0" fillId="0" borderId="0" xfId="0" applyNumberFormat="1"/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3" fontId="18" fillId="4" borderId="1" xfId="1" quotePrefix="1" applyFont="1" applyFill="1" applyBorder="1" applyAlignment="1">
      <alignment horizontal="right"/>
    </xf>
    <xf numFmtId="43" fontId="18" fillId="0" borderId="1" xfId="0" applyNumberFormat="1" applyFont="1" applyBorder="1"/>
    <xf numFmtId="0" fontId="18" fillId="0" borderId="1" xfId="0" applyFont="1" applyBorder="1"/>
    <xf numFmtId="43" fontId="18" fillId="0" borderId="1" xfId="1" quotePrefix="1" applyFont="1" applyFill="1" applyBorder="1" applyAlignment="1">
      <alignment horizontal="right"/>
    </xf>
    <xf numFmtId="49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9" fontId="4" fillId="4" borderId="1" xfId="0" applyNumberFormat="1" applyFont="1" applyFill="1" applyBorder="1" applyAlignment="1">
      <alignment horizontal="left"/>
    </xf>
    <xf numFmtId="43" fontId="18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8" fillId="0" borderId="0" xfId="0" applyNumberFormat="1" applyFont="1"/>
    <xf numFmtId="43" fontId="19" fillId="0" borderId="1" xfId="1" applyFont="1" applyFill="1" applyBorder="1" applyAlignment="1">
      <alignment horizontal="right"/>
    </xf>
    <xf numFmtId="17" fontId="0" fillId="0" borderId="0" xfId="0" applyNumberFormat="1"/>
    <xf numFmtId="49" fontId="13" fillId="0" borderId="1" xfId="0" applyNumberFormat="1" applyFont="1" applyBorder="1" applyAlignment="1">
      <alignment horizontal="center"/>
    </xf>
    <xf numFmtId="43" fontId="13" fillId="0" borderId="1" xfId="1" applyFont="1" applyFill="1" applyBorder="1"/>
    <xf numFmtId="164" fontId="20" fillId="0" borderId="0" xfId="0" applyNumberFormat="1" applyFont="1"/>
    <xf numFmtId="164" fontId="13" fillId="0" borderId="0" xfId="0" applyNumberFormat="1" applyFont="1"/>
    <xf numFmtId="43" fontId="4" fillId="0" borderId="0" xfId="1" applyFont="1"/>
    <xf numFmtId="0" fontId="23" fillId="0" borderId="0" xfId="0" applyFont="1"/>
    <xf numFmtId="0" fontId="21" fillId="0" borderId="0" xfId="0" applyFo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8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8" fillId="0" borderId="2" xfId="1" quotePrefix="1" applyFont="1" applyFill="1" applyBorder="1" applyAlignment="1">
      <alignment horizontal="right"/>
    </xf>
    <xf numFmtId="0" fontId="2" fillId="0" borderId="2" xfId="0" applyFont="1" applyBorder="1"/>
    <xf numFmtId="43" fontId="18" fillId="0" borderId="2" xfId="0" applyNumberFormat="1" applyFont="1" applyBorder="1"/>
    <xf numFmtId="43" fontId="4" fillId="0" borderId="2" xfId="0" applyNumberFormat="1" applyFont="1" applyBorder="1"/>
    <xf numFmtId="43" fontId="4" fillId="0" borderId="2" xfId="1" applyFont="1" applyFill="1" applyBorder="1" applyAlignment="1">
      <alignment horizontal="right"/>
    </xf>
    <xf numFmtId="43" fontId="18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43" fontId="26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18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3" fillId="0" borderId="1" xfId="0" applyFont="1" applyBorder="1"/>
    <xf numFmtId="43" fontId="19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43" fontId="9" fillId="0" borderId="5" xfId="1" quotePrefix="1" applyFont="1" applyFill="1" applyBorder="1" applyAlignment="1">
      <alignment horizontal="right"/>
    </xf>
    <xf numFmtId="0" fontId="23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3" fontId="7" fillId="0" borderId="0" xfId="1" applyFont="1"/>
    <xf numFmtId="43" fontId="27" fillId="0" borderId="0" xfId="1" applyFont="1"/>
    <xf numFmtId="43" fontId="17" fillId="0" borderId="0" xfId="1" applyFont="1"/>
    <xf numFmtId="164" fontId="17" fillId="0" borderId="0" xfId="0" applyNumberFormat="1" applyFont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43" fontId="4" fillId="0" borderId="0" xfId="0" applyNumberFormat="1" applyFont="1"/>
    <xf numFmtId="164" fontId="4" fillId="0" borderId="0" xfId="0" applyNumberFormat="1" applyFont="1"/>
    <xf numFmtId="43" fontId="18" fillId="0" borderId="0" xfId="0" applyNumberFormat="1" applyFont="1"/>
    <xf numFmtId="43" fontId="13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43" fontId="2" fillId="0" borderId="2" xfId="1" quotePrefix="1" applyFont="1" applyFill="1" applyBorder="1" applyAlignment="1">
      <alignment horizontal="right"/>
    </xf>
    <xf numFmtId="164" fontId="18" fillId="0" borderId="1" xfId="0" applyNumberFormat="1" applyFont="1" applyBorder="1"/>
    <xf numFmtId="0" fontId="28" fillId="0" borderId="0" xfId="0" applyFont="1"/>
    <xf numFmtId="0" fontId="6" fillId="0" borderId="0" xfId="0" applyFont="1"/>
    <xf numFmtId="43" fontId="29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30" fillId="0" borderId="0" xfId="0" applyNumberFormat="1" applyFont="1"/>
    <xf numFmtId="0" fontId="31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3" fontId="4" fillId="0" borderId="6" xfId="1" applyFont="1" applyBorder="1" applyAlignment="1"/>
    <xf numFmtId="0" fontId="4" fillId="0" borderId="2" xfId="0" applyFont="1" applyBorder="1" applyAlignment="1">
      <alignment horizontal="left"/>
    </xf>
    <xf numFmtId="49" fontId="11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64" fontId="32" fillId="0" borderId="1" xfId="0" applyNumberFormat="1" applyFont="1" applyBorder="1"/>
    <xf numFmtId="43" fontId="13" fillId="0" borderId="1" xfId="0" applyNumberFormat="1" applyFont="1" applyBorder="1"/>
    <xf numFmtId="49" fontId="8" fillId="0" borderId="1" xfId="0" applyNumberFormat="1" applyFont="1" applyBorder="1" applyAlignment="1">
      <alignment horizontal="left"/>
    </xf>
    <xf numFmtId="164" fontId="7" fillId="0" borderId="0" xfId="0" applyNumberFormat="1" applyFo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1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9" fontId="2" fillId="0" borderId="9" xfId="0" applyNumberFormat="1" applyFont="1" applyBorder="1" applyAlignment="1">
      <alignment wrapText="1"/>
    </xf>
    <xf numFmtId="49" fontId="2" fillId="0" borderId="11" xfId="0" applyNumberFormat="1" applyFont="1" applyBorder="1" applyAlignment="1">
      <alignment wrapText="1"/>
    </xf>
    <xf numFmtId="49" fontId="2" fillId="0" borderId="1" xfId="0" applyNumberFormat="1" applyFont="1" applyBorder="1"/>
    <xf numFmtId="43" fontId="3" fillId="0" borderId="1" xfId="1" applyFont="1" applyBorder="1"/>
    <xf numFmtId="43" fontId="33" fillId="0" borderId="0" xfId="1" applyFont="1"/>
    <xf numFmtId="0" fontId="2" fillId="0" borderId="0" xfId="0" quotePrefix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1" fillId="0" borderId="0" xfId="0" applyFont="1" applyAlignment="1">
      <alignment horizontal="center" wrapText="1"/>
    </xf>
    <xf numFmtId="4" fontId="6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Consultants%20and%20NASS%20Deployed%20Staff/Consultants,%20Deployed%20Staff%20April%20%20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January,%20%202021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3">
          <cell r="H23">
            <v>712.24525000000006</v>
          </cell>
        </row>
        <row r="24">
          <cell r="H24">
            <v>618.53150000000005</v>
          </cell>
        </row>
        <row r="25">
          <cell r="H25">
            <v>837.6875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29">
          <cell r="H29">
            <v>2043.5005000000001</v>
          </cell>
        </row>
        <row r="30">
          <cell r="H30">
            <v>469.48250000000002</v>
          </cell>
        </row>
        <row r="32">
          <cell r="H32">
            <v>837.6875</v>
          </cell>
        </row>
        <row r="34">
          <cell r="H34">
            <v>2043.5005000000001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2">
          <cell r="H42">
            <v>618.53150000000005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49">
          <cell r="H49">
            <v>837.6875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3">
          <cell r="H53">
            <v>337.30525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"/>
      <sheetName val="March 2022"/>
      <sheetName val="Salah Welfare"/>
      <sheetName val="Enhanced Welfare2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</sheetNames>
    <sheetDataSet>
      <sheetData sheetId="0"/>
      <sheetData sheetId="1"/>
      <sheetData sheetId="2">
        <row r="77">
          <cell r="K77">
            <v>1460000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Housing 2021 4 to 10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8"/>
  <sheetViews>
    <sheetView tabSelected="1" view="pageBreakPreview" zoomScaleNormal="100" zoomScaleSheetLayoutView="100" workbookViewId="0">
      <pane xSplit="3" ySplit="9" topLeftCell="D118" activePane="bottomRight" state="frozen"/>
      <selection pane="bottomRight" activeCell="C122" sqref="C1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8.42578125" style="1" customWidth="1"/>
    <col min="3" max="3" width="24.7109375" style="1" customWidth="1"/>
    <col min="4" max="4" width="7.5703125" style="1" customWidth="1"/>
    <col min="5" max="5" width="18" style="1" customWidth="1"/>
    <col min="6" max="6" width="18.7109375" style="1" customWidth="1"/>
    <col min="7" max="7" width="23" style="1" customWidth="1"/>
    <col min="8" max="8" width="16.42578125" style="1" customWidth="1"/>
    <col min="9" max="9" width="18.140625" style="1" customWidth="1"/>
    <col min="10" max="10" width="18" style="1" customWidth="1"/>
    <col min="11" max="11" width="19.140625" style="1" customWidth="1"/>
    <col min="12" max="12" width="20" style="1" customWidth="1"/>
    <col min="13" max="13" width="24.5703125" style="1" customWidth="1"/>
    <col min="14" max="14" width="19.42578125" style="1" customWidth="1"/>
    <col min="15" max="15" width="16" style="1" customWidth="1"/>
    <col min="16" max="16" width="18.28515625" style="1" customWidth="1"/>
    <col min="17" max="17" width="20" style="1" customWidth="1"/>
    <col min="18" max="18" width="19.7109375" style="1" customWidth="1"/>
    <col min="19" max="19" width="14.140625" style="1" customWidth="1"/>
    <col min="20" max="20" width="18.28515625" style="1" customWidth="1"/>
    <col min="21" max="21" width="18.7109375" style="1" customWidth="1"/>
    <col min="22" max="23" width="18.28515625" style="1" customWidth="1"/>
    <col min="24" max="26" width="19.7109375" style="1" customWidth="1"/>
    <col min="27" max="27" width="18.28515625" style="1" bestFit="1" customWidth="1"/>
    <col min="28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E1" s="1" t="s">
        <v>0</v>
      </c>
    </row>
    <row r="2" spans="1:31" ht="5.25" customHeight="1">
      <c r="R2" s="51"/>
      <c r="S2" s="51"/>
      <c r="T2" s="51"/>
      <c r="U2" s="51"/>
      <c r="V2" s="51"/>
      <c r="W2" s="51"/>
      <c r="X2" s="51"/>
      <c r="Y2" s="51"/>
      <c r="Z2" s="51"/>
    </row>
    <row r="3" spans="1:31" ht="20.100000000000001" customHeight="1">
      <c r="B3" s="240" t="s">
        <v>1</v>
      </c>
      <c r="C3" s="240"/>
      <c r="D3" s="240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</row>
    <row r="4" spans="1:31" ht="2.25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</row>
    <row r="5" spans="1:31" ht="20.100000000000001" customHeight="1">
      <c r="B5" s="52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239" t="s">
        <v>3</v>
      </c>
      <c r="U5" s="239"/>
      <c r="V5" s="239"/>
      <c r="W5" s="239"/>
      <c r="X5" s="239"/>
      <c r="Y5" s="56"/>
      <c r="Z5" s="56" t="s">
        <v>4</v>
      </c>
    </row>
    <row r="6" spans="1:31" ht="35.450000000000003" customHeight="1">
      <c r="A6" s="33"/>
      <c r="B6" s="58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2"/>
      <c r="W6" s="7"/>
      <c r="X6" s="7"/>
      <c r="Y6" s="158" t="s">
        <v>15</v>
      </c>
      <c r="Z6" s="158" t="s">
        <v>16</v>
      </c>
    </row>
    <row r="7" spans="1:31" ht="48" customHeight="1">
      <c r="A7" s="33"/>
      <c r="B7" s="21"/>
      <c r="C7" s="58"/>
      <c r="D7" s="58" t="s">
        <v>17</v>
      </c>
      <c r="E7" s="2" t="s">
        <v>18</v>
      </c>
      <c r="F7" s="59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29</v>
      </c>
      <c r="T7" s="59" t="s">
        <v>30</v>
      </c>
      <c r="U7" s="59" t="s">
        <v>31</v>
      </c>
      <c r="V7" s="59" t="s">
        <v>32</v>
      </c>
      <c r="W7" s="2" t="s">
        <v>33</v>
      </c>
      <c r="X7" s="2" t="s">
        <v>34</v>
      </c>
      <c r="Y7" s="2"/>
      <c r="Z7" s="2"/>
    </row>
    <row r="8" spans="1:31" ht="20.100000000000001" customHeight="1">
      <c r="A8" s="21" t="s">
        <v>35</v>
      </c>
      <c r="B8" s="212" t="s">
        <v>36</v>
      </c>
      <c r="C8" s="48"/>
      <c r="D8" s="48"/>
      <c r="E8" s="60" t="s">
        <v>37</v>
      </c>
      <c r="F8" s="7"/>
      <c r="G8" s="60"/>
      <c r="H8" s="60" t="s">
        <v>37</v>
      </c>
      <c r="I8" s="60"/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/>
      <c r="W8" s="60" t="s">
        <v>37</v>
      </c>
      <c r="X8" s="60"/>
      <c r="Y8" s="60"/>
      <c r="Z8" s="60"/>
    </row>
    <row r="9" spans="1:31" ht="20.100000000000001" customHeight="1">
      <c r="A9" s="3">
        <v>1</v>
      </c>
      <c r="B9" s="223" t="s">
        <v>38</v>
      </c>
      <c r="C9" s="61" t="s">
        <v>39</v>
      </c>
      <c r="D9" s="61" t="s">
        <v>40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27">
        <f>250000</f>
        <v>250000</v>
      </c>
      <c r="N9" s="27"/>
      <c r="O9" s="36">
        <v>16048.88</v>
      </c>
      <c r="P9" s="36">
        <v>25000</v>
      </c>
      <c r="Q9" s="36">
        <v>25235</v>
      </c>
      <c r="R9" s="36">
        <f>Q9+P9+O9+N9+M9+L9+K9+J9+I9+H9+G9+F9+E9</f>
        <v>1158849.8399999999</v>
      </c>
      <c r="S9" s="36"/>
      <c r="T9" s="36"/>
      <c r="U9" s="36"/>
      <c r="V9" s="36"/>
      <c r="W9" s="36">
        <v>113176.97</v>
      </c>
      <c r="X9" s="36">
        <f>W9+V9+U9+T9+S9</f>
        <v>113176.97</v>
      </c>
      <c r="Y9" s="36">
        <v>1045672.8699999999</v>
      </c>
      <c r="Z9" s="36">
        <f t="shared" ref="Z9:Z13" si="0">R9-X9</f>
        <v>1045672.8699999999</v>
      </c>
      <c r="AA9" s="34"/>
    </row>
    <row r="10" spans="1:31" ht="20.100000000000001" customHeight="1">
      <c r="A10" s="3">
        <v>2</v>
      </c>
      <c r="B10" s="223" t="s">
        <v>41</v>
      </c>
      <c r="C10" s="61" t="s">
        <v>42</v>
      </c>
      <c r="D10" s="66" t="s">
        <v>43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27">
        <f>200000</f>
        <v>200000</v>
      </c>
      <c r="N10" s="27"/>
      <c r="O10" s="62">
        <f>E10*10%</f>
        <v>8174.0020000000004</v>
      </c>
      <c r="P10" s="62">
        <v>20000</v>
      </c>
      <c r="Q10" s="62">
        <v>0</v>
      </c>
      <c r="R10" s="36">
        <f t="shared" ref="R10:R36" si="1">Q10+P10+O10+N10+M10+L10+K10+J10+I10+H10+G10+F10+E10</f>
        <v>1050209.0634999999</v>
      </c>
      <c r="S10" s="36"/>
      <c r="T10" s="36">
        <v>200000</v>
      </c>
      <c r="U10" s="36">
        <f>59722.22</f>
        <v>59722.22</v>
      </c>
      <c r="V10" s="36">
        <f>'[2]April 2022'!$H$34</f>
        <v>2043.5005000000001</v>
      </c>
      <c r="W10" s="62">
        <v>52776.63</v>
      </c>
      <c r="X10" s="36">
        <f t="shared" ref="X10:X36" si="2">W10+V10+U10+T10+S10</f>
        <v>314542.3505</v>
      </c>
      <c r="Y10" s="36">
        <v>735666.71299999999</v>
      </c>
      <c r="Z10" s="36">
        <f t="shared" si="0"/>
        <v>735666.71299999999</v>
      </c>
      <c r="AA10" s="34"/>
    </row>
    <row r="11" spans="1:31" ht="20.100000000000001" customHeight="1">
      <c r="A11" s="3">
        <v>3</v>
      </c>
      <c r="B11" s="223" t="s">
        <v>44</v>
      </c>
      <c r="C11" s="33" t="s">
        <v>45</v>
      </c>
      <c r="D11" s="3" t="s">
        <v>46</v>
      </c>
      <c r="E11" s="62">
        <v>41157.69</v>
      </c>
      <c r="F11" s="62"/>
      <c r="G11" s="62">
        <f>E11*300%</f>
        <v>123473.07</v>
      </c>
      <c r="H11" s="62">
        <f>E11*7.5%</f>
        <v>3086.8267500000002</v>
      </c>
      <c r="I11" s="62">
        <v>40122.19</v>
      </c>
      <c r="J11" s="62">
        <f>E11*50%</f>
        <v>20578.845000000001</v>
      </c>
      <c r="K11" s="62">
        <f>E11*350%</f>
        <v>144051.91500000001</v>
      </c>
      <c r="L11" s="62">
        <f>E11*100%</f>
        <v>41157.69</v>
      </c>
      <c r="M11" s="27">
        <f>180000</f>
        <v>180000</v>
      </c>
      <c r="N11" s="27"/>
      <c r="O11" s="62">
        <f>E11*10%</f>
        <v>4115.7690000000002</v>
      </c>
      <c r="P11" s="62">
        <v>20000</v>
      </c>
      <c r="Q11" s="62">
        <v>150000</v>
      </c>
      <c r="R11" s="36">
        <f t="shared" si="1"/>
        <v>767743.99575</v>
      </c>
      <c r="S11" s="36"/>
      <c r="T11" s="36"/>
      <c r="U11" s="36"/>
      <c r="V11" s="36">
        <f>'[2]April 2022'!$H$26</f>
        <v>1028.9422500000001</v>
      </c>
      <c r="W11" s="62">
        <f>21618.09</f>
        <v>21618.09</v>
      </c>
      <c r="X11" s="36">
        <f t="shared" si="2"/>
        <v>22647.03225</v>
      </c>
      <c r="Y11" s="36">
        <v>745134.34950000001</v>
      </c>
      <c r="Z11" s="36">
        <f t="shared" si="0"/>
        <v>745096.96349999995</v>
      </c>
      <c r="AA11" s="34"/>
    </row>
    <row r="12" spans="1:31" ht="20.100000000000001" customHeight="1">
      <c r="A12" s="3">
        <v>4</v>
      </c>
      <c r="B12" s="224" t="s">
        <v>47</v>
      </c>
      <c r="C12" s="43" t="s">
        <v>48</v>
      </c>
      <c r="D12" s="75" t="s">
        <v>46</v>
      </c>
      <c r="E12" s="65">
        <v>41157.69</v>
      </c>
      <c r="F12" s="64"/>
      <c r="G12" s="62">
        <f>E12*300%</f>
        <v>123473.07</v>
      </c>
      <c r="H12" s="62">
        <f>E12*7.5%</f>
        <v>3086.8267500000002</v>
      </c>
      <c r="I12" s="62">
        <v>40122.19</v>
      </c>
      <c r="J12" s="62">
        <f>E12*50%</f>
        <v>20578.845000000001</v>
      </c>
      <c r="K12" s="62">
        <f>E12*350%</f>
        <v>144051.91500000001</v>
      </c>
      <c r="L12" s="62">
        <f>E12*100%</f>
        <v>41157.69</v>
      </c>
      <c r="M12" s="27">
        <f>180000</f>
        <v>180000</v>
      </c>
      <c r="N12" s="27"/>
      <c r="O12" s="62">
        <f>E12*10%</f>
        <v>4115.7690000000002</v>
      </c>
      <c r="P12" s="62">
        <v>20000</v>
      </c>
      <c r="Q12" s="65">
        <f>100000</f>
        <v>100000</v>
      </c>
      <c r="R12" s="36">
        <f t="shared" si="1"/>
        <v>717743.99575</v>
      </c>
      <c r="S12" s="65"/>
      <c r="T12" s="65"/>
      <c r="U12" s="65"/>
      <c r="V12" s="65"/>
      <c r="W12" s="36">
        <f>21618.09</f>
        <v>21618.09</v>
      </c>
      <c r="X12" s="36">
        <f t="shared" si="2"/>
        <v>21618.09</v>
      </c>
      <c r="Y12" s="36">
        <v>696125.90575000003</v>
      </c>
      <c r="Z12" s="36">
        <f t="shared" si="0"/>
        <v>696125.90575000003</v>
      </c>
      <c r="AA12" s="34"/>
    </row>
    <row r="13" spans="1:31" ht="20.100000000000001" customHeight="1">
      <c r="A13" s="3">
        <v>5</v>
      </c>
      <c r="B13" s="223" t="s">
        <v>49</v>
      </c>
      <c r="C13" s="61" t="s">
        <v>50</v>
      </c>
      <c r="D13" s="3" t="s">
        <v>51</v>
      </c>
      <c r="E13" s="65">
        <v>41157.69</v>
      </c>
      <c r="F13" s="64"/>
      <c r="G13" s="62">
        <f>E13*300%</f>
        <v>123473.07</v>
      </c>
      <c r="H13" s="62">
        <f>E13*7.5%</f>
        <v>3086.8267500000002</v>
      </c>
      <c r="I13" s="62">
        <v>40122.19</v>
      </c>
      <c r="J13" s="62">
        <f>E13*50%</f>
        <v>20578.845000000001</v>
      </c>
      <c r="K13" s="62">
        <f>E13*350%</f>
        <v>144051.91500000001</v>
      </c>
      <c r="L13" s="62">
        <f>E13*100%</f>
        <v>41157.69</v>
      </c>
      <c r="M13" s="27"/>
      <c r="N13" s="27">
        <f>90000</f>
        <v>90000</v>
      </c>
      <c r="O13" s="62">
        <f>E13*10%</f>
        <v>4115.7690000000002</v>
      </c>
      <c r="P13" s="62">
        <v>20000</v>
      </c>
      <c r="Q13" s="65">
        <v>0</v>
      </c>
      <c r="R13" s="36">
        <f t="shared" si="1"/>
        <v>527743.99575</v>
      </c>
      <c r="S13" s="65"/>
      <c r="T13" s="65">
        <f>100000+2000</f>
        <v>102000</v>
      </c>
      <c r="U13" s="65"/>
      <c r="V13" s="65"/>
      <c r="W13" s="36">
        <f>21618.09</f>
        <v>21618.09</v>
      </c>
      <c r="X13" s="36">
        <f t="shared" si="2"/>
        <v>123618.09</v>
      </c>
      <c r="Y13" s="36">
        <v>506125.90574999998</v>
      </c>
      <c r="Z13" s="36">
        <f t="shared" si="0"/>
        <v>404125.90575000003</v>
      </c>
      <c r="AA13" s="34"/>
    </row>
    <row r="14" spans="1:31" ht="20.100000000000001" customHeight="1">
      <c r="A14" s="3">
        <v>6</v>
      </c>
      <c r="B14" s="224" t="s">
        <v>52</v>
      </c>
      <c r="C14" s="33" t="s">
        <v>53</v>
      </c>
      <c r="D14" s="38" t="s">
        <v>54</v>
      </c>
      <c r="E14" s="62">
        <v>33507.5</v>
      </c>
      <c r="F14" s="62"/>
      <c r="G14" s="62">
        <f t="shared" ref="G14:G29" si="3">E14*300%</f>
        <v>100522.5</v>
      </c>
      <c r="H14" s="62">
        <f t="shared" ref="H14:H29" si="4">E14*7.5%</f>
        <v>2513.0625</v>
      </c>
      <c r="I14" s="62">
        <v>40122.19</v>
      </c>
      <c r="J14" s="62">
        <f t="shared" ref="J14:J20" si="5">E14*50%</f>
        <v>16753.75</v>
      </c>
      <c r="K14" s="62">
        <f t="shared" ref="K14:K29" si="6">E14*350%</f>
        <v>117276.25</v>
      </c>
      <c r="L14" s="62">
        <f t="shared" ref="L14:L29" si="7">E14*100%</f>
        <v>33507.5</v>
      </c>
      <c r="M14" s="27"/>
      <c r="N14" s="27">
        <f>80000</f>
        <v>80000</v>
      </c>
      <c r="O14" s="62">
        <f t="shared" ref="O14:O29" si="8">E14*10%</f>
        <v>3350.75</v>
      </c>
      <c r="P14" s="62">
        <v>20000</v>
      </c>
      <c r="Q14" s="62">
        <f>100000</f>
        <v>100000</v>
      </c>
      <c r="R14" s="36">
        <f t="shared" si="1"/>
        <v>547553.50249999994</v>
      </c>
      <c r="S14" s="36"/>
      <c r="T14" s="36">
        <f>0</f>
        <v>0</v>
      </c>
      <c r="U14" s="36">
        <v>0</v>
      </c>
      <c r="V14" s="36">
        <f>'[2]April 2022'!$H$25</f>
        <v>837.6875</v>
      </c>
      <c r="W14" s="36">
        <v>15548.33</v>
      </c>
      <c r="X14" s="36">
        <f t="shared" si="2"/>
        <v>16386.017500000002</v>
      </c>
      <c r="Y14" s="36">
        <v>531167.48249999993</v>
      </c>
      <c r="Z14" s="36">
        <f t="shared" ref="Z14:Z29" si="9">R14-X14</f>
        <v>531167.48499999999</v>
      </c>
      <c r="AA14" s="34"/>
    </row>
    <row r="15" spans="1:31" ht="20.100000000000001" customHeight="1">
      <c r="A15" s="3">
        <v>7</v>
      </c>
      <c r="B15" s="225" t="s">
        <v>55</v>
      </c>
      <c r="C15" s="47" t="s">
        <v>56</v>
      </c>
      <c r="D15" s="29" t="s">
        <v>54</v>
      </c>
      <c r="E15" s="26">
        <v>33507.5</v>
      </c>
      <c r="F15" s="26"/>
      <c r="G15" s="26">
        <f>E15*300%</f>
        <v>100522.5</v>
      </c>
      <c r="H15" s="26">
        <f>E15*7.5%</f>
        <v>2513.0625</v>
      </c>
      <c r="I15" s="26">
        <v>40122.19</v>
      </c>
      <c r="J15" s="26">
        <f>E15*50%</f>
        <v>16753.75</v>
      </c>
      <c r="K15" s="26">
        <f>E15*350%</f>
        <v>117276.25</v>
      </c>
      <c r="L15" s="26">
        <f>E15*100%</f>
        <v>33507.5</v>
      </c>
      <c r="M15" s="27"/>
      <c r="N15" s="27">
        <f>80000</f>
        <v>80000</v>
      </c>
      <c r="O15" s="26">
        <f>E15*10%</f>
        <v>3350.75</v>
      </c>
      <c r="P15" s="26">
        <v>20000</v>
      </c>
      <c r="Q15" s="26">
        <v>0</v>
      </c>
      <c r="R15" s="36">
        <f t="shared" si="1"/>
        <v>447553.5025</v>
      </c>
      <c r="S15" s="36"/>
      <c r="T15" s="26">
        <f>50000</f>
        <v>50000</v>
      </c>
      <c r="U15" s="26">
        <f>160416.67</f>
        <v>160416.67000000001</v>
      </c>
      <c r="V15" s="26">
        <f>'[3]DECEMBER 2019'!$H$38</f>
        <v>837.6875</v>
      </c>
      <c r="W15" s="26">
        <v>15548.33</v>
      </c>
      <c r="X15" s="36">
        <f t="shared" si="2"/>
        <v>226802.6875</v>
      </c>
      <c r="Y15" s="26">
        <v>220750.815</v>
      </c>
      <c r="Z15" s="26">
        <f>R15-X15</f>
        <v>220750.815</v>
      </c>
      <c r="AA15" s="34"/>
    </row>
    <row r="16" spans="1:31" ht="20.100000000000001" customHeight="1">
      <c r="A16" s="3">
        <v>8</v>
      </c>
      <c r="B16" s="224" t="s">
        <v>57</v>
      </c>
      <c r="C16" s="33" t="s">
        <v>58</v>
      </c>
      <c r="D16" s="3" t="s">
        <v>54</v>
      </c>
      <c r="E16" s="36">
        <v>33507.5</v>
      </c>
      <c r="F16" s="62"/>
      <c r="G16" s="62">
        <f t="shared" si="3"/>
        <v>100522.5</v>
      </c>
      <c r="H16" s="62">
        <f t="shared" si="4"/>
        <v>2513.0625</v>
      </c>
      <c r="I16" s="62">
        <v>40122.19</v>
      </c>
      <c r="J16" s="62">
        <f t="shared" si="5"/>
        <v>16753.75</v>
      </c>
      <c r="K16" s="62">
        <f t="shared" si="6"/>
        <v>117276.25</v>
      </c>
      <c r="L16" s="62">
        <f t="shared" si="7"/>
        <v>33507.5</v>
      </c>
      <c r="M16" s="27"/>
      <c r="N16" s="27">
        <f>80000</f>
        <v>80000</v>
      </c>
      <c r="O16" s="62">
        <f t="shared" si="8"/>
        <v>3350.75</v>
      </c>
      <c r="P16" s="62">
        <v>20000</v>
      </c>
      <c r="Q16" s="63">
        <v>0</v>
      </c>
      <c r="R16" s="36">
        <f t="shared" si="1"/>
        <v>447553.5025</v>
      </c>
      <c r="S16" s="36"/>
      <c r="T16" s="36">
        <f>20000</f>
        <v>20000</v>
      </c>
      <c r="U16" s="36">
        <f>179017.51</f>
        <v>179017.51</v>
      </c>
      <c r="V16" s="36">
        <f>'[3]DECEMBER 2019'!$H$35</f>
        <v>837.6875</v>
      </c>
      <c r="W16" s="36">
        <v>15548.33</v>
      </c>
      <c r="X16" s="36">
        <f t="shared" si="2"/>
        <v>215403.52750000003</v>
      </c>
      <c r="Y16" s="36">
        <v>232149.97499999998</v>
      </c>
      <c r="Z16" s="36">
        <f t="shared" si="9"/>
        <v>232149.97499999998</v>
      </c>
      <c r="AA16" s="34"/>
    </row>
    <row r="17" spans="1:27" ht="20.100000000000001" customHeight="1">
      <c r="A17" s="3">
        <v>9</v>
      </c>
      <c r="B17" s="226" t="s">
        <v>59</v>
      </c>
      <c r="C17" s="61" t="s">
        <v>60</v>
      </c>
      <c r="D17" s="66" t="s">
        <v>54</v>
      </c>
      <c r="E17" s="62">
        <v>33507.5</v>
      </c>
      <c r="F17" s="62"/>
      <c r="G17" s="62">
        <f>E17*300%</f>
        <v>100522.5</v>
      </c>
      <c r="H17" s="62">
        <f>E17*7.5%</f>
        <v>2513.0625</v>
      </c>
      <c r="I17" s="62">
        <f>40122.19</f>
        <v>40122.19</v>
      </c>
      <c r="J17" s="62">
        <f>E17*50%</f>
        <v>16753.75</v>
      </c>
      <c r="K17" s="36">
        <f>E17*350%</f>
        <v>117276.25</v>
      </c>
      <c r="L17" s="62">
        <f>E17*100%</f>
        <v>33507.5</v>
      </c>
      <c r="M17" s="27"/>
      <c r="N17" s="27">
        <f t="shared" ref="N17:N126" si="10">80000</f>
        <v>80000</v>
      </c>
      <c r="O17" s="62">
        <f>E17*10%</f>
        <v>3350.75</v>
      </c>
      <c r="P17" s="62">
        <v>20000</v>
      </c>
      <c r="Q17" s="62">
        <v>0</v>
      </c>
      <c r="R17" s="36">
        <f>SUM(E17:Q17)</f>
        <v>447553.5025</v>
      </c>
      <c r="S17" s="36"/>
      <c r="T17" s="36">
        <f>50000</f>
        <v>50000</v>
      </c>
      <c r="U17" s="36">
        <f>90000</f>
        <v>90000</v>
      </c>
      <c r="V17" s="36">
        <f>'[2]April 2022'!$H$28</f>
        <v>837.6875</v>
      </c>
      <c r="W17" s="62">
        <f>15548.33</f>
        <v>15548.33</v>
      </c>
      <c r="X17" s="36">
        <f>W17+V17+U17+T17+S17</f>
        <v>156386.01750000002</v>
      </c>
      <c r="Y17" s="36">
        <v>291198.59250000003</v>
      </c>
      <c r="Z17" s="36">
        <f>R17-X17</f>
        <v>291167.48499999999</v>
      </c>
      <c r="AA17" s="34"/>
    </row>
    <row r="18" spans="1:27" ht="20.100000000000001" customHeight="1">
      <c r="A18" s="3">
        <v>10</v>
      </c>
      <c r="B18" s="214" t="s">
        <v>61</v>
      </c>
      <c r="C18" s="61" t="s">
        <v>62</v>
      </c>
      <c r="D18" s="11" t="s">
        <v>63</v>
      </c>
      <c r="E18" s="36">
        <v>31018.84</v>
      </c>
      <c r="F18" s="62"/>
      <c r="G18" s="62">
        <f t="shared" ref="G18" si="11">E18*300%</f>
        <v>93056.52</v>
      </c>
      <c r="H18" s="62">
        <f t="shared" ref="H18" si="12">E18*7.5%</f>
        <v>2326.413</v>
      </c>
      <c r="I18" s="62">
        <v>40122.19</v>
      </c>
      <c r="J18" s="62">
        <f t="shared" ref="J18" si="13">E18*50%</f>
        <v>15509.42</v>
      </c>
      <c r="K18" s="62">
        <f t="shared" ref="K18" si="14">E18*350%</f>
        <v>108565.94</v>
      </c>
      <c r="L18" s="62">
        <f t="shared" ref="L18" si="15">E18*100%</f>
        <v>31018.84</v>
      </c>
      <c r="M18" s="27"/>
      <c r="N18" s="27">
        <f>80000</f>
        <v>80000</v>
      </c>
      <c r="O18" s="62">
        <f t="shared" ref="O18" si="16">E18*10%</f>
        <v>3101.884</v>
      </c>
      <c r="P18" s="62">
        <v>20000</v>
      </c>
      <c r="Q18" s="63">
        <v>0</v>
      </c>
      <c r="R18" s="36">
        <f t="shared" si="1"/>
        <v>424720.04700000002</v>
      </c>
      <c r="S18" s="36"/>
      <c r="T18" s="36">
        <f>50000</f>
        <v>50000</v>
      </c>
      <c r="U18" s="36">
        <f>59583.33</f>
        <v>59583.33</v>
      </c>
      <c r="V18" s="36"/>
      <c r="W18" s="36">
        <v>15548.33</v>
      </c>
      <c r="X18" s="36">
        <f t="shared" si="2"/>
        <v>125131.66</v>
      </c>
      <c r="Y18" s="36">
        <v>299588.38699999999</v>
      </c>
      <c r="Z18" s="36">
        <f t="shared" ref="Z18" si="17">R18-X18</f>
        <v>299588.38699999999</v>
      </c>
      <c r="AA18" s="34"/>
    </row>
    <row r="19" spans="1:27" ht="20.100000000000001" customHeight="1">
      <c r="A19" s="3">
        <v>11</v>
      </c>
      <c r="B19" s="227" t="s">
        <v>64</v>
      </c>
      <c r="C19" s="43" t="s">
        <v>65</v>
      </c>
      <c r="D19" s="44" t="s">
        <v>66</v>
      </c>
      <c r="E19" s="64">
        <v>26732.65</v>
      </c>
      <c r="F19" s="64"/>
      <c r="G19" s="64">
        <f t="shared" si="3"/>
        <v>80197.950000000012</v>
      </c>
      <c r="H19" s="64">
        <f t="shared" si="4"/>
        <v>2004.94875</v>
      </c>
      <c r="I19" s="64"/>
      <c r="J19" s="64">
        <f t="shared" si="5"/>
        <v>13366.325000000001</v>
      </c>
      <c r="K19" s="64">
        <f t="shared" si="6"/>
        <v>93564.275000000009</v>
      </c>
      <c r="L19" s="64">
        <f t="shared" si="7"/>
        <v>26732.65</v>
      </c>
      <c r="M19" s="27"/>
      <c r="N19" s="27">
        <f t="shared" ref="N19:N22" si="18">70000</f>
        <v>70000</v>
      </c>
      <c r="O19" s="64">
        <f t="shared" si="8"/>
        <v>2673.2650000000003</v>
      </c>
      <c r="P19" s="64">
        <v>20000</v>
      </c>
      <c r="Q19" s="64">
        <v>50000</v>
      </c>
      <c r="R19" s="36">
        <f t="shared" si="1"/>
        <v>385272.06375000003</v>
      </c>
      <c r="S19" s="65"/>
      <c r="T19" s="65">
        <v>50000</v>
      </c>
      <c r="U19" s="65">
        <f>150000</f>
        <v>150000</v>
      </c>
      <c r="V19" s="65">
        <v>0</v>
      </c>
      <c r="W19" s="65">
        <v>7709.76</v>
      </c>
      <c r="X19" s="36">
        <f t="shared" si="2"/>
        <v>207709.76</v>
      </c>
      <c r="Y19" s="36">
        <v>177562.30375000002</v>
      </c>
      <c r="Z19" s="36">
        <f t="shared" si="9"/>
        <v>177562.30375000002</v>
      </c>
      <c r="AA19" s="34"/>
    </row>
    <row r="20" spans="1:27" ht="19.5" customHeight="1">
      <c r="A20" s="3">
        <v>12</v>
      </c>
      <c r="B20" s="224" t="s">
        <v>67</v>
      </c>
      <c r="C20" s="43" t="s">
        <v>68</v>
      </c>
      <c r="D20" s="3" t="s">
        <v>66</v>
      </c>
      <c r="E20" s="64">
        <v>26732.65</v>
      </c>
      <c r="F20" s="62"/>
      <c r="G20" s="62">
        <f t="shared" si="3"/>
        <v>80197.950000000012</v>
      </c>
      <c r="H20" s="62">
        <f t="shared" si="4"/>
        <v>2004.94875</v>
      </c>
      <c r="I20" s="62"/>
      <c r="J20" s="62">
        <f t="shared" si="5"/>
        <v>13366.325000000001</v>
      </c>
      <c r="K20" s="36">
        <f t="shared" si="6"/>
        <v>93564.275000000009</v>
      </c>
      <c r="L20" s="62">
        <f t="shared" si="7"/>
        <v>26732.65</v>
      </c>
      <c r="M20" s="27"/>
      <c r="N20" s="27">
        <f t="shared" si="18"/>
        <v>70000</v>
      </c>
      <c r="O20" s="62">
        <f t="shared" si="8"/>
        <v>2673.2650000000003</v>
      </c>
      <c r="P20" s="62">
        <v>20000</v>
      </c>
      <c r="Q20" s="62">
        <v>0</v>
      </c>
      <c r="R20" s="36">
        <f t="shared" si="1"/>
        <v>335272.06375000009</v>
      </c>
      <c r="S20" s="36"/>
      <c r="T20" s="36"/>
      <c r="U20" s="36"/>
      <c r="V20" s="36">
        <f>'[2]April 2022'!$H$27</f>
        <v>668.31625000000008</v>
      </c>
      <c r="W20" s="36">
        <v>7709.76</v>
      </c>
      <c r="X20" s="36">
        <f t="shared" si="2"/>
        <v>8378.0762500000001</v>
      </c>
      <c r="Y20" s="36">
        <v>326903.8212500001</v>
      </c>
      <c r="Z20" s="36">
        <f t="shared" si="9"/>
        <v>326893.9875000001</v>
      </c>
      <c r="AA20" s="34"/>
    </row>
    <row r="21" spans="1:27" ht="19.5" customHeight="1">
      <c r="A21" s="3">
        <v>13</v>
      </c>
      <c r="B21" s="224" t="s">
        <v>69</v>
      </c>
      <c r="C21" s="33" t="s">
        <v>70</v>
      </c>
      <c r="D21" s="3" t="s">
        <v>66</v>
      </c>
      <c r="E21" s="64">
        <v>26732.65</v>
      </c>
      <c r="F21" s="62"/>
      <c r="G21" s="62">
        <f>E21*300%</f>
        <v>80197.950000000012</v>
      </c>
      <c r="H21" s="62">
        <f>E21*7.5%</f>
        <v>2004.94875</v>
      </c>
      <c r="I21" s="62"/>
      <c r="J21" s="62">
        <f t="shared" ref="J21:J27" si="19">E21*50%</f>
        <v>13366.325000000001</v>
      </c>
      <c r="K21" s="36">
        <f>E21*350%</f>
        <v>93564.275000000009</v>
      </c>
      <c r="L21" s="62">
        <f>E21*100%</f>
        <v>26732.65</v>
      </c>
      <c r="M21" s="27">
        <f>140000</f>
        <v>140000</v>
      </c>
      <c r="N21" s="27"/>
      <c r="O21" s="62">
        <f>E21*10%</f>
        <v>2673.2650000000003</v>
      </c>
      <c r="P21" s="62">
        <v>20000</v>
      </c>
      <c r="Q21" s="62">
        <f>50000+100000</f>
        <v>150000</v>
      </c>
      <c r="R21" s="36">
        <f t="shared" si="1"/>
        <v>555272.06375000009</v>
      </c>
      <c r="S21" s="36"/>
      <c r="T21" s="36"/>
      <c r="U21" s="36"/>
      <c r="V21" s="36"/>
      <c r="W21" s="36">
        <f t="shared" ref="W21:W106" si="20">7709.76</f>
        <v>7709.76</v>
      </c>
      <c r="X21" s="36">
        <f t="shared" si="2"/>
        <v>7709.76</v>
      </c>
      <c r="Y21" s="36">
        <v>547562.30375000008</v>
      </c>
      <c r="Z21" s="36">
        <f>R21-X21</f>
        <v>547562.30375000008</v>
      </c>
      <c r="AA21" s="34"/>
    </row>
    <row r="22" spans="1:27" ht="20.100000000000001" customHeight="1">
      <c r="A22" s="3">
        <v>14</v>
      </c>
      <c r="B22" s="223" t="s">
        <v>71</v>
      </c>
      <c r="C22" s="43" t="s">
        <v>72</v>
      </c>
      <c r="D22" s="66" t="s">
        <v>73</v>
      </c>
      <c r="E22" s="62">
        <v>26339.3</v>
      </c>
      <c r="F22" s="62"/>
      <c r="G22" s="62">
        <f t="shared" si="3"/>
        <v>79017.899999999994</v>
      </c>
      <c r="H22" s="62">
        <f t="shared" si="4"/>
        <v>1975.4474999999998</v>
      </c>
      <c r="I22" s="36">
        <v>0</v>
      </c>
      <c r="J22" s="62">
        <f t="shared" si="19"/>
        <v>13169.65</v>
      </c>
      <c r="K22" s="36">
        <f t="shared" si="6"/>
        <v>92187.55</v>
      </c>
      <c r="L22" s="62">
        <f t="shared" si="7"/>
        <v>26339.3</v>
      </c>
      <c r="M22" s="27"/>
      <c r="N22" s="27">
        <f t="shared" si="18"/>
        <v>70000</v>
      </c>
      <c r="O22" s="62">
        <f t="shared" si="8"/>
        <v>2633.9300000000003</v>
      </c>
      <c r="P22" s="62">
        <v>15000</v>
      </c>
      <c r="Q22" s="62">
        <f>0</f>
        <v>0</v>
      </c>
      <c r="R22" s="36">
        <f t="shared" si="1"/>
        <v>326663.07749999996</v>
      </c>
      <c r="S22" s="36"/>
      <c r="T22" s="36"/>
      <c r="U22" s="36"/>
      <c r="V22" s="36"/>
      <c r="W22" s="62">
        <f>7709.76</f>
        <v>7709.76</v>
      </c>
      <c r="X22" s="36">
        <f t="shared" si="2"/>
        <v>7709.76</v>
      </c>
      <c r="Y22" s="36">
        <v>318953.31749999995</v>
      </c>
      <c r="Z22" s="36">
        <f t="shared" si="9"/>
        <v>318953.31749999995</v>
      </c>
      <c r="AA22" s="34"/>
    </row>
    <row r="23" spans="1:27" ht="20.100000000000001" customHeight="1">
      <c r="A23" s="3">
        <v>15</v>
      </c>
      <c r="B23" s="224" t="s">
        <v>74</v>
      </c>
      <c r="C23" s="33" t="s">
        <v>75</v>
      </c>
      <c r="D23" s="66" t="s">
        <v>76</v>
      </c>
      <c r="E23" s="62">
        <f>39662.25</f>
        <v>39662.25</v>
      </c>
      <c r="F23" s="62"/>
      <c r="G23" s="62">
        <f t="shared" ref="G23" si="21">E23*300%</f>
        <v>118986.75</v>
      </c>
      <c r="H23" s="62">
        <f t="shared" ref="H23" si="22">E23*7.5%</f>
        <v>2974.6687499999998</v>
      </c>
      <c r="I23" s="36">
        <v>0</v>
      </c>
      <c r="J23" s="62">
        <f t="shared" si="19"/>
        <v>19831.125</v>
      </c>
      <c r="K23" s="36">
        <f t="shared" ref="K23" si="23">E23*350%</f>
        <v>138817.875</v>
      </c>
      <c r="L23" s="62">
        <f t="shared" ref="L23" si="24">E23*100%</f>
        <v>39662.25</v>
      </c>
      <c r="M23" s="27"/>
      <c r="N23" s="27">
        <f>90000</f>
        <v>90000</v>
      </c>
      <c r="O23" s="62">
        <f t="shared" ref="O23" si="25">E23*10%</f>
        <v>3966.2250000000004</v>
      </c>
      <c r="P23" s="62">
        <v>15000</v>
      </c>
      <c r="Q23" s="62">
        <f>100000+100000</f>
        <v>200000</v>
      </c>
      <c r="R23" s="36">
        <f t="shared" si="1"/>
        <v>668901.14375000005</v>
      </c>
      <c r="S23" s="36"/>
      <c r="T23" s="36"/>
      <c r="U23" s="36"/>
      <c r="V23" s="36"/>
      <c r="W23" s="62">
        <v>21618.09</v>
      </c>
      <c r="X23" s="36">
        <f t="shared" si="2"/>
        <v>21618.09</v>
      </c>
      <c r="Y23" s="36">
        <v>489003.27324999997</v>
      </c>
      <c r="Z23" s="36">
        <f t="shared" ref="Z23" si="26">R23-X23</f>
        <v>647283.05375000008</v>
      </c>
      <c r="AA23" s="34"/>
    </row>
    <row r="24" spans="1:27" ht="20.100000000000001" customHeight="1">
      <c r="A24" s="3">
        <v>16</v>
      </c>
      <c r="B24" s="223" t="s">
        <v>77</v>
      </c>
      <c r="C24" s="61" t="s">
        <v>78</v>
      </c>
      <c r="D24" s="66" t="s">
        <v>79</v>
      </c>
      <c r="E24" s="62">
        <v>23891.119999999999</v>
      </c>
      <c r="F24" s="62"/>
      <c r="G24" s="62">
        <f>E24*300%</f>
        <v>71673.36</v>
      </c>
      <c r="H24" s="62">
        <f>E24*7.5%</f>
        <v>1791.8339999999998</v>
      </c>
      <c r="I24" s="62">
        <v>0</v>
      </c>
      <c r="J24" s="62">
        <f t="shared" si="19"/>
        <v>11945.56</v>
      </c>
      <c r="K24" s="36">
        <f>E24*350%</f>
        <v>83618.92</v>
      </c>
      <c r="L24" s="62">
        <f>E24*100%</f>
        <v>23891.119999999999</v>
      </c>
      <c r="M24" s="27">
        <f>120000</f>
        <v>120000</v>
      </c>
      <c r="N24" s="27"/>
      <c r="O24" s="62">
        <f>E24*10%</f>
        <v>2389.1120000000001</v>
      </c>
      <c r="P24" s="62">
        <v>15000</v>
      </c>
      <c r="Q24" s="62">
        <v>0</v>
      </c>
      <c r="R24" s="36">
        <f t="shared" si="1"/>
        <v>354201.02600000001</v>
      </c>
      <c r="S24" s="36"/>
      <c r="T24" s="36">
        <f>70000</f>
        <v>70000</v>
      </c>
      <c r="U24" s="36">
        <f>98464.26</f>
        <v>98464.26</v>
      </c>
      <c r="V24" s="36"/>
      <c r="W24" s="62">
        <f t="shared" ref="W24:W100" si="27">7709.76</f>
        <v>7709.76</v>
      </c>
      <c r="X24" s="36">
        <f t="shared" si="2"/>
        <v>176174.02</v>
      </c>
      <c r="Y24" s="36">
        <v>238027.00600000002</v>
      </c>
      <c r="Z24" s="36">
        <f>R24-X24</f>
        <v>178027.00600000002</v>
      </c>
      <c r="AA24" s="34"/>
    </row>
    <row r="25" spans="1:27" ht="20.100000000000001" customHeight="1">
      <c r="A25" s="3">
        <v>17</v>
      </c>
      <c r="B25" s="223" t="s">
        <v>80</v>
      </c>
      <c r="C25" s="61" t="s">
        <v>81</v>
      </c>
      <c r="D25" s="66" t="s">
        <v>82</v>
      </c>
      <c r="E25" s="62">
        <v>18779.3</v>
      </c>
      <c r="F25" s="62"/>
      <c r="G25" s="62">
        <f t="shared" si="3"/>
        <v>56337.899999999994</v>
      </c>
      <c r="H25" s="62">
        <f t="shared" si="4"/>
        <v>1408.4475</v>
      </c>
      <c r="I25" s="36"/>
      <c r="J25" s="62">
        <f t="shared" si="19"/>
        <v>9389.65</v>
      </c>
      <c r="K25" s="36">
        <f t="shared" si="6"/>
        <v>65727.55</v>
      </c>
      <c r="L25" s="62">
        <f t="shared" si="7"/>
        <v>18779.3</v>
      </c>
      <c r="M25" s="27"/>
      <c r="N25" s="27">
        <f>60000</f>
        <v>60000</v>
      </c>
      <c r="O25" s="62">
        <f t="shared" si="8"/>
        <v>1877.93</v>
      </c>
      <c r="P25" s="62">
        <v>10000</v>
      </c>
      <c r="Q25" s="62"/>
      <c r="R25" s="36">
        <f t="shared" si="1"/>
        <v>242300.07749999998</v>
      </c>
      <c r="S25" s="36"/>
      <c r="T25" s="36">
        <f>20000</f>
        <v>20000</v>
      </c>
      <c r="U25" s="36">
        <f>111833.33</f>
        <v>111833.33</v>
      </c>
      <c r="V25" s="36"/>
      <c r="W25" s="62">
        <v>3369.51</v>
      </c>
      <c r="X25" s="36">
        <f t="shared" si="2"/>
        <v>135202.84</v>
      </c>
      <c r="Y25" s="36">
        <v>107097.23749999999</v>
      </c>
      <c r="Z25" s="36">
        <f t="shared" si="9"/>
        <v>107097.23749999999</v>
      </c>
      <c r="AA25" s="34"/>
    </row>
    <row r="26" spans="1:27" ht="18.75" customHeight="1">
      <c r="A26" s="3">
        <v>18</v>
      </c>
      <c r="B26" s="223" t="s">
        <v>83</v>
      </c>
      <c r="C26" s="61" t="s">
        <v>84</v>
      </c>
      <c r="D26" s="66" t="s">
        <v>85</v>
      </c>
      <c r="E26" s="62">
        <f>21520.88</f>
        <v>21520.880000000001</v>
      </c>
      <c r="F26" s="62"/>
      <c r="G26" s="62">
        <f t="shared" si="3"/>
        <v>64562.64</v>
      </c>
      <c r="H26" s="62">
        <f t="shared" si="4"/>
        <v>1614.066</v>
      </c>
      <c r="I26" s="36"/>
      <c r="J26" s="62">
        <f t="shared" si="19"/>
        <v>10760.44</v>
      </c>
      <c r="K26" s="36">
        <f t="shared" si="6"/>
        <v>75323.08</v>
      </c>
      <c r="L26" s="62">
        <f t="shared" si="7"/>
        <v>21520.880000000001</v>
      </c>
      <c r="M26" s="27"/>
      <c r="N26" s="27">
        <f>60000</f>
        <v>60000</v>
      </c>
      <c r="O26" s="62">
        <f t="shared" si="8"/>
        <v>2152.0880000000002</v>
      </c>
      <c r="P26" s="62">
        <v>15000</v>
      </c>
      <c r="Q26" s="62"/>
      <c r="R26" s="36">
        <f t="shared" si="1"/>
        <v>272454.07400000002</v>
      </c>
      <c r="S26" s="36"/>
      <c r="T26" s="36">
        <f>20000</f>
        <v>20000</v>
      </c>
      <c r="U26" s="36">
        <f>82500</f>
        <v>82500</v>
      </c>
      <c r="V26" s="36">
        <f>'[2]April 2022'!$H$45</f>
        <v>538.02200000000005</v>
      </c>
      <c r="W26" s="62">
        <v>3369.51</v>
      </c>
      <c r="X26" s="36">
        <f t="shared" si="2"/>
        <v>106407.53200000001</v>
      </c>
      <c r="Y26" s="36">
        <v>166102.64025000003</v>
      </c>
      <c r="Z26" s="36">
        <f t="shared" si="9"/>
        <v>166046.54200000002</v>
      </c>
      <c r="AA26" s="34"/>
    </row>
    <row r="27" spans="1:27" ht="18.75" customHeight="1">
      <c r="A27" s="3">
        <v>19</v>
      </c>
      <c r="B27" s="214" t="s">
        <v>86</v>
      </c>
      <c r="C27" s="33" t="s">
        <v>87</v>
      </c>
      <c r="D27" s="66" t="s">
        <v>76</v>
      </c>
      <c r="E27" s="62">
        <v>23074.99</v>
      </c>
      <c r="F27" s="26"/>
      <c r="G27" s="26">
        <f>E27*300%</f>
        <v>69224.97</v>
      </c>
      <c r="H27" s="26">
        <f>E27*7.5%</f>
        <v>1730.6242500000001</v>
      </c>
      <c r="I27" s="26"/>
      <c r="J27" s="26">
        <f t="shared" si="19"/>
        <v>11537.495000000001</v>
      </c>
      <c r="K27" s="26">
        <f>E27*350%</f>
        <v>80762.465000000011</v>
      </c>
      <c r="L27" s="26">
        <f>E27*100%</f>
        <v>23074.99</v>
      </c>
      <c r="M27" s="27">
        <f>100000</f>
        <v>100000</v>
      </c>
      <c r="N27" s="27"/>
      <c r="O27" s="26">
        <f>E27*10%</f>
        <v>2307.4990000000003</v>
      </c>
      <c r="P27" s="26">
        <v>10000</v>
      </c>
      <c r="Q27" s="26">
        <f>100000</f>
        <v>100000</v>
      </c>
      <c r="R27" s="36">
        <f t="shared" si="1"/>
        <v>421713.03324999998</v>
      </c>
      <c r="S27" s="36"/>
      <c r="T27" s="26">
        <f>30000</f>
        <v>30000</v>
      </c>
      <c r="U27" s="26"/>
      <c r="V27" s="26">
        <f>'[2]April 2022'!$H$52</f>
        <v>576.87475000000006</v>
      </c>
      <c r="W27" s="62">
        <f t="shared" si="27"/>
        <v>7709.76</v>
      </c>
      <c r="X27" s="36">
        <f t="shared" si="2"/>
        <v>38286.634749999997</v>
      </c>
      <c r="Y27" s="26">
        <v>383558.67324999999</v>
      </c>
      <c r="Z27" s="26">
        <f>R27-X27</f>
        <v>383426.39850000001</v>
      </c>
      <c r="AA27" s="34"/>
    </row>
    <row r="28" spans="1:27" ht="18.75" customHeight="1">
      <c r="A28" s="3">
        <v>20</v>
      </c>
      <c r="B28" s="214" t="s">
        <v>88</v>
      </c>
      <c r="C28" s="61" t="s">
        <v>89</v>
      </c>
      <c r="D28" s="66" t="s">
        <v>90</v>
      </c>
      <c r="E28" s="67">
        <v>13492.21</v>
      </c>
      <c r="F28" s="62"/>
      <c r="G28" s="62">
        <f t="shared" si="3"/>
        <v>40476.629999999997</v>
      </c>
      <c r="H28" s="62">
        <f t="shared" si="4"/>
        <v>1011.9157499999999</v>
      </c>
      <c r="I28" s="62"/>
      <c r="J28" s="62">
        <f t="shared" ref="J28:J29" si="28">E28*50%</f>
        <v>6746.1049999999996</v>
      </c>
      <c r="K28" s="36">
        <f t="shared" si="6"/>
        <v>47222.735000000001</v>
      </c>
      <c r="L28" s="62">
        <f t="shared" si="7"/>
        <v>13492.21</v>
      </c>
      <c r="M28" s="27"/>
      <c r="N28" s="27">
        <f>50000</f>
        <v>50000</v>
      </c>
      <c r="O28" s="62">
        <f t="shared" si="8"/>
        <v>1349.221</v>
      </c>
      <c r="P28" s="62">
        <v>10000</v>
      </c>
      <c r="Q28" s="62"/>
      <c r="R28" s="36">
        <f t="shared" si="1"/>
        <v>183791.02674999999</v>
      </c>
      <c r="S28" s="36"/>
      <c r="T28" s="36"/>
      <c r="U28" s="36"/>
      <c r="V28" s="36"/>
      <c r="W28" s="62">
        <v>1484.37</v>
      </c>
      <c r="X28" s="36">
        <f t="shared" si="2"/>
        <v>1484.37</v>
      </c>
      <c r="Y28" s="36">
        <v>182306.65674999999</v>
      </c>
      <c r="Z28" s="36">
        <f t="shared" si="9"/>
        <v>182306.65674999999</v>
      </c>
      <c r="AA28" s="34"/>
    </row>
    <row r="29" spans="1:27" ht="18.75" customHeight="1">
      <c r="A29" s="3">
        <v>21</v>
      </c>
      <c r="B29" s="214" t="s">
        <v>91</v>
      </c>
      <c r="C29" s="61" t="s">
        <v>92</v>
      </c>
      <c r="D29" s="66" t="s">
        <v>93</v>
      </c>
      <c r="E29" s="26">
        <v>12351.94</v>
      </c>
      <c r="F29" s="26"/>
      <c r="G29" s="26">
        <f t="shared" si="3"/>
        <v>37055.82</v>
      </c>
      <c r="H29" s="26">
        <f t="shared" si="4"/>
        <v>926.39549999999997</v>
      </c>
      <c r="I29" s="26"/>
      <c r="J29" s="26">
        <f t="shared" si="28"/>
        <v>6175.97</v>
      </c>
      <c r="K29" s="26">
        <f t="shared" si="6"/>
        <v>43231.79</v>
      </c>
      <c r="L29" s="26">
        <f t="shared" si="7"/>
        <v>12351.94</v>
      </c>
      <c r="M29" s="27"/>
      <c r="N29" s="27">
        <f>50000</f>
        <v>50000</v>
      </c>
      <c r="O29" s="26">
        <f t="shared" si="8"/>
        <v>1235.1940000000002</v>
      </c>
      <c r="P29" s="26">
        <v>10000</v>
      </c>
      <c r="Q29" s="26"/>
      <c r="R29" s="36">
        <f t="shared" si="1"/>
        <v>173329.04949999999</v>
      </c>
      <c r="S29" s="36"/>
      <c r="T29" s="26"/>
      <c r="U29" s="26"/>
      <c r="V29" s="26"/>
      <c r="W29" s="27">
        <f t="shared" ref="W29:W30" si="29">1484.37</f>
        <v>1484.37</v>
      </c>
      <c r="X29" s="36">
        <f t="shared" si="2"/>
        <v>1484.37</v>
      </c>
      <c r="Y29" s="26">
        <v>171844.6795</v>
      </c>
      <c r="Z29" s="26">
        <f t="shared" si="9"/>
        <v>171844.6795</v>
      </c>
      <c r="AA29" s="34"/>
    </row>
    <row r="30" spans="1:27" ht="18.75" customHeight="1">
      <c r="A30" s="3">
        <v>22</v>
      </c>
      <c r="B30" s="214" t="s">
        <v>94</v>
      </c>
      <c r="C30" s="61" t="s">
        <v>92</v>
      </c>
      <c r="D30" s="66" t="s">
        <v>95</v>
      </c>
      <c r="E30" s="26">
        <v>17784.099999999999</v>
      </c>
      <c r="F30" s="26"/>
      <c r="G30" s="26">
        <f t="shared" ref="G30" si="30">E30*300%</f>
        <v>53352.299999999996</v>
      </c>
      <c r="H30" s="26">
        <f t="shared" ref="H30" si="31">E30*7.5%</f>
        <v>1333.8074999999999</v>
      </c>
      <c r="I30" s="26"/>
      <c r="J30" s="26">
        <f t="shared" ref="J30" si="32">E30*50%</f>
        <v>8892.0499999999993</v>
      </c>
      <c r="K30" s="26">
        <f t="shared" ref="K30" si="33">E30*350%</f>
        <v>62244.349999999991</v>
      </c>
      <c r="L30" s="26">
        <f t="shared" ref="L30" si="34">E30*100%</f>
        <v>17784.099999999999</v>
      </c>
      <c r="M30" s="27"/>
      <c r="N30" s="27">
        <f>60000</f>
        <v>60000</v>
      </c>
      <c r="O30" s="26">
        <f t="shared" ref="O30" si="35">E30*10%</f>
        <v>1778.4099999999999</v>
      </c>
      <c r="P30" s="26">
        <v>10000</v>
      </c>
      <c r="Q30" s="26"/>
      <c r="R30" s="36">
        <f t="shared" si="1"/>
        <v>233169.11749999996</v>
      </c>
      <c r="S30" s="36"/>
      <c r="T30" s="26">
        <f>10000</f>
        <v>10000</v>
      </c>
      <c r="U30" s="26">
        <f>34333.33</f>
        <v>34333.33</v>
      </c>
      <c r="V30" s="26"/>
      <c r="W30" s="27">
        <f t="shared" si="29"/>
        <v>1484.37</v>
      </c>
      <c r="X30" s="36">
        <f t="shared" si="2"/>
        <v>45817.700000000004</v>
      </c>
      <c r="Y30" s="26">
        <v>187351.41749999995</v>
      </c>
      <c r="Z30" s="26">
        <f t="shared" ref="Z30" si="36">R30-X30</f>
        <v>187351.41749999995</v>
      </c>
      <c r="AA30" s="34"/>
    </row>
    <row r="31" spans="1:27" ht="18.75" customHeight="1">
      <c r="A31" s="3">
        <v>23</v>
      </c>
      <c r="B31" s="226" t="s">
        <v>96</v>
      </c>
      <c r="C31" s="33" t="s">
        <v>97</v>
      </c>
      <c r="D31" s="66" t="s">
        <v>98</v>
      </c>
      <c r="E31" s="62">
        <v>24741.26</v>
      </c>
      <c r="F31" s="62"/>
      <c r="G31" s="62">
        <f>E31*300%</f>
        <v>74223.78</v>
      </c>
      <c r="H31" s="62">
        <f>E31*7.5%</f>
        <v>1855.5944999999997</v>
      </c>
      <c r="I31" s="62">
        <v>0</v>
      </c>
      <c r="J31" s="62">
        <f>E31*50%</f>
        <v>12370.63</v>
      </c>
      <c r="K31" s="36">
        <f>E31*350%</f>
        <v>86594.409999999989</v>
      </c>
      <c r="L31" s="62">
        <f>E31*100%</f>
        <v>24741.26</v>
      </c>
      <c r="M31" s="27"/>
      <c r="N31" s="27">
        <f>70000</f>
        <v>70000</v>
      </c>
      <c r="O31" s="62">
        <f>E31*10%</f>
        <v>2474.1260000000002</v>
      </c>
      <c r="P31" s="62">
        <v>15000</v>
      </c>
      <c r="Q31" s="62">
        <v>0</v>
      </c>
      <c r="R31" s="36">
        <f t="shared" si="1"/>
        <v>312001.06050000002</v>
      </c>
      <c r="S31" s="36"/>
      <c r="T31" s="36">
        <v>20000</v>
      </c>
      <c r="U31" s="36">
        <f>68750</f>
        <v>68750</v>
      </c>
      <c r="V31" s="36">
        <f>'[2]April 2022'!$H$38</f>
        <v>618.53150000000005</v>
      </c>
      <c r="W31" s="62">
        <f>7709.76</f>
        <v>7709.76</v>
      </c>
      <c r="X31" s="36">
        <f t="shared" si="2"/>
        <v>97078.291499999992</v>
      </c>
      <c r="Y31" s="36">
        <v>214944.02250000002</v>
      </c>
      <c r="Z31" s="36">
        <f>R31-X31</f>
        <v>214922.76900000003</v>
      </c>
      <c r="AA31" s="34"/>
    </row>
    <row r="32" spans="1:27" ht="18.75" customHeight="1">
      <c r="A32" s="3">
        <v>24</v>
      </c>
      <c r="B32" s="223" t="s">
        <v>99</v>
      </c>
      <c r="C32" s="33" t="s">
        <v>100</v>
      </c>
      <c r="D32" s="66" t="s">
        <v>82</v>
      </c>
      <c r="E32" s="62">
        <v>18779.3</v>
      </c>
      <c r="F32" s="62"/>
      <c r="G32" s="62">
        <f>E32*300%</f>
        <v>56337.899999999994</v>
      </c>
      <c r="H32" s="62">
        <f>E32*7.5%</f>
        <v>1408.4475</v>
      </c>
      <c r="I32" s="62"/>
      <c r="J32" s="62">
        <f>E32*50%</f>
        <v>9389.65</v>
      </c>
      <c r="K32" s="36">
        <f>E32*350%</f>
        <v>65727.55</v>
      </c>
      <c r="L32" s="62">
        <f>E32*100%</f>
        <v>18779.3</v>
      </c>
      <c r="M32" s="27"/>
      <c r="N32" s="27">
        <f>60000</f>
        <v>60000</v>
      </c>
      <c r="O32" s="62">
        <f>E32*10%</f>
        <v>1877.93</v>
      </c>
      <c r="P32" s="62">
        <v>10000</v>
      </c>
      <c r="Q32" s="62"/>
      <c r="R32" s="36">
        <f t="shared" si="1"/>
        <v>242300.07749999998</v>
      </c>
      <c r="S32" s="36"/>
      <c r="T32" s="36">
        <f>20000</f>
        <v>20000</v>
      </c>
      <c r="U32" s="36">
        <f>87500+43750</f>
        <v>131250</v>
      </c>
      <c r="V32" s="36"/>
      <c r="W32" s="62">
        <v>3369.51</v>
      </c>
      <c r="X32" s="36">
        <f t="shared" si="2"/>
        <v>154619.51</v>
      </c>
      <c r="Y32" s="36">
        <v>87680.567499999976</v>
      </c>
      <c r="Z32" s="36">
        <f>R32-X32</f>
        <v>87680.567499999976</v>
      </c>
      <c r="AA32" s="34"/>
    </row>
    <row r="33" spans="1:27" ht="18.75" customHeight="1">
      <c r="A33" s="3">
        <v>25</v>
      </c>
      <c r="B33" s="214" t="s">
        <v>101</v>
      </c>
      <c r="C33" s="33" t="s">
        <v>102</v>
      </c>
      <c r="D33" s="66" t="s">
        <v>103</v>
      </c>
      <c r="E33" s="26">
        <v>18281.64</v>
      </c>
      <c r="F33" s="26"/>
      <c r="G33" s="26">
        <f>E33*300%</f>
        <v>54844.92</v>
      </c>
      <c r="H33" s="26">
        <f>E33*7.5%</f>
        <v>1371.1229999999998</v>
      </c>
      <c r="I33" s="26"/>
      <c r="J33" s="26">
        <f>E33*50%</f>
        <v>9140.82</v>
      </c>
      <c r="K33" s="26">
        <f>E33*350%</f>
        <v>63985.74</v>
      </c>
      <c r="L33" s="26">
        <f>E33*100%</f>
        <v>18281.64</v>
      </c>
      <c r="M33" s="27"/>
      <c r="N33" s="27">
        <v>60000</v>
      </c>
      <c r="O33" s="26">
        <f>E33*10%</f>
        <v>1828.164</v>
      </c>
      <c r="P33" s="26">
        <v>10000</v>
      </c>
      <c r="Q33" s="26"/>
      <c r="R33" s="36">
        <f t="shared" si="1"/>
        <v>237734.04700000002</v>
      </c>
      <c r="S33" s="36"/>
      <c r="T33" s="36">
        <f>30000</f>
        <v>30000</v>
      </c>
      <c r="U33" s="36"/>
      <c r="V33" s="36">
        <f>0</f>
        <v>0</v>
      </c>
      <c r="W33" s="62">
        <v>3369.51</v>
      </c>
      <c r="X33" s="36">
        <f t="shared" si="2"/>
        <v>33369.51</v>
      </c>
      <c r="Y33" s="36">
        <v>204364.53700000001</v>
      </c>
      <c r="Z33" s="36">
        <f>R33-X33</f>
        <v>204364.53700000001</v>
      </c>
      <c r="AA33" s="34"/>
    </row>
    <row r="34" spans="1:27" ht="18.75" customHeight="1">
      <c r="A34" s="3">
        <v>26</v>
      </c>
      <c r="B34" s="223" t="s">
        <v>104</v>
      </c>
      <c r="C34" s="61" t="s">
        <v>105</v>
      </c>
      <c r="D34" s="66" t="s">
        <v>106</v>
      </c>
      <c r="E34" s="67">
        <v>13492.21</v>
      </c>
      <c r="F34" s="62"/>
      <c r="G34" s="62">
        <f t="shared" ref="G34:G35" si="37">E34*300%</f>
        <v>40476.629999999997</v>
      </c>
      <c r="H34" s="62">
        <f t="shared" ref="H34:H35" si="38">E34*7.5%</f>
        <v>1011.9157499999999</v>
      </c>
      <c r="I34" s="62"/>
      <c r="J34" s="62">
        <f t="shared" ref="J34:J35" si="39">E34*50%</f>
        <v>6746.1049999999996</v>
      </c>
      <c r="K34" s="36">
        <f t="shared" ref="K34:K35" si="40">E34*350%</f>
        <v>47222.735000000001</v>
      </c>
      <c r="L34" s="62">
        <f t="shared" ref="L34" si="41">E34*100%</f>
        <v>13492.21</v>
      </c>
      <c r="M34" s="27"/>
      <c r="N34" s="27">
        <f>50000</f>
        <v>50000</v>
      </c>
      <c r="O34" s="62">
        <f t="shared" ref="O34" si="42">E34*10%</f>
        <v>1349.221</v>
      </c>
      <c r="P34" s="62">
        <v>10000</v>
      </c>
      <c r="Q34" s="62"/>
      <c r="R34" s="36">
        <f t="shared" ref="R34:R35" si="43">SUM(E34:Q34)</f>
        <v>183791.02674999999</v>
      </c>
      <c r="S34" s="36"/>
      <c r="T34" s="36">
        <f>10000</f>
        <v>10000</v>
      </c>
      <c r="U34" s="36"/>
      <c r="V34" s="36"/>
      <c r="W34" s="62">
        <v>1484.37</v>
      </c>
      <c r="X34" s="36">
        <f t="shared" si="2"/>
        <v>11484.369999999999</v>
      </c>
      <c r="Y34" s="36">
        <v>172306.65674999999</v>
      </c>
      <c r="Z34" s="36">
        <f t="shared" ref="Z34:Z35" si="44">R34-X34</f>
        <v>172306.65674999999</v>
      </c>
      <c r="AA34" s="34"/>
    </row>
    <row r="35" spans="1:27" ht="18.75" customHeight="1">
      <c r="A35" s="3">
        <v>27</v>
      </c>
      <c r="B35" s="214" t="s">
        <v>107</v>
      </c>
      <c r="C35" s="61" t="s">
        <v>105</v>
      </c>
      <c r="D35" s="66" t="s">
        <v>108</v>
      </c>
      <c r="E35" s="67">
        <v>13112.16</v>
      </c>
      <c r="F35" s="62"/>
      <c r="G35" s="62">
        <f t="shared" si="37"/>
        <v>39336.479999999996</v>
      </c>
      <c r="H35" s="62">
        <f t="shared" si="38"/>
        <v>983.41199999999992</v>
      </c>
      <c r="I35" s="62"/>
      <c r="J35" s="62">
        <f t="shared" si="39"/>
        <v>6556.08</v>
      </c>
      <c r="K35" s="36">
        <f t="shared" si="40"/>
        <v>45892.56</v>
      </c>
      <c r="L35" s="62">
        <f>E35*100%</f>
        <v>13112.16</v>
      </c>
      <c r="M35" s="27"/>
      <c r="N35" s="27">
        <f>50000</f>
        <v>50000</v>
      </c>
      <c r="O35" s="62">
        <f>E35*10%</f>
        <v>1311.2160000000001</v>
      </c>
      <c r="P35" s="62">
        <v>10000</v>
      </c>
      <c r="R35" s="62">
        <f t="shared" si="43"/>
        <v>180304.068</v>
      </c>
      <c r="S35" s="62"/>
      <c r="T35" s="36">
        <f>20000</f>
        <v>20000</v>
      </c>
      <c r="U35" s="36"/>
      <c r="V35" s="36"/>
      <c r="W35" s="62">
        <f>(1484.37)</f>
        <v>1484.37</v>
      </c>
      <c r="X35" s="36">
        <f t="shared" si="2"/>
        <v>21484.37</v>
      </c>
      <c r="Y35" s="36">
        <v>158819.698</v>
      </c>
      <c r="Z35" s="36">
        <f t="shared" si="44"/>
        <v>158819.698</v>
      </c>
      <c r="AA35" s="34"/>
    </row>
    <row r="36" spans="1:27" ht="18.75" customHeight="1">
      <c r="A36" s="3">
        <v>28</v>
      </c>
      <c r="B36" s="225" t="s">
        <v>109</v>
      </c>
      <c r="C36" s="47" t="s">
        <v>110</v>
      </c>
      <c r="D36" s="66" t="s">
        <v>111</v>
      </c>
      <c r="E36" s="26">
        <v>13112.16</v>
      </c>
      <c r="F36" s="26"/>
      <c r="G36" s="26">
        <f>E36*300%</f>
        <v>39336.479999999996</v>
      </c>
      <c r="H36" s="26">
        <f>E36*7.5%</f>
        <v>983.41199999999992</v>
      </c>
      <c r="I36" s="26"/>
      <c r="J36" s="26">
        <f>E36*50%</f>
        <v>6556.08</v>
      </c>
      <c r="K36" s="26">
        <f>E36*350%</f>
        <v>45892.56</v>
      </c>
      <c r="L36" s="26">
        <f>E36*100%</f>
        <v>13112.16</v>
      </c>
      <c r="M36" s="27"/>
      <c r="N36" s="27">
        <f>50000</f>
        <v>50000</v>
      </c>
      <c r="O36" s="26">
        <f>E36*10%</f>
        <v>1311.2160000000001</v>
      </c>
      <c r="P36" s="26">
        <v>10000</v>
      </c>
      <c r="Q36" s="26"/>
      <c r="R36" s="36">
        <f t="shared" si="1"/>
        <v>180304.068</v>
      </c>
      <c r="S36" s="36"/>
      <c r="T36" s="36">
        <f>50000</f>
        <v>50000</v>
      </c>
      <c r="U36" s="36">
        <f>17166.67</f>
        <v>17166.669999999998</v>
      </c>
      <c r="V36" s="36">
        <f>0</f>
        <v>0</v>
      </c>
      <c r="W36" s="27">
        <f t="shared" ref="W36:W38" si="45">1484.37</f>
        <v>1484.37</v>
      </c>
      <c r="X36" s="36">
        <f t="shared" si="2"/>
        <v>68651.039999999994</v>
      </c>
      <c r="Y36" s="36">
        <v>111653.02800000001</v>
      </c>
      <c r="Z36" s="36">
        <f>R36-X36</f>
        <v>111653.02800000001</v>
      </c>
      <c r="AA36" s="34"/>
    </row>
    <row r="37" spans="1:27" ht="18.75" customHeight="1">
      <c r="A37" s="3">
        <v>29</v>
      </c>
      <c r="B37" s="215" t="s">
        <v>112</v>
      </c>
      <c r="C37" s="47" t="s">
        <v>113</v>
      </c>
      <c r="D37" s="66" t="s">
        <v>93</v>
      </c>
      <c r="E37" s="26">
        <v>12351.94</v>
      </c>
      <c r="F37" s="26"/>
      <c r="G37" s="26">
        <f>E37*300%</f>
        <v>37055.82</v>
      </c>
      <c r="H37" s="26">
        <f>E37*7.5%</f>
        <v>926.39549999999997</v>
      </c>
      <c r="I37" s="26"/>
      <c r="J37" s="26">
        <f>E37*50%</f>
        <v>6175.97</v>
      </c>
      <c r="K37" s="26">
        <f>E37*350%</f>
        <v>43231.79</v>
      </c>
      <c r="L37" s="26">
        <f>E37*100%</f>
        <v>12351.94</v>
      </c>
      <c r="M37" s="27"/>
      <c r="N37" s="27">
        <f>50000</f>
        <v>50000</v>
      </c>
      <c r="O37" s="26">
        <f>E37*10%</f>
        <v>1235.1940000000002</v>
      </c>
      <c r="P37" s="26">
        <v>10000</v>
      </c>
      <c r="Q37" s="26"/>
      <c r="R37" s="36">
        <f t="shared" ref="R37" si="46">Q37+P37+O37+N37+M37+L37+K37+J37+I37+H37+G37+F37+E37</f>
        <v>173329.04949999999</v>
      </c>
      <c r="S37" s="36"/>
      <c r="T37" s="36">
        <f>50000</f>
        <v>50000</v>
      </c>
      <c r="U37" s="36"/>
      <c r="V37" s="36">
        <f>0</f>
        <v>0</v>
      </c>
      <c r="W37" s="27">
        <f t="shared" si="45"/>
        <v>1484.37</v>
      </c>
      <c r="X37" s="36">
        <f t="shared" ref="X37" si="47">W37+V37+U37+T37+S37</f>
        <v>51484.37</v>
      </c>
      <c r="Y37" s="36">
        <v>121844.6795</v>
      </c>
      <c r="Z37" s="36">
        <f>R37-X37</f>
        <v>121844.6795</v>
      </c>
      <c r="AA37" s="34"/>
    </row>
    <row r="38" spans="1:27" ht="18.75" customHeight="1">
      <c r="A38" s="3">
        <v>30</v>
      </c>
      <c r="B38" s="215" t="s">
        <v>114</v>
      </c>
      <c r="C38" s="47" t="s">
        <v>113</v>
      </c>
      <c r="D38" s="66" t="s">
        <v>93</v>
      </c>
      <c r="E38" s="26">
        <v>12351.94</v>
      </c>
      <c r="F38" s="26"/>
      <c r="G38" s="26">
        <f>E38*300%</f>
        <v>37055.82</v>
      </c>
      <c r="H38" s="26">
        <f>E38*7.5%</f>
        <v>926.39549999999997</v>
      </c>
      <c r="I38" s="26"/>
      <c r="J38" s="26">
        <f>E38*50%</f>
        <v>6175.97</v>
      </c>
      <c r="K38" s="26">
        <f>E38*350%</f>
        <v>43231.79</v>
      </c>
      <c r="L38" s="26">
        <f>E38*100%</f>
        <v>12351.94</v>
      </c>
      <c r="M38" s="27"/>
      <c r="N38" s="27">
        <f>50000</f>
        <v>50000</v>
      </c>
      <c r="O38" s="26">
        <f>E38*10%</f>
        <v>1235.1940000000002</v>
      </c>
      <c r="P38" s="26">
        <v>10000</v>
      </c>
      <c r="Q38" s="26"/>
      <c r="R38" s="36">
        <f t="shared" ref="R38" si="48">Q38+P38+O38+N38+M38+L38+K38+J38+I38+H38+G38+F38+E38</f>
        <v>173329.04949999999</v>
      </c>
      <c r="S38" s="36"/>
      <c r="T38" s="36"/>
      <c r="U38" s="36"/>
      <c r="V38" s="36">
        <f>0</f>
        <v>0</v>
      </c>
      <c r="W38" s="27">
        <f t="shared" si="45"/>
        <v>1484.37</v>
      </c>
      <c r="X38" s="36">
        <f t="shared" ref="X38" si="49">W38+V38+U38+T38+S38</f>
        <v>1484.37</v>
      </c>
      <c r="Y38" s="36">
        <v>171844.6795</v>
      </c>
      <c r="Z38" s="36">
        <f>R38-X38</f>
        <v>171844.6795</v>
      </c>
      <c r="AA38" s="34"/>
    </row>
    <row r="39" spans="1:27" ht="18.75" customHeight="1">
      <c r="A39" s="3"/>
      <c r="B39" s="228" t="s">
        <v>34</v>
      </c>
      <c r="C39" s="7">
        <v>30</v>
      </c>
      <c r="D39" s="66"/>
      <c r="E39" s="68">
        <f>SUM(E9:E38)</f>
        <v>934067.33000000007</v>
      </c>
      <c r="F39" s="68"/>
      <c r="G39" s="68">
        <f t="shared" ref="G39:R39" si="50">SUM(G9:G38)</f>
        <v>2641713.2399999988</v>
      </c>
      <c r="H39" s="68">
        <f t="shared" si="50"/>
        <v>106165.02349999997</v>
      </c>
      <c r="I39" s="68">
        <f t="shared" si="50"/>
        <v>521588.47000000003</v>
      </c>
      <c r="J39" s="68">
        <f t="shared" si="50"/>
        <v>459009.23000000004</v>
      </c>
      <c r="K39" s="68">
        <f t="shared" si="50"/>
        <v>2707525.03</v>
      </c>
      <c r="L39" s="68">
        <f t="shared" si="50"/>
        <v>893945.15</v>
      </c>
      <c r="M39" s="134">
        <f t="shared" si="50"/>
        <v>1170000</v>
      </c>
      <c r="N39" s="134">
        <f t="shared" si="50"/>
        <v>1510000</v>
      </c>
      <c r="O39" s="68">
        <f t="shared" si="50"/>
        <v>93406.738000000012</v>
      </c>
      <c r="P39" s="68">
        <f t="shared" si="50"/>
        <v>460000</v>
      </c>
      <c r="Q39" s="68">
        <f t="shared" si="50"/>
        <v>875235</v>
      </c>
      <c r="R39" s="68">
        <f t="shared" si="50"/>
        <v>12372655.211500002</v>
      </c>
      <c r="S39" s="68"/>
      <c r="T39" s="68">
        <f>SUM(T9:T38)</f>
        <v>872000</v>
      </c>
      <c r="U39" s="68">
        <f>SUM(U9:U38)</f>
        <v>1243037.3199999998</v>
      </c>
      <c r="V39" s="68">
        <f>SUM(V9:V38)</f>
        <v>8824.937249999999</v>
      </c>
      <c r="W39" s="68">
        <f>SUM(W9:W38)</f>
        <v>409488.93000000011</v>
      </c>
      <c r="X39" s="68">
        <f>SUM(X9:X38)</f>
        <v>2533351.1872500004</v>
      </c>
      <c r="Y39" s="68">
        <v>9843312.195000004</v>
      </c>
      <c r="Z39" s="68">
        <f>SUM(Z9:Z38)</f>
        <v>9839304.0242500026</v>
      </c>
      <c r="AA39" s="34"/>
    </row>
    <row r="40" spans="1:27" ht="18.75" customHeight="1">
      <c r="A40" s="3"/>
      <c r="B40" s="216"/>
      <c r="C40" s="33"/>
      <c r="D40" s="66"/>
      <c r="E40" s="68"/>
      <c r="F40" s="68"/>
      <c r="G40" s="68"/>
      <c r="H40" s="68"/>
      <c r="I40" s="68"/>
      <c r="J40" s="68"/>
      <c r="K40" s="68"/>
      <c r="L40" s="68"/>
      <c r="M40" s="27"/>
      <c r="N40" s="27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7" ht="18.75" customHeight="1">
      <c r="A41" s="3"/>
      <c r="B41" s="228" t="s">
        <v>115</v>
      </c>
      <c r="C41" s="33"/>
      <c r="D41" s="66"/>
      <c r="E41" s="62"/>
      <c r="F41" s="62"/>
      <c r="G41" s="62"/>
      <c r="H41" s="62"/>
      <c r="I41" s="62"/>
      <c r="J41" s="62"/>
      <c r="K41" s="36"/>
      <c r="L41" s="62"/>
      <c r="M41" s="27"/>
      <c r="N41" s="27"/>
      <c r="O41" s="62"/>
      <c r="P41" s="62"/>
      <c r="Q41" s="62"/>
      <c r="R41" s="36"/>
      <c r="S41" s="36"/>
      <c r="T41" s="36"/>
      <c r="U41" s="36"/>
      <c r="V41" s="36"/>
      <c r="W41" s="62"/>
      <c r="X41" s="36"/>
      <c r="Y41" s="36"/>
      <c r="Z41" s="36"/>
    </row>
    <row r="42" spans="1:27" ht="18.75" customHeight="1">
      <c r="A42" s="3">
        <v>1</v>
      </c>
      <c r="B42" s="214" t="s">
        <v>116</v>
      </c>
      <c r="C42" s="33" t="s">
        <v>117</v>
      </c>
      <c r="D42" s="3" t="s">
        <v>118</v>
      </c>
      <c r="E42" s="62">
        <v>79039.64</v>
      </c>
      <c r="F42" s="62"/>
      <c r="G42" s="62">
        <f>E42*300%</f>
        <v>237118.91999999998</v>
      </c>
      <c r="H42" s="62">
        <f>E42*7.5%</f>
        <v>5927.973</v>
      </c>
      <c r="I42" s="62">
        <v>80244.38</v>
      </c>
      <c r="J42" s="62">
        <f>E42*50%</f>
        <v>39519.82</v>
      </c>
      <c r="K42" s="62">
        <f>E42*350%</f>
        <v>276638.74</v>
      </c>
      <c r="L42" s="62">
        <f t="shared" ref="L42:L43" si="51">E42*100%</f>
        <v>79039.64</v>
      </c>
      <c r="M42" s="27"/>
      <c r="N42" s="27">
        <f>100000</f>
        <v>100000</v>
      </c>
      <c r="O42" s="62">
        <f t="shared" ref="O42:O43" si="52">E42*10%</f>
        <v>7903.9639999999999</v>
      </c>
      <c r="P42" s="62">
        <v>20000</v>
      </c>
      <c r="Q42" s="62"/>
      <c r="R42" s="36">
        <f>SUM(E42:Q42)</f>
        <v>925433.07700000005</v>
      </c>
      <c r="S42" s="36"/>
      <c r="T42" s="36">
        <f>100000</f>
        <v>100000</v>
      </c>
      <c r="U42" s="36"/>
      <c r="V42" s="36"/>
      <c r="W42" s="62">
        <f>(52776.63)</f>
        <v>52776.63</v>
      </c>
      <c r="X42" s="36">
        <f>W42+V42+U42+T42+S42</f>
        <v>152776.63</v>
      </c>
      <c r="Y42" s="36">
        <v>772656.44700000004</v>
      </c>
      <c r="Z42" s="36">
        <f t="shared" ref="Z42:Z43" si="53">R42-X42</f>
        <v>772656.44700000004</v>
      </c>
    </row>
    <row r="43" spans="1:27" ht="18.75" customHeight="1">
      <c r="A43" s="3">
        <v>2</v>
      </c>
      <c r="B43" s="214" t="s">
        <v>119</v>
      </c>
      <c r="C43" s="33" t="s">
        <v>120</v>
      </c>
      <c r="D43" s="3" t="s">
        <v>93</v>
      </c>
      <c r="E43" s="26">
        <v>12351.94</v>
      </c>
      <c r="F43" s="26"/>
      <c r="G43" s="26">
        <f t="shared" ref="G43" si="54">E43*300%</f>
        <v>37055.82</v>
      </c>
      <c r="H43" s="26">
        <f t="shared" ref="H43" si="55">E43*7.5%</f>
        <v>926.39549999999997</v>
      </c>
      <c r="I43" s="26"/>
      <c r="J43" s="26">
        <f t="shared" ref="J43" si="56">E43*50%</f>
        <v>6175.97</v>
      </c>
      <c r="K43" s="26">
        <f t="shared" ref="K43" si="57">E43*350%</f>
        <v>43231.79</v>
      </c>
      <c r="L43" s="26">
        <f t="shared" si="51"/>
        <v>12351.94</v>
      </c>
      <c r="M43" s="27"/>
      <c r="N43" s="27">
        <f>50000</f>
        <v>50000</v>
      </c>
      <c r="O43" s="26">
        <f t="shared" si="52"/>
        <v>1235.1940000000002</v>
      </c>
      <c r="P43" s="26">
        <v>10000</v>
      </c>
      <c r="Q43" s="26"/>
      <c r="R43" s="36">
        <f>(Q43+P43+O43+N43+M43+L43+K43+J43+I43+H43+G43+F43+E43)*12/30</f>
        <v>69331.6198</v>
      </c>
      <c r="S43" s="36"/>
      <c r="T43" s="36"/>
      <c r="U43" s="36"/>
      <c r="V43" s="36">
        <f>0</f>
        <v>0</v>
      </c>
      <c r="W43" s="62">
        <v>1484.37</v>
      </c>
      <c r="X43" s="36">
        <f t="shared" ref="X43" si="58">W43+V43+U43+T43+S43</f>
        <v>1484.37</v>
      </c>
      <c r="Y43" s="36"/>
      <c r="Z43" s="36">
        <f t="shared" si="53"/>
        <v>67847.249800000005</v>
      </c>
    </row>
    <row r="44" spans="1:27" ht="19.5" customHeight="1">
      <c r="A44" s="3"/>
      <c r="B44" s="217"/>
      <c r="C44" s="7">
        <v>2</v>
      </c>
      <c r="D44" s="3"/>
      <c r="E44" s="68">
        <f>SUM(E42:E43)</f>
        <v>91391.58</v>
      </c>
      <c r="F44" s="68"/>
      <c r="G44" s="68">
        <f t="shared" ref="G44:L44" si="59">SUM(G42:G43)</f>
        <v>274174.74</v>
      </c>
      <c r="H44" s="68">
        <f t="shared" si="59"/>
        <v>6854.3684999999996</v>
      </c>
      <c r="I44" s="68">
        <f t="shared" si="59"/>
        <v>80244.38</v>
      </c>
      <c r="J44" s="68">
        <f t="shared" si="59"/>
        <v>45695.79</v>
      </c>
      <c r="K44" s="68">
        <f t="shared" si="59"/>
        <v>319870.52999999997</v>
      </c>
      <c r="L44" s="68">
        <f t="shared" si="59"/>
        <v>91391.58</v>
      </c>
      <c r="M44" s="134"/>
      <c r="N44" s="134">
        <f>SUM(N42:N43)</f>
        <v>150000</v>
      </c>
      <c r="O44" s="68">
        <f>SUM(O42:O43)</f>
        <v>9139.1579999999994</v>
      </c>
      <c r="P44" s="68">
        <f>SUM(P42:P43)</f>
        <v>30000</v>
      </c>
      <c r="Q44" s="68"/>
      <c r="R44" s="68">
        <f>SUM(R42:R43)</f>
        <v>994764.69680000003</v>
      </c>
      <c r="S44" s="68"/>
      <c r="T44" s="68">
        <f>SUM(T42:T43)</f>
        <v>100000</v>
      </c>
      <c r="U44" s="68"/>
      <c r="V44" s="68">
        <f>SUM(V42:V43)</f>
        <v>0</v>
      </c>
      <c r="W44" s="68">
        <f>SUM(W42:W43)</f>
        <v>54261</v>
      </c>
      <c r="X44" s="68">
        <f>SUM(X42:X43)</f>
        <v>154261</v>
      </c>
      <c r="Y44" s="68">
        <f>SUM(Y42:Y43)</f>
        <v>772656.44700000004</v>
      </c>
      <c r="Z44" s="68">
        <f>SUM(Z42:Z43)</f>
        <v>840503.69680000003</v>
      </c>
      <c r="AA44" s="107"/>
    </row>
    <row r="45" spans="1:27" ht="20.100000000000001" customHeight="1">
      <c r="A45" s="3"/>
      <c r="B45" s="224"/>
      <c r="C45" s="33"/>
      <c r="D45" s="3"/>
      <c r="E45" s="68"/>
      <c r="F45" s="68"/>
      <c r="G45" s="68"/>
      <c r="H45" s="68"/>
      <c r="I45" s="68"/>
      <c r="J45" s="68"/>
      <c r="K45" s="68"/>
      <c r="L45" s="68"/>
      <c r="M45" s="27"/>
      <c r="N45" s="27"/>
      <c r="O45" s="68"/>
      <c r="P45" s="68"/>
      <c r="Q45" s="68"/>
      <c r="R45" s="68"/>
      <c r="S45" s="68"/>
      <c r="T45" s="68"/>
      <c r="U45" s="68"/>
      <c r="V45" s="68"/>
      <c r="W45" s="68"/>
      <c r="X45" s="36"/>
      <c r="Y45" s="36"/>
      <c r="Z45" s="36"/>
    </row>
    <row r="46" spans="1:27" ht="20.100000000000001" customHeight="1">
      <c r="A46" s="3"/>
      <c r="B46" s="229" t="s">
        <v>121</v>
      </c>
      <c r="C46" s="50"/>
      <c r="D46" s="2"/>
      <c r="E46" s="68"/>
      <c r="F46" s="68"/>
      <c r="G46" s="68"/>
      <c r="H46" s="36"/>
      <c r="I46" s="36"/>
      <c r="J46" s="36"/>
      <c r="K46" s="36"/>
      <c r="L46" s="36"/>
      <c r="M46" s="27"/>
      <c r="N46" s="27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7" ht="20.100000000000001" customHeight="1">
      <c r="A47" s="3">
        <v>1</v>
      </c>
      <c r="B47" s="223" t="s">
        <v>122</v>
      </c>
      <c r="C47" s="33" t="s">
        <v>123</v>
      </c>
      <c r="D47" s="3" t="s">
        <v>43</v>
      </c>
      <c r="E47" s="62">
        <v>81740.02</v>
      </c>
      <c r="F47" s="62"/>
      <c r="G47" s="62">
        <f>E47*300%</f>
        <v>245220.06</v>
      </c>
      <c r="H47" s="62">
        <f>E47*7.5%</f>
        <v>6130.5015000000003</v>
      </c>
      <c r="I47" s="62">
        <v>80244.38</v>
      </c>
      <c r="J47" s="62">
        <f>E47*50%</f>
        <v>40870.01</v>
      </c>
      <c r="K47" s="62">
        <f>E47*350%</f>
        <v>286090.07</v>
      </c>
      <c r="L47" s="62">
        <f t="shared" ref="L47:L56" si="60">E47*100%</f>
        <v>81740.02</v>
      </c>
      <c r="M47" s="27">
        <f>200000</f>
        <v>200000</v>
      </c>
      <c r="N47" s="27"/>
      <c r="O47" s="62">
        <f t="shared" ref="O47:O56" si="61">E47*10%</f>
        <v>8174.0020000000004</v>
      </c>
      <c r="P47" s="62">
        <v>20000</v>
      </c>
      <c r="Q47" s="62"/>
      <c r="R47" s="36">
        <f t="shared" ref="R47:R55" si="62">SUM(E47:Q47)</f>
        <v>1050209.0635000002</v>
      </c>
      <c r="S47" s="36"/>
      <c r="T47" s="36">
        <f>200000</f>
        <v>200000</v>
      </c>
      <c r="U47" s="36">
        <f>52500*2</f>
        <v>105000</v>
      </c>
      <c r="V47" s="36"/>
      <c r="W47" s="62">
        <f>52776.63</f>
        <v>52776.63</v>
      </c>
      <c r="X47" s="36">
        <f>W47+V47+U47+T47+S47</f>
        <v>357776.63</v>
      </c>
      <c r="Y47" s="36">
        <v>692432.43350000016</v>
      </c>
      <c r="Z47" s="36">
        <f t="shared" ref="Z47:Z55" si="63">R47-X47</f>
        <v>692432.43350000016</v>
      </c>
    </row>
    <row r="48" spans="1:27" ht="20.100000000000001" customHeight="1">
      <c r="A48" s="3">
        <v>2</v>
      </c>
      <c r="B48" s="223" t="s">
        <v>124</v>
      </c>
      <c r="C48" s="33" t="s">
        <v>125</v>
      </c>
      <c r="D48" s="3" t="s">
        <v>54</v>
      </c>
      <c r="E48" s="62">
        <v>33507.5</v>
      </c>
      <c r="F48" s="62"/>
      <c r="G48" s="62">
        <f>E48*300%</f>
        <v>100522.5</v>
      </c>
      <c r="H48" s="62">
        <f>E48*7.5%</f>
        <v>2513.0625</v>
      </c>
      <c r="I48" s="62">
        <v>40122.19</v>
      </c>
      <c r="J48" s="62">
        <f>E48*50%</f>
        <v>16753.75</v>
      </c>
      <c r="K48" s="62">
        <f>E48*350%</f>
        <v>117276.25</v>
      </c>
      <c r="L48" s="62">
        <f>E48*100%</f>
        <v>33507.5</v>
      </c>
      <c r="M48" s="27">
        <f>160000</f>
        <v>160000</v>
      </c>
      <c r="N48" s="27"/>
      <c r="O48" s="62">
        <f>E48*10%</f>
        <v>3350.75</v>
      </c>
      <c r="P48" s="62">
        <v>20000</v>
      </c>
      <c r="Q48" s="62">
        <v>0</v>
      </c>
      <c r="R48" s="36">
        <f>SUM(E48:Q48)</f>
        <v>527553.50249999994</v>
      </c>
      <c r="S48" s="36"/>
      <c r="T48" s="36">
        <v>50000</v>
      </c>
      <c r="U48" s="36">
        <f>0</f>
        <v>0</v>
      </c>
      <c r="V48" s="36"/>
      <c r="W48" s="62">
        <v>15548.33</v>
      </c>
      <c r="X48" s="36">
        <f t="shared" ref="X48:X55" si="64">W48+V48+U48+T48+S48</f>
        <v>65548.33</v>
      </c>
      <c r="Y48" s="36">
        <v>462005.17249999993</v>
      </c>
      <c r="Z48" s="36">
        <f>R48-X48</f>
        <v>462005.17249999993</v>
      </c>
    </row>
    <row r="49" spans="1:27" ht="20.100000000000001" customHeight="1">
      <c r="A49" s="3">
        <v>3</v>
      </c>
      <c r="B49" s="223" t="s">
        <v>126</v>
      </c>
      <c r="C49" s="33" t="s">
        <v>127</v>
      </c>
      <c r="D49" s="3" t="s">
        <v>54</v>
      </c>
      <c r="E49" s="62">
        <v>33507.5</v>
      </c>
      <c r="F49" s="62"/>
      <c r="G49" s="62">
        <f>E49*300%</f>
        <v>100522.5</v>
      </c>
      <c r="H49" s="62">
        <f>E49*7.5%</f>
        <v>2513.0625</v>
      </c>
      <c r="I49" s="62">
        <v>40122.19</v>
      </c>
      <c r="J49" s="62">
        <f>E49*50%</f>
        <v>16753.75</v>
      </c>
      <c r="K49" s="62">
        <f>E49*350%</f>
        <v>117276.25</v>
      </c>
      <c r="L49" s="62">
        <f>E49*100%</f>
        <v>33507.5</v>
      </c>
      <c r="M49" s="27">
        <f>160000</f>
        <v>160000</v>
      </c>
      <c r="N49" s="27"/>
      <c r="O49" s="62">
        <f>E49*10%</f>
        <v>3350.75</v>
      </c>
      <c r="P49" s="62">
        <v>20000</v>
      </c>
      <c r="Q49" s="62"/>
      <c r="R49" s="36">
        <f>SUM(E49:Q49)</f>
        <v>527553.50249999994</v>
      </c>
      <c r="S49" s="36"/>
      <c r="T49" s="36">
        <f>80000+23000</f>
        <v>103000</v>
      </c>
      <c r="U49" s="36">
        <f>246905.96</f>
        <v>246905.96</v>
      </c>
      <c r="V49" s="36"/>
      <c r="W49" s="62">
        <v>15548.33</v>
      </c>
      <c r="X49" s="36">
        <f t="shared" si="64"/>
        <v>365454.29</v>
      </c>
      <c r="Y49" s="36">
        <v>162099.21249999997</v>
      </c>
      <c r="Z49" s="36">
        <f>R49-X49</f>
        <v>162099.21249999997</v>
      </c>
    </row>
    <row r="50" spans="1:27" ht="20.100000000000001" customHeight="1">
      <c r="A50" s="3">
        <v>4</v>
      </c>
      <c r="B50" s="223" t="s">
        <v>128</v>
      </c>
      <c r="C50" s="33" t="s">
        <v>127</v>
      </c>
      <c r="D50" s="3" t="s">
        <v>129</v>
      </c>
      <c r="E50" s="62">
        <v>32263.200000000001</v>
      </c>
      <c r="F50" s="62"/>
      <c r="G50" s="62">
        <f>E50*300%</f>
        <v>96789.6</v>
      </c>
      <c r="H50" s="62">
        <f>E50*7.5%</f>
        <v>2419.7399999999998</v>
      </c>
      <c r="I50" s="62">
        <v>40122.19</v>
      </c>
      <c r="J50" s="62">
        <f>E50*50%</f>
        <v>16131.6</v>
      </c>
      <c r="K50" s="62">
        <f>E50*350%</f>
        <v>112921.2</v>
      </c>
      <c r="L50" s="62">
        <f>E50*100%</f>
        <v>32263.200000000001</v>
      </c>
      <c r="M50" s="27">
        <f>160000</f>
        <v>160000</v>
      </c>
      <c r="N50" s="27"/>
      <c r="O50" s="62">
        <f>E50*10%</f>
        <v>3226.32</v>
      </c>
      <c r="P50" s="62">
        <v>20000</v>
      </c>
      <c r="Q50" s="62"/>
      <c r="R50" s="36">
        <f>SUM(E50:Q50)</f>
        <v>516137.05000000005</v>
      </c>
      <c r="S50" s="36"/>
      <c r="T50" s="36">
        <f>30000</f>
        <v>30000</v>
      </c>
      <c r="U50" s="36">
        <f>176288.88</f>
        <v>176288.88</v>
      </c>
      <c r="V50" s="36"/>
      <c r="W50" s="62">
        <f>15548.33</f>
        <v>15548.33</v>
      </c>
      <c r="X50" s="36">
        <f t="shared" si="64"/>
        <v>221837.21</v>
      </c>
      <c r="Y50" s="36">
        <v>294299.84000000008</v>
      </c>
      <c r="Z50" s="36">
        <f>R50-X50</f>
        <v>294299.84000000008</v>
      </c>
    </row>
    <row r="51" spans="1:27" ht="20.100000000000001" customHeight="1">
      <c r="A51" s="3">
        <v>5</v>
      </c>
      <c r="B51" s="223" t="s">
        <v>130</v>
      </c>
      <c r="C51" s="33" t="s">
        <v>131</v>
      </c>
      <c r="D51" s="3" t="s">
        <v>132</v>
      </c>
      <c r="E51" s="62">
        <v>28489.81</v>
      </c>
      <c r="F51" s="62"/>
      <c r="G51" s="62">
        <f t="shared" ref="G51:G56" si="65">E51*300%</f>
        <v>85469.430000000008</v>
      </c>
      <c r="H51" s="62">
        <f t="shared" ref="H51:H56" si="66">E51*7.5%</f>
        <v>2136.7357499999998</v>
      </c>
      <c r="I51" s="62">
        <v>0</v>
      </c>
      <c r="J51" s="62">
        <f t="shared" ref="J51:J56" si="67">E51*50%</f>
        <v>14244.905000000001</v>
      </c>
      <c r="K51" s="62">
        <f t="shared" ref="K51:K56" si="68">E51*350%</f>
        <v>99714.335000000006</v>
      </c>
      <c r="L51" s="62">
        <f t="shared" si="60"/>
        <v>28489.81</v>
      </c>
      <c r="M51" s="27">
        <f t="shared" ref="M51:M52" si="69">140000</f>
        <v>140000</v>
      </c>
      <c r="N51" s="27"/>
      <c r="O51" s="62">
        <f t="shared" si="61"/>
        <v>2848.9810000000002</v>
      </c>
      <c r="P51" s="62">
        <v>20000</v>
      </c>
      <c r="Q51" s="62">
        <v>0</v>
      </c>
      <c r="R51" s="36">
        <f t="shared" si="62"/>
        <v>421394.00675000006</v>
      </c>
      <c r="S51" s="36"/>
      <c r="T51" s="36"/>
      <c r="U51" s="36"/>
      <c r="V51" s="36">
        <f>'[2]April 2022'!$H$23</f>
        <v>712.24525000000006</v>
      </c>
      <c r="W51" s="62">
        <v>7709.76</v>
      </c>
      <c r="X51" s="36">
        <f t="shared" si="64"/>
        <v>8422.0052500000002</v>
      </c>
      <c r="Y51" s="36">
        <v>412972.00150000007</v>
      </c>
      <c r="Z51" s="36">
        <f t="shared" si="63"/>
        <v>412972.00150000007</v>
      </c>
    </row>
    <row r="52" spans="1:27" ht="20.100000000000001" customHeight="1">
      <c r="A52" s="3">
        <v>6</v>
      </c>
      <c r="B52" s="223" t="s">
        <v>133</v>
      </c>
      <c r="C52" s="33" t="s">
        <v>131</v>
      </c>
      <c r="D52" s="3" t="s">
        <v>66</v>
      </c>
      <c r="E52" s="62">
        <v>26732.65</v>
      </c>
      <c r="F52" s="62"/>
      <c r="G52" s="62">
        <f t="shared" si="65"/>
        <v>80197.950000000012</v>
      </c>
      <c r="H52" s="62">
        <f t="shared" si="66"/>
        <v>2004.94875</v>
      </c>
      <c r="I52" s="62"/>
      <c r="J52" s="62">
        <f t="shared" si="67"/>
        <v>13366.325000000001</v>
      </c>
      <c r="K52" s="62">
        <f t="shared" si="68"/>
        <v>93564.275000000009</v>
      </c>
      <c r="L52" s="62">
        <f t="shared" si="60"/>
        <v>26732.65</v>
      </c>
      <c r="M52" s="27">
        <f t="shared" si="69"/>
        <v>140000</v>
      </c>
      <c r="N52" s="27"/>
      <c r="O52" s="62">
        <f t="shared" si="61"/>
        <v>2673.2650000000003</v>
      </c>
      <c r="P52" s="62">
        <v>20000</v>
      </c>
      <c r="Q52" s="62"/>
      <c r="R52" s="36">
        <f t="shared" si="62"/>
        <v>405272.06374999997</v>
      </c>
      <c r="S52" s="36"/>
      <c r="T52" s="36">
        <f>15000</f>
        <v>15000</v>
      </c>
      <c r="U52" s="36">
        <f>133333.34</f>
        <v>133333.34</v>
      </c>
      <c r="V52" s="36"/>
      <c r="W52" s="62">
        <v>7709.76</v>
      </c>
      <c r="X52" s="36">
        <f t="shared" si="64"/>
        <v>156043.1</v>
      </c>
      <c r="Y52" s="36">
        <v>249228.96374999997</v>
      </c>
      <c r="Z52" s="36">
        <f t="shared" si="63"/>
        <v>249228.96374999997</v>
      </c>
    </row>
    <row r="53" spans="1:27" ht="20.100000000000001" customHeight="1">
      <c r="A53" s="3">
        <v>7</v>
      </c>
      <c r="B53" s="230" t="s">
        <v>134</v>
      </c>
      <c r="C53" s="33" t="s">
        <v>135</v>
      </c>
      <c r="D53" s="25" t="s">
        <v>66</v>
      </c>
      <c r="E53" s="26">
        <v>26732.65</v>
      </c>
      <c r="F53" s="26"/>
      <c r="G53" s="26">
        <f>E53*300%</f>
        <v>80197.950000000012</v>
      </c>
      <c r="H53" s="26">
        <f>E53*7.5%</f>
        <v>2004.94875</v>
      </c>
      <c r="I53" s="26"/>
      <c r="J53" s="26">
        <f>E53*50%</f>
        <v>13366.325000000001</v>
      </c>
      <c r="K53" s="26">
        <f>E53*350%</f>
        <v>93564.275000000009</v>
      </c>
      <c r="L53" s="26">
        <f>E53*100%</f>
        <v>26732.65</v>
      </c>
      <c r="M53" s="27">
        <f>140000</f>
        <v>140000</v>
      </c>
      <c r="N53" s="27"/>
      <c r="O53" s="26">
        <f>E53*10%</f>
        <v>2673.2650000000003</v>
      </c>
      <c r="P53" s="26">
        <v>20000</v>
      </c>
      <c r="Q53" s="26"/>
      <c r="R53" s="36">
        <f>SUM(E53:Q53)</f>
        <v>405272.06374999997</v>
      </c>
      <c r="S53" s="36"/>
      <c r="T53" s="24"/>
      <c r="U53" s="24"/>
      <c r="V53" s="24">
        <v>0</v>
      </c>
      <c r="W53" s="24">
        <v>7709.76</v>
      </c>
      <c r="X53" s="36">
        <f t="shared" si="64"/>
        <v>7709.76</v>
      </c>
      <c r="Y53" s="36">
        <v>397562.30374999996</v>
      </c>
      <c r="Z53" s="36">
        <f>R53-X53</f>
        <v>397562.30374999996</v>
      </c>
    </row>
    <row r="54" spans="1:27" ht="20.100000000000001" customHeight="1">
      <c r="A54" s="3">
        <v>8</v>
      </c>
      <c r="B54" s="223" t="s">
        <v>136</v>
      </c>
      <c r="C54" s="33" t="s">
        <v>137</v>
      </c>
      <c r="D54" s="3" t="s">
        <v>138</v>
      </c>
      <c r="E54" s="62">
        <v>25523.45</v>
      </c>
      <c r="F54" s="62"/>
      <c r="G54" s="62">
        <f t="shared" si="65"/>
        <v>76570.350000000006</v>
      </c>
      <c r="H54" s="62">
        <f t="shared" si="66"/>
        <v>1914.25875</v>
      </c>
      <c r="I54" s="62">
        <v>0</v>
      </c>
      <c r="J54" s="62">
        <f t="shared" si="67"/>
        <v>12761.725</v>
      </c>
      <c r="K54" s="62">
        <f t="shared" si="68"/>
        <v>89332.074999999997</v>
      </c>
      <c r="L54" s="62">
        <f t="shared" si="60"/>
        <v>25523.45</v>
      </c>
      <c r="M54" s="27">
        <f>120000</f>
        <v>120000</v>
      </c>
      <c r="N54" s="27"/>
      <c r="O54" s="62">
        <f t="shared" si="61"/>
        <v>2552.3450000000003</v>
      </c>
      <c r="P54" s="62">
        <v>15000</v>
      </c>
      <c r="Q54" s="62">
        <v>0</v>
      </c>
      <c r="R54" s="36">
        <f t="shared" si="62"/>
        <v>369177.65375</v>
      </c>
      <c r="S54" s="36"/>
      <c r="T54" s="36"/>
      <c r="U54" s="36"/>
      <c r="V54" s="36"/>
      <c r="W54" s="62">
        <v>7709.76</v>
      </c>
      <c r="X54" s="36">
        <f t="shared" si="64"/>
        <v>7709.76</v>
      </c>
      <c r="Y54" s="36">
        <v>361467.89374999999</v>
      </c>
      <c r="Z54" s="36">
        <f t="shared" si="63"/>
        <v>361467.89374999999</v>
      </c>
    </row>
    <row r="55" spans="1:27" ht="20.100000000000001" customHeight="1">
      <c r="A55" s="3">
        <v>9</v>
      </c>
      <c r="B55" s="225" t="s">
        <v>139</v>
      </c>
      <c r="C55" s="33" t="s">
        <v>140</v>
      </c>
      <c r="D55" s="29" t="s">
        <v>98</v>
      </c>
      <c r="E55" s="26">
        <v>24741.26</v>
      </c>
      <c r="F55" s="62"/>
      <c r="G55" s="26">
        <f t="shared" si="65"/>
        <v>74223.78</v>
      </c>
      <c r="H55" s="26">
        <f t="shared" si="66"/>
        <v>1855.5944999999997</v>
      </c>
      <c r="I55" s="26"/>
      <c r="J55" s="26">
        <f t="shared" si="67"/>
        <v>12370.63</v>
      </c>
      <c r="K55" s="26">
        <f t="shared" si="68"/>
        <v>86594.409999999989</v>
      </c>
      <c r="L55" s="26">
        <f t="shared" si="60"/>
        <v>24741.26</v>
      </c>
      <c r="M55" s="27">
        <f t="shared" ref="M55" si="70">120000</f>
        <v>120000</v>
      </c>
      <c r="N55" s="27"/>
      <c r="O55" s="26">
        <f t="shared" si="61"/>
        <v>2474.1260000000002</v>
      </c>
      <c r="P55" s="26">
        <v>15000</v>
      </c>
      <c r="Q55" s="26"/>
      <c r="R55" s="36">
        <f t="shared" si="62"/>
        <v>362001.06049999996</v>
      </c>
      <c r="S55" s="36"/>
      <c r="T55" s="24">
        <f>50000+10000</f>
        <v>60000</v>
      </c>
      <c r="U55" s="24">
        <f>91666.67</f>
        <v>91666.67</v>
      </c>
      <c r="V55" s="24">
        <f>'[2]April 2022'!$H$46</f>
        <v>618.53150000000005</v>
      </c>
      <c r="W55" s="26">
        <f>7709.76</f>
        <v>7709.76</v>
      </c>
      <c r="X55" s="36">
        <f t="shared" si="64"/>
        <v>159994.9615</v>
      </c>
      <c r="Y55" s="36">
        <v>202027.35249999998</v>
      </c>
      <c r="Z55" s="36">
        <f t="shared" si="63"/>
        <v>202006.09899999996</v>
      </c>
    </row>
    <row r="56" spans="1:27" ht="20.100000000000001" customHeight="1">
      <c r="A56" s="3">
        <v>10</v>
      </c>
      <c r="B56" s="225" t="s">
        <v>141</v>
      </c>
      <c r="C56" s="33" t="s">
        <v>142</v>
      </c>
      <c r="D56" s="3" t="s">
        <v>143</v>
      </c>
      <c r="E56" s="26">
        <f>14736.14</f>
        <v>14736.14</v>
      </c>
      <c r="F56" s="26"/>
      <c r="G56" s="26">
        <f t="shared" si="65"/>
        <v>44208.42</v>
      </c>
      <c r="H56" s="26">
        <f t="shared" si="66"/>
        <v>1105.2104999999999</v>
      </c>
      <c r="I56" s="26"/>
      <c r="J56" s="26">
        <f t="shared" si="67"/>
        <v>7368.07</v>
      </c>
      <c r="K56" s="26">
        <f t="shared" si="68"/>
        <v>51576.49</v>
      </c>
      <c r="L56" s="26">
        <f t="shared" si="60"/>
        <v>14736.14</v>
      </c>
      <c r="M56" s="27">
        <f>100000</f>
        <v>100000</v>
      </c>
      <c r="N56" s="27"/>
      <c r="O56" s="26">
        <f t="shared" si="61"/>
        <v>1473.614</v>
      </c>
      <c r="P56" s="26">
        <v>10000</v>
      </c>
      <c r="Q56" s="26"/>
      <c r="R56" s="36">
        <f>SUM(E56:Q56)*12/30</f>
        <v>98081.633799999996</v>
      </c>
      <c r="S56" s="36"/>
      <c r="T56" s="24"/>
      <c r="U56" s="24"/>
      <c r="V56" s="24"/>
      <c r="W56" s="26">
        <v>1484.37</v>
      </c>
      <c r="X56" s="36">
        <f>W56+V56+U56+T56</f>
        <v>1484.37</v>
      </c>
      <c r="Y56" s="36"/>
      <c r="Z56" s="36">
        <f>R56-X56</f>
        <v>96597.263800000001</v>
      </c>
    </row>
    <row r="57" spans="1:27" ht="20.100000000000001" customHeight="1">
      <c r="A57" s="3"/>
      <c r="B57" s="231" t="s">
        <v>34</v>
      </c>
      <c r="C57" s="30">
        <v>10</v>
      </c>
      <c r="D57" s="30"/>
      <c r="E57" s="92">
        <f t="shared" ref="E57:M57" si="71">SUM(E47:E56)</f>
        <v>327974.18000000005</v>
      </c>
      <c r="F57" s="92">
        <f t="shared" si="71"/>
        <v>0</v>
      </c>
      <c r="G57" s="92">
        <f t="shared" si="71"/>
        <v>983922.54</v>
      </c>
      <c r="H57" s="92">
        <f t="shared" si="71"/>
        <v>24598.0635</v>
      </c>
      <c r="I57" s="92">
        <f t="shared" si="71"/>
        <v>200610.95</v>
      </c>
      <c r="J57" s="92">
        <f t="shared" si="71"/>
        <v>163987.09000000003</v>
      </c>
      <c r="K57" s="92">
        <f t="shared" si="71"/>
        <v>1147909.6299999999</v>
      </c>
      <c r="L57" s="92">
        <f t="shared" si="71"/>
        <v>327974.18000000005</v>
      </c>
      <c r="M57" s="134">
        <f t="shared" si="71"/>
        <v>1440000</v>
      </c>
      <c r="N57" s="134"/>
      <c r="O57" s="92">
        <f>SUM(O47:O56)</f>
        <v>32797.417999999998</v>
      </c>
      <c r="P57" s="92">
        <f>SUM(P47:P56)</f>
        <v>180000</v>
      </c>
      <c r="Q57" s="92">
        <f>SUM(Q47:Q56)</f>
        <v>0</v>
      </c>
      <c r="R57" s="92">
        <f>SUM(R47:R56)</f>
        <v>4682651.6007999992</v>
      </c>
      <c r="S57" s="92"/>
      <c r="T57" s="92">
        <f t="shared" ref="T57:Z57" si="72">SUM(T47:T56)</f>
        <v>458000</v>
      </c>
      <c r="U57" s="92">
        <f t="shared" si="72"/>
        <v>753194.85</v>
      </c>
      <c r="V57" s="92">
        <f t="shared" si="72"/>
        <v>1330.77675</v>
      </c>
      <c r="W57" s="92">
        <f t="shared" si="72"/>
        <v>139454.78999999998</v>
      </c>
      <c r="X57" s="92">
        <f t="shared" si="72"/>
        <v>1351980.4167500001</v>
      </c>
      <c r="Y57" s="92">
        <f t="shared" si="72"/>
        <v>3234095.1737500001</v>
      </c>
      <c r="Z57" s="92">
        <f t="shared" si="72"/>
        <v>3330671.1840499998</v>
      </c>
      <c r="AA57" s="107"/>
    </row>
    <row r="58" spans="1:27" ht="20.100000000000001" customHeight="1">
      <c r="A58" s="3"/>
      <c r="B58" s="218"/>
      <c r="C58" s="30"/>
      <c r="D58" s="30"/>
      <c r="E58" s="31"/>
      <c r="F58" s="31"/>
      <c r="G58" s="31"/>
      <c r="H58" s="31"/>
      <c r="I58" s="31"/>
      <c r="J58" s="31"/>
      <c r="K58" s="31"/>
      <c r="L58" s="31"/>
      <c r="M58" s="27"/>
      <c r="N58" s="27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7" ht="20.100000000000001" customHeight="1">
      <c r="A59" s="3"/>
      <c r="B59" s="231" t="s">
        <v>144</v>
      </c>
      <c r="C59" s="30"/>
      <c r="D59" s="30"/>
      <c r="E59" s="31"/>
      <c r="F59" s="31"/>
      <c r="G59" s="31"/>
      <c r="H59" s="31"/>
      <c r="I59" s="31"/>
      <c r="J59" s="31"/>
      <c r="K59" s="31"/>
      <c r="L59" s="31"/>
      <c r="M59" s="27"/>
      <c r="N59" s="27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7" ht="20.100000000000001" customHeight="1">
      <c r="A60" s="3">
        <v>1</v>
      </c>
      <c r="B60" s="223" t="s">
        <v>145</v>
      </c>
      <c r="C60" s="61" t="s">
        <v>146</v>
      </c>
      <c r="D60" s="66" t="s">
        <v>43</v>
      </c>
      <c r="E60" s="62">
        <v>81740.02</v>
      </c>
      <c r="F60" s="62"/>
      <c r="G60" s="62">
        <f>E60*300%</f>
        <v>245220.06</v>
      </c>
      <c r="H60" s="62">
        <f>E60*7.5%</f>
        <v>6130.5015000000003</v>
      </c>
      <c r="I60" s="62">
        <v>80244.38</v>
      </c>
      <c r="J60" s="62">
        <f>E60*50%</f>
        <v>40870.01</v>
      </c>
      <c r="K60" s="62">
        <f>E60*350%</f>
        <v>286090.07</v>
      </c>
      <c r="L60" s="62">
        <f>E60*100%</f>
        <v>81740.02</v>
      </c>
      <c r="M60" s="27">
        <f>200000</f>
        <v>200000</v>
      </c>
      <c r="N60" s="27"/>
      <c r="O60" s="62">
        <f>E60*10%</f>
        <v>8174.0020000000004</v>
      </c>
      <c r="P60" s="62">
        <v>20000</v>
      </c>
      <c r="Q60" s="62">
        <v>0</v>
      </c>
      <c r="R60" s="36">
        <f>SUM(E60:Q60)</f>
        <v>1050209.0635000002</v>
      </c>
      <c r="S60" s="36"/>
      <c r="T60" s="36"/>
      <c r="U60" s="36"/>
      <c r="V60" s="36">
        <v>0</v>
      </c>
      <c r="W60" s="62">
        <v>52776.63</v>
      </c>
      <c r="X60" s="36">
        <f>W60+V60+U60+T60+S60</f>
        <v>52776.63</v>
      </c>
      <c r="Y60" s="36">
        <v>997432.43350000016</v>
      </c>
      <c r="Z60" s="36">
        <f>R60-X60</f>
        <v>997432.43350000016</v>
      </c>
    </row>
    <row r="61" spans="1:27" ht="20.100000000000001" customHeight="1">
      <c r="A61" s="3">
        <v>2</v>
      </c>
      <c r="B61" s="214" t="s">
        <v>147</v>
      </c>
      <c r="C61" s="61" t="s">
        <v>148</v>
      </c>
      <c r="D61" s="66" t="s">
        <v>149</v>
      </c>
      <c r="E61" s="36">
        <v>32263.200000000001</v>
      </c>
      <c r="F61" s="62"/>
      <c r="G61" s="62">
        <f t="shared" ref="G61" si="73">E61*300%</f>
        <v>96789.6</v>
      </c>
      <c r="H61" s="62">
        <f t="shared" ref="H61" si="74">E61*7.5%</f>
        <v>2419.7399999999998</v>
      </c>
      <c r="I61" s="62">
        <v>40122.19</v>
      </c>
      <c r="J61" s="62">
        <f t="shared" ref="J61" si="75">E61*50%</f>
        <v>16131.6</v>
      </c>
      <c r="K61" s="62">
        <f t="shared" ref="K61" si="76">E61*350%</f>
        <v>112921.2</v>
      </c>
      <c r="L61" s="62">
        <f t="shared" ref="L61" si="77">E61*100%</f>
        <v>32263.200000000001</v>
      </c>
      <c r="M61" s="27"/>
      <c r="N61" s="27">
        <f>80000</f>
        <v>80000</v>
      </c>
      <c r="O61" s="62">
        <f t="shared" ref="O61" si="78">E61*10%</f>
        <v>3226.32</v>
      </c>
      <c r="P61" s="62">
        <v>20000</v>
      </c>
      <c r="Q61" s="63">
        <v>0</v>
      </c>
      <c r="R61" s="36">
        <f t="shared" ref="R61" si="79">SUM(E61:Q61)</f>
        <v>436137.05000000005</v>
      </c>
      <c r="S61" s="36"/>
      <c r="T61" s="36">
        <f>50000</f>
        <v>50000</v>
      </c>
      <c r="U61" s="36">
        <f>95000</f>
        <v>95000</v>
      </c>
      <c r="V61" s="36">
        <v>0</v>
      </c>
      <c r="W61" s="62">
        <f>15548.33</f>
        <v>15548.33</v>
      </c>
      <c r="X61" s="36">
        <f>W61+V61+U61+T61+S61</f>
        <v>160548.33000000002</v>
      </c>
      <c r="Y61" s="36">
        <v>275588.72000000003</v>
      </c>
      <c r="Z61" s="36">
        <f>R61-X61</f>
        <v>275588.72000000003</v>
      </c>
    </row>
    <row r="62" spans="1:27" ht="20.100000000000001" customHeight="1">
      <c r="A62" s="3"/>
      <c r="B62" s="231" t="s">
        <v>34</v>
      </c>
      <c r="C62" s="30">
        <v>2</v>
      </c>
      <c r="D62" s="30"/>
      <c r="E62" s="92">
        <v>114003.22</v>
      </c>
      <c r="F62" s="92"/>
      <c r="G62" s="92">
        <f t="shared" ref="G62:R62" si="80">SUM(G60:G61)</f>
        <v>342009.66000000003</v>
      </c>
      <c r="H62" s="92">
        <f t="shared" si="80"/>
        <v>8550.2415000000001</v>
      </c>
      <c r="I62" s="92">
        <f t="shared" si="80"/>
        <v>120366.57</v>
      </c>
      <c r="J62" s="92">
        <f t="shared" si="80"/>
        <v>57001.61</v>
      </c>
      <c r="K62" s="92">
        <f t="shared" si="80"/>
        <v>399011.27</v>
      </c>
      <c r="L62" s="92">
        <f t="shared" si="80"/>
        <v>114003.22</v>
      </c>
      <c r="M62" s="134">
        <f t="shared" si="80"/>
        <v>200000</v>
      </c>
      <c r="N62" s="134">
        <f t="shared" si="80"/>
        <v>80000</v>
      </c>
      <c r="O62" s="92">
        <f t="shared" si="80"/>
        <v>11400.322</v>
      </c>
      <c r="P62" s="92">
        <f t="shared" si="80"/>
        <v>40000</v>
      </c>
      <c r="Q62" s="92">
        <f t="shared" si="80"/>
        <v>0</v>
      </c>
      <c r="R62" s="92">
        <f t="shared" si="80"/>
        <v>1486346.1135000002</v>
      </c>
      <c r="S62" s="92"/>
      <c r="T62" s="92">
        <f>SUM(T60:T61)</f>
        <v>50000</v>
      </c>
      <c r="U62" s="92">
        <f>SUM(U61)</f>
        <v>95000</v>
      </c>
      <c r="V62" s="92">
        <f>SUM(V60:V61)</f>
        <v>0</v>
      </c>
      <c r="W62" s="92">
        <f>SUM(W60:W61)</f>
        <v>68324.959999999992</v>
      </c>
      <c r="X62" s="92">
        <f>SUM(X60:X61)</f>
        <v>213324.96000000002</v>
      </c>
      <c r="Y62" s="92">
        <v>1273021.1535000002</v>
      </c>
      <c r="Z62" s="92">
        <f>SUM(Z60:Z61)</f>
        <v>1273021.1535000002</v>
      </c>
      <c r="AA62" s="107"/>
    </row>
    <row r="63" spans="1:27" ht="20.100000000000001" customHeight="1">
      <c r="A63" s="3"/>
      <c r="B63" s="231"/>
      <c r="C63" s="30"/>
      <c r="D63" s="30"/>
      <c r="E63" s="31"/>
      <c r="F63" s="31"/>
      <c r="G63" s="31"/>
      <c r="H63" s="31"/>
      <c r="I63" s="31"/>
      <c r="J63" s="31"/>
      <c r="K63" s="31"/>
      <c r="L63" s="31"/>
      <c r="M63" s="27"/>
      <c r="N63" s="27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7" ht="20.100000000000001" customHeight="1">
      <c r="A64" s="3"/>
      <c r="B64" s="231" t="s">
        <v>150</v>
      </c>
      <c r="C64" s="30"/>
      <c r="D64" s="30"/>
      <c r="E64" s="31"/>
      <c r="F64" s="31"/>
      <c r="G64" s="31"/>
      <c r="H64" s="31"/>
      <c r="I64" s="31"/>
      <c r="J64" s="31"/>
      <c r="K64" s="31"/>
      <c r="L64" s="31"/>
      <c r="M64" s="27"/>
      <c r="N64" s="27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7" ht="20.100000000000001" customHeight="1">
      <c r="A65" s="3">
        <v>1</v>
      </c>
      <c r="B65" s="225" t="s">
        <v>151</v>
      </c>
      <c r="C65" s="47" t="s">
        <v>152</v>
      </c>
      <c r="D65" s="29" t="s">
        <v>43</v>
      </c>
      <c r="E65" s="26">
        <v>81740.02</v>
      </c>
      <c r="F65" s="26"/>
      <c r="G65" s="26">
        <f t="shared" ref="G65:G75" si="81">E65*300%</f>
        <v>245220.06</v>
      </c>
      <c r="H65" s="26">
        <f t="shared" ref="H65:H75" si="82">E65*7.5%</f>
        <v>6130.5015000000003</v>
      </c>
      <c r="I65" s="26">
        <f>80244.38</f>
        <v>80244.38</v>
      </c>
      <c r="J65" s="26">
        <f t="shared" ref="J65:J75" si="83">E65*50%</f>
        <v>40870.01</v>
      </c>
      <c r="K65" s="26">
        <f t="shared" ref="K65:K75" si="84">E65*350%</f>
        <v>286090.07</v>
      </c>
      <c r="L65" s="26">
        <f t="shared" ref="L65:L75" si="85">E65*100%</f>
        <v>81740.02</v>
      </c>
      <c r="M65" s="27">
        <f>200000</f>
        <v>200000</v>
      </c>
      <c r="N65" s="27"/>
      <c r="O65" s="26">
        <f t="shared" ref="O65:O75" si="86">E65*10%</f>
        <v>8174.0020000000004</v>
      </c>
      <c r="P65" s="26">
        <v>20000</v>
      </c>
      <c r="Q65" s="26">
        <v>0</v>
      </c>
      <c r="R65" s="26">
        <f t="shared" ref="R65:R75" si="87">SUM(E65:Q65)</f>
        <v>1050209.0635000002</v>
      </c>
      <c r="S65" s="26"/>
      <c r="T65" s="26">
        <f>100000+100000</f>
        <v>200000</v>
      </c>
      <c r="U65" s="26"/>
      <c r="V65" s="26"/>
      <c r="W65" s="26">
        <f>52776.63</f>
        <v>52776.63</v>
      </c>
      <c r="X65" s="26">
        <f>W65+V65+U65+T65+S65</f>
        <v>252776.63</v>
      </c>
      <c r="Y65" s="26">
        <v>797432.43350000016</v>
      </c>
      <c r="Z65" s="26">
        <f t="shared" ref="Z65:Z75" si="88">R65-X65</f>
        <v>797432.43350000016</v>
      </c>
    </row>
    <row r="66" spans="1:27" ht="20.100000000000001" customHeight="1">
      <c r="A66" s="3">
        <v>2</v>
      </c>
      <c r="B66" s="215" t="s">
        <v>153</v>
      </c>
      <c r="C66" s="47" t="s">
        <v>56</v>
      </c>
      <c r="D66" s="66" t="s">
        <v>63</v>
      </c>
      <c r="E66" s="36">
        <v>31018.84</v>
      </c>
      <c r="F66" s="62"/>
      <c r="G66" s="62">
        <f t="shared" si="81"/>
        <v>93056.52</v>
      </c>
      <c r="H66" s="62">
        <f t="shared" si="82"/>
        <v>2326.413</v>
      </c>
      <c r="I66" s="62">
        <v>40122.19</v>
      </c>
      <c r="J66" s="62">
        <f t="shared" si="83"/>
        <v>15509.42</v>
      </c>
      <c r="K66" s="62">
        <f t="shared" si="84"/>
        <v>108565.94</v>
      </c>
      <c r="L66" s="62">
        <f t="shared" si="85"/>
        <v>31018.84</v>
      </c>
      <c r="M66" s="27">
        <f>160000</f>
        <v>160000</v>
      </c>
      <c r="N66" s="27"/>
      <c r="O66" s="62">
        <f t="shared" si="86"/>
        <v>3101.884</v>
      </c>
      <c r="P66" s="62">
        <v>20000</v>
      </c>
      <c r="Q66" s="63">
        <v>0</v>
      </c>
      <c r="R66" s="36">
        <f t="shared" si="87"/>
        <v>504720.04700000002</v>
      </c>
      <c r="S66" s="36"/>
      <c r="T66" s="36">
        <f>100000</f>
        <v>100000</v>
      </c>
      <c r="U66" s="36">
        <f>131250</f>
        <v>131250</v>
      </c>
      <c r="V66" s="36">
        <v>0</v>
      </c>
      <c r="W66" s="62">
        <f>15548.33</f>
        <v>15548.33</v>
      </c>
      <c r="X66" s="26">
        <f t="shared" ref="X66:X78" si="89">W66+V66+U66+T66+S66</f>
        <v>246798.33</v>
      </c>
      <c r="Y66" s="36">
        <v>257921.71700000003</v>
      </c>
      <c r="Z66" s="36">
        <f>R66-X66</f>
        <v>257921.71700000003</v>
      </c>
    </row>
    <row r="67" spans="1:27" ht="20.100000000000001" customHeight="1">
      <c r="A67" s="3">
        <v>3</v>
      </c>
      <c r="B67" s="225" t="s">
        <v>154</v>
      </c>
      <c r="C67" s="20" t="s">
        <v>140</v>
      </c>
      <c r="D67" s="29" t="s">
        <v>73</v>
      </c>
      <c r="E67" s="26">
        <v>26339.3</v>
      </c>
      <c r="F67" s="26"/>
      <c r="G67" s="26">
        <f t="shared" si="81"/>
        <v>79017.899999999994</v>
      </c>
      <c r="H67" s="26">
        <f t="shared" si="82"/>
        <v>1975.4474999999998</v>
      </c>
      <c r="I67" s="26"/>
      <c r="J67" s="26">
        <f t="shared" si="83"/>
        <v>13169.65</v>
      </c>
      <c r="K67" s="26">
        <f t="shared" si="84"/>
        <v>92187.55</v>
      </c>
      <c r="L67" s="26">
        <f t="shared" si="85"/>
        <v>26339.3</v>
      </c>
      <c r="M67" s="27">
        <f t="shared" ref="M67:M69" si="90">120000</f>
        <v>120000</v>
      </c>
      <c r="N67" s="27"/>
      <c r="O67" s="26">
        <f t="shared" si="86"/>
        <v>2633.9300000000003</v>
      </c>
      <c r="P67" s="26">
        <v>15000</v>
      </c>
      <c r="Q67" s="26"/>
      <c r="R67" s="36"/>
      <c r="S67" s="36"/>
      <c r="T67" s="24"/>
      <c r="U67" s="24"/>
      <c r="V67" s="24"/>
      <c r="W67" s="26"/>
      <c r="X67" s="26">
        <f t="shared" si="89"/>
        <v>0</v>
      </c>
      <c r="Y67" s="36">
        <v>70790.748870967713</v>
      </c>
      <c r="Z67" s="36">
        <f t="shared" si="88"/>
        <v>0</v>
      </c>
    </row>
    <row r="68" spans="1:27" ht="20.100000000000001" customHeight="1">
      <c r="A68" s="3">
        <v>4</v>
      </c>
      <c r="B68" s="225" t="s">
        <v>155</v>
      </c>
      <c r="C68" s="33" t="s">
        <v>137</v>
      </c>
      <c r="D68" s="29" t="s">
        <v>98</v>
      </c>
      <c r="E68" s="26">
        <v>24741.26</v>
      </c>
      <c r="F68" s="26"/>
      <c r="G68" s="26">
        <f t="shared" si="81"/>
        <v>74223.78</v>
      </c>
      <c r="H68" s="26">
        <f t="shared" si="82"/>
        <v>1855.5944999999997</v>
      </c>
      <c r="I68" s="26"/>
      <c r="J68" s="26">
        <f t="shared" si="83"/>
        <v>12370.63</v>
      </c>
      <c r="K68" s="26">
        <f t="shared" si="84"/>
        <v>86594.409999999989</v>
      </c>
      <c r="L68" s="26">
        <f t="shared" si="85"/>
        <v>24741.26</v>
      </c>
      <c r="M68" s="27">
        <f t="shared" si="90"/>
        <v>120000</v>
      </c>
      <c r="N68" s="27"/>
      <c r="O68" s="26">
        <f t="shared" si="86"/>
        <v>2474.1260000000002</v>
      </c>
      <c r="P68" s="26">
        <v>15000</v>
      </c>
      <c r="Q68" s="26"/>
      <c r="R68" s="26">
        <f t="shared" si="87"/>
        <v>362001.06049999996</v>
      </c>
      <c r="S68" s="26"/>
      <c r="T68" s="26">
        <f>110000</f>
        <v>110000</v>
      </c>
      <c r="U68" s="26"/>
      <c r="V68" s="26"/>
      <c r="W68" s="26">
        <f>7709.76</f>
        <v>7709.76</v>
      </c>
      <c r="X68" s="26">
        <f t="shared" si="89"/>
        <v>117709.75999999999</v>
      </c>
      <c r="Y68" s="26">
        <v>244291.30049999995</v>
      </c>
      <c r="Z68" s="26">
        <f t="shared" si="88"/>
        <v>244291.30049999995</v>
      </c>
    </row>
    <row r="69" spans="1:27" ht="20.100000000000001" customHeight="1">
      <c r="A69" s="3">
        <v>5</v>
      </c>
      <c r="B69" s="215" t="s">
        <v>156</v>
      </c>
      <c r="C69" s="47" t="s">
        <v>137</v>
      </c>
      <c r="D69" s="66" t="s">
        <v>79</v>
      </c>
      <c r="E69" s="62">
        <v>23891.119999999999</v>
      </c>
      <c r="F69" s="62"/>
      <c r="G69" s="62">
        <f t="shared" si="81"/>
        <v>71673.36</v>
      </c>
      <c r="H69" s="62">
        <f t="shared" si="82"/>
        <v>1791.8339999999998</v>
      </c>
      <c r="I69" s="62">
        <v>0</v>
      </c>
      <c r="J69" s="62">
        <f t="shared" si="83"/>
        <v>11945.56</v>
      </c>
      <c r="K69" s="36">
        <f t="shared" si="84"/>
        <v>83618.92</v>
      </c>
      <c r="L69" s="62">
        <f t="shared" si="85"/>
        <v>23891.119999999999</v>
      </c>
      <c r="M69" s="27">
        <f t="shared" si="90"/>
        <v>120000</v>
      </c>
      <c r="N69" s="27"/>
      <c r="O69" s="62">
        <f t="shared" si="86"/>
        <v>2389.1120000000001</v>
      </c>
      <c r="P69" s="62">
        <v>15000</v>
      </c>
      <c r="Q69" s="62">
        <v>0</v>
      </c>
      <c r="R69" s="36">
        <f t="shared" si="87"/>
        <v>354201.02600000001</v>
      </c>
      <c r="S69" s="36"/>
      <c r="T69" s="36">
        <f>20000</f>
        <v>20000</v>
      </c>
      <c r="U69" s="36">
        <f>119444.44</f>
        <v>119444.44</v>
      </c>
      <c r="V69" s="36">
        <f>0</f>
        <v>0</v>
      </c>
      <c r="W69" s="62">
        <v>7709.76</v>
      </c>
      <c r="X69" s="26">
        <f t="shared" si="89"/>
        <v>147154.20000000001</v>
      </c>
      <c r="Y69" s="36">
        <v>207046.826</v>
      </c>
      <c r="Z69" s="36">
        <f t="shared" si="88"/>
        <v>207046.826</v>
      </c>
    </row>
    <row r="70" spans="1:27" ht="20.100000000000001" customHeight="1">
      <c r="A70" s="3">
        <v>6</v>
      </c>
      <c r="B70" s="224" t="s">
        <v>157</v>
      </c>
      <c r="C70" s="47" t="s">
        <v>135</v>
      </c>
      <c r="D70" s="66" t="s">
        <v>66</v>
      </c>
      <c r="E70" s="62">
        <v>26732.65</v>
      </c>
      <c r="F70" s="62"/>
      <c r="G70" s="62">
        <f>E70*300%</f>
        <v>80197.950000000012</v>
      </c>
      <c r="H70" s="62">
        <f>E70*7.5%</f>
        <v>2004.94875</v>
      </c>
      <c r="I70" s="62"/>
      <c r="J70" s="62">
        <f>E70*50%</f>
        <v>13366.325000000001</v>
      </c>
      <c r="K70" s="36">
        <f>E70*350%</f>
        <v>93564.275000000009</v>
      </c>
      <c r="L70" s="62">
        <f>E70*100%</f>
        <v>26732.65</v>
      </c>
      <c r="M70" s="27">
        <f>140000</f>
        <v>140000</v>
      </c>
      <c r="N70" s="27"/>
      <c r="O70" s="62">
        <f>E70*10%</f>
        <v>2673.2650000000003</v>
      </c>
      <c r="P70" s="62">
        <v>20000</v>
      </c>
      <c r="Q70" s="62"/>
      <c r="R70" s="36">
        <f>SUM(E70:Q70)</f>
        <v>405272.06374999997</v>
      </c>
      <c r="S70" s="36"/>
      <c r="T70" s="36">
        <f>10000</f>
        <v>10000</v>
      </c>
      <c r="U70" s="36">
        <f>54585.66</f>
        <v>54585.66</v>
      </c>
      <c r="V70" s="36"/>
      <c r="W70" s="36">
        <f>7709.76</f>
        <v>7709.76</v>
      </c>
      <c r="X70" s="26">
        <f t="shared" si="89"/>
        <v>72295.420000000013</v>
      </c>
      <c r="Y70" s="36">
        <v>332976.64374999993</v>
      </c>
      <c r="Z70" s="36">
        <f>R70-X70</f>
        <v>332976.64374999993</v>
      </c>
    </row>
    <row r="71" spans="1:27" ht="20.100000000000001" customHeight="1">
      <c r="A71" s="3">
        <v>7</v>
      </c>
      <c r="B71" s="225" t="s">
        <v>158</v>
      </c>
      <c r="C71" s="20" t="s">
        <v>142</v>
      </c>
      <c r="D71" s="29" t="s">
        <v>159</v>
      </c>
      <c r="E71" s="26">
        <v>19774.62</v>
      </c>
      <c r="F71" s="26"/>
      <c r="G71" s="26">
        <f t="shared" si="81"/>
        <v>59323.86</v>
      </c>
      <c r="H71" s="26">
        <f t="shared" si="82"/>
        <v>1483.0964999999999</v>
      </c>
      <c r="I71" s="26">
        <v>0</v>
      </c>
      <c r="J71" s="26">
        <f t="shared" si="83"/>
        <v>9887.31</v>
      </c>
      <c r="K71" s="26">
        <f t="shared" si="84"/>
        <v>69211.17</v>
      </c>
      <c r="L71" s="26">
        <f t="shared" si="85"/>
        <v>19774.62</v>
      </c>
      <c r="M71" s="27">
        <f>100000</f>
        <v>100000</v>
      </c>
      <c r="N71" s="27"/>
      <c r="O71" s="26">
        <f t="shared" si="86"/>
        <v>1977.462</v>
      </c>
      <c r="P71" s="26">
        <v>10000</v>
      </c>
      <c r="Q71" s="26">
        <v>0</v>
      </c>
      <c r="R71" s="36">
        <f t="shared" si="87"/>
        <v>291432.1385</v>
      </c>
      <c r="S71" s="36"/>
      <c r="T71" s="24">
        <f>10000</f>
        <v>10000</v>
      </c>
      <c r="U71" s="24">
        <f>131771.66</f>
        <v>131771.66</v>
      </c>
      <c r="V71" s="24"/>
      <c r="W71" s="26">
        <v>3369.51</v>
      </c>
      <c r="X71" s="26">
        <f t="shared" si="89"/>
        <v>145141.17000000001</v>
      </c>
      <c r="Y71" s="36">
        <v>146290.96849999999</v>
      </c>
      <c r="Z71" s="36">
        <f t="shared" si="88"/>
        <v>146290.96849999999</v>
      </c>
    </row>
    <row r="72" spans="1:27" ht="20.100000000000001" customHeight="1">
      <c r="A72" s="3">
        <v>8</v>
      </c>
      <c r="B72" s="226" t="s">
        <v>160</v>
      </c>
      <c r="C72" s="47" t="s">
        <v>161</v>
      </c>
      <c r="D72" s="66" t="s">
        <v>85</v>
      </c>
      <c r="E72" s="62">
        <f>21520.88</f>
        <v>21520.880000000001</v>
      </c>
      <c r="F72" s="62"/>
      <c r="G72" s="62">
        <f t="shared" si="81"/>
        <v>64562.64</v>
      </c>
      <c r="H72" s="62">
        <f t="shared" si="82"/>
        <v>1614.066</v>
      </c>
      <c r="I72" s="62">
        <v>0</v>
      </c>
      <c r="J72" s="62">
        <f t="shared" si="83"/>
        <v>10760.44</v>
      </c>
      <c r="K72" s="36">
        <f t="shared" si="84"/>
        <v>75323.08</v>
      </c>
      <c r="L72" s="62">
        <f t="shared" si="85"/>
        <v>21520.880000000001</v>
      </c>
      <c r="M72" s="27">
        <f>110000</f>
        <v>110000</v>
      </c>
      <c r="N72" s="27"/>
      <c r="O72" s="62">
        <f t="shared" si="86"/>
        <v>2152.0880000000002</v>
      </c>
      <c r="P72" s="62">
        <v>15000</v>
      </c>
      <c r="Q72" s="62">
        <v>0</v>
      </c>
      <c r="R72" s="36">
        <f t="shared" si="87"/>
        <v>322454.07400000002</v>
      </c>
      <c r="S72" s="36"/>
      <c r="T72" s="36">
        <f>10000+20000</f>
        <v>30000</v>
      </c>
      <c r="U72" s="36">
        <f>130000</f>
        <v>130000</v>
      </c>
      <c r="V72" s="36">
        <f>'[2]April 2022'!$H$41</f>
        <v>538.02200000000005</v>
      </c>
      <c r="W72" s="62">
        <f>3369.51</f>
        <v>3369.51</v>
      </c>
      <c r="X72" s="26">
        <f t="shared" si="89"/>
        <v>163907.53200000001</v>
      </c>
      <c r="Y72" s="36">
        <v>158602.64025000003</v>
      </c>
      <c r="Z72" s="36">
        <f t="shared" si="88"/>
        <v>158546.54200000002</v>
      </c>
    </row>
    <row r="73" spans="1:27" ht="20.100000000000001" customHeight="1">
      <c r="A73" s="3">
        <v>9</v>
      </c>
      <c r="B73" s="223" t="s">
        <v>162</v>
      </c>
      <c r="C73" s="47" t="s">
        <v>161</v>
      </c>
      <c r="D73" s="66" t="s">
        <v>163</v>
      </c>
      <c r="E73" s="62">
        <f>20749</f>
        <v>20749</v>
      </c>
      <c r="F73" s="62"/>
      <c r="G73" s="62">
        <f t="shared" ref="G73:G74" si="91">E73*300%</f>
        <v>62247</v>
      </c>
      <c r="H73" s="62">
        <f t="shared" ref="H73:H74" si="92">E73*7.5%</f>
        <v>1556.175</v>
      </c>
      <c r="I73" s="62">
        <v>0</v>
      </c>
      <c r="J73" s="62">
        <f t="shared" ref="J73:J74" si="93">E73*50%</f>
        <v>10374.5</v>
      </c>
      <c r="K73" s="36">
        <f t="shared" ref="K73:K74" si="94">E73*350%</f>
        <v>72621.5</v>
      </c>
      <c r="L73" s="62">
        <f t="shared" ref="L73:L74" si="95">E73*100%</f>
        <v>20749</v>
      </c>
      <c r="M73" s="27">
        <f t="shared" ref="M73:M74" si="96">110000</f>
        <v>110000</v>
      </c>
      <c r="N73" s="27"/>
      <c r="O73" s="62">
        <f t="shared" ref="O73:O74" si="97">E73*10%</f>
        <v>2074.9</v>
      </c>
      <c r="P73" s="62">
        <v>15000</v>
      </c>
      <c r="Q73" s="62">
        <v>0</v>
      </c>
      <c r="R73" s="36">
        <f>SUM(E73:Q73)*12/30</f>
        <v>126148.83000000002</v>
      </c>
      <c r="S73" s="36"/>
      <c r="T73" s="36"/>
      <c r="U73" s="36"/>
      <c r="V73" s="36"/>
      <c r="W73" s="62">
        <f t="shared" ref="W73:W74" si="98">3369.51</f>
        <v>3369.51</v>
      </c>
      <c r="X73" s="26">
        <f t="shared" ref="X73:X74" si="99">W73+V73+U73+T73+S73</f>
        <v>3369.51</v>
      </c>
      <c r="Y73" s="36"/>
      <c r="Z73" s="36">
        <f t="shared" ref="Z73:Z74" si="100">R73-X73</f>
        <v>122779.32000000002</v>
      </c>
    </row>
    <row r="74" spans="1:27" ht="20.100000000000001" customHeight="1">
      <c r="A74" s="3">
        <v>10</v>
      </c>
      <c r="B74" s="223" t="s">
        <v>164</v>
      </c>
      <c r="C74" s="47" t="s">
        <v>161</v>
      </c>
      <c r="D74" s="66" t="s">
        <v>163</v>
      </c>
      <c r="E74" s="62">
        <f>20749</f>
        <v>20749</v>
      </c>
      <c r="F74" s="62"/>
      <c r="G74" s="62">
        <f t="shared" si="91"/>
        <v>62247</v>
      </c>
      <c r="H74" s="62">
        <f t="shared" si="92"/>
        <v>1556.175</v>
      </c>
      <c r="I74" s="62">
        <v>0</v>
      </c>
      <c r="J74" s="62">
        <f t="shared" si="93"/>
        <v>10374.5</v>
      </c>
      <c r="K74" s="36">
        <f t="shared" si="94"/>
        <v>72621.5</v>
      </c>
      <c r="L74" s="62">
        <f t="shared" si="95"/>
        <v>20749</v>
      </c>
      <c r="M74" s="27">
        <f t="shared" si="96"/>
        <v>110000</v>
      </c>
      <c r="N74" s="27"/>
      <c r="O74" s="62">
        <f t="shared" si="97"/>
        <v>2074.9</v>
      </c>
      <c r="P74" s="62">
        <v>15000</v>
      </c>
      <c r="Q74" s="62">
        <v>0</v>
      </c>
      <c r="R74" s="36">
        <f>SUM(E74:Q74)*12/30</f>
        <v>126148.83000000002</v>
      </c>
      <c r="S74" s="36"/>
      <c r="T74" s="36"/>
      <c r="U74" s="36"/>
      <c r="V74" s="36"/>
      <c r="W74" s="62">
        <f t="shared" si="98"/>
        <v>3369.51</v>
      </c>
      <c r="X74" s="26">
        <f t="shared" si="99"/>
        <v>3369.51</v>
      </c>
      <c r="Y74" s="36"/>
      <c r="Z74" s="36">
        <f t="shared" si="100"/>
        <v>122779.32000000002</v>
      </c>
    </row>
    <row r="75" spans="1:27" ht="20.100000000000001" customHeight="1">
      <c r="A75" s="3">
        <v>11</v>
      </c>
      <c r="B75" s="223" t="s">
        <v>165</v>
      </c>
      <c r="C75" s="33" t="s">
        <v>166</v>
      </c>
      <c r="D75" s="3" t="s">
        <v>82</v>
      </c>
      <c r="E75" s="62">
        <v>18779.3</v>
      </c>
      <c r="F75" s="62"/>
      <c r="G75" s="62">
        <f t="shared" si="81"/>
        <v>56337.899999999994</v>
      </c>
      <c r="H75" s="62">
        <f t="shared" si="82"/>
        <v>1408.4475</v>
      </c>
      <c r="I75" s="62"/>
      <c r="J75" s="62">
        <f t="shared" si="83"/>
        <v>9389.65</v>
      </c>
      <c r="K75" s="62">
        <f t="shared" si="84"/>
        <v>65727.55</v>
      </c>
      <c r="L75" s="62">
        <f t="shared" si="85"/>
        <v>18779.3</v>
      </c>
      <c r="M75" s="27">
        <f t="shared" ref="M75:M78" si="101">100000</f>
        <v>100000</v>
      </c>
      <c r="N75" s="27"/>
      <c r="O75" s="62">
        <f t="shared" si="86"/>
        <v>1877.93</v>
      </c>
      <c r="P75" s="62">
        <v>10000</v>
      </c>
      <c r="Q75" s="62"/>
      <c r="R75" s="36">
        <f t="shared" si="87"/>
        <v>282300.07749999996</v>
      </c>
      <c r="S75" s="36"/>
      <c r="T75" s="36">
        <f>70000+20000</f>
        <v>90000</v>
      </c>
      <c r="U75" s="36"/>
      <c r="V75" s="36"/>
      <c r="W75" s="62">
        <v>3369.51</v>
      </c>
      <c r="X75" s="26">
        <f t="shared" si="89"/>
        <v>93369.51</v>
      </c>
      <c r="Y75" s="36">
        <v>188930.56749999995</v>
      </c>
      <c r="Z75" s="36">
        <f t="shared" si="88"/>
        <v>188930.56749999995</v>
      </c>
    </row>
    <row r="76" spans="1:27" ht="20.100000000000001" customHeight="1">
      <c r="A76" s="3">
        <v>12</v>
      </c>
      <c r="B76" s="225" t="s">
        <v>167</v>
      </c>
      <c r="C76" s="47" t="s">
        <v>142</v>
      </c>
      <c r="D76" s="3" t="s">
        <v>168</v>
      </c>
      <c r="E76" s="62">
        <v>17286.330000000002</v>
      </c>
      <c r="F76" s="62"/>
      <c r="G76" s="62">
        <f t="shared" ref="G76:G78" si="102">E76*300%</f>
        <v>51858.990000000005</v>
      </c>
      <c r="H76" s="62">
        <f t="shared" ref="H76:H78" si="103">E76*7.5%</f>
        <v>1296.4747500000001</v>
      </c>
      <c r="I76" s="62"/>
      <c r="J76" s="62">
        <f t="shared" ref="J76:J78" si="104">E76*50%</f>
        <v>8643.1650000000009</v>
      </c>
      <c r="K76" s="62">
        <f t="shared" ref="K76:K78" si="105">E76*350%</f>
        <v>60502.155000000006</v>
      </c>
      <c r="L76" s="62">
        <f t="shared" ref="L76:L78" si="106">E76*100%</f>
        <v>17286.330000000002</v>
      </c>
      <c r="M76" s="27">
        <f t="shared" si="101"/>
        <v>100000</v>
      </c>
      <c r="N76" s="27"/>
      <c r="O76" s="62">
        <f t="shared" ref="O76:O78" si="107">E76*10%</f>
        <v>1728.6330000000003</v>
      </c>
      <c r="P76" s="62">
        <v>10000</v>
      </c>
      <c r="Q76" s="62"/>
      <c r="R76" s="36">
        <f t="shared" ref="R76:R78" si="108">SUM(E76:Q76)</f>
        <v>268602.07775000005</v>
      </c>
      <c r="S76" s="36"/>
      <c r="T76" s="36">
        <f>50000</f>
        <v>50000</v>
      </c>
      <c r="U76" s="36">
        <v>0</v>
      </c>
      <c r="V76" s="36"/>
      <c r="W76" s="62">
        <v>3369.51</v>
      </c>
      <c r="X76" s="26">
        <f t="shared" si="89"/>
        <v>53369.51</v>
      </c>
      <c r="Y76" s="36">
        <v>215232.56775000005</v>
      </c>
      <c r="Z76" s="36">
        <f t="shared" ref="Z76:Z78" si="109">R76-X76</f>
        <v>215232.56775000005</v>
      </c>
    </row>
    <row r="77" spans="1:27" ht="20.100000000000001" customHeight="1">
      <c r="A77" s="3">
        <v>13</v>
      </c>
      <c r="B77" s="225" t="s">
        <v>169</v>
      </c>
      <c r="C77" s="47" t="s">
        <v>170</v>
      </c>
      <c r="D77" s="3" t="s">
        <v>143</v>
      </c>
      <c r="E77" s="62">
        <f>14736.14</f>
        <v>14736.14</v>
      </c>
      <c r="F77" s="62">
        <f>21875*2</f>
        <v>43750</v>
      </c>
      <c r="G77" s="62">
        <f t="shared" si="102"/>
        <v>44208.42</v>
      </c>
      <c r="H77" s="62">
        <f t="shared" si="103"/>
        <v>1105.2104999999999</v>
      </c>
      <c r="I77" s="62"/>
      <c r="J77" s="62">
        <f t="shared" si="104"/>
        <v>7368.07</v>
      </c>
      <c r="K77" s="62">
        <f t="shared" si="105"/>
        <v>51576.49</v>
      </c>
      <c r="L77" s="62">
        <f t="shared" si="106"/>
        <v>14736.14</v>
      </c>
      <c r="M77" s="27">
        <f t="shared" si="101"/>
        <v>100000</v>
      </c>
      <c r="N77" s="27"/>
      <c r="O77" s="62">
        <f t="shared" si="107"/>
        <v>1473.614</v>
      </c>
      <c r="P77" s="62">
        <v>10000</v>
      </c>
      <c r="Q77" s="62"/>
      <c r="R77" s="36">
        <f t="shared" si="108"/>
        <v>288954.0845</v>
      </c>
      <c r="S77" s="36"/>
      <c r="T77" s="36">
        <f>10000</f>
        <v>10000</v>
      </c>
      <c r="U77" s="36">
        <f>95833.33</f>
        <v>95833.33</v>
      </c>
      <c r="V77" s="36"/>
      <c r="W77" s="62">
        <v>1484.37</v>
      </c>
      <c r="X77" s="26">
        <f t="shared" si="89"/>
        <v>107317.7</v>
      </c>
      <c r="Y77" s="36">
        <v>116011.3495</v>
      </c>
      <c r="Z77" s="36">
        <f t="shared" si="109"/>
        <v>181636.38449999999</v>
      </c>
    </row>
    <row r="78" spans="1:27" ht="20.100000000000001" customHeight="1">
      <c r="A78" s="3">
        <v>14</v>
      </c>
      <c r="B78" s="224" t="s">
        <v>171</v>
      </c>
      <c r="C78" s="47" t="s">
        <v>170</v>
      </c>
      <c r="D78" s="3" t="s">
        <v>93</v>
      </c>
      <c r="E78" s="62">
        <v>12351.94</v>
      </c>
      <c r="F78" s="62"/>
      <c r="G78" s="62">
        <f t="shared" si="102"/>
        <v>37055.82</v>
      </c>
      <c r="H78" s="62">
        <f t="shared" si="103"/>
        <v>926.39549999999997</v>
      </c>
      <c r="I78" s="62"/>
      <c r="J78" s="62">
        <f t="shared" si="104"/>
        <v>6175.97</v>
      </c>
      <c r="K78" s="62">
        <f t="shared" si="105"/>
        <v>43231.79</v>
      </c>
      <c r="L78" s="62">
        <f t="shared" si="106"/>
        <v>12351.94</v>
      </c>
      <c r="M78" s="27">
        <f t="shared" si="101"/>
        <v>100000</v>
      </c>
      <c r="N78" s="27"/>
      <c r="O78" s="62">
        <f t="shared" si="107"/>
        <v>1235.1940000000002</v>
      </c>
      <c r="P78" s="62">
        <v>10000</v>
      </c>
      <c r="Q78" s="62"/>
      <c r="R78" s="36">
        <f t="shared" si="108"/>
        <v>223329.04949999999</v>
      </c>
      <c r="S78" s="36"/>
      <c r="T78" s="36"/>
      <c r="U78" s="36"/>
      <c r="V78" s="36"/>
      <c r="W78" s="62">
        <v>1484.37</v>
      </c>
      <c r="X78" s="26">
        <f t="shared" si="89"/>
        <v>1484.37</v>
      </c>
      <c r="Y78" s="36">
        <v>221844.6795</v>
      </c>
      <c r="Z78" s="36">
        <f t="shared" si="109"/>
        <v>221844.6795</v>
      </c>
    </row>
    <row r="79" spans="1:27" ht="20.100000000000001" customHeight="1">
      <c r="A79" s="3"/>
      <c r="B79" s="231" t="s">
        <v>34</v>
      </c>
      <c r="C79" s="30">
        <v>14</v>
      </c>
      <c r="D79" s="30"/>
      <c r="E79" s="92">
        <f t="shared" ref="E79:M79" si="110">SUM(E65:E78)</f>
        <v>360410.4</v>
      </c>
      <c r="F79" s="92">
        <f t="shared" si="110"/>
        <v>43750</v>
      </c>
      <c r="G79" s="92">
        <f t="shared" si="110"/>
        <v>1081231.2000000002</v>
      </c>
      <c r="H79" s="92">
        <f t="shared" si="110"/>
        <v>27030.779999999995</v>
      </c>
      <c r="I79" s="92">
        <f t="shared" si="110"/>
        <v>120366.57</v>
      </c>
      <c r="J79" s="92">
        <f t="shared" si="110"/>
        <v>180205.2</v>
      </c>
      <c r="K79" s="92">
        <f t="shared" si="110"/>
        <v>1261436.4000000001</v>
      </c>
      <c r="L79" s="92">
        <f t="shared" si="110"/>
        <v>360410.4</v>
      </c>
      <c r="M79" s="134">
        <f t="shared" si="110"/>
        <v>1690000</v>
      </c>
      <c r="N79" s="134"/>
      <c r="O79" s="92">
        <f>SUM(O65:O78)</f>
        <v>36041.040000000008</v>
      </c>
      <c r="P79" s="92">
        <f>SUM(P65:P78)</f>
        <v>200000</v>
      </c>
      <c r="Q79" s="92">
        <f>SUM(Q65:Q78)</f>
        <v>0</v>
      </c>
      <c r="R79" s="92">
        <f>SUM(R65:R78)</f>
        <v>4605772.4225000003</v>
      </c>
      <c r="S79" s="92"/>
      <c r="T79" s="92">
        <f t="shared" ref="T79:Z79" si="111">SUM(T65:T78)</f>
        <v>630000</v>
      </c>
      <c r="U79" s="92">
        <f t="shared" si="111"/>
        <v>662885.09</v>
      </c>
      <c r="V79" s="92">
        <f t="shared" si="111"/>
        <v>538.02200000000005</v>
      </c>
      <c r="W79" s="92">
        <f t="shared" si="111"/>
        <v>114640.03999999994</v>
      </c>
      <c r="X79" s="92">
        <f t="shared" si="111"/>
        <v>1408063.152</v>
      </c>
      <c r="Y79" s="92">
        <f t="shared" si="111"/>
        <v>2957372.4426209675</v>
      </c>
      <c r="Z79" s="92">
        <f t="shared" si="111"/>
        <v>3197709.2704999996</v>
      </c>
      <c r="AA79" s="107"/>
    </row>
    <row r="80" spans="1:27" ht="20.100000000000001" customHeight="1">
      <c r="A80" s="3"/>
      <c r="B80" s="219"/>
      <c r="C80" s="30"/>
      <c r="D80" s="30"/>
      <c r="E80" s="31"/>
      <c r="F80" s="31"/>
      <c r="G80" s="31"/>
      <c r="H80" s="31"/>
      <c r="I80" s="31"/>
      <c r="J80" s="31"/>
      <c r="K80" s="31"/>
      <c r="L80" s="31"/>
      <c r="M80" s="27"/>
      <c r="N80" s="27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7" ht="20.100000000000001" customHeight="1">
      <c r="A81" s="3"/>
      <c r="B81" s="231" t="s">
        <v>172</v>
      </c>
      <c r="C81" s="30"/>
      <c r="D81" s="30"/>
      <c r="E81" s="31"/>
      <c r="F81" s="31"/>
      <c r="G81" s="31"/>
      <c r="H81" s="31"/>
      <c r="I81" s="31"/>
      <c r="J81" s="31"/>
      <c r="K81" s="31"/>
      <c r="L81" s="31"/>
      <c r="M81" s="27"/>
      <c r="N81" s="27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7" ht="20.100000000000001" customHeight="1">
      <c r="A82" s="3">
        <v>1</v>
      </c>
      <c r="B82" s="223" t="s">
        <v>173</v>
      </c>
      <c r="C82" s="33" t="s">
        <v>174</v>
      </c>
      <c r="D82" s="3" t="s">
        <v>43</v>
      </c>
      <c r="E82" s="62">
        <v>81740.02</v>
      </c>
      <c r="F82" s="62"/>
      <c r="G82" s="62">
        <f t="shared" ref="G82:G88" si="112">E82*300%</f>
        <v>245220.06</v>
      </c>
      <c r="H82" s="62">
        <f t="shared" ref="H82:H88" si="113">E82*7.5%</f>
        <v>6130.5015000000003</v>
      </c>
      <c r="I82" s="62">
        <v>80244.38</v>
      </c>
      <c r="J82" s="62">
        <f>E82*50%</f>
        <v>40870.01</v>
      </c>
      <c r="K82" s="62">
        <f t="shared" ref="K82:K88" si="114">E82*350%</f>
        <v>286090.07</v>
      </c>
      <c r="L82" s="62">
        <f>E82*100%</f>
        <v>81740.02</v>
      </c>
      <c r="M82" s="27">
        <f>200000</f>
        <v>200000</v>
      </c>
      <c r="N82" s="27"/>
      <c r="O82" s="62">
        <f>E82*10%</f>
        <v>8174.0020000000004</v>
      </c>
      <c r="P82" s="62">
        <v>20000</v>
      </c>
      <c r="Q82" s="62">
        <v>0</v>
      </c>
      <c r="R82" s="36">
        <f>SUM(E82:Q82)</f>
        <v>1050209.0635000002</v>
      </c>
      <c r="S82" s="36"/>
      <c r="T82" s="36">
        <v>250000</v>
      </c>
      <c r="U82" s="36">
        <f>0</f>
        <v>0</v>
      </c>
      <c r="V82" s="36">
        <v>0</v>
      </c>
      <c r="W82" s="62">
        <v>52776.63</v>
      </c>
      <c r="X82" s="36">
        <f>W82+V82+U82+T82+S82</f>
        <v>302776.63</v>
      </c>
      <c r="Y82" s="36">
        <v>747432.43350000016</v>
      </c>
      <c r="Z82" s="36">
        <f>R82-X82</f>
        <v>747432.43350000016</v>
      </c>
    </row>
    <row r="83" spans="1:27" ht="20.100000000000001" customHeight="1">
      <c r="A83" s="3">
        <v>2</v>
      </c>
      <c r="B83" s="220" t="s">
        <v>175</v>
      </c>
      <c r="C83" s="1" t="s">
        <v>176</v>
      </c>
      <c r="D83" s="66" t="s">
        <v>63</v>
      </c>
      <c r="E83" s="36">
        <v>31018.84</v>
      </c>
      <c r="F83" s="62"/>
      <c r="G83" s="62">
        <f t="shared" si="112"/>
        <v>93056.52</v>
      </c>
      <c r="H83" s="62">
        <f t="shared" si="113"/>
        <v>2326.413</v>
      </c>
      <c r="I83" s="62">
        <v>40122.19</v>
      </c>
      <c r="J83" s="62">
        <f t="shared" ref="J83:J84" si="115">E83*50%</f>
        <v>15509.42</v>
      </c>
      <c r="K83" s="62">
        <f t="shared" si="114"/>
        <v>108565.94</v>
      </c>
      <c r="L83" s="62">
        <f t="shared" ref="L83:L84" si="116">E83*100%</f>
        <v>31018.84</v>
      </c>
      <c r="M83" s="27">
        <f>160000</f>
        <v>160000</v>
      </c>
      <c r="N83" s="27"/>
      <c r="O83" s="62">
        <f t="shared" ref="O83:O84" si="117">E83*10%</f>
        <v>3101.884</v>
      </c>
      <c r="P83" s="62">
        <v>20000</v>
      </c>
      <c r="Q83" s="63">
        <v>0</v>
      </c>
      <c r="R83" s="36">
        <f t="shared" ref="R83:R84" si="118">SUM(E83:Q83)</f>
        <v>504720.04700000002</v>
      </c>
      <c r="S83" s="36"/>
      <c r="T83" s="36"/>
      <c r="U83" s="36"/>
      <c r="V83" s="36">
        <v>0</v>
      </c>
      <c r="W83" s="62">
        <f t="shared" ref="W83:W84" si="119">15548.33</f>
        <v>15548.33</v>
      </c>
      <c r="X83" s="36">
        <f t="shared" ref="X83:X88" si="120">W83+V83+U83+T83+S83</f>
        <v>15548.33</v>
      </c>
      <c r="Y83" s="36">
        <v>489171.717</v>
      </c>
      <c r="Z83" s="36">
        <f t="shared" ref="Z83:Z84" si="121">R83-X83</f>
        <v>489171.717</v>
      </c>
    </row>
    <row r="84" spans="1:27" ht="20.100000000000001" customHeight="1">
      <c r="A84" s="3">
        <v>3</v>
      </c>
      <c r="B84" s="220" t="s">
        <v>177</v>
      </c>
      <c r="C84" s="1" t="s">
        <v>178</v>
      </c>
      <c r="D84" s="66" t="s">
        <v>63</v>
      </c>
      <c r="E84" s="36">
        <v>31018.84</v>
      </c>
      <c r="F84" s="62"/>
      <c r="G84" s="62">
        <f t="shared" si="112"/>
        <v>93056.52</v>
      </c>
      <c r="H84" s="62">
        <f t="shared" si="113"/>
        <v>2326.413</v>
      </c>
      <c r="I84" s="62">
        <v>40122.19</v>
      </c>
      <c r="J84" s="62">
        <f t="shared" si="115"/>
        <v>15509.42</v>
      </c>
      <c r="K84" s="62">
        <f t="shared" si="114"/>
        <v>108565.94</v>
      </c>
      <c r="L84" s="62">
        <f t="shared" si="116"/>
        <v>31018.84</v>
      </c>
      <c r="M84" s="27">
        <f>160000</f>
        <v>160000</v>
      </c>
      <c r="N84" s="27"/>
      <c r="O84" s="62">
        <f t="shared" si="117"/>
        <v>3101.884</v>
      </c>
      <c r="P84" s="62">
        <v>20000</v>
      </c>
      <c r="Q84" s="63">
        <v>0</v>
      </c>
      <c r="R84" s="36">
        <f t="shared" si="118"/>
        <v>504720.04700000002</v>
      </c>
      <c r="S84" s="36"/>
      <c r="T84" s="36"/>
      <c r="U84" s="36"/>
      <c r="V84" s="36">
        <v>0</v>
      </c>
      <c r="W84" s="62">
        <f t="shared" si="119"/>
        <v>15548.33</v>
      </c>
      <c r="X84" s="36">
        <f t="shared" si="120"/>
        <v>15548.33</v>
      </c>
      <c r="Y84" s="36">
        <v>489171.717</v>
      </c>
      <c r="Z84" s="36">
        <f t="shared" si="121"/>
        <v>489171.717</v>
      </c>
    </row>
    <row r="85" spans="1:27" ht="20.100000000000001" customHeight="1">
      <c r="A85" s="3">
        <v>4</v>
      </c>
      <c r="B85" s="223" t="s">
        <v>179</v>
      </c>
      <c r="C85" s="33" t="s">
        <v>140</v>
      </c>
      <c r="D85" s="66" t="s">
        <v>98</v>
      </c>
      <c r="E85" s="62">
        <v>24741.26</v>
      </c>
      <c r="F85" s="62"/>
      <c r="G85" s="62">
        <f t="shared" si="112"/>
        <v>74223.78</v>
      </c>
      <c r="H85" s="62">
        <f t="shared" si="113"/>
        <v>1855.5944999999997</v>
      </c>
      <c r="I85" s="36">
        <v>0</v>
      </c>
      <c r="J85" s="62">
        <f>E85*50%</f>
        <v>12370.63</v>
      </c>
      <c r="K85" s="36">
        <f t="shared" si="114"/>
        <v>86594.409999999989</v>
      </c>
      <c r="L85" s="62">
        <f>E85*100%</f>
        <v>24741.26</v>
      </c>
      <c r="M85" s="27">
        <f>120000</f>
        <v>120000</v>
      </c>
      <c r="N85" s="27"/>
      <c r="O85" s="62">
        <f>E85*10%</f>
        <v>2474.1260000000002</v>
      </c>
      <c r="P85" s="62">
        <v>15000</v>
      </c>
      <c r="Q85" s="62">
        <v>0</v>
      </c>
      <c r="R85" s="36">
        <f>SUM(E85:Q85)</f>
        <v>362001.06049999996</v>
      </c>
      <c r="S85" s="36"/>
      <c r="T85" s="36">
        <f>0</f>
        <v>0</v>
      </c>
      <c r="U85" s="36">
        <f>0</f>
        <v>0</v>
      </c>
      <c r="V85" s="36">
        <f>'[2]April 2022'!$H$42</f>
        <v>618.53150000000005</v>
      </c>
      <c r="W85" s="62">
        <f>7709.76</f>
        <v>7709.76</v>
      </c>
      <c r="X85" s="36">
        <f t="shared" si="120"/>
        <v>8328.2914999999994</v>
      </c>
      <c r="Y85" s="36">
        <v>353694.02249999996</v>
      </c>
      <c r="Z85" s="36">
        <f>R85-X85</f>
        <v>353672.76899999997</v>
      </c>
    </row>
    <row r="86" spans="1:27" ht="20.100000000000001" customHeight="1">
      <c r="A86" s="3">
        <v>5</v>
      </c>
      <c r="B86" s="223" t="s">
        <v>180</v>
      </c>
      <c r="C86" s="33" t="s">
        <v>166</v>
      </c>
      <c r="D86" s="3" t="s">
        <v>168</v>
      </c>
      <c r="E86" s="62">
        <v>17286.330000000002</v>
      </c>
      <c r="F86" s="62"/>
      <c r="G86" s="62">
        <f t="shared" si="112"/>
        <v>51858.990000000005</v>
      </c>
      <c r="H86" s="62">
        <f t="shared" si="113"/>
        <v>1296.4747500000001</v>
      </c>
      <c r="I86" s="62"/>
      <c r="J86" s="62">
        <f t="shared" ref="J86:J88" si="122">E86*50%</f>
        <v>8643.1650000000009</v>
      </c>
      <c r="K86" s="62">
        <f t="shared" si="114"/>
        <v>60502.155000000006</v>
      </c>
      <c r="L86" s="62">
        <f t="shared" ref="L86:L88" si="123">E86*100%</f>
        <v>17286.330000000002</v>
      </c>
      <c r="M86" s="27">
        <f>100000</f>
        <v>100000</v>
      </c>
      <c r="N86" s="27"/>
      <c r="O86" s="62">
        <f t="shared" ref="O86:O88" si="124">E86*10%</f>
        <v>1728.6330000000003</v>
      </c>
      <c r="P86" s="62">
        <v>10000</v>
      </c>
      <c r="Q86" s="62"/>
      <c r="R86" s="36">
        <f t="shared" ref="R86:R88" si="125">SUM(E86:Q86)</f>
        <v>268602.07775000005</v>
      </c>
      <c r="S86" s="36"/>
      <c r="T86" s="36">
        <f>50000</f>
        <v>50000</v>
      </c>
      <c r="U86" s="36">
        <f>50000</f>
        <v>50000</v>
      </c>
      <c r="V86" s="36"/>
      <c r="W86" s="62">
        <v>3369.51</v>
      </c>
      <c r="X86" s="36">
        <f t="shared" si="120"/>
        <v>103369.51000000001</v>
      </c>
      <c r="Y86" s="36">
        <v>165232.56775000005</v>
      </c>
      <c r="Z86" s="36">
        <f t="shared" ref="Z86:Z88" si="126">R86-X86</f>
        <v>165232.56775000005</v>
      </c>
    </row>
    <row r="87" spans="1:27" ht="20.100000000000001" customHeight="1">
      <c r="A87" s="3">
        <v>6</v>
      </c>
      <c r="B87" s="214" t="s">
        <v>181</v>
      </c>
      <c r="C87" s="33" t="s">
        <v>182</v>
      </c>
      <c r="D87" s="3" t="s">
        <v>111</v>
      </c>
      <c r="E87" s="62">
        <v>13112.16</v>
      </c>
      <c r="F87" s="62"/>
      <c r="G87" s="62">
        <f t="shared" si="112"/>
        <v>39336.479999999996</v>
      </c>
      <c r="H87" s="62">
        <f t="shared" si="113"/>
        <v>983.41199999999992</v>
      </c>
      <c r="I87" s="62"/>
      <c r="J87" s="62">
        <f t="shared" si="122"/>
        <v>6556.08</v>
      </c>
      <c r="K87" s="62">
        <f t="shared" si="114"/>
        <v>45892.56</v>
      </c>
      <c r="L87" s="62">
        <f t="shared" si="123"/>
        <v>13112.16</v>
      </c>
      <c r="M87" s="27">
        <f t="shared" ref="M87:M88" si="127">100000</f>
        <v>100000</v>
      </c>
      <c r="N87" s="27"/>
      <c r="O87" s="62">
        <f t="shared" si="124"/>
        <v>1311.2160000000001</v>
      </c>
      <c r="P87" s="62">
        <v>10000</v>
      </c>
      <c r="Q87" s="62"/>
      <c r="R87" s="36">
        <f t="shared" si="125"/>
        <v>230304.068</v>
      </c>
      <c r="S87" s="36"/>
      <c r="T87" s="36">
        <f>30000+20000</f>
        <v>50000</v>
      </c>
      <c r="U87" s="36">
        <v>0</v>
      </c>
      <c r="V87" s="36"/>
      <c r="W87" s="62">
        <v>1484.37</v>
      </c>
      <c r="X87" s="36">
        <f t="shared" si="120"/>
        <v>51484.37</v>
      </c>
      <c r="Y87" s="36">
        <v>178819.698</v>
      </c>
      <c r="Z87" s="36">
        <f t="shared" si="126"/>
        <v>178819.698</v>
      </c>
    </row>
    <row r="88" spans="1:27" ht="20.100000000000001" customHeight="1">
      <c r="A88" s="3">
        <v>7</v>
      </c>
      <c r="B88" s="214" t="s">
        <v>183</v>
      </c>
      <c r="C88" s="33" t="s">
        <v>184</v>
      </c>
      <c r="D88" s="3" t="s">
        <v>93</v>
      </c>
      <c r="E88" s="62">
        <v>12351.94</v>
      </c>
      <c r="F88" s="62"/>
      <c r="G88" s="62">
        <f t="shared" si="112"/>
        <v>37055.82</v>
      </c>
      <c r="H88" s="62">
        <f t="shared" si="113"/>
        <v>926.39549999999997</v>
      </c>
      <c r="I88" s="62"/>
      <c r="J88" s="62">
        <f t="shared" si="122"/>
        <v>6175.97</v>
      </c>
      <c r="K88" s="62">
        <f t="shared" si="114"/>
        <v>43231.79</v>
      </c>
      <c r="L88" s="62">
        <f t="shared" si="123"/>
        <v>12351.94</v>
      </c>
      <c r="M88" s="27">
        <f t="shared" si="127"/>
        <v>100000</v>
      </c>
      <c r="N88" s="27"/>
      <c r="O88" s="62">
        <f t="shared" si="124"/>
        <v>1235.1940000000002</v>
      </c>
      <c r="P88" s="62">
        <v>10000</v>
      </c>
      <c r="Q88" s="62"/>
      <c r="R88" s="36">
        <f t="shared" si="125"/>
        <v>223329.04949999999</v>
      </c>
      <c r="S88" s="36"/>
      <c r="T88" s="36">
        <f>0</f>
        <v>0</v>
      </c>
      <c r="U88" s="36">
        <f>26666.67</f>
        <v>26666.67</v>
      </c>
      <c r="V88" s="36"/>
      <c r="W88" s="62">
        <v>1484.37</v>
      </c>
      <c r="X88" s="36">
        <f t="shared" si="120"/>
        <v>28151.039999999997</v>
      </c>
      <c r="Y88" s="36">
        <v>195178.00949999999</v>
      </c>
      <c r="Z88" s="36">
        <f t="shared" si="126"/>
        <v>195178.00949999999</v>
      </c>
    </row>
    <row r="89" spans="1:27" ht="20.100000000000001" customHeight="1">
      <c r="A89" s="3"/>
      <c r="B89" s="231" t="s">
        <v>34</v>
      </c>
      <c r="C89" s="30">
        <v>7</v>
      </c>
      <c r="D89" s="30"/>
      <c r="E89" s="92">
        <f>SUM(E82:E88)</f>
        <v>211269.39000000004</v>
      </c>
      <c r="F89" s="92"/>
      <c r="G89" s="92">
        <f t="shared" ref="G89:M89" si="128">SUM(G82:G88)</f>
        <v>633808.16999999993</v>
      </c>
      <c r="H89" s="92">
        <f t="shared" si="128"/>
        <v>15845.204250000001</v>
      </c>
      <c r="I89" s="92">
        <f t="shared" si="128"/>
        <v>160488.76</v>
      </c>
      <c r="J89" s="92">
        <f t="shared" si="128"/>
        <v>105634.69500000002</v>
      </c>
      <c r="K89" s="92">
        <f t="shared" si="128"/>
        <v>739442.86499999999</v>
      </c>
      <c r="L89" s="92">
        <f t="shared" si="128"/>
        <v>211269.39000000004</v>
      </c>
      <c r="M89" s="134">
        <f t="shared" si="128"/>
        <v>940000</v>
      </c>
      <c r="N89" s="134"/>
      <c r="O89" s="92">
        <f>SUM(O82:O88)</f>
        <v>21126.939000000002</v>
      </c>
      <c r="P89" s="92">
        <f>SUM(P82:P88)</f>
        <v>105000</v>
      </c>
      <c r="Q89" s="92">
        <f>SUM(Q82:Q88)</f>
        <v>0</v>
      </c>
      <c r="R89" s="92">
        <f>SUM(R82:R88)</f>
        <v>3143885.4132500007</v>
      </c>
      <c r="S89" s="92"/>
      <c r="T89" s="92">
        <f t="shared" ref="T89:Z89" si="129">SUM(T82:T88)</f>
        <v>350000</v>
      </c>
      <c r="U89" s="92">
        <f t="shared" si="129"/>
        <v>76666.67</v>
      </c>
      <c r="V89" s="92">
        <f t="shared" si="129"/>
        <v>618.53150000000005</v>
      </c>
      <c r="W89" s="92">
        <f t="shared" si="129"/>
        <v>97921.299999999974</v>
      </c>
      <c r="X89" s="92">
        <f t="shared" si="129"/>
        <v>525206.50150000001</v>
      </c>
      <c r="Y89" s="92">
        <f t="shared" si="129"/>
        <v>2618700.1652500001</v>
      </c>
      <c r="Z89" s="92">
        <f t="shared" si="129"/>
        <v>2618678.91175</v>
      </c>
      <c r="AA89" s="107"/>
    </row>
    <row r="90" spans="1:27" ht="20.100000000000001" customHeight="1">
      <c r="A90" s="3"/>
      <c r="B90" s="232"/>
      <c r="C90" s="7"/>
      <c r="D90" s="7"/>
      <c r="E90" s="39"/>
      <c r="F90" s="39"/>
      <c r="G90" s="39"/>
      <c r="H90" s="39"/>
      <c r="I90" s="39"/>
      <c r="J90" s="39"/>
      <c r="K90" s="39"/>
      <c r="L90" s="39"/>
      <c r="M90" s="27"/>
      <c r="N90" s="27"/>
      <c r="O90" s="39"/>
      <c r="P90" s="39"/>
      <c r="Q90" s="39"/>
      <c r="R90" s="63"/>
      <c r="S90" s="63"/>
      <c r="T90" s="63"/>
      <c r="U90" s="63"/>
      <c r="V90" s="63"/>
      <c r="W90" s="39"/>
      <c r="X90" s="36"/>
      <c r="Y90" s="36"/>
      <c r="Z90" s="36"/>
    </row>
    <row r="91" spans="1:27" ht="20.100000000000001" customHeight="1">
      <c r="A91" s="3"/>
      <c r="B91" s="232" t="s">
        <v>185</v>
      </c>
      <c r="C91" s="69"/>
      <c r="D91" s="7"/>
      <c r="E91" s="39"/>
      <c r="F91" s="39"/>
      <c r="G91" s="39"/>
      <c r="H91" s="39"/>
      <c r="I91" s="39"/>
      <c r="J91" s="39"/>
      <c r="K91" s="39"/>
      <c r="L91" s="39"/>
      <c r="M91" s="27"/>
      <c r="N91" s="27"/>
      <c r="O91" s="39"/>
      <c r="P91" s="39"/>
      <c r="Q91" s="39"/>
      <c r="R91" s="63"/>
      <c r="S91" s="63"/>
      <c r="T91" s="63"/>
      <c r="U91" s="63"/>
      <c r="V91" s="63"/>
      <c r="W91" s="39"/>
      <c r="X91" s="36"/>
      <c r="Y91" s="36"/>
      <c r="Z91" s="36"/>
    </row>
    <row r="92" spans="1:27" ht="20.100000000000001" customHeight="1">
      <c r="A92" s="3">
        <v>1</v>
      </c>
      <c r="B92" s="223" t="s">
        <v>186</v>
      </c>
      <c r="C92" s="33" t="s">
        <v>187</v>
      </c>
      <c r="D92" s="3" t="s">
        <v>46</v>
      </c>
      <c r="E92" s="62">
        <v>41157.69</v>
      </c>
      <c r="F92" s="62"/>
      <c r="G92" s="62">
        <f t="shared" ref="G92" si="130">E92*300%</f>
        <v>123473.07</v>
      </c>
      <c r="H92" s="62">
        <f t="shared" ref="H92" si="131">E92*7.5%</f>
        <v>3086.8267500000002</v>
      </c>
      <c r="I92" s="62">
        <v>40122.19</v>
      </c>
      <c r="J92" s="62">
        <f t="shared" ref="J92" si="132">E92*50%</f>
        <v>20578.845000000001</v>
      </c>
      <c r="K92" s="62">
        <f t="shared" ref="K92" si="133">E92*350%</f>
        <v>144051.91500000001</v>
      </c>
      <c r="L92" s="62">
        <f t="shared" ref="L92:L98" si="134">E92*100%</f>
        <v>41157.69</v>
      </c>
      <c r="M92" s="27">
        <f>180000</f>
        <v>180000</v>
      </c>
      <c r="N92" s="27"/>
      <c r="O92" s="62">
        <f t="shared" ref="O92:O98" si="135">E92*10%</f>
        <v>4115.7690000000002</v>
      </c>
      <c r="P92" s="62">
        <v>20000</v>
      </c>
      <c r="Q92" s="62"/>
      <c r="R92" s="36">
        <f t="shared" ref="R92:R98" si="136">SUM(E92:Q92)</f>
        <v>617743.99575</v>
      </c>
      <c r="S92" s="36"/>
      <c r="T92" s="36"/>
      <c r="U92" s="36"/>
      <c r="V92" s="36"/>
      <c r="W92" s="62">
        <f>21618.09</f>
        <v>21618.09</v>
      </c>
      <c r="X92" s="36">
        <f>W92+V92+U92+T92+S92</f>
        <v>21618.09</v>
      </c>
      <c r="Y92" s="36">
        <v>596125.90575000003</v>
      </c>
      <c r="Z92" s="36">
        <f t="shared" ref="Z92:Z98" si="137">R92-X92</f>
        <v>596125.90575000003</v>
      </c>
    </row>
    <row r="93" spans="1:27" ht="20.100000000000001" customHeight="1">
      <c r="A93" s="3">
        <v>2</v>
      </c>
      <c r="B93" s="223" t="s">
        <v>188</v>
      </c>
      <c r="C93" s="33" t="s">
        <v>127</v>
      </c>
      <c r="D93" s="3" t="s">
        <v>54</v>
      </c>
      <c r="E93" s="62">
        <v>33507.5</v>
      </c>
      <c r="F93" s="62"/>
      <c r="G93" s="62">
        <f t="shared" ref="G93:G98" si="138">E93*300%</f>
        <v>100522.5</v>
      </c>
      <c r="H93" s="62">
        <f t="shared" ref="H93:H98" si="139">E93*7.5%</f>
        <v>2513.0625</v>
      </c>
      <c r="I93" s="62">
        <f>40122.19</f>
        <v>40122.19</v>
      </c>
      <c r="J93" s="62">
        <f t="shared" ref="J93:J98" si="140">E93*50%</f>
        <v>16753.75</v>
      </c>
      <c r="K93" s="62">
        <f t="shared" ref="K93:K98" si="141">E93*350%</f>
        <v>117276.25</v>
      </c>
      <c r="L93" s="62">
        <f t="shared" si="134"/>
        <v>33507.5</v>
      </c>
      <c r="M93" s="27">
        <f>160000</f>
        <v>160000</v>
      </c>
      <c r="N93" s="27"/>
      <c r="O93" s="62">
        <f t="shared" si="135"/>
        <v>3350.75</v>
      </c>
      <c r="P93" s="62">
        <v>20000</v>
      </c>
      <c r="Q93" s="62"/>
      <c r="R93" s="36">
        <f t="shared" si="136"/>
        <v>527553.50249999994</v>
      </c>
      <c r="S93" s="36"/>
      <c r="T93" s="36"/>
      <c r="U93" s="36"/>
      <c r="V93" s="36"/>
      <c r="W93" s="62">
        <f>15548.33</f>
        <v>15548.33</v>
      </c>
      <c r="X93" s="36">
        <f t="shared" ref="X93:X101" si="142">W93+V93+U93+T93+S93</f>
        <v>15548.33</v>
      </c>
      <c r="Y93" s="36">
        <v>512005.17249999993</v>
      </c>
      <c r="Z93" s="36">
        <f t="shared" si="137"/>
        <v>512005.17249999993</v>
      </c>
    </row>
    <row r="94" spans="1:27" ht="20.100000000000001" customHeight="1">
      <c r="A94" s="3">
        <v>3</v>
      </c>
      <c r="B94" s="223" t="s">
        <v>189</v>
      </c>
      <c r="C94" s="33" t="s">
        <v>127</v>
      </c>
      <c r="D94" s="3" t="s">
        <v>54</v>
      </c>
      <c r="E94" s="62">
        <v>33507.5</v>
      </c>
      <c r="F94" s="62"/>
      <c r="G94" s="62">
        <f>E94*300%</f>
        <v>100522.5</v>
      </c>
      <c r="H94" s="62">
        <f>E94*7.5%</f>
        <v>2513.0625</v>
      </c>
      <c r="I94" s="62">
        <f>40122.19</f>
        <v>40122.19</v>
      </c>
      <c r="J94" s="62">
        <f>E94*50%</f>
        <v>16753.75</v>
      </c>
      <c r="K94" s="62">
        <f>E94*350%</f>
        <v>117276.25</v>
      </c>
      <c r="L94" s="62">
        <f>E94*100%</f>
        <v>33507.5</v>
      </c>
      <c r="M94" s="27">
        <f>160000</f>
        <v>160000</v>
      </c>
      <c r="N94" s="27"/>
      <c r="O94" s="62">
        <f>E94*10%</f>
        <v>3350.75</v>
      </c>
      <c r="P94" s="62">
        <v>20000</v>
      </c>
      <c r="Q94" s="62"/>
      <c r="R94" s="36">
        <f>SUM(E94:Q94)</f>
        <v>527553.50249999994</v>
      </c>
      <c r="S94" s="36"/>
      <c r="T94" s="36">
        <f>30000</f>
        <v>30000</v>
      </c>
      <c r="U94" s="36">
        <f>98750</f>
        <v>98750</v>
      </c>
      <c r="V94" s="36">
        <f>'[2]April 2022'!$H$37</f>
        <v>837.6875</v>
      </c>
      <c r="W94" s="62">
        <f>15548.33</f>
        <v>15548.33</v>
      </c>
      <c r="X94" s="36">
        <f t="shared" si="142"/>
        <v>145136.01750000002</v>
      </c>
      <c r="Y94" s="36">
        <v>382448.59249999991</v>
      </c>
      <c r="Z94" s="36">
        <f>R94-X94</f>
        <v>382417.48499999993</v>
      </c>
    </row>
    <row r="95" spans="1:27" ht="20.100000000000001" customHeight="1">
      <c r="A95" s="3">
        <v>4</v>
      </c>
      <c r="B95" s="224" t="s">
        <v>190</v>
      </c>
      <c r="C95" s="33" t="s">
        <v>135</v>
      </c>
      <c r="D95" s="3" t="s">
        <v>191</v>
      </c>
      <c r="E95" s="62">
        <v>27611.23</v>
      </c>
      <c r="F95" s="62"/>
      <c r="G95" s="62">
        <f>E95*300%</f>
        <v>82833.69</v>
      </c>
      <c r="H95" s="62">
        <f>E95*7.5%</f>
        <v>2070.8422499999997</v>
      </c>
      <c r="I95" s="62"/>
      <c r="J95" s="62">
        <f>E95*50%</f>
        <v>13805.615</v>
      </c>
      <c r="K95" s="36">
        <f>E95*350%</f>
        <v>96639.304999999993</v>
      </c>
      <c r="L95" s="62">
        <f>E95*100%</f>
        <v>27611.23</v>
      </c>
      <c r="M95" s="27">
        <v>140000</v>
      </c>
      <c r="N95" s="27"/>
      <c r="O95" s="62">
        <f>E95*10%</f>
        <v>2761.123</v>
      </c>
      <c r="P95" s="62">
        <v>20000</v>
      </c>
      <c r="Q95" s="62">
        <v>0</v>
      </c>
      <c r="R95" s="26">
        <f>SUM(E95:Q95)</f>
        <v>413333.03525000007</v>
      </c>
      <c r="S95" s="26"/>
      <c r="T95" s="36">
        <f>20000</f>
        <v>20000</v>
      </c>
      <c r="U95" s="36">
        <f>163103.59</f>
        <v>163103.59</v>
      </c>
      <c r="V95" s="36">
        <f>'[2]April 2022'!$H$44</f>
        <v>690.28075000000001</v>
      </c>
      <c r="W95" s="36">
        <f>7709.76</f>
        <v>7709.76</v>
      </c>
      <c r="X95" s="36">
        <f t="shared" si="142"/>
        <v>191503.63075000001</v>
      </c>
      <c r="Y95" s="26">
        <v>221851.36900000006</v>
      </c>
      <c r="Z95" s="26">
        <f>R95-X95</f>
        <v>221829.40450000006</v>
      </c>
    </row>
    <row r="96" spans="1:27" ht="20.100000000000001" customHeight="1">
      <c r="A96" s="3">
        <v>5</v>
      </c>
      <c r="B96" s="225" t="s">
        <v>192</v>
      </c>
      <c r="C96" s="33" t="s">
        <v>131</v>
      </c>
      <c r="D96" s="3" t="s">
        <v>66</v>
      </c>
      <c r="E96" s="26">
        <v>26732.65</v>
      </c>
      <c r="F96" s="62"/>
      <c r="G96" s="26">
        <f t="shared" si="138"/>
        <v>80197.950000000012</v>
      </c>
      <c r="H96" s="26">
        <f t="shared" si="139"/>
        <v>2004.94875</v>
      </c>
      <c r="I96" s="26"/>
      <c r="J96" s="26">
        <f t="shared" si="140"/>
        <v>13366.325000000001</v>
      </c>
      <c r="K96" s="26">
        <f t="shared" si="141"/>
        <v>93564.275000000009</v>
      </c>
      <c r="L96" s="26">
        <f t="shared" si="134"/>
        <v>26732.65</v>
      </c>
      <c r="M96" s="27">
        <v>140000</v>
      </c>
      <c r="N96" s="27"/>
      <c r="O96" s="26">
        <f t="shared" si="135"/>
        <v>2673.2650000000003</v>
      </c>
      <c r="P96" s="26">
        <v>20000</v>
      </c>
      <c r="Q96" s="26"/>
      <c r="R96" s="36">
        <f t="shared" si="136"/>
        <v>405272.06374999997</v>
      </c>
      <c r="S96" s="36"/>
      <c r="T96" s="24">
        <f>50000</f>
        <v>50000</v>
      </c>
      <c r="U96" s="42">
        <f>79861.11</f>
        <v>79861.11</v>
      </c>
      <c r="V96" s="24"/>
      <c r="W96" s="36">
        <f t="shared" si="20"/>
        <v>7709.76</v>
      </c>
      <c r="X96" s="36">
        <f t="shared" si="142"/>
        <v>137570.87</v>
      </c>
      <c r="Y96" s="36">
        <v>267701.19374999998</v>
      </c>
      <c r="Z96" s="36">
        <f t="shared" si="137"/>
        <v>267701.19374999998</v>
      </c>
    </row>
    <row r="97" spans="1:27" ht="20.100000000000001" customHeight="1">
      <c r="A97" s="3">
        <v>6</v>
      </c>
      <c r="B97" s="225" t="s">
        <v>193</v>
      </c>
      <c r="C97" s="33" t="s">
        <v>131</v>
      </c>
      <c r="D97" s="3" t="s">
        <v>194</v>
      </c>
      <c r="E97" s="26">
        <f>24975.81</f>
        <v>24975.81</v>
      </c>
      <c r="F97" s="62"/>
      <c r="G97" s="26">
        <f t="shared" ref="G97" si="143">E97*300%</f>
        <v>74927.430000000008</v>
      </c>
      <c r="H97" s="26">
        <f t="shared" ref="H97" si="144">E97*7.5%</f>
        <v>1873.1857500000001</v>
      </c>
      <c r="I97" s="26"/>
      <c r="J97" s="26">
        <f t="shared" ref="J97" si="145">E97*50%</f>
        <v>12487.905000000001</v>
      </c>
      <c r="K97" s="26">
        <f t="shared" ref="K97" si="146">E97*350%</f>
        <v>87415.335000000006</v>
      </c>
      <c r="L97" s="26">
        <f t="shared" ref="L97" si="147">E97*100%</f>
        <v>24975.81</v>
      </c>
      <c r="M97" s="27">
        <v>140000</v>
      </c>
      <c r="N97" s="27"/>
      <c r="O97" s="26">
        <f t="shared" ref="O97" si="148">E97*10%</f>
        <v>2497.5810000000001</v>
      </c>
      <c r="P97" s="26">
        <v>20000</v>
      </c>
      <c r="Q97" s="26"/>
      <c r="R97" s="36">
        <f>SUM(E97:Q97)*12/30</f>
        <v>155661.22269999998</v>
      </c>
      <c r="S97" s="36"/>
      <c r="T97" s="24"/>
      <c r="U97" s="42"/>
      <c r="V97" s="24"/>
      <c r="W97" s="36">
        <f t="shared" si="20"/>
        <v>7709.76</v>
      </c>
      <c r="X97" s="36">
        <f t="shared" ref="X97" si="149">W97+V97+U97+T97+S97</f>
        <v>7709.76</v>
      </c>
      <c r="Y97" s="36"/>
      <c r="Z97" s="36">
        <f t="shared" ref="Z97" si="150">R97-X97</f>
        <v>147951.46269999997</v>
      </c>
    </row>
    <row r="98" spans="1:27" ht="21.6" customHeight="1">
      <c r="A98" s="3">
        <v>7</v>
      </c>
      <c r="B98" s="226" t="s">
        <v>195</v>
      </c>
      <c r="C98" s="33" t="s">
        <v>140</v>
      </c>
      <c r="D98" s="66" t="s">
        <v>98</v>
      </c>
      <c r="E98" s="62">
        <v>24741.26</v>
      </c>
      <c r="F98" s="62"/>
      <c r="G98" s="62">
        <f t="shared" si="138"/>
        <v>74223.78</v>
      </c>
      <c r="H98" s="62">
        <f t="shared" si="139"/>
        <v>1855.5944999999997</v>
      </c>
      <c r="I98" s="62">
        <v>0</v>
      </c>
      <c r="J98" s="62">
        <f t="shared" si="140"/>
        <v>12370.63</v>
      </c>
      <c r="K98" s="36">
        <f t="shared" si="141"/>
        <v>86594.409999999989</v>
      </c>
      <c r="L98" s="62">
        <f t="shared" si="134"/>
        <v>24741.26</v>
      </c>
      <c r="M98" s="27">
        <f>120000</f>
        <v>120000</v>
      </c>
      <c r="N98" s="27"/>
      <c r="O98" s="62">
        <f t="shared" si="135"/>
        <v>2474.1260000000002</v>
      </c>
      <c r="P98" s="62">
        <v>15000</v>
      </c>
      <c r="Q98" s="62">
        <v>0</v>
      </c>
      <c r="R98" s="36">
        <f t="shared" si="136"/>
        <v>362001.06049999996</v>
      </c>
      <c r="S98" s="36"/>
      <c r="T98" s="36">
        <f>50000</f>
        <v>50000</v>
      </c>
      <c r="U98" s="36"/>
      <c r="V98" s="36"/>
      <c r="W98" s="62">
        <f>7709.76</f>
        <v>7709.76</v>
      </c>
      <c r="X98" s="36">
        <f t="shared" si="142"/>
        <v>57709.760000000002</v>
      </c>
      <c r="Y98" s="36">
        <v>257624.65049999999</v>
      </c>
      <c r="Z98" s="36">
        <f t="shared" si="137"/>
        <v>304291.30049999995</v>
      </c>
    </row>
    <row r="99" spans="1:27" ht="21.6" customHeight="1">
      <c r="A99" s="3">
        <v>8</v>
      </c>
      <c r="B99" s="223" t="s">
        <v>196</v>
      </c>
      <c r="C99" s="61" t="s">
        <v>137</v>
      </c>
      <c r="D99" s="66" t="s">
        <v>79</v>
      </c>
      <c r="E99" s="62">
        <v>23891.119999999999</v>
      </c>
      <c r="F99" s="62"/>
      <c r="G99" s="62">
        <f t="shared" ref="G99:G101" si="151">E99*300%</f>
        <v>71673.36</v>
      </c>
      <c r="H99" s="62">
        <f t="shared" ref="H99:H101" si="152">E99*7.5%</f>
        <v>1791.8339999999998</v>
      </c>
      <c r="I99" s="62">
        <v>0</v>
      </c>
      <c r="J99" s="62">
        <f t="shared" ref="J99:J101" si="153">E99*50%</f>
        <v>11945.56</v>
      </c>
      <c r="K99" s="36">
        <f t="shared" ref="K99:K101" si="154">E99*350%</f>
        <v>83618.92</v>
      </c>
      <c r="L99" s="62">
        <f t="shared" ref="L99:L101" si="155">E99*100%</f>
        <v>23891.119999999999</v>
      </c>
      <c r="M99" s="27">
        <f t="shared" ref="M99:M100" si="156">120000</f>
        <v>120000</v>
      </c>
      <c r="N99" s="27"/>
      <c r="O99" s="62">
        <f t="shared" ref="O99:O101" si="157">E99*10%</f>
        <v>2389.1120000000001</v>
      </c>
      <c r="P99" s="62">
        <v>15000</v>
      </c>
      <c r="Q99" s="62">
        <v>0</v>
      </c>
      <c r="R99" s="36">
        <f t="shared" ref="R99:R100" si="158">SUM(E99:Q99)</f>
        <v>354201.02600000001</v>
      </c>
      <c r="S99" s="36"/>
      <c r="T99" s="36"/>
      <c r="U99" s="36"/>
      <c r="V99" s="36"/>
      <c r="W99" s="62">
        <f t="shared" si="27"/>
        <v>7709.76</v>
      </c>
      <c r="X99" s="36">
        <f t="shared" si="142"/>
        <v>7709.76</v>
      </c>
      <c r="Y99" s="36">
        <v>227229.11600000004</v>
      </c>
      <c r="Z99" s="36">
        <f t="shared" ref="Z99:Z101" si="159">R99-X99</f>
        <v>346491.266</v>
      </c>
    </row>
    <row r="100" spans="1:27" ht="21.6" customHeight="1">
      <c r="A100" s="3">
        <v>9</v>
      </c>
      <c r="B100" s="223" t="s">
        <v>197</v>
      </c>
      <c r="C100" s="61" t="s">
        <v>137</v>
      </c>
      <c r="D100" s="66" t="s">
        <v>79</v>
      </c>
      <c r="E100" s="62">
        <v>23891.119999999999</v>
      </c>
      <c r="F100" s="62"/>
      <c r="G100" s="62">
        <f t="shared" si="151"/>
        <v>71673.36</v>
      </c>
      <c r="H100" s="62">
        <f t="shared" si="152"/>
        <v>1791.8339999999998</v>
      </c>
      <c r="I100" s="62">
        <v>0</v>
      </c>
      <c r="J100" s="62">
        <f t="shared" si="153"/>
        <v>11945.56</v>
      </c>
      <c r="K100" s="36">
        <f t="shared" si="154"/>
        <v>83618.92</v>
      </c>
      <c r="L100" s="62">
        <f t="shared" si="155"/>
        <v>23891.119999999999</v>
      </c>
      <c r="M100" s="27">
        <f t="shared" si="156"/>
        <v>120000</v>
      </c>
      <c r="N100" s="27"/>
      <c r="O100" s="62">
        <f t="shared" si="157"/>
        <v>2389.1120000000001</v>
      </c>
      <c r="P100" s="62">
        <v>15000</v>
      </c>
      <c r="Q100" s="62">
        <v>0</v>
      </c>
      <c r="R100" s="36">
        <f t="shared" si="158"/>
        <v>354201.02600000001</v>
      </c>
      <c r="S100" s="36"/>
      <c r="T100" s="36">
        <f>100000</f>
        <v>100000</v>
      </c>
      <c r="U100" s="36"/>
      <c r="V100" s="36"/>
      <c r="W100" s="62">
        <f t="shared" si="27"/>
        <v>7709.76</v>
      </c>
      <c r="X100" s="36">
        <f t="shared" si="142"/>
        <v>107709.75999999999</v>
      </c>
      <c r="Y100" s="36">
        <v>246491.266</v>
      </c>
      <c r="Z100" s="36">
        <f t="shared" si="159"/>
        <v>246491.266</v>
      </c>
    </row>
    <row r="101" spans="1:27" ht="21.6" customHeight="1">
      <c r="A101" s="3">
        <v>10</v>
      </c>
      <c r="B101" s="223" t="s">
        <v>198</v>
      </c>
      <c r="C101" s="47" t="s">
        <v>161</v>
      </c>
      <c r="D101" s="66" t="s">
        <v>163</v>
      </c>
      <c r="E101" s="62">
        <f>20749</f>
        <v>20749</v>
      </c>
      <c r="F101" s="62"/>
      <c r="G101" s="62">
        <f t="shared" si="151"/>
        <v>62247</v>
      </c>
      <c r="H101" s="62">
        <f t="shared" si="152"/>
        <v>1556.175</v>
      </c>
      <c r="I101" s="62">
        <v>0</v>
      </c>
      <c r="J101" s="62">
        <f t="shared" si="153"/>
        <v>10374.5</v>
      </c>
      <c r="K101" s="36">
        <f t="shared" si="154"/>
        <v>72621.5</v>
      </c>
      <c r="L101" s="62">
        <f t="shared" si="155"/>
        <v>20749</v>
      </c>
      <c r="M101" s="27">
        <f t="shared" ref="M101" si="160">110000</f>
        <v>110000</v>
      </c>
      <c r="N101" s="27"/>
      <c r="O101" s="62">
        <f t="shared" si="157"/>
        <v>2074.9</v>
      </c>
      <c r="P101" s="62">
        <v>15000</v>
      </c>
      <c r="Q101" s="62">
        <v>0</v>
      </c>
      <c r="R101" s="36">
        <f>SUM(E101:Q101)*9/30</f>
        <v>94611.622500000012</v>
      </c>
      <c r="S101" s="36"/>
      <c r="T101" s="36"/>
      <c r="U101" s="36"/>
      <c r="V101" s="36"/>
      <c r="W101" s="62">
        <f t="shared" ref="W101" si="161">3369.51</f>
        <v>3369.51</v>
      </c>
      <c r="X101" s="26">
        <f t="shared" si="142"/>
        <v>3369.51</v>
      </c>
      <c r="Y101" s="36"/>
      <c r="Z101" s="36">
        <f t="shared" si="159"/>
        <v>91242.112500000017</v>
      </c>
    </row>
    <row r="102" spans="1:27" ht="20.100000000000001" customHeight="1">
      <c r="A102" s="3"/>
      <c r="B102" s="228" t="s">
        <v>34</v>
      </c>
      <c r="C102" s="7">
        <v>10</v>
      </c>
      <c r="D102" s="7"/>
      <c r="E102" s="95">
        <f>SUM(E92:E101)</f>
        <v>280764.88</v>
      </c>
      <c r="F102" s="95"/>
      <c r="G102" s="95">
        <f t="shared" ref="G102:M102" si="162">SUM(G92:G101)</f>
        <v>842294.64</v>
      </c>
      <c r="H102" s="95">
        <f t="shared" si="162"/>
        <v>21057.365999999998</v>
      </c>
      <c r="I102" s="95">
        <f t="shared" si="162"/>
        <v>120366.57</v>
      </c>
      <c r="J102" s="95">
        <f t="shared" si="162"/>
        <v>140382.44</v>
      </c>
      <c r="K102" s="95">
        <f t="shared" si="162"/>
        <v>982677.08000000007</v>
      </c>
      <c r="L102" s="95">
        <f t="shared" si="162"/>
        <v>280764.88</v>
      </c>
      <c r="M102" s="134">
        <f t="shared" si="162"/>
        <v>1390000</v>
      </c>
      <c r="N102" s="134"/>
      <c r="O102" s="95">
        <f>SUM(O92:O101)</f>
        <v>28076.488000000001</v>
      </c>
      <c r="P102" s="95">
        <f>SUM(P92:P101)</f>
        <v>180000</v>
      </c>
      <c r="Q102" s="95">
        <f>SUM(Q92:Q101)</f>
        <v>0</v>
      </c>
      <c r="R102" s="95">
        <f>SUM(R92:R101)</f>
        <v>3812132.0574500002</v>
      </c>
      <c r="S102" s="95"/>
      <c r="T102" s="95">
        <f t="shared" ref="T102:Z102" si="163">SUM(T92:T101)</f>
        <v>250000</v>
      </c>
      <c r="U102" s="95">
        <f t="shared" si="163"/>
        <v>341714.7</v>
      </c>
      <c r="V102" s="95">
        <f t="shared" si="163"/>
        <v>1527.9682499999999</v>
      </c>
      <c r="W102" s="95">
        <f t="shared" si="163"/>
        <v>102342.81999999998</v>
      </c>
      <c r="X102" s="95">
        <f t="shared" si="163"/>
        <v>695585.48825000005</v>
      </c>
      <c r="Y102" s="95">
        <f t="shared" si="163"/>
        <v>2711477.2659999998</v>
      </c>
      <c r="Z102" s="95">
        <f t="shared" si="163"/>
        <v>3116546.5691999993</v>
      </c>
      <c r="AA102" s="107"/>
    </row>
    <row r="103" spans="1:27" ht="20.100000000000001" customHeight="1">
      <c r="A103" s="3"/>
      <c r="B103" s="216"/>
      <c r="C103" s="7"/>
      <c r="D103" s="7"/>
      <c r="E103" s="39"/>
      <c r="F103" s="39"/>
      <c r="G103" s="39"/>
      <c r="H103" s="39"/>
      <c r="I103" s="39"/>
      <c r="J103" s="39"/>
      <c r="K103" s="39"/>
      <c r="L103" s="39"/>
      <c r="M103" s="27"/>
      <c r="N103" s="27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7" ht="20.100000000000001" customHeight="1">
      <c r="A104" s="3"/>
      <c r="B104" s="228" t="s">
        <v>199</v>
      </c>
      <c r="C104" s="7"/>
      <c r="D104" s="7"/>
      <c r="E104" s="39"/>
      <c r="F104" s="39"/>
      <c r="G104" s="39"/>
      <c r="H104" s="39"/>
      <c r="I104" s="39"/>
      <c r="J104" s="39"/>
      <c r="K104" s="39"/>
      <c r="L104" s="39"/>
      <c r="M104" s="27"/>
      <c r="N104" s="27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7" ht="20.100000000000001" customHeight="1">
      <c r="A105" s="3">
        <v>1</v>
      </c>
      <c r="B105" s="214" t="s">
        <v>200</v>
      </c>
      <c r="C105" s="3" t="s">
        <v>201</v>
      </c>
      <c r="D105" s="66" t="s">
        <v>46</v>
      </c>
      <c r="E105" s="62">
        <v>41157.69</v>
      </c>
      <c r="F105" s="62"/>
      <c r="G105" s="62">
        <f t="shared" ref="G105" si="164">E105*300%</f>
        <v>123473.07</v>
      </c>
      <c r="H105" s="62">
        <f t="shared" ref="H105" si="165">E105*7.5%</f>
        <v>3086.8267500000002</v>
      </c>
      <c r="I105" s="62">
        <v>40122.19</v>
      </c>
      <c r="J105" s="62">
        <f t="shared" ref="J105" si="166">E105*50%</f>
        <v>20578.845000000001</v>
      </c>
      <c r="K105" s="62">
        <f t="shared" ref="K105" si="167">E105*350%</f>
        <v>144051.91500000001</v>
      </c>
      <c r="L105" s="62">
        <f t="shared" ref="L105" si="168">E105*100%</f>
        <v>41157.69</v>
      </c>
      <c r="M105" s="27"/>
      <c r="N105" s="27">
        <f>90000</f>
        <v>90000</v>
      </c>
      <c r="O105" s="62">
        <f t="shared" ref="O105" si="169">E105*10%</f>
        <v>4115.7690000000002</v>
      </c>
      <c r="P105" s="62">
        <v>20000</v>
      </c>
      <c r="Q105" s="62"/>
      <c r="R105" s="36">
        <f>SUM(E105:Q105)</f>
        <v>527743.99575</v>
      </c>
      <c r="S105" s="36"/>
      <c r="T105" s="36"/>
      <c r="U105" s="36">
        <f>0</f>
        <v>0</v>
      </c>
      <c r="V105" s="36"/>
      <c r="W105" s="62">
        <f>21618.09</f>
        <v>21618.09</v>
      </c>
      <c r="X105" s="36">
        <f t="shared" ref="X105" si="170">W105+V105+U105+T105+S105</f>
        <v>21618.09</v>
      </c>
      <c r="Y105" s="36">
        <v>506125.90574999998</v>
      </c>
      <c r="Z105" s="36">
        <f t="shared" ref="Z105" si="171">R105-X105</f>
        <v>506125.90574999998</v>
      </c>
    </row>
    <row r="106" spans="1:27" ht="20.100000000000001" customHeight="1">
      <c r="A106" s="3">
        <v>2</v>
      </c>
      <c r="B106" s="225" t="s">
        <v>202</v>
      </c>
      <c r="C106" s="20" t="s">
        <v>203</v>
      </c>
      <c r="D106" s="29" t="s">
        <v>66</v>
      </c>
      <c r="E106" s="26">
        <v>26732.65</v>
      </c>
      <c r="F106" s="62"/>
      <c r="G106" s="26">
        <f>E106*300%</f>
        <v>80197.950000000012</v>
      </c>
      <c r="H106" s="26">
        <f>E106*7.5%</f>
        <v>2004.94875</v>
      </c>
      <c r="I106" s="26"/>
      <c r="J106" s="26">
        <f>E106*50%</f>
        <v>13366.325000000001</v>
      </c>
      <c r="K106" s="26">
        <f>E106*350%</f>
        <v>93564.275000000009</v>
      </c>
      <c r="L106" s="26">
        <f>E106*100%</f>
        <v>26732.65</v>
      </c>
      <c r="M106" s="27"/>
      <c r="N106" s="27">
        <f>70000</f>
        <v>70000</v>
      </c>
      <c r="O106" s="26">
        <f>E106*10%</f>
        <v>2673.2650000000003</v>
      </c>
      <c r="P106" s="26">
        <v>20000</v>
      </c>
      <c r="Q106" s="26"/>
      <c r="R106" s="36">
        <f>SUM(E106:Q106)</f>
        <v>335272.06374999997</v>
      </c>
      <c r="S106" s="36"/>
      <c r="T106" s="24"/>
      <c r="U106" s="24"/>
      <c r="V106" s="24">
        <f>'[2]April 2022'!$H$54</f>
        <v>668.31625000000008</v>
      </c>
      <c r="W106" s="36">
        <f t="shared" si="20"/>
        <v>7709.76</v>
      </c>
      <c r="X106" s="36">
        <f>W106+V106+U106+T106+S106</f>
        <v>8378.0762500000001</v>
      </c>
      <c r="Y106" s="36">
        <v>326915.95374999999</v>
      </c>
      <c r="Z106" s="36">
        <f>R106-X106</f>
        <v>326893.98749999999</v>
      </c>
      <c r="AA106" s="34"/>
    </row>
    <row r="107" spans="1:27" ht="20.100000000000001" customHeight="1">
      <c r="A107" s="3">
        <v>3</v>
      </c>
      <c r="B107" s="215" t="s">
        <v>204</v>
      </c>
      <c r="C107" s="20" t="s">
        <v>205</v>
      </c>
      <c r="D107" s="66" t="s">
        <v>79</v>
      </c>
      <c r="E107" s="62">
        <v>23891.119999999999</v>
      </c>
      <c r="F107" s="62"/>
      <c r="G107" s="62">
        <f t="shared" ref="G107" si="172">E107*300%</f>
        <v>71673.36</v>
      </c>
      <c r="H107" s="62">
        <f t="shared" ref="H107" si="173">E107*7.5%</f>
        <v>1791.8339999999998</v>
      </c>
      <c r="I107" s="36">
        <v>0</v>
      </c>
      <c r="J107" s="62">
        <f t="shared" ref="J107" si="174">E107*50%</f>
        <v>11945.56</v>
      </c>
      <c r="K107" s="36">
        <f t="shared" ref="K107" si="175">E107*350%</f>
        <v>83618.92</v>
      </c>
      <c r="L107" s="62">
        <f t="shared" ref="L107" si="176">E107*100%</f>
        <v>23891.119999999999</v>
      </c>
      <c r="M107" s="27"/>
      <c r="N107" s="27">
        <v>70000</v>
      </c>
      <c r="O107" s="62">
        <f t="shared" ref="O107" si="177">E107*10%</f>
        <v>2389.1120000000001</v>
      </c>
      <c r="P107" s="62">
        <v>15000</v>
      </c>
      <c r="Q107" s="62">
        <v>0</v>
      </c>
      <c r="R107" s="36">
        <f t="shared" ref="R107" si="178">SUM(E107:Q107)</f>
        <v>304201.02600000001</v>
      </c>
      <c r="S107" s="36"/>
      <c r="T107" s="36"/>
      <c r="U107" s="36"/>
      <c r="V107" s="36"/>
      <c r="W107" s="62">
        <f>7709.76</f>
        <v>7709.76</v>
      </c>
      <c r="X107" s="36">
        <f t="shared" ref="X107" si="179">W107+V107+U107+T107+S107</f>
        <v>7709.76</v>
      </c>
      <c r="Y107" s="36">
        <v>296491.266</v>
      </c>
      <c r="Z107" s="36">
        <f t="shared" ref="Z107" si="180">R107-X107</f>
        <v>296491.266</v>
      </c>
      <c r="AA107" s="34"/>
    </row>
    <row r="108" spans="1:27" ht="20.100000000000001" customHeight="1">
      <c r="A108" s="3">
        <v>4</v>
      </c>
      <c r="B108" s="223" t="s">
        <v>206</v>
      </c>
      <c r="C108" s="33" t="s">
        <v>207</v>
      </c>
      <c r="D108" s="66" t="s">
        <v>208</v>
      </c>
      <c r="E108" s="26">
        <v>19276.95</v>
      </c>
      <c r="F108" s="62"/>
      <c r="G108" s="62">
        <f>E108*300%</f>
        <v>57830.850000000006</v>
      </c>
      <c r="H108" s="62">
        <f>E108*7.5%</f>
        <v>1445.77125</v>
      </c>
      <c r="I108" s="62"/>
      <c r="J108" s="62">
        <f>E108*50%</f>
        <v>9638.4750000000004</v>
      </c>
      <c r="K108" s="36">
        <f>E108*350%</f>
        <v>67469.324999999997</v>
      </c>
      <c r="L108" s="26">
        <f>E108*100%</f>
        <v>19276.95</v>
      </c>
      <c r="M108" s="27"/>
      <c r="N108" s="27">
        <f>60000</f>
        <v>60000</v>
      </c>
      <c r="O108" s="62">
        <f>E108*10%</f>
        <v>1927.6950000000002</v>
      </c>
      <c r="P108" s="62">
        <v>10000</v>
      </c>
      <c r="Q108" s="62"/>
      <c r="R108" s="36">
        <f>SUM(E108:Q108)</f>
        <v>246866.01625000004</v>
      </c>
      <c r="S108" s="36"/>
      <c r="T108" s="36">
        <f>5000</f>
        <v>5000</v>
      </c>
      <c r="U108" s="36">
        <f>64806.29</f>
        <v>64806.29</v>
      </c>
      <c r="V108" s="36"/>
      <c r="W108" s="62">
        <v>3369.51</v>
      </c>
      <c r="X108" s="36">
        <f>W108+V108+U108+T108+S108</f>
        <v>73175.8</v>
      </c>
      <c r="Y108" s="36">
        <v>173690.21625000006</v>
      </c>
      <c r="Z108" s="36">
        <f>R108-X108</f>
        <v>173690.21625000006</v>
      </c>
      <c r="AA108" s="34"/>
    </row>
    <row r="109" spans="1:27" ht="20.100000000000001" customHeight="1">
      <c r="A109" s="33"/>
      <c r="B109" s="228" t="s">
        <v>34</v>
      </c>
      <c r="C109" s="7">
        <v>4</v>
      </c>
      <c r="D109" s="91"/>
      <c r="E109" s="92">
        <v>111058.40999999999</v>
      </c>
      <c r="F109" s="92"/>
      <c r="G109" s="92">
        <f t="shared" ref="G109:L109" si="181">SUM(G105:G108)</f>
        <v>333175.23</v>
      </c>
      <c r="H109" s="92">
        <f t="shared" si="181"/>
        <v>8329.3807500000003</v>
      </c>
      <c r="I109" s="92">
        <f t="shared" si="181"/>
        <v>40122.19</v>
      </c>
      <c r="J109" s="92">
        <f t="shared" si="181"/>
        <v>55529.204999999994</v>
      </c>
      <c r="K109" s="92">
        <f t="shared" si="181"/>
        <v>388704.435</v>
      </c>
      <c r="L109" s="92">
        <f t="shared" si="181"/>
        <v>111058.40999999999</v>
      </c>
      <c r="M109" s="134"/>
      <c r="N109" s="134">
        <f>SUM(N105:N108)</f>
        <v>290000</v>
      </c>
      <c r="O109" s="92">
        <f>SUM(O105:O108)</f>
        <v>11105.841</v>
      </c>
      <c r="P109" s="92">
        <f>SUM(P105:P108)</f>
        <v>65000</v>
      </c>
      <c r="Q109" s="92">
        <f>SUM(Q105:Q108)</f>
        <v>0</v>
      </c>
      <c r="R109" s="92">
        <f>SUM(R105:R108)</f>
        <v>1414083.1017500001</v>
      </c>
      <c r="S109" s="92"/>
      <c r="T109" s="92">
        <f t="shared" ref="T109:Z109" si="182">SUM(T105:T108)</f>
        <v>5000</v>
      </c>
      <c r="U109" s="92">
        <f t="shared" si="182"/>
        <v>64806.29</v>
      </c>
      <c r="V109" s="92">
        <f t="shared" si="182"/>
        <v>668.31625000000008</v>
      </c>
      <c r="W109" s="92">
        <f t="shared" si="182"/>
        <v>40407.120000000003</v>
      </c>
      <c r="X109" s="92">
        <f t="shared" si="182"/>
        <v>110881.72625000001</v>
      </c>
      <c r="Y109" s="92">
        <v>1303223.3417500001</v>
      </c>
      <c r="Z109" s="92">
        <f t="shared" si="182"/>
        <v>1303201.3755000001</v>
      </c>
      <c r="AA109" s="34"/>
    </row>
    <row r="110" spans="1:27" ht="20.100000000000001" customHeight="1">
      <c r="A110" s="33"/>
      <c r="B110" s="216"/>
      <c r="C110" s="7"/>
      <c r="D110" s="91"/>
      <c r="E110" s="31"/>
      <c r="F110" s="31"/>
      <c r="G110" s="31"/>
      <c r="H110" s="31"/>
      <c r="I110" s="31"/>
      <c r="J110" s="31"/>
      <c r="K110" s="31"/>
      <c r="L110" s="31"/>
      <c r="M110" s="27"/>
      <c r="N110" s="27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7" ht="20.100000000000001" customHeight="1">
      <c r="A111" s="33"/>
      <c r="B111" s="228" t="s">
        <v>209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27"/>
      <c r="N111" s="27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7" ht="20.100000000000001" customHeight="1">
      <c r="A112" s="33">
        <v>1</v>
      </c>
      <c r="B112" s="223" t="s">
        <v>210</v>
      </c>
      <c r="C112" s="61" t="s">
        <v>211</v>
      </c>
      <c r="D112" s="66" t="s">
        <v>43</v>
      </c>
      <c r="E112" s="62">
        <v>81740.02</v>
      </c>
      <c r="F112" s="62"/>
      <c r="G112" s="62">
        <f>E112*300%</f>
        <v>245220.06</v>
      </c>
      <c r="H112" s="62">
        <f>E112*7.5%</f>
        <v>6130.5015000000003</v>
      </c>
      <c r="I112" s="62">
        <v>80244.38</v>
      </c>
      <c r="J112" s="62">
        <f>E112*50%</f>
        <v>40870.01</v>
      </c>
      <c r="K112" s="62">
        <f>E112*350%</f>
        <v>286090.07</v>
      </c>
      <c r="L112" s="62">
        <f>E112*100%</f>
        <v>81740.02</v>
      </c>
      <c r="M112" s="27">
        <f>200000</f>
        <v>200000</v>
      </c>
      <c r="N112" s="27"/>
      <c r="O112" s="62">
        <f>E112*10%</f>
        <v>8174.0020000000004</v>
      </c>
      <c r="P112" s="62">
        <v>20000</v>
      </c>
      <c r="Q112" s="62">
        <v>0</v>
      </c>
      <c r="R112" s="36">
        <f>SUM(E112:Q112)</f>
        <v>1050209.0635000002</v>
      </c>
      <c r="S112" s="36"/>
      <c r="T112" s="36">
        <f>100000</f>
        <v>100000</v>
      </c>
      <c r="U112" s="36">
        <v>0</v>
      </c>
      <c r="V112" s="36">
        <v>0</v>
      </c>
      <c r="W112" s="62">
        <f>52776.63</f>
        <v>52776.63</v>
      </c>
      <c r="X112" s="36">
        <f>W112+V112+U112+T112+S112</f>
        <v>152776.63</v>
      </c>
      <c r="Y112" s="36">
        <v>897432.43350000016</v>
      </c>
      <c r="Z112" s="36">
        <f>R112-X112</f>
        <v>897432.43350000016</v>
      </c>
    </row>
    <row r="113" spans="1:27" ht="20.100000000000001" customHeight="1">
      <c r="A113" s="33">
        <v>2</v>
      </c>
      <c r="B113" s="223" t="s">
        <v>212</v>
      </c>
      <c r="C113" s="33" t="s">
        <v>213</v>
      </c>
      <c r="D113" s="3" t="s">
        <v>54</v>
      </c>
      <c r="E113" s="62">
        <v>33507.5</v>
      </c>
      <c r="F113" s="62"/>
      <c r="G113" s="62">
        <f>E113*300%</f>
        <v>100522.5</v>
      </c>
      <c r="H113" s="62">
        <f>E113*7.5%</f>
        <v>2513.0625</v>
      </c>
      <c r="I113" s="62">
        <v>40122.19</v>
      </c>
      <c r="J113" s="62">
        <f>E113*50%</f>
        <v>16753.75</v>
      </c>
      <c r="K113" s="62">
        <f>E113*350%</f>
        <v>117276.25</v>
      </c>
      <c r="L113" s="62">
        <f>E113*100%</f>
        <v>33507.5</v>
      </c>
      <c r="M113" s="27">
        <f>160000</f>
        <v>160000</v>
      </c>
      <c r="N113" s="27"/>
      <c r="O113" s="62">
        <f>E113*10%</f>
        <v>3350.75</v>
      </c>
      <c r="P113" s="62">
        <v>20000</v>
      </c>
      <c r="Q113" s="62">
        <v>0</v>
      </c>
      <c r="R113" s="36">
        <f>SUM(E113:Q113)</f>
        <v>527553.50249999994</v>
      </c>
      <c r="S113" s="36"/>
      <c r="T113" s="36">
        <v>40000</v>
      </c>
      <c r="U113" s="36">
        <f>238888.89</f>
        <v>238888.89</v>
      </c>
      <c r="V113" s="36">
        <f>'[2]April 2022'!$H$32</f>
        <v>837.6875</v>
      </c>
      <c r="W113" s="62">
        <v>15548.33</v>
      </c>
      <c r="X113" s="36">
        <f>SUM(S113:W113)</f>
        <v>295274.90750000003</v>
      </c>
      <c r="Y113" s="36">
        <v>339917.48249999993</v>
      </c>
      <c r="Z113" s="36">
        <f>R113-X113</f>
        <v>232278.59499999991</v>
      </c>
    </row>
    <row r="114" spans="1:27" ht="20.100000000000001" customHeight="1">
      <c r="A114" s="33">
        <v>3</v>
      </c>
      <c r="B114" s="223" t="s">
        <v>214</v>
      </c>
      <c r="C114" s="33" t="s">
        <v>215</v>
      </c>
      <c r="D114" s="3" t="s">
        <v>73</v>
      </c>
      <c r="E114" s="62">
        <v>26339.3</v>
      </c>
      <c r="F114" s="62"/>
      <c r="G114" s="62">
        <f>E114*300%</f>
        <v>79017.899999999994</v>
      </c>
      <c r="H114" s="62">
        <f>E114*7.5%</f>
        <v>1975.4474999999998</v>
      </c>
      <c r="I114" s="62">
        <v>0</v>
      </c>
      <c r="J114" s="62">
        <f>E114*50%</f>
        <v>13169.65</v>
      </c>
      <c r="K114" s="62">
        <f>E114*350%</f>
        <v>92187.55</v>
      </c>
      <c r="L114" s="62">
        <f>E114*100%</f>
        <v>26339.3</v>
      </c>
      <c r="M114" s="27">
        <f>120000</f>
        <v>120000</v>
      </c>
      <c r="N114" s="27"/>
      <c r="O114" s="62">
        <f>E114*10%</f>
        <v>2633.9300000000003</v>
      </c>
      <c r="P114" s="62">
        <v>15000</v>
      </c>
      <c r="Q114" s="62">
        <f>Library!AB4</f>
        <v>41432.938524999998</v>
      </c>
      <c r="R114" s="36">
        <f>SUM(E114:Q114)</f>
        <v>418096.01602499996</v>
      </c>
      <c r="S114" s="36"/>
      <c r="T114" s="36">
        <v>30000</v>
      </c>
      <c r="U114" s="36">
        <f>61111.11</f>
        <v>61111.11</v>
      </c>
      <c r="V114" s="36">
        <f>'[2]April 2022'!$H$35</f>
        <v>658.48250000000007</v>
      </c>
      <c r="W114" s="36">
        <f>7709.76</f>
        <v>7709.76</v>
      </c>
      <c r="X114" s="36">
        <f t="shared" ref="X114:X117" si="183">W114+V114+U114+T114+S114</f>
        <v>99479.352500000008</v>
      </c>
      <c r="Y114" s="36">
        <v>318616.66352499998</v>
      </c>
      <c r="Z114" s="36">
        <f>R114-X114</f>
        <v>318616.66352499998</v>
      </c>
    </row>
    <row r="115" spans="1:27" ht="20.100000000000001" customHeight="1">
      <c r="A115" s="33">
        <v>4</v>
      </c>
      <c r="B115" s="225" t="s">
        <v>216</v>
      </c>
      <c r="C115" s="33" t="s">
        <v>215</v>
      </c>
      <c r="D115" s="29" t="s">
        <v>138</v>
      </c>
      <c r="E115" s="26">
        <v>25523.45</v>
      </c>
      <c r="F115" s="26"/>
      <c r="G115" s="26">
        <f>E115*300%</f>
        <v>76570.350000000006</v>
      </c>
      <c r="H115" s="26">
        <f>E115*7.5%</f>
        <v>1914.25875</v>
      </c>
      <c r="I115" s="26">
        <v>0</v>
      </c>
      <c r="J115" s="26">
        <f>E115*50%</f>
        <v>12761.725</v>
      </c>
      <c r="K115" s="26">
        <f>E115*350%</f>
        <v>89332.074999999997</v>
      </c>
      <c r="L115" s="26">
        <f>E115*100%</f>
        <v>25523.45</v>
      </c>
      <c r="M115" s="27">
        <f>120000</f>
        <v>120000</v>
      </c>
      <c r="N115" s="27"/>
      <c r="O115" s="26">
        <f>E115*10%</f>
        <v>2552.3450000000003</v>
      </c>
      <c r="P115" s="26">
        <v>15000</v>
      </c>
      <c r="Q115" s="26">
        <f>Library!AB5</f>
        <v>39820.116654999998</v>
      </c>
      <c r="R115" s="36">
        <f>SUM(E115:Q115)</f>
        <v>408997.77040500002</v>
      </c>
      <c r="S115" s="36"/>
      <c r="T115" s="24">
        <f>50000</f>
        <v>50000</v>
      </c>
      <c r="U115" s="24">
        <f>68750+45833.33</f>
        <v>114583.33</v>
      </c>
      <c r="V115" s="24"/>
      <c r="W115" s="24">
        <f>7709.76</f>
        <v>7709.76</v>
      </c>
      <c r="X115" s="36">
        <f t="shared" si="183"/>
        <v>172293.09</v>
      </c>
      <c r="Y115" s="36">
        <v>236704.68040500002</v>
      </c>
      <c r="Z115" s="36">
        <f>R115-X115</f>
        <v>236704.68040500002</v>
      </c>
    </row>
    <row r="116" spans="1:27" ht="20.100000000000001" customHeight="1">
      <c r="A116" s="33">
        <v>5</v>
      </c>
      <c r="B116" s="223" t="s">
        <v>217</v>
      </c>
      <c r="C116" s="1" t="s">
        <v>218</v>
      </c>
      <c r="D116" s="66" t="s">
        <v>106</v>
      </c>
      <c r="E116" s="67">
        <v>13492.21</v>
      </c>
      <c r="F116" s="62"/>
      <c r="G116" s="62">
        <f>E116*300%</f>
        <v>40476.629999999997</v>
      </c>
      <c r="H116" s="62">
        <f>E116*7.5%</f>
        <v>1011.9157499999999</v>
      </c>
      <c r="I116" s="62"/>
      <c r="J116" s="62">
        <f>E116*50%</f>
        <v>6746.1049999999996</v>
      </c>
      <c r="K116" s="36">
        <f>E116*350%</f>
        <v>47222.735000000001</v>
      </c>
      <c r="L116" s="62">
        <f>E116*100%</f>
        <v>13492.21</v>
      </c>
      <c r="M116" s="27">
        <f>100000</f>
        <v>100000</v>
      </c>
      <c r="N116" s="27"/>
      <c r="O116" s="62">
        <f>E116*10%</f>
        <v>1349.221</v>
      </c>
      <c r="P116" s="62">
        <v>10000</v>
      </c>
      <c r="Q116" s="62">
        <f>Library!AB6</f>
        <v>25333.447479999999</v>
      </c>
      <c r="R116" s="36">
        <f>SUM(E116:Q116)</f>
        <v>259124.47422999999</v>
      </c>
      <c r="S116" s="36"/>
      <c r="T116" s="36">
        <v>20000</v>
      </c>
      <c r="U116" s="36">
        <f>50000</f>
        <v>50000</v>
      </c>
      <c r="V116" s="36"/>
      <c r="W116" s="62">
        <v>1484.37</v>
      </c>
      <c r="X116" s="36">
        <f>W116+V116+U116+T116+S116</f>
        <v>71484.37</v>
      </c>
      <c r="Y116" s="36">
        <v>187640.10423</v>
      </c>
      <c r="Z116" s="36">
        <f>R116-X116</f>
        <v>187640.10423</v>
      </c>
    </row>
    <row r="117" spans="1:27" ht="20.100000000000001" customHeight="1">
      <c r="A117" s="33">
        <v>6</v>
      </c>
      <c r="B117" s="215" t="s">
        <v>219</v>
      </c>
      <c r="C117" s="1" t="s">
        <v>218</v>
      </c>
      <c r="D117" s="3" t="s">
        <v>111</v>
      </c>
      <c r="E117" s="62">
        <v>13112.16</v>
      </c>
      <c r="F117" s="62"/>
      <c r="G117" s="62">
        <f t="shared" ref="G117" si="184">E117*300%</f>
        <v>39336.479999999996</v>
      </c>
      <c r="H117" s="62">
        <f t="shared" ref="H117" si="185">E117*7.5%</f>
        <v>983.41199999999992</v>
      </c>
      <c r="I117" s="62"/>
      <c r="J117" s="62">
        <f t="shared" ref="J117" si="186">E117*50%</f>
        <v>6556.08</v>
      </c>
      <c r="K117" s="62">
        <f t="shared" ref="K117" si="187">E117*350%</f>
        <v>45892.56</v>
      </c>
      <c r="L117" s="62">
        <f t="shared" ref="L117" si="188">E117*100%</f>
        <v>13112.16</v>
      </c>
      <c r="M117" s="27">
        <f>100000</f>
        <v>100000</v>
      </c>
      <c r="N117" s="27"/>
      <c r="O117" s="62">
        <f t="shared" ref="O117" si="189">E117*10%</f>
        <v>1311.2160000000001</v>
      </c>
      <c r="P117" s="62">
        <v>10000</v>
      </c>
      <c r="Q117" s="62">
        <f>Library!AB7</f>
        <v>24949.771000000001</v>
      </c>
      <c r="R117" s="36">
        <f t="shared" ref="R117" si="190">SUM(E117:Q117)</f>
        <v>255253.83900000001</v>
      </c>
      <c r="S117" s="36"/>
      <c r="T117" s="36">
        <f>25000</f>
        <v>25000</v>
      </c>
      <c r="U117" s="36">
        <f>68666.67</f>
        <v>68666.67</v>
      </c>
      <c r="V117" s="36"/>
      <c r="W117" s="62">
        <v>1484.37</v>
      </c>
      <c r="X117" s="36">
        <f t="shared" si="183"/>
        <v>95151.039999999994</v>
      </c>
      <c r="Y117" s="36">
        <v>160102.799</v>
      </c>
      <c r="Z117" s="36">
        <f t="shared" ref="Z117" si="191">R117-X117</f>
        <v>160102.799</v>
      </c>
    </row>
    <row r="118" spans="1:27" ht="20.100000000000001" customHeight="1">
      <c r="A118" s="33">
        <v>7</v>
      </c>
      <c r="B118" s="214" t="s">
        <v>220</v>
      </c>
      <c r="C118" s="1" t="s">
        <v>218</v>
      </c>
      <c r="D118" s="66" t="s">
        <v>93</v>
      </c>
      <c r="E118" s="67">
        <v>12351.94</v>
      </c>
      <c r="F118" s="62"/>
      <c r="G118" s="62">
        <f t="shared" ref="G118:G119" si="192">E118*300%</f>
        <v>37055.82</v>
      </c>
      <c r="H118" s="62">
        <f t="shared" ref="H118:H119" si="193">E118*7.5%</f>
        <v>926.39549999999997</v>
      </c>
      <c r="I118" s="62"/>
      <c r="J118" s="62">
        <f t="shared" ref="J118:J119" si="194">E118*50%</f>
        <v>6175.97</v>
      </c>
      <c r="K118" s="36">
        <f t="shared" ref="K118:K119" si="195">E118*350%</f>
        <v>43231.79</v>
      </c>
      <c r="L118" s="62">
        <f t="shared" ref="L118:L119" si="196">E118*100%</f>
        <v>12351.94</v>
      </c>
      <c r="M118" s="27">
        <f t="shared" ref="M118:M119" si="197">100000</f>
        <v>100000</v>
      </c>
      <c r="N118" s="27"/>
      <c r="O118" s="62">
        <f t="shared" ref="O118:O119" si="198">E118*10%</f>
        <v>1235.1940000000002</v>
      </c>
      <c r="P118" s="62">
        <v>10000</v>
      </c>
      <c r="Q118" s="62">
        <f>Library!AB8</f>
        <v>24566.195445000001</v>
      </c>
      <c r="R118" s="36">
        <f t="shared" ref="R118:R119" si="199">SUM(E118:Q118)</f>
        <v>247895.24494499998</v>
      </c>
      <c r="S118" s="36"/>
      <c r="T118" s="36">
        <f>30000</f>
        <v>30000</v>
      </c>
      <c r="U118" s="36"/>
      <c r="V118" s="36"/>
      <c r="W118" s="62">
        <v>1484.37</v>
      </c>
      <c r="X118" s="36">
        <f t="shared" ref="X118:X119" si="200">W118+V118+U118+T118+S118</f>
        <v>31484.37</v>
      </c>
      <c r="Y118" s="36">
        <v>216410.87494499999</v>
      </c>
      <c r="Z118" s="36">
        <f t="shared" ref="Z118:Z119" si="201">R118-X118</f>
        <v>216410.87494499999</v>
      </c>
    </row>
    <row r="119" spans="1:27" ht="20.100000000000001" customHeight="1">
      <c r="A119" s="33">
        <v>8</v>
      </c>
      <c r="B119" s="214" t="s">
        <v>221</v>
      </c>
      <c r="C119" s="1" t="s">
        <v>218</v>
      </c>
      <c r="D119" s="66" t="s">
        <v>93</v>
      </c>
      <c r="E119" s="67">
        <v>12351.94</v>
      </c>
      <c r="F119" s="62"/>
      <c r="G119" s="62">
        <f t="shared" si="192"/>
        <v>37055.82</v>
      </c>
      <c r="H119" s="62">
        <f t="shared" si="193"/>
        <v>926.39549999999997</v>
      </c>
      <c r="I119" s="62"/>
      <c r="J119" s="62">
        <f t="shared" si="194"/>
        <v>6175.97</v>
      </c>
      <c r="K119" s="36">
        <f t="shared" si="195"/>
        <v>43231.79</v>
      </c>
      <c r="L119" s="62">
        <f t="shared" si="196"/>
        <v>12351.94</v>
      </c>
      <c r="M119" s="27">
        <f t="shared" si="197"/>
        <v>100000</v>
      </c>
      <c r="N119" s="27"/>
      <c r="O119" s="62">
        <f t="shared" si="198"/>
        <v>1235.1940000000002</v>
      </c>
      <c r="P119" s="62">
        <v>10000</v>
      </c>
      <c r="Q119" s="62">
        <f>Library!AB9</f>
        <v>24566.195445000001</v>
      </c>
      <c r="R119" s="36">
        <f t="shared" si="199"/>
        <v>247895.24494499998</v>
      </c>
      <c r="S119" s="36"/>
      <c r="T119" s="36">
        <f>20000</f>
        <v>20000</v>
      </c>
      <c r="U119" s="36"/>
      <c r="V119" s="36"/>
      <c r="W119" s="62">
        <v>1484.37</v>
      </c>
      <c r="X119" s="36">
        <f t="shared" si="200"/>
        <v>21484.37</v>
      </c>
      <c r="Y119" s="36">
        <v>226410.87494499999</v>
      </c>
      <c r="Z119" s="36">
        <f t="shared" si="201"/>
        <v>226410.87494499999</v>
      </c>
    </row>
    <row r="120" spans="1:27" ht="20.100000000000001" customHeight="1">
      <c r="A120" s="33"/>
      <c r="B120" s="228" t="s">
        <v>34</v>
      </c>
      <c r="C120" s="3">
        <v>8</v>
      </c>
      <c r="D120" s="33"/>
      <c r="E120" s="93">
        <v>218418.52000000002</v>
      </c>
      <c r="F120" s="93"/>
      <c r="G120" s="93">
        <f t="shared" ref="G120:M120" si="202">SUM(G112:G119)</f>
        <v>655255.55999999982</v>
      </c>
      <c r="H120" s="93">
        <f t="shared" si="202"/>
        <v>16381.389000000003</v>
      </c>
      <c r="I120" s="93">
        <f t="shared" si="202"/>
        <v>120366.57</v>
      </c>
      <c r="J120" s="93">
        <f t="shared" si="202"/>
        <v>109209.26000000001</v>
      </c>
      <c r="K120" s="93">
        <f t="shared" si="202"/>
        <v>764464.82000000007</v>
      </c>
      <c r="L120" s="93">
        <f t="shared" si="202"/>
        <v>218418.52000000002</v>
      </c>
      <c r="M120" s="134">
        <f t="shared" si="202"/>
        <v>1000000</v>
      </c>
      <c r="N120" s="134"/>
      <c r="O120" s="93">
        <f>SUM(O112:O119)</f>
        <v>21841.852000000003</v>
      </c>
      <c r="P120" s="93">
        <f>SUM(P112:P119)</f>
        <v>110000</v>
      </c>
      <c r="Q120" s="93">
        <f>SUM(Q112:Q119)</f>
        <v>180668.66454999999</v>
      </c>
      <c r="R120" s="93">
        <f>SUM(R112:R119)</f>
        <v>3415025.1555499998</v>
      </c>
      <c r="S120" s="93"/>
      <c r="T120" s="93">
        <f t="shared" ref="T120:Z120" si="203">SUM(T112:T119)</f>
        <v>315000</v>
      </c>
      <c r="U120" s="93">
        <f t="shared" si="203"/>
        <v>533250</v>
      </c>
      <c r="V120" s="93">
        <f t="shared" si="203"/>
        <v>1496.17</v>
      </c>
      <c r="W120" s="93">
        <f t="shared" si="203"/>
        <v>89681.959999999963</v>
      </c>
      <c r="X120" s="93">
        <f t="shared" si="203"/>
        <v>939428.13</v>
      </c>
      <c r="Y120" s="93">
        <v>2583235.9130499996</v>
      </c>
      <c r="Z120" s="93">
        <f t="shared" si="203"/>
        <v>2475597.0255499994</v>
      </c>
      <c r="AA120" s="107"/>
    </row>
    <row r="121" spans="1:27" ht="20.100000000000001" customHeight="1">
      <c r="A121" s="33"/>
      <c r="B121" s="216"/>
      <c r="C121" s="3"/>
      <c r="D121" s="33"/>
      <c r="E121" s="13"/>
      <c r="F121" s="21"/>
      <c r="G121" s="13"/>
      <c r="H121" s="13"/>
      <c r="I121" s="13"/>
      <c r="J121" s="13"/>
      <c r="K121" s="13"/>
      <c r="L121" s="13"/>
      <c r="M121" s="27"/>
      <c r="N121" s="27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7" ht="20.100000000000001" customHeight="1">
      <c r="A122" s="33"/>
      <c r="B122" s="228" t="s">
        <v>222</v>
      </c>
      <c r="C122" s="7"/>
      <c r="D122" s="7"/>
      <c r="E122" s="39"/>
      <c r="F122" s="39"/>
      <c r="G122" s="39"/>
      <c r="H122" s="39"/>
      <c r="I122" s="39"/>
      <c r="J122" s="39"/>
      <c r="K122" s="39"/>
      <c r="L122" s="39"/>
      <c r="M122" s="27"/>
      <c r="N122" s="27"/>
      <c r="O122" s="39"/>
      <c r="P122" s="39"/>
      <c r="Q122" s="39"/>
      <c r="R122" s="63"/>
      <c r="S122" s="63"/>
      <c r="T122" s="63"/>
      <c r="U122" s="63"/>
      <c r="V122" s="63"/>
      <c r="W122" s="39"/>
      <c r="X122" s="36"/>
      <c r="Y122" s="36"/>
      <c r="Z122" s="36"/>
    </row>
    <row r="123" spans="1:27" ht="20.100000000000001" customHeight="1">
      <c r="A123" s="33">
        <v>1</v>
      </c>
      <c r="B123" s="226" t="s">
        <v>223</v>
      </c>
      <c r="C123" s="61" t="s">
        <v>224</v>
      </c>
      <c r="D123" s="66" t="s">
        <v>43</v>
      </c>
      <c r="E123" s="62">
        <v>81740.02</v>
      </c>
      <c r="F123" s="62"/>
      <c r="G123" s="62">
        <f t="shared" ref="G123:G130" si="204">E123*300%</f>
        <v>245220.06</v>
      </c>
      <c r="H123" s="62">
        <f t="shared" ref="H123:H130" si="205">E123*7.5%</f>
        <v>6130.5015000000003</v>
      </c>
      <c r="I123" s="62">
        <f>80244.38</f>
        <v>80244.38</v>
      </c>
      <c r="J123" s="62">
        <f t="shared" ref="J123:J130" si="206">E123*50%</f>
        <v>40870.01</v>
      </c>
      <c r="K123" s="62">
        <f t="shared" ref="K123:K130" si="207">E123*350%</f>
        <v>286090.07</v>
      </c>
      <c r="L123" s="62">
        <f t="shared" ref="L123:L130" si="208">E123*100%</f>
        <v>81740.02</v>
      </c>
      <c r="M123" s="27"/>
      <c r="N123" s="27">
        <f>100000</f>
        <v>100000</v>
      </c>
      <c r="O123" s="62">
        <f t="shared" ref="O123:O130" si="209">E123*10%</f>
        <v>8174.0020000000004</v>
      </c>
      <c r="P123" s="62">
        <v>20000</v>
      </c>
      <c r="Q123" s="62">
        <v>100000</v>
      </c>
      <c r="R123" s="36">
        <f t="shared" ref="R123:R130" si="210">SUM(E123:Q123)</f>
        <v>1050209.0635000002</v>
      </c>
      <c r="S123" s="36"/>
      <c r="T123" s="36">
        <f>300000</f>
        <v>300000</v>
      </c>
      <c r="U123" s="36">
        <f>227777.78</f>
        <v>227777.78</v>
      </c>
      <c r="V123" s="36">
        <f>'[2]April 2022'!$H$21</f>
        <v>2043.5005000000001</v>
      </c>
      <c r="W123" s="62">
        <f>52776.63</f>
        <v>52776.63</v>
      </c>
      <c r="X123" s="36">
        <f>W123+V123+U123+T123+S123</f>
        <v>582597.9105</v>
      </c>
      <c r="Y123" s="36">
        <v>467611.15300000017</v>
      </c>
      <c r="Z123" s="36">
        <f t="shared" ref="Z123:Z130" si="211">R123-X123</f>
        <v>467611.15300000017</v>
      </c>
    </row>
    <row r="124" spans="1:27" ht="20.100000000000001" customHeight="1">
      <c r="A124" s="33">
        <v>2</v>
      </c>
      <c r="B124" s="226" t="s">
        <v>225</v>
      </c>
      <c r="C124" s="61" t="s">
        <v>226</v>
      </c>
      <c r="D124" s="66" t="s">
        <v>227</v>
      </c>
      <c r="E124" s="62">
        <v>42653.17</v>
      </c>
      <c r="F124" s="62"/>
      <c r="G124" s="62">
        <f t="shared" si="204"/>
        <v>127959.51</v>
      </c>
      <c r="H124" s="62">
        <f t="shared" si="205"/>
        <v>3198.9877499999998</v>
      </c>
      <c r="I124" s="62">
        <v>40122.19</v>
      </c>
      <c r="J124" s="62">
        <f t="shared" si="206"/>
        <v>21326.584999999999</v>
      </c>
      <c r="K124" s="62">
        <f t="shared" si="207"/>
        <v>149286.095</v>
      </c>
      <c r="L124" s="62">
        <f t="shared" si="208"/>
        <v>42653.17</v>
      </c>
      <c r="M124" s="27"/>
      <c r="N124" s="27">
        <f>90000</f>
        <v>90000</v>
      </c>
      <c r="O124" s="62">
        <f t="shared" si="209"/>
        <v>4265.317</v>
      </c>
      <c r="P124" s="62">
        <v>20000</v>
      </c>
      <c r="Q124" s="62">
        <f>100000</f>
        <v>100000</v>
      </c>
      <c r="R124" s="36">
        <f t="shared" si="210"/>
        <v>641465.02474999998</v>
      </c>
      <c r="S124" s="36"/>
      <c r="T124" s="36">
        <f>100000</f>
        <v>100000</v>
      </c>
      <c r="U124" s="36">
        <f>0</f>
        <v>0</v>
      </c>
      <c r="V124" s="36"/>
      <c r="W124" s="62">
        <f>21618.09</f>
        <v>21618.09</v>
      </c>
      <c r="X124" s="36">
        <f t="shared" ref="X124:X130" si="212">W124+V124+U124+T124+S124</f>
        <v>121618.09</v>
      </c>
      <c r="Y124" s="36">
        <v>519846.93475000001</v>
      </c>
      <c r="Z124" s="36">
        <f t="shared" si="211"/>
        <v>519846.93475000001</v>
      </c>
    </row>
    <row r="125" spans="1:27" ht="20.100000000000001" customHeight="1">
      <c r="A125" s="33">
        <v>3</v>
      </c>
      <c r="B125" s="226" t="s">
        <v>228</v>
      </c>
      <c r="C125" s="61" t="s">
        <v>229</v>
      </c>
      <c r="D125" s="66" t="s">
        <v>54</v>
      </c>
      <c r="E125" s="26">
        <v>33507.5</v>
      </c>
      <c r="F125" s="62"/>
      <c r="G125" s="62">
        <f t="shared" si="204"/>
        <v>100522.5</v>
      </c>
      <c r="H125" s="62">
        <f t="shared" si="205"/>
        <v>2513.0625</v>
      </c>
      <c r="I125" s="62">
        <v>40122.19</v>
      </c>
      <c r="J125" s="62">
        <f t="shared" si="206"/>
        <v>16753.75</v>
      </c>
      <c r="K125" s="36">
        <f t="shared" si="207"/>
        <v>117276.25</v>
      </c>
      <c r="L125" s="62">
        <f t="shared" si="208"/>
        <v>33507.5</v>
      </c>
      <c r="M125" s="27"/>
      <c r="N125" s="27">
        <f>80000</f>
        <v>80000</v>
      </c>
      <c r="O125" s="62">
        <f t="shared" si="209"/>
        <v>3350.75</v>
      </c>
      <c r="P125" s="62">
        <v>20000</v>
      </c>
      <c r="Q125" s="62">
        <v>0</v>
      </c>
      <c r="R125" s="36">
        <f t="shared" si="210"/>
        <v>447553.5025</v>
      </c>
      <c r="S125" s="36"/>
      <c r="T125" s="36">
        <f>10000</f>
        <v>10000</v>
      </c>
      <c r="U125" s="36">
        <f>129166.67</f>
        <v>129166.67</v>
      </c>
      <c r="V125" s="36">
        <f>'[2]April 2022'!$H$20</f>
        <v>837.6875</v>
      </c>
      <c r="W125" s="62">
        <v>15548.33</v>
      </c>
      <c r="X125" s="36">
        <f t="shared" si="212"/>
        <v>155552.6875</v>
      </c>
      <c r="Y125" s="36">
        <v>292000.815</v>
      </c>
      <c r="Z125" s="36">
        <f t="shared" si="211"/>
        <v>292000.815</v>
      </c>
    </row>
    <row r="126" spans="1:27" ht="20.100000000000001" customHeight="1">
      <c r="A126" s="33">
        <v>4</v>
      </c>
      <c r="B126" s="217" t="s">
        <v>230</v>
      </c>
      <c r="C126" s="61" t="s">
        <v>229</v>
      </c>
      <c r="D126" s="66" t="s">
        <v>54</v>
      </c>
      <c r="E126" s="62">
        <v>33507.5</v>
      </c>
      <c r="F126" s="62"/>
      <c r="G126" s="62">
        <f>E126*300%</f>
        <v>100522.5</v>
      </c>
      <c r="H126" s="62">
        <f>E126*7.5%</f>
        <v>2513.0625</v>
      </c>
      <c r="I126" s="62">
        <f>40122.19</f>
        <v>40122.19</v>
      </c>
      <c r="J126" s="62">
        <f>E126*50%</f>
        <v>16753.75</v>
      </c>
      <c r="K126" s="36">
        <f>E126*350%</f>
        <v>117276.25</v>
      </c>
      <c r="L126" s="62">
        <f>E126*100%</f>
        <v>33507.5</v>
      </c>
      <c r="M126" s="27"/>
      <c r="N126" s="27">
        <f t="shared" si="10"/>
        <v>80000</v>
      </c>
      <c r="O126" s="62">
        <f>E126*10%</f>
        <v>3350.75</v>
      </c>
      <c r="P126" s="62">
        <v>20000</v>
      </c>
      <c r="Q126" s="62">
        <f>100000</f>
        <v>100000</v>
      </c>
      <c r="R126" s="36">
        <f>SUM(E126:Q126)</f>
        <v>547553.50249999994</v>
      </c>
      <c r="S126" s="36"/>
      <c r="T126" s="36">
        <f>180000</f>
        <v>180000</v>
      </c>
      <c r="U126" s="36"/>
      <c r="V126" s="36">
        <f>'[2]April 2022'!$H$22</f>
        <v>837.6875</v>
      </c>
      <c r="W126" s="36">
        <f>15548.33</f>
        <v>15548.33</v>
      </c>
      <c r="X126" s="36">
        <f>W126+V126+U126+T126+S126</f>
        <v>196386.01750000002</v>
      </c>
      <c r="Y126" s="36">
        <v>351198.59249999991</v>
      </c>
      <c r="Z126" s="36">
        <f>R126-X126</f>
        <v>351167.48499999993</v>
      </c>
    </row>
    <row r="127" spans="1:27" ht="20.100000000000001" customHeight="1">
      <c r="A127" s="33">
        <v>5</v>
      </c>
      <c r="B127" s="220" t="s">
        <v>231</v>
      </c>
      <c r="C127" s="61" t="s">
        <v>229</v>
      </c>
      <c r="D127" s="66" t="s">
        <v>232</v>
      </c>
      <c r="E127" s="26">
        <v>31018.84</v>
      </c>
      <c r="F127" s="62"/>
      <c r="G127" s="62">
        <f t="shared" ref="G127" si="213">E127*300%</f>
        <v>93056.52</v>
      </c>
      <c r="H127" s="62">
        <f t="shared" ref="H127" si="214">E127*7.5%</f>
        <v>2326.413</v>
      </c>
      <c r="I127" s="62">
        <v>40122.19</v>
      </c>
      <c r="J127" s="62">
        <f t="shared" ref="J127" si="215">E127*50%</f>
        <v>15509.42</v>
      </c>
      <c r="K127" s="36">
        <f t="shared" ref="K127" si="216">E127*350%</f>
        <v>108565.94</v>
      </c>
      <c r="L127" s="62">
        <f t="shared" ref="L127" si="217">E127*100%</f>
        <v>31018.84</v>
      </c>
      <c r="M127" s="27"/>
      <c r="N127" s="27">
        <f>80000</f>
        <v>80000</v>
      </c>
      <c r="O127" s="62">
        <f t="shared" ref="O127" si="218">E127*10%</f>
        <v>3101.884</v>
      </c>
      <c r="P127" s="62">
        <v>20000</v>
      </c>
      <c r="Q127" s="62">
        <v>0</v>
      </c>
      <c r="R127" s="36">
        <f>SUM(E127:Q127)</f>
        <v>424720.04700000002</v>
      </c>
      <c r="S127" s="36"/>
      <c r="T127" s="36">
        <f>100000</f>
        <v>100000</v>
      </c>
      <c r="U127" s="36"/>
      <c r="V127" s="36"/>
      <c r="W127" s="62">
        <f>(15548.33)</f>
        <v>15548.33</v>
      </c>
      <c r="X127" s="36">
        <f t="shared" ref="X127" si="219">W127+V127+U127+T127+S127</f>
        <v>115548.33</v>
      </c>
      <c r="Y127" s="36">
        <v>309171.717</v>
      </c>
      <c r="Z127" s="36">
        <f t="shared" ref="Z127" si="220">R127-X127</f>
        <v>309171.717</v>
      </c>
    </row>
    <row r="128" spans="1:27" ht="20.100000000000001" customHeight="1">
      <c r="A128" s="33">
        <v>6</v>
      </c>
      <c r="B128" s="226" t="s">
        <v>233</v>
      </c>
      <c r="C128" s="61" t="s">
        <v>234</v>
      </c>
      <c r="D128" s="66" t="s">
        <v>138</v>
      </c>
      <c r="E128" s="62">
        <v>25523.45</v>
      </c>
      <c r="F128" s="62"/>
      <c r="G128" s="62">
        <f t="shared" si="204"/>
        <v>76570.350000000006</v>
      </c>
      <c r="H128" s="62">
        <f t="shared" si="205"/>
        <v>1914.25875</v>
      </c>
      <c r="I128" s="62">
        <v>0</v>
      </c>
      <c r="J128" s="62">
        <f t="shared" si="206"/>
        <v>12761.725</v>
      </c>
      <c r="K128" s="36">
        <f t="shared" si="207"/>
        <v>89332.074999999997</v>
      </c>
      <c r="L128" s="62">
        <f t="shared" si="208"/>
        <v>25523.45</v>
      </c>
      <c r="M128" s="27"/>
      <c r="N128" s="27">
        <f>70000</f>
        <v>70000</v>
      </c>
      <c r="O128" s="62">
        <f t="shared" si="209"/>
        <v>2552.3450000000003</v>
      </c>
      <c r="P128" s="62">
        <v>15000</v>
      </c>
      <c r="Q128" s="62">
        <v>0</v>
      </c>
      <c r="R128" s="36">
        <f t="shared" si="210"/>
        <v>319177.65375</v>
      </c>
      <c r="S128" s="36"/>
      <c r="T128" s="36">
        <f>35000</f>
        <v>35000</v>
      </c>
      <c r="U128" s="36">
        <f>50000</f>
        <v>50000</v>
      </c>
      <c r="V128" s="36"/>
      <c r="W128" s="62">
        <f>7709.76</f>
        <v>7709.76</v>
      </c>
      <c r="X128" s="36">
        <f t="shared" si="212"/>
        <v>92709.760000000009</v>
      </c>
      <c r="Y128" s="36">
        <v>226467.89374999999</v>
      </c>
      <c r="Z128" s="36">
        <f t="shared" si="211"/>
        <v>226467.89374999999</v>
      </c>
    </row>
    <row r="129" spans="1:27" ht="20.100000000000001" customHeight="1">
      <c r="A129" s="33">
        <v>7</v>
      </c>
      <c r="B129" s="226" t="s">
        <v>235</v>
      </c>
      <c r="C129" s="61" t="s">
        <v>236</v>
      </c>
      <c r="D129" s="66" t="s">
        <v>98</v>
      </c>
      <c r="E129" s="62">
        <v>24741.26</v>
      </c>
      <c r="F129" s="62"/>
      <c r="G129" s="62">
        <f t="shared" si="204"/>
        <v>74223.78</v>
      </c>
      <c r="H129" s="62">
        <f t="shared" si="205"/>
        <v>1855.5944999999997</v>
      </c>
      <c r="I129" s="62"/>
      <c r="J129" s="62">
        <f t="shared" si="206"/>
        <v>12370.63</v>
      </c>
      <c r="K129" s="36">
        <f t="shared" si="207"/>
        <v>86594.409999999989</v>
      </c>
      <c r="L129" s="62">
        <f t="shared" si="208"/>
        <v>24741.26</v>
      </c>
      <c r="M129" s="27"/>
      <c r="N129" s="27">
        <f t="shared" ref="N129:N131" si="221">70000</f>
        <v>70000</v>
      </c>
      <c r="O129" s="62">
        <f t="shared" si="209"/>
        <v>2474.1260000000002</v>
      </c>
      <c r="P129" s="62">
        <v>15000</v>
      </c>
      <c r="Q129" s="62">
        <f>30000</f>
        <v>30000</v>
      </c>
      <c r="R129" s="36">
        <f t="shared" si="210"/>
        <v>342001.06049999996</v>
      </c>
      <c r="S129" s="36"/>
      <c r="T129" s="36">
        <f>50000</f>
        <v>50000</v>
      </c>
      <c r="U129" s="36">
        <f>45833.33</f>
        <v>45833.33</v>
      </c>
      <c r="V129" s="36">
        <f>'[2]April 2022'!$H$48</f>
        <v>618.53150000000005</v>
      </c>
      <c r="W129" s="62">
        <f>7709.76</f>
        <v>7709.76</v>
      </c>
      <c r="X129" s="36">
        <f t="shared" si="212"/>
        <v>104161.62150000001</v>
      </c>
      <c r="Y129" s="36">
        <v>237860.69249999995</v>
      </c>
      <c r="Z129" s="36">
        <f t="shared" si="211"/>
        <v>237839.43899999995</v>
      </c>
    </row>
    <row r="130" spans="1:27" ht="20.100000000000001" customHeight="1">
      <c r="A130" s="33">
        <v>8</v>
      </c>
      <c r="B130" s="226" t="s">
        <v>237</v>
      </c>
      <c r="C130" s="61" t="s">
        <v>238</v>
      </c>
      <c r="D130" s="66" t="s">
        <v>98</v>
      </c>
      <c r="E130" s="62">
        <v>24741.26</v>
      </c>
      <c r="F130" s="62"/>
      <c r="G130" s="62">
        <f t="shared" si="204"/>
        <v>74223.78</v>
      </c>
      <c r="H130" s="62">
        <f t="shared" si="205"/>
        <v>1855.5944999999997</v>
      </c>
      <c r="I130" s="62"/>
      <c r="J130" s="62">
        <f t="shared" si="206"/>
        <v>12370.63</v>
      </c>
      <c r="K130" s="36">
        <f t="shared" si="207"/>
        <v>86594.409999999989</v>
      </c>
      <c r="L130" s="62">
        <f t="shared" si="208"/>
        <v>24741.26</v>
      </c>
      <c r="M130" s="27"/>
      <c r="N130" s="27">
        <f t="shared" si="221"/>
        <v>70000</v>
      </c>
      <c r="O130" s="62">
        <f t="shared" si="209"/>
        <v>2474.1260000000002</v>
      </c>
      <c r="P130" s="62">
        <v>15000</v>
      </c>
      <c r="Q130" s="62"/>
      <c r="R130" s="36">
        <f t="shared" si="210"/>
        <v>312001.06049999996</v>
      </c>
      <c r="S130" s="36"/>
      <c r="T130" s="36">
        <f>30000+20000</f>
        <v>50000</v>
      </c>
      <c r="U130" s="36">
        <f>65555.56</f>
        <v>65555.56</v>
      </c>
      <c r="V130" s="36">
        <f>'[2]April 2022'!$H$24</f>
        <v>618.53150000000005</v>
      </c>
      <c r="W130" s="62">
        <f>7709.76</f>
        <v>7709.76</v>
      </c>
      <c r="X130" s="36">
        <f t="shared" si="212"/>
        <v>123883.85149999999</v>
      </c>
      <c r="Y130" s="36">
        <v>188138.46249999997</v>
      </c>
      <c r="Z130" s="36">
        <f t="shared" si="211"/>
        <v>188117.20899999997</v>
      </c>
    </row>
    <row r="131" spans="1:27" ht="20.100000000000001" customHeight="1">
      <c r="A131" s="33">
        <v>9</v>
      </c>
      <c r="B131" s="214" t="s">
        <v>239</v>
      </c>
      <c r="C131" s="61" t="s">
        <v>234</v>
      </c>
      <c r="D131" s="66" t="s">
        <v>240</v>
      </c>
      <c r="E131" s="62">
        <v>23891.119999999999</v>
      </c>
      <c r="F131" s="62"/>
      <c r="G131" s="62">
        <f t="shared" ref="G131" si="222">E131*300%</f>
        <v>71673.36</v>
      </c>
      <c r="H131" s="62">
        <f t="shared" ref="H131" si="223">E131*7.5%</f>
        <v>1791.8339999999998</v>
      </c>
      <c r="I131" s="62"/>
      <c r="J131" s="62">
        <f t="shared" ref="J131" si="224">E131*50%</f>
        <v>11945.56</v>
      </c>
      <c r="K131" s="36">
        <f t="shared" ref="K131" si="225">E131*350%</f>
        <v>83618.92</v>
      </c>
      <c r="L131" s="62">
        <f t="shared" ref="L131" si="226">E131*100%</f>
        <v>23891.119999999999</v>
      </c>
      <c r="M131" s="27"/>
      <c r="N131" s="27">
        <f t="shared" si="221"/>
        <v>70000</v>
      </c>
      <c r="O131" s="62">
        <f t="shared" ref="O131" si="227">E131*10%</f>
        <v>2389.1120000000001</v>
      </c>
      <c r="P131" s="62">
        <v>15000</v>
      </c>
      <c r="Q131" s="62"/>
      <c r="R131" s="36">
        <f t="shared" ref="R131" si="228">SUM(E131:Q131)</f>
        <v>304201.02600000001</v>
      </c>
      <c r="S131" s="36"/>
      <c r="T131" s="36">
        <f>200000</f>
        <v>200000</v>
      </c>
      <c r="U131" s="36"/>
      <c r="V131" s="36"/>
      <c r="W131" s="62">
        <f>7709.76</f>
        <v>7709.76</v>
      </c>
      <c r="X131" s="36">
        <f t="shared" ref="X131" si="229">W131+V131+U131+T131+S131</f>
        <v>207709.76</v>
      </c>
      <c r="Y131" s="36">
        <v>96491.266000000003</v>
      </c>
      <c r="Z131" s="36">
        <f t="shared" ref="Z131" si="230">R131-X131</f>
        <v>96491.266000000003</v>
      </c>
    </row>
    <row r="132" spans="1:27" ht="20.100000000000001" customHeight="1">
      <c r="A132" s="33"/>
      <c r="B132" s="228" t="s">
        <v>34</v>
      </c>
      <c r="C132" s="91" t="s">
        <v>241</v>
      </c>
      <c r="D132" s="66"/>
      <c r="E132" s="39">
        <v>321324.12</v>
      </c>
      <c r="F132" s="39"/>
      <c r="G132" s="39">
        <f t="shared" ref="G132:L132" si="231">SUM(G123:G131)</f>
        <v>963972.3600000001</v>
      </c>
      <c r="H132" s="39">
        <f t="shared" si="231"/>
        <v>24099.308999999997</v>
      </c>
      <c r="I132" s="39">
        <f t="shared" si="231"/>
        <v>240733.14</v>
      </c>
      <c r="J132" s="39">
        <f t="shared" si="231"/>
        <v>160662.06</v>
      </c>
      <c r="K132" s="63">
        <f t="shared" si="231"/>
        <v>1124634.42</v>
      </c>
      <c r="L132" s="39">
        <f t="shared" si="231"/>
        <v>321324.12</v>
      </c>
      <c r="M132" s="134"/>
      <c r="N132" s="134">
        <f>SUM(N123:N131)</f>
        <v>710000</v>
      </c>
      <c r="O132" s="39">
        <f>SUM(O123:O131)</f>
        <v>32132.412000000004</v>
      </c>
      <c r="P132" s="39">
        <f>SUM(P123:P131)</f>
        <v>160000</v>
      </c>
      <c r="Q132" s="39">
        <f>SUM(Q123:Q131)</f>
        <v>330000</v>
      </c>
      <c r="R132" s="63">
        <f>SUM(R123:R131)</f>
        <v>4388881.9410000006</v>
      </c>
      <c r="S132" s="63"/>
      <c r="T132" s="63">
        <f t="shared" ref="T132:Z132" si="232">SUM(T123:T131)</f>
        <v>1025000</v>
      </c>
      <c r="U132" s="63">
        <f t="shared" si="232"/>
        <v>518333.34</v>
      </c>
      <c r="V132" s="63">
        <f t="shared" si="232"/>
        <v>4955.9385000000002</v>
      </c>
      <c r="W132" s="39">
        <f t="shared" si="232"/>
        <v>151878.75000000003</v>
      </c>
      <c r="X132" s="63">
        <f t="shared" si="232"/>
        <v>1700168.0284999998</v>
      </c>
      <c r="Y132" s="63">
        <v>2688787.5269999998</v>
      </c>
      <c r="Z132" s="63">
        <f t="shared" si="232"/>
        <v>2688713.9124999992</v>
      </c>
      <c r="AA132" s="107"/>
    </row>
    <row r="133" spans="1:27" ht="20.100000000000001" customHeight="1">
      <c r="A133" s="33"/>
      <c r="B133" s="216"/>
      <c r="C133" s="91"/>
      <c r="D133" s="66"/>
      <c r="E133" s="39"/>
      <c r="F133" s="39"/>
      <c r="G133" s="39"/>
      <c r="H133" s="39"/>
      <c r="I133" s="39"/>
      <c r="J133" s="39"/>
      <c r="K133" s="63"/>
      <c r="L133" s="39"/>
      <c r="M133" s="27"/>
      <c r="N133" s="27"/>
      <c r="O133" s="39"/>
      <c r="P133" s="39"/>
      <c r="Q133" s="39"/>
      <c r="R133" s="63"/>
      <c r="S133" s="63"/>
      <c r="T133" s="63"/>
      <c r="U133" s="63"/>
      <c r="V133" s="63"/>
      <c r="W133" s="39"/>
      <c r="X133" s="63"/>
      <c r="Y133" s="63"/>
      <c r="Z133" s="63"/>
    </row>
    <row r="134" spans="1:27" ht="20.100000000000001" customHeight="1">
      <c r="A134" s="33"/>
      <c r="B134" s="228" t="s">
        <v>242</v>
      </c>
      <c r="C134" s="61"/>
      <c r="D134" s="66"/>
      <c r="E134" s="62"/>
      <c r="F134" s="62"/>
      <c r="G134" s="62"/>
      <c r="H134" s="62"/>
      <c r="I134" s="62"/>
      <c r="J134" s="62"/>
      <c r="K134" s="36"/>
      <c r="L134" s="62"/>
      <c r="M134" s="27"/>
      <c r="N134" s="27"/>
      <c r="O134" s="62"/>
      <c r="P134" s="62"/>
      <c r="Q134" s="62"/>
      <c r="R134" s="36"/>
      <c r="S134" s="36"/>
      <c r="T134" s="36"/>
      <c r="U134" s="36"/>
      <c r="V134" s="36"/>
      <c r="W134" s="62"/>
      <c r="X134" s="36"/>
      <c r="Y134" s="36"/>
      <c r="Z134" s="36"/>
    </row>
    <row r="135" spans="1:27" ht="20.100000000000001" customHeight="1">
      <c r="A135" s="33">
        <v>1</v>
      </c>
      <c r="B135" s="226" t="s">
        <v>243</v>
      </c>
      <c r="C135" s="61" t="s">
        <v>244</v>
      </c>
      <c r="D135" s="66" t="s">
        <v>43</v>
      </c>
      <c r="E135" s="62">
        <v>81740.02</v>
      </c>
      <c r="F135" s="62"/>
      <c r="G135" s="62">
        <f>E135*300%</f>
        <v>245220.06</v>
      </c>
      <c r="H135" s="62">
        <f>E135*7.5%</f>
        <v>6130.5015000000003</v>
      </c>
      <c r="I135" s="62">
        <v>80244.38</v>
      </c>
      <c r="J135" s="62">
        <f>E135*50%</f>
        <v>40870.01</v>
      </c>
      <c r="K135" s="62">
        <f>E135*350%</f>
        <v>286090.07</v>
      </c>
      <c r="L135" s="62">
        <f>E135*100%</f>
        <v>81740.02</v>
      </c>
      <c r="M135" s="27"/>
      <c r="N135" s="27">
        <f>100000</f>
        <v>100000</v>
      </c>
      <c r="O135" s="62">
        <f>E135*10%</f>
        <v>8174.0020000000004</v>
      </c>
      <c r="P135" s="62">
        <v>20000</v>
      </c>
      <c r="Q135" s="62">
        <v>0</v>
      </c>
      <c r="R135" s="36">
        <f>SUM(E135:Q135)</f>
        <v>950209.06350000005</v>
      </c>
      <c r="S135" s="36"/>
      <c r="T135" s="36">
        <v>50000</v>
      </c>
      <c r="U135" s="36">
        <f>320000</f>
        <v>320000</v>
      </c>
      <c r="V135" s="36">
        <f>'[2]April 2022'!$H$29</f>
        <v>2043.5005000000001</v>
      </c>
      <c r="W135" s="62">
        <v>52776.63</v>
      </c>
      <c r="X135" s="36">
        <f>W135+V135+U135+T135+S135</f>
        <v>424820.13049999997</v>
      </c>
      <c r="Y135" s="36">
        <v>525388.93350000004</v>
      </c>
      <c r="Z135" s="36">
        <f t="shared" ref="Z135:Z171" si="233">R135-X135</f>
        <v>525388.93300000008</v>
      </c>
    </row>
    <row r="136" spans="1:27" ht="20.100000000000001" customHeight="1">
      <c r="A136" s="33">
        <v>2</v>
      </c>
      <c r="B136" s="226" t="s">
        <v>245</v>
      </c>
      <c r="C136" s="61" t="s">
        <v>246</v>
      </c>
      <c r="D136" s="66" t="s">
        <v>43</v>
      </c>
      <c r="E136" s="62">
        <v>81740.02</v>
      </c>
      <c r="F136" s="62"/>
      <c r="G136" s="62">
        <f>E136*300%</f>
        <v>245220.06</v>
      </c>
      <c r="H136" s="62">
        <f>E136*7.5%</f>
        <v>6130.5015000000003</v>
      </c>
      <c r="I136" s="62">
        <f>80244.38</f>
        <v>80244.38</v>
      </c>
      <c r="J136" s="62">
        <f>E136*50%</f>
        <v>40870.01</v>
      </c>
      <c r="K136" s="62">
        <f>E136*350%</f>
        <v>286090.07</v>
      </c>
      <c r="L136" s="62">
        <f>E136*100%</f>
        <v>81740.02</v>
      </c>
      <c r="M136" s="27"/>
      <c r="N136" s="27">
        <f>100000</f>
        <v>100000</v>
      </c>
      <c r="O136" s="62">
        <f>E136*10%</f>
        <v>8174.0020000000004</v>
      </c>
      <c r="P136" s="62">
        <v>20000</v>
      </c>
      <c r="Q136" s="62">
        <v>0</v>
      </c>
      <c r="R136" s="36">
        <f>SUM(E136:Q136)</f>
        <v>950209.06350000005</v>
      </c>
      <c r="S136" s="36"/>
      <c r="T136" s="36">
        <f>100000</f>
        <v>100000</v>
      </c>
      <c r="U136" s="36">
        <f>208526.24</f>
        <v>208526.24</v>
      </c>
      <c r="V136" s="36"/>
      <c r="W136" s="62">
        <f>52776.63</f>
        <v>52776.63</v>
      </c>
      <c r="X136" s="36">
        <f t="shared" ref="X136:X188" si="234">W136+V136+U136+T136+S136</f>
        <v>361302.87</v>
      </c>
      <c r="Y136" s="36">
        <v>588906.19350000005</v>
      </c>
      <c r="Z136" s="36">
        <f t="shared" si="233"/>
        <v>588906.19350000005</v>
      </c>
    </row>
    <row r="137" spans="1:27" ht="20.100000000000001" customHeight="1">
      <c r="A137" s="33">
        <v>3</v>
      </c>
      <c r="B137" s="226" t="s">
        <v>247</v>
      </c>
      <c r="C137" s="61" t="s">
        <v>248</v>
      </c>
      <c r="D137" s="66" t="s">
        <v>227</v>
      </c>
      <c r="E137" s="62">
        <v>42653.17</v>
      </c>
      <c r="F137" s="62"/>
      <c r="G137" s="62">
        <f t="shared" ref="G137:G186" si="235">E137*300%</f>
        <v>127959.51</v>
      </c>
      <c r="H137" s="62">
        <f t="shared" ref="H137:H186" si="236">E137*7.5%</f>
        <v>3198.9877499999998</v>
      </c>
      <c r="I137" s="62">
        <v>40122.19</v>
      </c>
      <c r="J137" s="62">
        <f t="shared" ref="J137:J186" si="237">E137*50%</f>
        <v>21326.584999999999</v>
      </c>
      <c r="K137" s="62">
        <f t="shared" ref="K137:K186" si="238">E137*350%</f>
        <v>149286.095</v>
      </c>
      <c r="L137" s="62">
        <f t="shared" ref="L137:L155" si="239">E137*100%</f>
        <v>42653.17</v>
      </c>
      <c r="M137" s="27"/>
      <c r="N137" s="27">
        <f>90000</f>
        <v>90000</v>
      </c>
      <c r="O137" s="62">
        <f t="shared" ref="O137:O155" si="240">E137*10%</f>
        <v>4265.317</v>
      </c>
      <c r="P137" s="62">
        <v>20000</v>
      </c>
      <c r="Q137" s="62">
        <v>0</v>
      </c>
      <c r="R137" s="36">
        <f t="shared" ref="R137:R157" si="241">SUM(E137:Q137)</f>
        <v>541465.02474999998</v>
      </c>
      <c r="S137" s="36"/>
      <c r="T137" s="36">
        <f>25000</f>
        <v>25000</v>
      </c>
      <c r="U137" s="36">
        <f>200000</f>
        <v>200000</v>
      </c>
      <c r="V137" s="36"/>
      <c r="W137" s="62">
        <f>21618.09</f>
        <v>21618.09</v>
      </c>
      <c r="X137" s="36">
        <f t="shared" si="234"/>
        <v>246618.09</v>
      </c>
      <c r="Y137" s="36">
        <v>294846.93475000001</v>
      </c>
      <c r="Z137" s="36">
        <f t="shared" si="233"/>
        <v>294846.93475000001</v>
      </c>
    </row>
    <row r="138" spans="1:27" ht="20.100000000000001" customHeight="1">
      <c r="A138" s="33">
        <v>4</v>
      </c>
      <c r="B138" s="230" t="s">
        <v>249</v>
      </c>
      <c r="C138" s="20" t="s">
        <v>250</v>
      </c>
      <c r="D138" s="25" t="s">
        <v>54</v>
      </c>
      <c r="E138" s="62">
        <v>33507.5</v>
      </c>
      <c r="F138" s="26"/>
      <c r="G138" s="26">
        <f t="shared" si="235"/>
        <v>100522.5</v>
      </c>
      <c r="H138" s="26">
        <f t="shared" si="236"/>
        <v>2513.0625</v>
      </c>
      <c r="I138" s="26">
        <v>40122.19</v>
      </c>
      <c r="J138" s="26">
        <f t="shared" si="237"/>
        <v>16753.75</v>
      </c>
      <c r="K138" s="26">
        <f t="shared" si="238"/>
        <v>117276.25</v>
      </c>
      <c r="L138" s="26">
        <f t="shared" si="239"/>
        <v>33507.5</v>
      </c>
      <c r="M138" s="27"/>
      <c r="N138" s="27">
        <v>80000</v>
      </c>
      <c r="O138" s="26">
        <f t="shared" si="240"/>
        <v>3350.75</v>
      </c>
      <c r="P138" s="26">
        <v>20000</v>
      </c>
      <c r="Q138" s="26">
        <v>50000</v>
      </c>
      <c r="R138" s="36">
        <f t="shared" si="241"/>
        <v>497553.5025</v>
      </c>
      <c r="S138" s="36"/>
      <c r="T138" s="24">
        <f>37500</f>
        <v>37500</v>
      </c>
      <c r="U138" s="24"/>
      <c r="V138" s="24">
        <f>'[2]April 2022'!$H$49</f>
        <v>837.6875</v>
      </c>
      <c r="W138" s="24">
        <v>15548.33</v>
      </c>
      <c r="X138" s="36">
        <f t="shared" si="234"/>
        <v>53886.017500000002</v>
      </c>
      <c r="Y138" s="36">
        <v>443667.48499999999</v>
      </c>
      <c r="Z138" s="36">
        <f t="shared" si="233"/>
        <v>443667.48499999999</v>
      </c>
    </row>
    <row r="139" spans="1:27" ht="20.100000000000001" customHeight="1">
      <c r="A139" s="33">
        <v>5</v>
      </c>
      <c r="B139" s="230" t="s">
        <v>251</v>
      </c>
      <c r="C139" s="20" t="s">
        <v>252</v>
      </c>
      <c r="D139" s="25" t="s">
        <v>54</v>
      </c>
      <c r="E139" s="62">
        <v>33507.5</v>
      </c>
      <c r="F139" s="26"/>
      <c r="G139" s="26">
        <f t="shared" ref="G139" si="242">E139*300%</f>
        <v>100522.5</v>
      </c>
      <c r="H139" s="26">
        <f t="shared" ref="H139" si="243">E139*7.5%</f>
        <v>2513.0625</v>
      </c>
      <c r="I139" s="26">
        <v>40122.19</v>
      </c>
      <c r="J139" s="26">
        <f t="shared" ref="J139" si="244">E139*50%</f>
        <v>16753.75</v>
      </c>
      <c r="K139" s="26">
        <f t="shared" ref="K139" si="245">E139*350%</f>
        <v>117276.25</v>
      </c>
      <c r="L139" s="26">
        <f t="shared" ref="L139" si="246">E139*100%</f>
        <v>33507.5</v>
      </c>
      <c r="M139" s="27"/>
      <c r="N139" s="27">
        <v>80000</v>
      </c>
      <c r="O139" s="26">
        <f t="shared" ref="O139" si="247">E139*10%</f>
        <v>3350.75</v>
      </c>
      <c r="P139" s="26">
        <v>20000</v>
      </c>
      <c r="Q139" s="26"/>
      <c r="R139" s="36">
        <f t="shared" ref="R139" si="248">SUM(E139:Q139)</f>
        <v>447553.5025</v>
      </c>
      <c r="S139" s="36"/>
      <c r="T139" s="24"/>
      <c r="U139" s="24"/>
      <c r="V139" s="24"/>
      <c r="W139" s="24">
        <v>15548.33</v>
      </c>
      <c r="X139" s="36">
        <f t="shared" ref="X139" si="249">W139+V139+U139+T139+S139</f>
        <v>15548.33</v>
      </c>
      <c r="Y139" s="36">
        <v>432005.17249999999</v>
      </c>
      <c r="Z139" s="36">
        <f t="shared" ref="Z139" si="250">R139-X139</f>
        <v>432005.17249999999</v>
      </c>
    </row>
    <row r="140" spans="1:27" ht="20.100000000000001" customHeight="1">
      <c r="A140" s="33">
        <v>6</v>
      </c>
      <c r="B140" s="226" t="s">
        <v>253</v>
      </c>
      <c r="C140" s="61" t="s">
        <v>254</v>
      </c>
      <c r="D140" s="66" t="s">
        <v>66</v>
      </c>
      <c r="E140" s="62">
        <v>26732.65</v>
      </c>
      <c r="F140" s="62"/>
      <c r="G140" s="62">
        <f t="shared" si="235"/>
        <v>80197.950000000012</v>
      </c>
      <c r="H140" s="62">
        <f t="shared" si="236"/>
        <v>2004.94875</v>
      </c>
      <c r="I140" s="62">
        <v>0</v>
      </c>
      <c r="J140" s="62">
        <f t="shared" si="237"/>
        <v>13366.325000000001</v>
      </c>
      <c r="K140" s="36">
        <f t="shared" si="238"/>
        <v>93564.275000000009</v>
      </c>
      <c r="L140" s="62">
        <f t="shared" si="239"/>
        <v>26732.65</v>
      </c>
      <c r="M140" s="27"/>
      <c r="N140" s="27">
        <v>70000</v>
      </c>
      <c r="O140" s="62">
        <f t="shared" si="240"/>
        <v>2673.2650000000003</v>
      </c>
      <c r="P140" s="26">
        <v>20000</v>
      </c>
      <c r="Q140" s="62"/>
      <c r="R140" s="36">
        <f t="shared" si="241"/>
        <v>335272.06374999997</v>
      </c>
      <c r="S140" s="36"/>
      <c r="T140" s="36">
        <v>30000</v>
      </c>
      <c r="U140" s="36">
        <f>91666.67</f>
        <v>91666.67</v>
      </c>
      <c r="V140" s="36">
        <f>'[2]April 2022'!$H$47</f>
        <v>668.31625000000008</v>
      </c>
      <c r="W140" s="62">
        <v>7709.76</v>
      </c>
      <c r="X140" s="36">
        <f t="shared" si="234"/>
        <v>130044.74625</v>
      </c>
      <c r="Y140" s="36">
        <v>296924.21749999997</v>
      </c>
      <c r="Z140" s="36">
        <f t="shared" si="233"/>
        <v>205227.31749999998</v>
      </c>
    </row>
    <row r="141" spans="1:27" ht="20.100000000000001" customHeight="1">
      <c r="A141" s="33">
        <v>7</v>
      </c>
      <c r="B141" s="226" t="s">
        <v>255</v>
      </c>
      <c r="C141" s="33" t="s">
        <v>256</v>
      </c>
      <c r="D141" s="66" t="s">
        <v>66</v>
      </c>
      <c r="E141" s="62">
        <v>26732.65</v>
      </c>
      <c r="F141" s="62"/>
      <c r="G141" s="62">
        <f t="shared" si="235"/>
        <v>80197.950000000012</v>
      </c>
      <c r="H141" s="62">
        <f t="shared" si="236"/>
        <v>2004.94875</v>
      </c>
      <c r="I141" s="62">
        <v>0</v>
      </c>
      <c r="J141" s="62">
        <f t="shared" si="237"/>
        <v>13366.325000000001</v>
      </c>
      <c r="K141" s="36">
        <f t="shared" si="238"/>
        <v>93564.275000000009</v>
      </c>
      <c r="L141" s="62">
        <f t="shared" si="239"/>
        <v>26732.65</v>
      </c>
      <c r="M141" s="27"/>
      <c r="N141" s="27">
        <v>70000</v>
      </c>
      <c r="O141" s="62">
        <f t="shared" si="240"/>
        <v>2673.2650000000003</v>
      </c>
      <c r="P141" s="26">
        <v>20000</v>
      </c>
      <c r="Q141" s="62">
        <v>0</v>
      </c>
      <c r="R141" s="36">
        <f t="shared" si="241"/>
        <v>335272.06374999997</v>
      </c>
      <c r="S141" s="36"/>
      <c r="T141" s="36">
        <f>0</f>
        <v>0</v>
      </c>
      <c r="U141" s="36">
        <f>133333.33</f>
        <v>133333.32999999999</v>
      </c>
      <c r="V141" s="36">
        <f>'[2]April 2022'!$H$50</f>
        <v>668.31625000000008</v>
      </c>
      <c r="W141" s="62">
        <v>7709.76</v>
      </c>
      <c r="X141" s="36">
        <f t="shared" si="234"/>
        <v>141711.40625</v>
      </c>
      <c r="Y141" s="36">
        <v>193590.88749999998</v>
      </c>
      <c r="Z141" s="36">
        <f t="shared" si="233"/>
        <v>193560.65749999997</v>
      </c>
    </row>
    <row r="142" spans="1:27" ht="20.100000000000001" customHeight="1">
      <c r="A142" s="33">
        <v>8</v>
      </c>
      <c r="B142" s="226" t="s">
        <v>257</v>
      </c>
      <c r="C142" s="33" t="s">
        <v>258</v>
      </c>
      <c r="D142" s="66" t="s">
        <v>98</v>
      </c>
      <c r="E142" s="62">
        <v>24741.26</v>
      </c>
      <c r="F142" s="62"/>
      <c r="G142" s="62">
        <f t="shared" si="235"/>
        <v>74223.78</v>
      </c>
      <c r="H142" s="62">
        <f t="shared" si="236"/>
        <v>1855.5944999999997</v>
      </c>
      <c r="I142" s="36">
        <v>0</v>
      </c>
      <c r="J142" s="62">
        <f t="shared" si="237"/>
        <v>12370.63</v>
      </c>
      <c r="K142" s="36">
        <f t="shared" si="238"/>
        <v>86594.409999999989</v>
      </c>
      <c r="L142" s="62">
        <f t="shared" si="239"/>
        <v>24741.26</v>
      </c>
      <c r="M142" s="27"/>
      <c r="N142" s="27">
        <v>70000</v>
      </c>
      <c r="O142" s="62">
        <f t="shared" si="240"/>
        <v>2474.1260000000002</v>
      </c>
      <c r="P142" s="62">
        <v>15000</v>
      </c>
      <c r="Q142" s="62">
        <v>0</v>
      </c>
      <c r="R142" s="36">
        <f t="shared" si="241"/>
        <v>312001.06049999996</v>
      </c>
      <c r="S142" s="36"/>
      <c r="T142" s="36">
        <f>10000</f>
        <v>10000</v>
      </c>
      <c r="U142" s="36">
        <f>90000</f>
        <v>90000</v>
      </c>
      <c r="V142" s="36"/>
      <c r="W142" s="62">
        <f>7709.76</f>
        <v>7709.76</v>
      </c>
      <c r="X142" s="36">
        <f t="shared" si="234"/>
        <v>107709.75999999999</v>
      </c>
      <c r="Y142" s="36">
        <v>164291.30049999995</v>
      </c>
      <c r="Z142" s="36">
        <f t="shared" si="233"/>
        <v>204291.30049999995</v>
      </c>
    </row>
    <row r="143" spans="1:27" ht="20.100000000000001" customHeight="1">
      <c r="A143" s="33">
        <v>9</v>
      </c>
      <c r="B143" s="223" t="s">
        <v>259</v>
      </c>
      <c r="C143" s="61" t="s">
        <v>260</v>
      </c>
      <c r="D143" s="66" t="s">
        <v>85</v>
      </c>
      <c r="E143" s="62">
        <v>21520.880000000001</v>
      </c>
      <c r="F143" s="62"/>
      <c r="G143" s="62">
        <f>E143*300%</f>
        <v>64562.64</v>
      </c>
      <c r="H143" s="62">
        <f>E143*7.5%</f>
        <v>1614.066</v>
      </c>
      <c r="I143" s="62">
        <v>0</v>
      </c>
      <c r="J143" s="62">
        <f>E143*50%</f>
        <v>10760.44</v>
      </c>
      <c r="K143" s="36">
        <f>E143*350%</f>
        <v>75323.08</v>
      </c>
      <c r="L143" s="62">
        <f>E143*100%</f>
        <v>21520.880000000001</v>
      </c>
      <c r="M143" s="27"/>
      <c r="N143" s="27">
        <f>60000</f>
        <v>60000</v>
      </c>
      <c r="O143" s="62">
        <f>E143*10%</f>
        <v>2152.0880000000002</v>
      </c>
      <c r="P143" s="62">
        <v>15000</v>
      </c>
      <c r="Q143" s="62">
        <v>0</v>
      </c>
      <c r="R143" s="36">
        <f>SUM(E143:Q143)</f>
        <v>272454.07400000002</v>
      </c>
      <c r="S143" s="36"/>
      <c r="T143" s="36">
        <v>10000</v>
      </c>
      <c r="U143" s="36">
        <f>51500</f>
        <v>51500</v>
      </c>
      <c r="V143" s="36">
        <f>'[2]April 2022'!$H$40</f>
        <v>538.02200000000005</v>
      </c>
      <c r="W143" s="62">
        <f>3369.51</f>
        <v>3369.51</v>
      </c>
      <c r="X143" s="36">
        <f t="shared" si="234"/>
        <v>65407.531999999999</v>
      </c>
      <c r="Y143" s="36">
        <v>207102.64025000003</v>
      </c>
      <c r="Z143" s="36">
        <f>R143-X143</f>
        <v>207046.54200000002</v>
      </c>
    </row>
    <row r="144" spans="1:27" ht="20.100000000000001" customHeight="1">
      <c r="A144" s="33">
        <v>10</v>
      </c>
      <c r="B144" s="226" t="s">
        <v>261</v>
      </c>
      <c r="C144" s="61" t="s">
        <v>260</v>
      </c>
      <c r="D144" s="66" t="s">
        <v>85</v>
      </c>
      <c r="E144" s="62">
        <v>21520.880000000001</v>
      </c>
      <c r="F144" s="62"/>
      <c r="G144" s="62">
        <f>E144*300%</f>
        <v>64562.64</v>
      </c>
      <c r="H144" s="62">
        <f>E144*7.5%</f>
        <v>1614.066</v>
      </c>
      <c r="I144" s="62">
        <v>0</v>
      </c>
      <c r="J144" s="62">
        <f>E144*50%</f>
        <v>10760.44</v>
      </c>
      <c r="K144" s="36">
        <f>E144*350%</f>
        <v>75323.08</v>
      </c>
      <c r="L144" s="26">
        <f t="shared" si="239"/>
        <v>21520.880000000001</v>
      </c>
      <c r="M144" s="27"/>
      <c r="N144" s="27">
        <f>60000</f>
        <v>60000</v>
      </c>
      <c r="O144" s="62">
        <f t="shared" si="240"/>
        <v>2152.0880000000002</v>
      </c>
      <c r="P144" s="62">
        <v>15000</v>
      </c>
      <c r="Q144" s="62">
        <v>0</v>
      </c>
      <c r="R144" s="36">
        <f t="shared" si="241"/>
        <v>272454.07400000002</v>
      </c>
      <c r="S144" s="36"/>
      <c r="T144" s="36"/>
      <c r="U144" s="36">
        <f>100000</f>
        <v>100000</v>
      </c>
      <c r="V144" s="36"/>
      <c r="W144" s="62">
        <v>3369.51</v>
      </c>
      <c r="X144" s="36">
        <f t="shared" si="234"/>
        <v>103369.51</v>
      </c>
      <c r="Y144" s="36">
        <v>169084.56400000001</v>
      </c>
      <c r="Z144" s="36">
        <f t="shared" si="233"/>
        <v>169084.56400000001</v>
      </c>
    </row>
    <row r="145" spans="1:26" ht="20.100000000000001" customHeight="1">
      <c r="A145" s="33">
        <v>11</v>
      </c>
      <c r="B145" s="223" t="s">
        <v>262</v>
      </c>
      <c r="C145" s="33" t="s">
        <v>258</v>
      </c>
      <c r="D145" s="66" t="s">
        <v>85</v>
      </c>
      <c r="E145" s="62">
        <v>21520.880000000001</v>
      </c>
      <c r="F145" s="62"/>
      <c r="G145" s="62">
        <f>E145*300%</f>
        <v>64562.64</v>
      </c>
      <c r="H145" s="62">
        <f>E145*7.5%</f>
        <v>1614.066</v>
      </c>
      <c r="I145" s="36"/>
      <c r="J145" s="62">
        <f>E145*50%</f>
        <v>10760.44</v>
      </c>
      <c r="K145" s="36">
        <f>E145*350%</f>
        <v>75323.08</v>
      </c>
      <c r="L145" s="62">
        <f>E145*100%</f>
        <v>21520.880000000001</v>
      </c>
      <c r="M145" s="27"/>
      <c r="N145" s="27">
        <f>60000</f>
        <v>60000</v>
      </c>
      <c r="O145" s="62">
        <f>E145*10%</f>
        <v>2152.0880000000002</v>
      </c>
      <c r="P145" s="62">
        <v>15000</v>
      </c>
      <c r="Q145" s="62"/>
      <c r="R145" s="36">
        <f>SUM(E145:Q145)</f>
        <v>272454.07400000002</v>
      </c>
      <c r="S145" s="36"/>
      <c r="T145" s="36">
        <f>20000+40000</f>
        <v>60000</v>
      </c>
      <c r="U145" s="36">
        <f>45833.33</f>
        <v>45833.33</v>
      </c>
      <c r="V145" s="36"/>
      <c r="W145" s="62">
        <v>3369.51</v>
      </c>
      <c r="X145" s="36">
        <f>W145+V145+U145+T145+S145</f>
        <v>109202.84</v>
      </c>
      <c r="Y145" s="36">
        <v>209084.56400000001</v>
      </c>
      <c r="Z145" s="36">
        <f>R145-X145</f>
        <v>163251.23400000003</v>
      </c>
    </row>
    <row r="146" spans="1:26" ht="20.100000000000001" customHeight="1">
      <c r="A146" s="33">
        <v>12</v>
      </c>
      <c r="B146" s="223" t="s">
        <v>263</v>
      </c>
      <c r="C146" s="33" t="s">
        <v>264</v>
      </c>
      <c r="D146" s="66" t="s">
        <v>82</v>
      </c>
      <c r="E146" s="26">
        <v>18779.3</v>
      </c>
      <c r="F146" s="62"/>
      <c r="G146" s="62">
        <f>E146*300%</f>
        <v>56337.899999999994</v>
      </c>
      <c r="H146" s="62">
        <f>E146*7.5%</f>
        <v>1408.4475</v>
      </c>
      <c r="I146" s="62"/>
      <c r="J146" s="62">
        <f>E146*50%</f>
        <v>9389.65</v>
      </c>
      <c r="K146" s="36">
        <f>E146*350%</f>
        <v>65727.55</v>
      </c>
      <c r="L146" s="26">
        <f t="shared" si="239"/>
        <v>18779.3</v>
      </c>
      <c r="M146" s="27"/>
      <c r="N146" s="27">
        <f>60000</f>
        <v>60000</v>
      </c>
      <c r="O146" s="62">
        <f t="shared" si="240"/>
        <v>1877.93</v>
      </c>
      <c r="P146" s="62">
        <v>10000</v>
      </c>
      <c r="Q146" s="62"/>
      <c r="R146" s="36">
        <f t="shared" si="241"/>
        <v>242300.07749999996</v>
      </c>
      <c r="S146" s="36"/>
      <c r="T146" s="36">
        <f>100000</f>
        <v>100000</v>
      </c>
      <c r="U146" s="36">
        <f>93721.55</f>
        <v>93721.55</v>
      </c>
      <c r="V146" s="36"/>
      <c r="W146" s="62">
        <v>3369.51</v>
      </c>
      <c r="X146" s="36">
        <f t="shared" si="234"/>
        <v>197091.06</v>
      </c>
      <c r="Y146" s="36">
        <v>95209.017499999958</v>
      </c>
      <c r="Z146" s="36">
        <f t="shared" si="233"/>
        <v>45209.017499999958</v>
      </c>
    </row>
    <row r="147" spans="1:26" ht="20.100000000000001" customHeight="1">
      <c r="A147" s="33">
        <v>13</v>
      </c>
      <c r="B147" s="223" t="s">
        <v>265</v>
      </c>
      <c r="C147" s="61" t="s">
        <v>266</v>
      </c>
      <c r="D147" s="66" t="s">
        <v>103</v>
      </c>
      <c r="E147" s="67">
        <v>18281.64</v>
      </c>
      <c r="F147" s="62"/>
      <c r="G147" s="62">
        <f t="shared" si="235"/>
        <v>54844.92</v>
      </c>
      <c r="H147" s="62">
        <f t="shared" si="236"/>
        <v>1371.1229999999998</v>
      </c>
      <c r="I147" s="62"/>
      <c r="J147" s="62">
        <f t="shared" si="237"/>
        <v>9140.82</v>
      </c>
      <c r="K147" s="36">
        <f t="shared" si="238"/>
        <v>63985.74</v>
      </c>
      <c r="L147" s="62">
        <f t="shared" si="239"/>
        <v>18281.64</v>
      </c>
      <c r="M147" s="27"/>
      <c r="N147" s="27">
        <f>60000</f>
        <v>60000</v>
      </c>
      <c r="O147" s="62">
        <f t="shared" si="240"/>
        <v>1828.164</v>
      </c>
      <c r="P147" s="62">
        <v>10000</v>
      </c>
      <c r="Q147" s="62"/>
      <c r="R147" s="36">
        <f t="shared" si="241"/>
        <v>237734.04699999996</v>
      </c>
      <c r="S147" s="36"/>
      <c r="T147" s="36">
        <f>10000</f>
        <v>10000</v>
      </c>
      <c r="U147" s="36">
        <f>50000</f>
        <v>50000</v>
      </c>
      <c r="V147" s="36">
        <f>'[2]April 2022'!$H$43</f>
        <v>457.041</v>
      </c>
      <c r="W147" s="62">
        <f>3369.51</f>
        <v>3369.51</v>
      </c>
      <c r="X147" s="36">
        <f t="shared" si="234"/>
        <v>63826.550999999999</v>
      </c>
      <c r="Y147" s="36">
        <v>173919.93699999998</v>
      </c>
      <c r="Z147" s="36">
        <f t="shared" si="233"/>
        <v>173907.49599999996</v>
      </c>
    </row>
    <row r="148" spans="1:26" ht="20.100000000000001" customHeight="1">
      <c r="A148" s="33">
        <v>14</v>
      </c>
      <c r="B148" s="223" t="s">
        <v>267</v>
      </c>
      <c r="C148" s="61" t="s">
        <v>268</v>
      </c>
      <c r="D148" s="66" t="s">
        <v>82</v>
      </c>
      <c r="E148" s="26">
        <v>18779.3</v>
      </c>
      <c r="F148" s="62"/>
      <c r="G148" s="62">
        <f>E148*300%</f>
        <v>56337.899999999994</v>
      </c>
      <c r="H148" s="62">
        <f>E148*7.5%</f>
        <v>1408.4475</v>
      </c>
      <c r="I148" s="36"/>
      <c r="J148" s="62">
        <f>E148*50%</f>
        <v>9389.65</v>
      </c>
      <c r="K148" s="36">
        <f>E148*350%</f>
        <v>65727.55</v>
      </c>
      <c r="L148" s="62">
        <f>E148*100%</f>
        <v>18779.3</v>
      </c>
      <c r="M148" s="27"/>
      <c r="N148" s="27">
        <f>60000</f>
        <v>60000</v>
      </c>
      <c r="O148" s="62">
        <f>E148*10%</f>
        <v>1877.93</v>
      </c>
      <c r="P148" s="62">
        <v>10000</v>
      </c>
      <c r="Q148" s="62"/>
      <c r="R148" s="36">
        <f>SUM(E148:Q148)</f>
        <v>242300.07749999996</v>
      </c>
      <c r="S148" s="36"/>
      <c r="T148" s="36">
        <v>20000</v>
      </c>
      <c r="U148" s="36">
        <f>68750</f>
        <v>68750</v>
      </c>
      <c r="V148" s="36">
        <f>'[2]April 2022'!$H$30</f>
        <v>469.48250000000002</v>
      </c>
      <c r="W148" s="62">
        <v>3369.51</v>
      </c>
      <c r="X148" s="36">
        <f t="shared" si="234"/>
        <v>92588.992499999993</v>
      </c>
      <c r="Y148" s="36">
        <v>149723.52649999995</v>
      </c>
      <c r="Z148" s="36">
        <f>R148-X148</f>
        <v>149711.08499999996</v>
      </c>
    </row>
    <row r="149" spans="1:26" ht="20.100000000000001" customHeight="1">
      <c r="A149" s="33">
        <v>15</v>
      </c>
      <c r="B149" s="223" t="s">
        <v>269</v>
      </c>
      <c r="C149" s="33" t="s">
        <v>264</v>
      </c>
      <c r="D149" s="66" t="s">
        <v>95</v>
      </c>
      <c r="E149" s="67">
        <v>17784.099999999999</v>
      </c>
      <c r="F149" s="62"/>
      <c r="G149" s="62">
        <f t="shared" si="235"/>
        <v>53352.299999999996</v>
      </c>
      <c r="H149" s="62">
        <f t="shared" si="236"/>
        <v>1333.8074999999999</v>
      </c>
      <c r="I149" s="62"/>
      <c r="J149" s="62">
        <f t="shared" si="237"/>
        <v>8892.0499999999993</v>
      </c>
      <c r="K149" s="36">
        <f t="shared" si="238"/>
        <v>62244.349999999991</v>
      </c>
      <c r="L149" s="62">
        <f t="shared" si="239"/>
        <v>17784.099999999999</v>
      </c>
      <c r="M149" s="27"/>
      <c r="N149" s="27">
        <f>60000</f>
        <v>60000</v>
      </c>
      <c r="O149" s="62">
        <f t="shared" si="240"/>
        <v>1778.4099999999999</v>
      </c>
      <c r="P149" s="62">
        <v>10000</v>
      </c>
      <c r="Q149" s="62"/>
      <c r="R149" s="36">
        <f t="shared" si="241"/>
        <v>233169.11749999999</v>
      </c>
      <c r="S149" s="36"/>
      <c r="T149" s="36">
        <f>10000</f>
        <v>10000</v>
      </c>
      <c r="U149" s="36">
        <f>22916.67</f>
        <v>22916.67</v>
      </c>
      <c r="V149" s="36"/>
      <c r="W149" s="62">
        <v>1484.37</v>
      </c>
      <c r="X149" s="36">
        <f t="shared" si="234"/>
        <v>34401.039999999994</v>
      </c>
      <c r="Y149" s="36">
        <v>198768.07750000001</v>
      </c>
      <c r="Z149" s="36">
        <f t="shared" si="233"/>
        <v>198768.07750000001</v>
      </c>
    </row>
    <row r="150" spans="1:26" ht="20.100000000000001" customHeight="1">
      <c r="A150" s="33">
        <v>16</v>
      </c>
      <c r="B150" s="223" t="s">
        <v>270</v>
      </c>
      <c r="C150" s="33" t="s">
        <v>264</v>
      </c>
      <c r="D150" s="66" t="s">
        <v>95</v>
      </c>
      <c r="E150" s="67">
        <v>17784.099999999999</v>
      </c>
      <c r="F150" s="62"/>
      <c r="G150" s="62">
        <f t="shared" si="235"/>
        <v>53352.299999999996</v>
      </c>
      <c r="H150" s="62">
        <f t="shared" si="236"/>
        <v>1333.8074999999999</v>
      </c>
      <c r="I150" s="62"/>
      <c r="J150" s="62">
        <f t="shared" si="237"/>
        <v>8892.0499999999993</v>
      </c>
      <c r="K150" s="36">
        <f t="shared" si="238"/>
        <v>62244.349999999991</v>
      </c>
      <c r="L150" s="62">
        <f t="shared" si="239"/>
        <v>17784.099999999999</v>
      </c>
      <c r="M150" s="27"/>
      <c r="N150" s="27">
        <f>60000</f>
        <v>60000</v>
      </c>
      <c r="O150" s="62">
        <f t="shared" si="240"/>
        <v>1778.4099999999999</v>
      </c>
      <c r="P150" s="62">
        <v>10000</v>
      </c>
      <c r="Q150" s="62"/>
      <c r="R150" s="36">
        <f t="shared" si="241"/>
        <v>233169.11749999999</v>
      </c>
      <c r="S150" s="36"/>
      <c r="T150" s="36">
        <f>10000</f>
        <v>10000</v>
      </c>
      <c r="U150" s="36">
        <f>58083.33</f>
        <v>58083.33</v>
      </c>
      <c r="V150" s="36">
        <f>'[2]April 2022'!$H$36</f>
        <v>444.60249999999996</v>
      </c>
      <c r="W150" s="62">
        <v>1484.37</v>
      </c>
      <c r="X150" s="36">
        <f t="shared" si="234"/>
        <v>70012.302500000005</v>
      </c>
      <c r="Y150" s="36">
        <v>163264.11225000001</v>
      </c>
      <c r="Z150" s="36">
        <f t="shared" si="233"/>
        <v>163156.815</v>
      </c>
    </row>
    <row r="151" spans="1:26" ht="20.100000000000001" customHeight="1">
      <c r="A151" s="33">
        <v>17</v>
      </c>
      <c r="B151" s="223" t="s">
        <v>271</v>
      </c>
      <c r="C151" s="33" t="s">
        <v>264</v>
      </c>
      <c r="D151" s="66" t="s">
        <v>95</v>
      </c>
      <c r="E151" s="67">
        <v>17784.099999999999</v>
      </c>
      <c r="F151" s="62"/>
      <c r="G151" s="62">
        <f t="shared" si="235"/>
        <v>53352.299999999996</v>
      </c>
      <c r="H151" s="62">
        <f t="shared" si="236"/>
        <v>1333.8074999999999</v>
      </c>
      <c r="I151" s="62"/>
      <c r="J151" s="62">
        <f t="shared" si="237"/>
        <v>8892.0499999999993</v>
      </c>
      <c r="K151" s="36">
        <f t="shared" si="238"/>
        <v>62244.349999999991</v>
      </c>
      <c r="L151" s="62">
        <f t="shared" si="239"/>
        <v>17784.099999999999</v>
      </c>
      <c r="M151" s="27"/>
      <c r="N151" s="27">
        <f>60000</f>
        <v>60000</v>
      </c>
      <c r="O151" s="62">
        <f t="shared" si="240"/>
        <v>1778.4099999999999</v>
      </c>
      <c r="P151" s="62">
        <v>10000</v>
      </c>
      <c r="Q151" s="62"/>
      <c r="R151" s="36">
        <f t="shared" si="241"/>
        <v>233169.11749999999</v>
      </c>
      <c r="S151" s="36"/>
      <c r="T151" s="36"/>
      <c r="U151" s="36"/>
      <c r="V151" s="36"/>
      <c r="W151" s="62">
        <v>1484.37</v>
      </c>
      <c r="X151" s="36">
        <f t="shared" si="234"/>
        <v>1484.37</v>
      </c>
      <c r="Y151" s="36">
        <v>231684.7475</v>
      </c>
      <c r="Z151" s="36">
        <f t="shared" si="233"/>
        <v>231684.7475</v>
      </c>
    </row>
    <row r="152" spans="1:26" ht="20.100000000000001" customHeight="1">
      <c r="A152" s="33">
        <v>18</v>
      </c>
      <c r="B152" s="223" t="s">
        <v>272</v>
      </c>
      <c r="C152" s="61" t="s">
        <v>273</v>
      </c>
      <c r="D152" s="66" t="s">
        <v>168</v>
      </c>
      <c r="E152" s="67">
        <f>17286.33</f>
        <v>17286.330000000002</v>
      </c>
      <c r="F152" s="62"/>
      <c r="G152" s="62">
        <f t="shared" ref="G152" si="251">E152*300%</f>
        <v>51858.990000000005</v>
      </c>
      <c r="H152" s="62">
        <f t="shared" ref="H152" si="252">E152*7.5%</f>
        <v>1296.4747500000001</v>
      </c>
      <c r="I152" s="62"/>
      <c r="J152" s="62">
        <f t="shared" ref="J152" si="253">E152*50%</f>
        <v>8643.1650000000009</v>
      </c>
      <c r="K152" s="36">
        <f t="shared" ref="K152" si="254">E152*350%</f>
        <v>60502.155000000006</v>
      </c>
      <c r="L152" s="62">
        <f t="shared" ref="L152" si="255">E152*100%</f>
        <v>17286.330000000002</v>
      </c>
      <c r="M152" s="27"/>
      <c r="N152" s="27">
        <f>60000</f>
        <v>60000</v>
      </c>
      <c r="O152" s="62">
        <f t="shared" ref="O152" si="256">E152*10%</f>
        <v>1728.6330000000003</v>
      </c>
      <c r="P152" s="62">
        <v>10000</v>
      </c>
      <c r="Q152" s="62"/>
      <c r="R152" s="36">
        <f>SUM(E152:Q152)*6/30</f>
        <v>45720.415550000005</v>
      </c>
      <c r="S152" s="36"/>
      <c r="T152" s="36"/>
      <c r="U152" s="36"/>
      <c r="V152" s="36"/>
      <c r="W152" s="62">
        <f>3369.51</f>
        <v>3369.51</v>
      </c>
      <c r="X152" s="36">
        <f t="shared" ref="X152" si="257">W152+V152+U152+T152+S152</f>
        <v>3369.51</v>
      </c>
      <c r="Y152" s="36"/>
      <c r="Z152" s="36">
        <f t="shared" ref="Z152" si="258">R152-X152</f>
        <v>42350.905550000003</v>
      </c>
    </row>
    <row r="153" spans="1:26" ht="20.100000000000001" customHeight="1">
      <c r="A153" s="33">
        <v>19</v>
      </c>
      <c r="B153" s="223" t="s">
        <v>274</v>
      </c>
      <c r="C153" s="61" t="s">
        <v>268</v>
      </c>
      <c r="D153" s="66" t="s">
        <v>106</v>
      </c>
      <c r="E153" s="67">
        <v>13492.21</v>
      </c>
      <c r="F153" s="62"/>
      <c r="G153" s="62">
        <f t="shared" si="235"/>
        <v>40476.629999999997</v>
      </c>
      <c r="H153" s="62">
        <f t="shared" si="236"/>
        <v>1011.9157499999999</v>
      </c>
      <c r="I153" s="62"/>
      <c r="J153" s="62">
        <f t="shared" si="237"/>
        <v>6746.1049999999996</v>
      </c>
      <c r="K153" s="36">
        <f t="shared" si="238"/>
        <v>47222.735000000001</v>
      </c>
      <c r="L153" s="62">
        <f t="shared" si="239"/>
        <v>13492.21</v>
      </c>
      <c r="M153" s="27"/>
      <c r="N153" s="27">
        <f>50000</f>
        <v>50000</v>
      </c>
      <c r="O153" s="62">
        <f t="shared" si="240"/>
        <v>1349.221</v>
      </c>
      <c r="P153" s="62">
        <v>10000</v>
      </c>
      <c r="Q153" s="62"/>
      <c r="R153" s="36">
        <f t="shared" si="241"/>
        <v>183791.02674999999</v>
      </c>
      <c r="S153" s="36"/>
      <c r="T153" s="36"/>
      <c r="U153" s="36"/>
      <c r="V153" s="36"/>
      <c r="W153" s="62">
        <v>1484.37</v>
      </c>
      <c r="X153" s="36">
        <f t="shared" si="234"/>
        <v>1484.37</v>
      </c>
      <c r="Y153" s="36">
        <v>182306.65674999999</v>
      </c>
      <c r="Z153" s="36">
        <f t="shared" si="233"/>
        <v>182306.65674999999</v>
      </c>
    </row>
    <row r="154" spans="1:26" ht="20.100000000000001" customHeight="1">
      <c r="A154" s="33">
        <v>20</v>
      </c>
      <c r="B154" s="223" t="s">
        <v>275</v>
      </c>
      <c r="C154" s="61" t="s">
        <v>276</v>
      </c>
      <c r="D154" s="66" t="s">
        <v>106</v>
      </c>
      <c r="E154" s="67">
        <v>13492.21</v>
      </c>
      <c r="F154" s="62"/>
      <c r="G154" s="62">
        <f t="shared" si="235"/>
        <v>40476.629999999997</v>
      </c>
      <c r="H154" s="62">
        <f t="shared" si="236"/>
        <v>1011.9157499999999</v>
      </c>
      <c r="I154" s="62"/>
      <c r="J154" s="62">
        <f t="shared" si="237"/>
        <v>6746.1049999999996</v>
      </c>
      <c r="K154" s="36">
        <f t="shared" si="238"/>
        <v>47222.735000000001</v>
      </c>
      <c r="L154" s="62">
        <f t="shared" si="239"/>
        <v>13492.21</v>
      </c>
      <c r="M154" s="27"/>
      <c r="N154" s="27">
        <f>50000</f>
        <v>50000</v>
      </c>
      <c r="O154" s="62">
        <f t="shared" si="240"/>
        <v>1349.221</v>
      </c>
      <c r="P154" s="62">
        <v>10000</v>
      </c>
      <c r="Q154" s="62"/>
      <c r="R154" s="36">
        <f t="shared" si="241"/>
        <v>183791.02674999999</v>
      </c>
      <c r="S154" s="36"/>
      <c r="T154" s="36">
        <f>30000+10000</f>
        <v>40000</v>
      </c>
      <c r="U154" s="36">
        <f>70000</f>
        <v>70000</v>
      </c>
      <c r="V154" s="36"/>
      <c r="W154" s="62">
        <v>1484.37</v>
      </c>
      <c r="X154" s="36">
        <f t="shared" si="234"/>
        <v>111484.37</v>
      </c>
      <c r="Y154" s="36">
        <v>72306.656749999995</v>
      </c>
      <c r="Z154" s="36">
        <f t="shared" si="233"/>
        <v>72306.656749999995</v>
      </c>
    </row>
    <row r="155" spans="1:26" ht="20.100000000000001" customHeight="1">
      <c r="A155" s="33">
        <v>21</v>
      </c>
      <c r="B155" s="223" t="s">
        <v>277</v>
      </c>
      <c r="C155" s="61" t="s">
        <v>268</v>
      </c>
      <c r="D155" s="66" t="s">
        <v>106</v>
      </c>
      <c r="E155" s="67">
        <v>13492.21</v>
      </c>
      <c r="F155" s="62"/>
      <c r="G155" s="62">
        <f t="shared" si="235"/>
        <v>40476.629999999997</v>
      </c>
      <c r="H155" s="62">
        <f t="shared" si="236"/>
        <v>1011.9157499999999</v>
      </c>
      <c r="I155" s="62"/>
      <c r="J155" s="62">
        <f t="shared" si="237"/>
        <v>6746.1049999999996</v>
      </c>
      <c r="K155" s="36">
        <f t="shared" si="238"/>
        <v>47222.735000000001</v>
      </c>
      <c r="L155" s="62">
        <f t="shared" si="239"/>
        <v>13492.21</v>
      </c>
      <c r="M155" s="27"/>
      <c r="N155" s="27">
        <f>50000</f>
        <v>50000</v>
      </c>
      <c r="O155" s="62">
        <f t="shared" si="240"/>
        <v>1349.221</v>
      </c>
      <c r="P155" s="62">
        <v>10000</v>
      </c>
      <c r="Q155" s="62"/>
      <c r="R155" s="36">
        <f t="shared" si="241"/>
        <v>183791.02674999999</v>
      </c>
      <c r="S155" s="36"/>
      <c r="T155" s="36">
        <f>10000</f>
        <v>10000</v>
      </c>
      <c r="U155" s="36">
        <f>34485.28</f>
        <v>34485.279999999999</v>
      </c>
      <c r="V155" s="36">
        <f>'[2]April 2022'!$H$53</f>
        <v>337.30525</v>
      </c>
      <c r="W155" s="62">
        <v>1484.37</v>
      </c>
      <c r="X155" s="36">
        <f t="shared" si="234"/>
        <v>46306.955249999999</v>
      </c>
      <c r="Y155" s="36">
        <v>137493.57274999999</v>
      </c>
      <c r="Z155" s="36">
        <f t="shared" si="233"/>
        <v>137484.07149999999</v>
      </c>
    </row>
    <row r="156" spans="1:26" ht="20.100000000000001" customHeight="1">
      <c r="A156" s="33">
        <v>22</v>
      </c>
      <c r="B156" s="223" t="s">
        <v>278</v>
      </c>
      <c r="C156" s="61" t="s">
        <v>279</v>
      </c>
      <c r="D156" s="66" t="s">
        <v>106</v>
      </c>
      <c r="E156" s="67">
        <v>13492.21</v>
      </c>
      <c r="F156" s="62"/>
      <c r="G156" s="62">
        <f>E156*300%</f>
        <v>40476.629999999997</v>
      </c>
      <c r="H156" s="62">
        <f>E156*7.5%</f>
        <v>1011.9157499999999</v>
      </c>
      <c r="I156" s="62"/>
      <c r="J156" s="62">
        <f>E156*50%</f>
        <v>6746.1049999999996</v>
      </c>
      <c r="K156" s="36">
        <f>E156*350%</f>
        <v>47222.735000000001</v>
      </c>
      <c r="L156" s="62">
        <f>E156*100%</f>
        <v>13492.21</v>
      </c>
      <c r="M156" s="27"/>
      <c r="N156" s="27">
        <f>50000</f>
        <v>50000</v>
      </c>
      <c r="O156" s="62">
        <f>E156*10%</f>
        <v>1349.221</v>
      </c>
      <c r="P156" s="62">
        <v>10000</v>
      </c>
      <c r="Q156" s="62"/>
      <c r="R156" s="36">
        <f>SUM(E156:Q156)</f>
        <v>183791.02674999999</v>
      </c>
      <c r="S156" s="36"/>
      <c r="T156" s="36"/>
      <c r="U156" s="36"/>
      <c r="V156" s="36"/>
      <c r="W156" s="62">
        <v>1484.37</v>
      </c>
      <c r="X156" s="36">
        <f t="shared" si="234"/>
        <v>1484.37</v>
      </c>
      <c r="Y156" s="36">
        <v>182306.65674999999</v>
      </c>
      <c r="Z156" s="36">
        <f>R156-X156</f>
        <v>182306.65674999999</v>
      </c>
    </row>
    <row r="157" spans="1:26" ht="20.100000000000001" customHeight="1">
      <c r="A157" s="33">
        <v>23</v>
      </c>
      <c r="B157" s="214" t="s">
        <v>280</v>
      </c>
      <c r="C157" s="61" t="s">
        <v>281</v>
      </c>
      <c r="D157" s="66" t="s">
        <v>108</v>
      </c>
      <c r="E157" s="67">
        <v>13112.16</v>
      </c>
      <c r="F157" s="62"/>
      <c r="G157" s="62">
        <f t="shared" si="235"/>
        <v>39336.479999999996</v>
      </c>
      <c r="H157" s="62">
        <f t="shared" si="236"/>
        <v>983.41199999999992</v>
      </c>
      <c r="I157" s="62"/>
      <c r="J157" s="62">
        <f t="shared" si="237"/>
        <v>6556.08</v>
      </c>
      <c r="K157" s="36">
        <f t="shared" si="238"/>
        <v>45892.56</v>
      </c>
      <c r="L157" s="62">
        <f>E157*100%</f>
        <v>13112.16</v>
      </c>
      <c r="M157" s="27"/>
      <c r="N157" s="27">
        <f>50000</f>
        <v>50000</v>
      </c>
      <c r="O157" s="62">
        <f>E157*10%</f>
        <v>1311.2160000000001</v>
      </c>
      <c r="P157" s="62">
        <v>10000</v>
      </c>
      <c r="R157" s="62">
        <f t="shared" si="241"/>
        <v>180304.068</v>
      </c>
      <c r="S157" s="62"/>
      <c r="T157" s="36">
        <f>30000</f>
        <v>30000</v>
      </c>
      <c r="U157" s="36">
        <f>25750</f>
        <v>25750</v>
      </c>
      <c r="V157" s="36"/>
      <c r="W157" s="62">
        <f>3369.51</f>
        <v>3369.51</v>
      </c>
      <c r="X157" s="36">
        <f t="shared" si="234"/>
        <v>59119.51</v>
      </c>
      <c r="Y157" s="36">
        <v>121184.55799999999</v>
      </c>
      <c r="Z157" s="36">
        <f t="shared" si="233"/>
        <v>121184.55799999999</v>
      </c>
    </row>
    <row r="158" spans="1:26" ht="20.100000000000001" customHeight="1">
      <c r="A158" s="33">
        <v>24</v>
      </c>
      <c r="B158" s="214" t="s">
        <v>282</v>
      </c>
      <c r="C158" s="61" t="s">
        <v>268</v>
      </c>
      <c r="D158" s="66" t="s">
        <v>93</v>
      </c>
      <c r="E158" s="26">
        <v>12351.94</v>
      </c>
      <c r="F158" s="26"/>
      <c r="G158" s="26">
        <f>E158*300%</f>
        <v>37055.82</v>
      </c>
      <c r="H158" s="26">
        <f>E158*7.5%</f>
        <v>926.39549999999997</v>
      </c>
      <c r="I158" s="26"/>
      <c r="J158" s="26">
        <f>E158*50%</f>
        <v>6175.97</v>
      </c>
      <c r="K158" s="26">
        <f>E158*350%</f>
        <v>43231.79</v>
      </c>
      <c r="L158" s="26">
        <f>E158*100%</f>
        <v>12351.94</v>
      </c>
      <c r="M158" s="27"/>
      <c r="N158" s="27">
        <f>50000</f>
        <v>50000</v>
      </c>
      <c r="O158" s="26">
        <f>E158*10%</f>
        <v>1235.1940000000002</v>
      </c>
      <c r="P158" s="26">
        <v>10000</v>
      </c>
      <c r="Q158" s="26"/>
      <c r="R158" s="36">
        <f t="shared" ref="R158" si="259">Q158+P158+O158+N158+M158+L158+K158+J158+I158+H158+G158+F158+E158</f>
        <v>173329.04949999999</v>
      </c>
      <c r="S158" s="36"/>
      <c r="T158" s="36">
        <f>50000</f>
        <v>50000</v>
      </c>
      <c r="U158" s="36">
        <f>50000</f>
        <v>50000</v>
      </c>
      <c r="V158" s="36">
        <f>0</f>
        <v>0</v>
      </c>
      <c r="W158" s="62">
        <v>1484.37</v>
      </c>
      <c r="X158" s="36">
        <f t="shared" si="234"/>
        <v>101484.37</v>
      </c>
      <c r="Y158" s="36">
        <v>71844.679499999998</v>
      </c>
      <c r="Z158" s="36">
        <f>R158-X158</f>
        <v>71844.679499999998</v>
      </c>
    </row>
    <row r="159" spans="1:26" ht="20.100000000000001" customHeight="1">
      <c r="A159" s="33">
        <v>25</v>
      </c>
      <c r="B159" s="214" t="s">
        <v>283</v>
      </c>
      <c r="C159" s="61" t="s">
        <v>281</v>
      </c>
      <c r="D159" s="66" t="s">
        <v>93</v>
      </c>
      <c r="E159" s="26">
        <v>12351.94</v>
      </c>
      <c r="F159" s="26"/>
      <c r="G159" s="26">
        <f t="shared" ref="G159:G160" si="260">E159*300%</f>
        <v>37055.82</v>
      </c>
      <c r="H159" s="26">
        <f t="shared" ref="H159:H160" si="261">E159*7.5%</f>
        <v>926.39549999999997</v>
      </c>
      <c r="I159" s="26"/>
      <c r="J159" s="26">
        <f t="shared" ref="J159:J160" si="262">E159*50%</f>
        <v>6175.97</v>
      </c>
      <c r="K159" s="26">
        <f t="shared" ref="K159:K160" si="263">E159*350%</f>
        <v>43231.79</v>
      </c>
      <c r="L159" s="26">
        <f t="shared" ref="L159:L160" si="264">E159*100%</f>
        <v>12351.94</v>
      </c>
      <c r="M159" s="27"/>
      <c r="N159" s="27">
        <f>50000</f>
        <v>50000</v>
      </c>
      <c r="O159" s="26">
        <f t="shared" ref="O159:O160" si="265">E159*10%</f>
        <v>1235.1940000000002</v>
      </c>
      <c r="P159" s="26">
        <v>10000</v>
      </c>
      <c r="Q159" s="26"/>
      <c r="R159" s="36">
        <f t="shared" ref="R159:R160" si="266">Q159+P159+O159+N159+M159+L159+K159+J159+I159+H159+G159+F159+E159</f>
        <v>173329.04949999999</v>
      </c>
      <c r="S159" s="36"/>
      <c r="T159" s="36">
        <f>50000</f>
        <v>50000</v>
      </c>
      <c r="U159" s="36"/>
      <c r="V159" s="36">
        <f>0</f>
        <v>0</v>
      </c>
      <c r="W159" s="62">
        <v>1484.37</v>
      </c>
      <c r="X159" s="36">
        <f t="shared" ref="X159:X160" si="267">W159+V159+U159+T159+S159</f>
        <v>51484.37</v>
      </c>
      <c r="Y159" s="36">
        <v>121844.6795</v>
      </c>
      <c r="Z159" s="36">
        <f t="shared" ref="Z159:Z160" si="268">R159-X159</f>
        <v>121844.6795</v>
      </c>
    </row>
    <row r="160" spans="1:26" ht="20.100000000000001" customHeight="1">
      <c r="A160" s="33">
        <v>26</v>
      </c>
      <c r="B160" s="214" t="s">
        <v>284</v>
      </c>
      <c r="C160" s="61" t="s">
        <v>268</v>
      </c>
      <c r="D160" s="66" t="s">
        <v>93</v>
      </c>
      <c r="E160" s="26">
        <v>12351.94</v>
      </c>
      <c r="F160" s="26"/>
      <c r="G160" s="26">
        <f t="shared" si="260"/>
        <v>37055.82</v>
      </c>
      <c r="H160" s="26">
        <f t="shared" si="261"/>
        <v>926.39549999999997</v>
      </c>
      <c r="I160" s="26"/>
      <c r="J160" s="26">
        <f t="shared" si="262"/>
        <v>6175.97</v>
      </c>
      <c r="K160" s="26">
        <f t="shared" si="263"/>
        <v>43231.79</v>
      </c>
      <c r="L160" s="26">
        <f t="shared" si="264"/>
        <v>12351.94</v>
      </c>
      <c r="M160" s="27"/>
      <c r="N160" s="27">
        <f>50000</f>
        <v>50000</v>
      </c>
      <c r="O160" s="26">
        <f t="shared" si="265"/>
        <v>1235.1940000000002</v>
      </c>
      <c r="P160" s="26">
        <v>10000</v>
      </c>
      <c r="Q160" s="26"/>
      <c r="R160" s="36">
        <f t="shared" si="266"/>
        <v>173329.04949999999</v>
      </c>
      <c r="S160" s="36"/>
      <c r="T160" s="36">
        <f>20000</f>
        <v>20000</v>
      </c>
      <c r="U160" s="36"/>
      <c r="V160" s="36">
        <f>0</f>
        <v>0</v>
      </c>
      <c r="W160" s="62">
        <v>1484.37</v>
      </c>
      <c r="X160" s="36">
        <f t="shared" si="267"/>
        <v>21484.37</v>
      </c>
      <c r="Y160" s="36">
        <v>151844.6795</v>
      </c>
      <c r="Z160" s="36">
        <f t="shared" si="268"/>
        <v>151844.6795</v>
      </c>
    </row>
    <row r="161" spans="1:26" ht="20.100000000000001" customHeight="1">
      <c r="A161" s="33">
        <v>27</v>
      </c>
      <c r="B161" s="214" t="s">
        <v>285</v>
      </c>
      <c r="C161" s="61" t="s">
        <v>281</v>
      </c>
      <c r="D161" s="66" t="s">
        <v>93</v>
      </c>
      <c r="E161" s="26">
        <v>12351.94</v>
      </c>
      <c r="F161" s="26"/>
      <c r="G161" s="26">
        <f t="shared" ref="G161" si="269">E161*300%</f>
        <v>37055.82</v>
      </c>
      <c r="H161" s="26">
        <f t="shared" ref="H161" si="270">E161*7.5%</f>
        <v>926.39549999999997</v>
      </c>
      <c r="I161" s="26"/>
      <c r="J161" s="26">
        <f t="shared" ref="J161" si="271">E161*50%</f>
        <v>6175.97</v>
      </c>
      <c r="K161" s="26">
        <f t="shared" ref="K161" si="272">E161*350%</f>
        <v>43231.79</v>
      </c>
      <c r="L161" s="26">
        <f t="shared" ref="L161" si="273">E161*100%</f>
        <v>12351.94</v>
      </c>
      <c r="M161" s="27"/>
      <c r="N161" s="27">
        <f>50000</f>
        <v>50000</v>
      </c>
      <c r="O161" s="26">
        <f t="shared" ref="O161" si="274">E161*10%</f>
        <v>1235.1940000000002</v>
      </c>
      <c r="P161" s="26">
        <v>10000</v>
      </c>
      <c r="Q161" s="26"/>
      <c r="R161" s="36">
        <f>(Q161+P161+O161+N161+M161+L161+K161+J161+I161+H161+G161+F161+E161)*12/30</f>
        <v>69331.6198</v>
      </c>
      <c r="S161" s="36"/>
      <c r="T161" s="36"/>
      <c r="U161" s="36"/>
      <c r="V161" s="36">
        <f>0</f>
        <v>0</v>
      </c>
      <c r="W161" s="62">
        <v>1484.37</v>
      </c>
      <c r="X161" s="36">
        <f t="shared" ref="X161" si="275">W161+V161+U161+T161+S161</f>
        <v>1484.37</v>
      </c>
      <c r="Y161" s="36"/>
      <c r="Z161" s="36">
        <f t="shared" ref="Z161" si="276">R161-X161</f>
        <v>67847.249800000005</v>
      </c>
    </row>
    <row r="162" spans="1:26" ht="20.100000000000001" customHeight="1">
      <c r="A162" s="33">
        <v>28</v>
      </c>
      <c r="B162" s="226" t="s">
        <v>286</v>
      </c>
      <c r="C162" s="61" t="s">
        <v>287</v>
      </c>
      <c r="D162" s="66" t="s">
        <v>288</v>
      </c>
      <c r="E162" s="78">
        <v>9050.14</v>
      </c>
      <c r="F162" s="27"/>
      <c r="G162" s="62">
        <f t="shared" si="235"/>
        <v>27150.42</v>
      </c>
      <c r="H162" s="62">
        <f t="shared" si="236"/>
        <v>678.76049999999998</v>
      </c>
      <c r="I162" s="67">
        <v>0</v>
      </c>
      <c r="J162" s="62">
        <f t="shared" si="237"/>
        <v>4525.07</v>
      </c>
      <c r="K162" s="36">
        <f t="shared" si="238"/>
        <v>31675.489999999998</v>
      </c>
      <c r="L162" s="62">
        <f t="shared" ref="L162:L171" si="277">E162*100%</f>
        <v>9050.14</v>
      </c>
      <c r="M162" s="27"/>
      <c r="N162" s="27">
        <f>30000</f>
        <v>30000</v>
      </c>
      <c r="O162" s="62">
        <f t="shared" ref="O162:O186" si="278">E162*10%</f>
        <v>905.01400000000001</v>
      </c>
      <c r="P162" s="67">
        <v>5000</v>
      </c>
      <c r="Q162" s="62">
        <f>4000</f>
        <v>4000</v>
      </c>
      <c r="R162" s="36">
        <f t="shared" ref="R162:R186" si="279">SUM(E162:Q162)</f>
        <v>122035.03449999999</v>
      </c>
      <c r="S162" s="36"/>
      <c r="T162" s="36">
        <f>20000+5000</f>
        <v>25000</v>
      </c>
      <c r="U162" s="36">
        <f>24750</f>
        <v>24750</v>
      </c>
      <c r="V162" s="36">
        <f>'[2]April 2022'!$H$39</f>
        <v>226.2535</v>
      </c>
      <c r="W162" s="36">
        <v>236.04</v>
      </c>
      <c r="X162" s="36">
        <f t="shared" si="234"/>
        <v>50212.2935</v>
      </c>
      <c r="Y162" s="36">
        <v>71830.724749999994</v>
      </c>
      <c r="Z162" s="36">
        <f t="shared" si="233"/>
        <v>71822.740999999995</v>
      </c>
    </row>
    <row r="163" spans="1:26" ht="20.100000000000001" customHeight="1">
      <c r="A163" s="33">
        <v>29</v>
      </c>
      <c r="B163" s="226" t="s">
        <v>289</v>
      </c>
      <c r="C163" s="61" t="s">
        <v>287</v>
      </c>
      <c r="D163" s="66" t="s">
        <v>288</v>
      </c>
      <c r="E163" s="78">
        <v>9050.14</v>
      </c>
      <c r="F163" s="27"/>
      <c r="G163" s="62">
        <f t="shared" si="235"/>
        <v>27150.42</v>
      </c>
      <c r="H163" s="62">
        <f t="shared" si="236"/>
        <v>678.76049999999998</v>
      </c>
      <c r="I163" s="67">
        <v>0</v>
      </c>
      <c r="J163" s="62">
        <f t="shared" si="237"/>
        <v>4525.07</v>
      </c>
      <c r="K163" s="36">
        <f t="shared" si="238"/>
        <v>31675.489999999998</v>
      </c>
      <c r="L163" s="62">
        <f t="shared" si="277"/>
        <v>9050.14</v>
      </c>
      <c r="M163" s="27"/>
      <c r="N163" s="27">
        <f>30000</f>
        <v>30000</v>
      </c>
      <c r="O163" s="62">
        <f t="shared" si="278"/>
        <v>905.01400000000001</v>
      </c>
      <c r="P163" s="67">
        <v>5000</v>
      </c>
      <c r="Q163" s="62">
        <f>7000</f>
        <v>7000</v>
      </c>
      <c r="R163" s="36">
        <f t="shared" si="279"/>
        <v>125035.03449999999</v>
      </c>
      <c r="S163" s="36"/>
      <c r="T163" s="36">
        <f>5000+5000</f>
        <v>10000</v>
      </c>
      <c r="U163" s="36">
        <f>14524.11</f>
        <v>14524.11</v>
      </c>
      <c r="V163" s="36"/>
      <c r="W163" s="36">
        <v>236.04</v>
      </c>
      <c r="X163" s="36">
        <f t="shared" si="234"/>
        <v>24760.15</v>
      </c>
      <c r="Y163" s="36">
        <v>100274.88449999999</v>
      </c>
      <c r="Z163" s="36">
        <f t="shared" si="233"/>
        <v>100274.88449999999</v>
      </c>
    </row>
    <row r="164" spans="1:26" ht="20.100000000000001" customHeight="1">
      <c r="A164" s="33">
        <v>30</v>
      </c>
      <c r="B164" s="226" t="s">
        <v>290</v>
      </c>
      <c r="C164" s="61" t="s">
        <v>287</v>
      </c>
      <c r="D164" s="66" t="s">
        <v>288</v>
      </c>
      <c r="E164" s="78">
        <v>9050.14</v>
      </c>
      <c r="F164" s="27"/>
      <c r="G164" s="62">
        <f t="shared" si="235"/>
        <v>27150.42</v>
      </c>
      <c r="H164" s="62">
        <f t="shared" si="236"/>
        <v>678.76049999999998</v>
      </c>
      <c r="I164" s="62">
        <v>0</v>
      </c>
      <c r="J164" s="62">
        <f t="shared" si="237"/>
        <v>4525.07</v>
      </c>
      <c r="K164" s="36">
        <f t="shared" si="238"/>
        <v>31675.489999999998</v>
      </c>
      <c r="L164" s="62">
        <f t="shared" si="277"/>
        <v>9050.14</v>
      </c>
      <c r="M164" s="27"/>
      <c r="N164" s="27">
        <f>30000</f>
        <v>30000</v>
      </c>
      <c r="O164" s="62">
        <f t="shared" si="278"/>
        <v>905.01400000000001</v>
      </c>
      <c r="P164" s="62">
        <v>5000</v>
      </c>
      <c r="Q164" s="62">
        <f>4000</f>
        <v>4000</v>
      </c>
      <c r="R164" s="36">
        <f t="shared" si="279"/>
        <v>122035.03449999999</v>
      </c>
      <c r="S164" s="36"/>
      <c r="T164" s="36">
        <f>10000+5000</f>
        <v>15000</v>
      </c>
      <c r="U164" s="36">
        <f>38541.67</f>
        <v>38541.67</v>
      </c>
      <c r="V164" s="36"/>
      <c r="W164" s="36">
        <v>236.04</v>
      </c>
      <c r="X164" s="36">
        <f t="shared" si="234"/>
        <v>53777.71</v>
      </c>
      <c r="Y164" s="36">
        <v>81798.994500000001</v>
      </c>
      <c r="Z164" s="36">
        <f t="shared" si="233"/>
        <v>68257.324499999988</v>
      </c>
    </row>
    <row r="165" spans="1:26" ht="20.100000000000001" customHeight="1">
      <c r="A165" s="33">
        <v>31</v>
      </c>
      <c r="B165" s="226" t="s">
        <v>291</v>
      </c>
      <c r="C165" s="61" t="s">
        <v>287</v>
      </c>
      <c r="D165" s="66" t="s">
        <v>288</v>
      </c>
      <c r="E165" s="78">
        <v>9050.14</v>
      </c>
      <c r="F165" s="27"/>
      <c r="G165" s="62">
        <f t="shared" si="235"/>
        <v>27150.42</v>
      </c>
      <c r="H165" s="62">
        <f t="shared" si="236"/>
        <v>678.76049999999998</v>
      </c>
      <c r="I165" s="62">
        <v>0</v>
      </c>
      <c r="J165" s="62">
        <f t="shared" si="237"/>
        <v>4525.07</v>
      </c>
      <c r="K165" s="36">
        <f t="shared" si="238"/>
        <v>31675.489999999998</v>
      </c>
      <c r="L165" s="62">
        <f t="shared" si="277"/>
        <v>9050.14</v>
      </c>
      <c r="M165" s="27"/>
      <c r="N165" s="27">
        <f>30000</f>
        <v>30000</v>
      </c>
      <c r="O165" s="62">
        <f t="shared" si="278"/>
        <v>905.01400000000001</v>
      </c>
      <c r="P165" s="62">
        <v>5000</v>
      </c>
      <c r="Q165" s="62">
        <f>4000</f>
        <v>4000</v>
      </c>
      <c r="R165" s="36">
        <f t="shared" si="279"/>
        <v>122035.03449999999</v>
      </c>
      <c r="S165" s="36"/>
      <c r="T165" s="36">
        <f>5000+5000</f>
        <v>10000</v>
      </c>
      <c r="U165" s="36">
        <f>15972.22</f>
        <v>15972.22</v>
      </c>
      <c r="V165" s="36"/>
      <c r="W165" s="36">
        <v>236.04</v>
      </c>
      <c r="X165" s="36">
        <f t="shared" si="234"/>
        <v>26208.260000000002</v>
      </c>
      <c r="Y165" s="36">
        <v>95826.7745</v>
      </c>
      <c r="Z165" s="36">
        <f t="shared" si="233"/>
        <v>95826.7745</v>
      </c>
    </row>
    <row r="166" spans="1:26" ht="20.100000000000001" customHeight="1">
      <c r="A166" s="33">
        <v>32</v>
      </c>
      <c r="B166" s="226" t="s">
        <v>292</v>
      </c>
      <c r="C166" s="61" t="s">
        <v>287</v>
      </c>
      <c r="D166" s="66" t="s">
        <v>288</v>
      </c>
      <c r="E166" s="78">
        <v>9050.14</v>
      </c>
      <c r="F166" s="27"/>
      <c r="G166" s="62">
        <f t="shared" si="235"/>
        <v>27150.42</v>
      </c>
      <c r="H166" s="62">
        <f t="shared" si="236"/>
        <v>678.76049999999998</v>
      </c>
      <c r="I166" s="62">
        <v>0</v>
      </c>
      <c r="J166" s="62">
        <f t="shared" si="237"/>
        <v>4525.07</v>
      </c>
      <c r="K166" s="36">
        <f t="shared" si="238"/>
        <v>31675.489999999998</v>
      </c>
      <c r="L166" s="62">
        <f t="shared" si="277"/>
        <v>9050.14</v>
      </c>
      <c r="M166" s="27"/>
      <c r="N166" s="27">
        <f>30000</f>
        <v>30000</v>
      </c>
      <c r="O166" s="62">
        <f t="shared" si="278"/>
        <v>905.01400000000001</v>
      </c>
      <c r="P166" s="62">
        <v>5000</v>
      </c>
      <c r="Q166" s="62">
        <f>4000</f>
        <v>4000</v>
      </c>
      <c r="R166" s="36">
        <f t="shared" si="279"/>
        <v>122035.03449999999</v>
      </c>
      <c r="S166" s="36"/>
      <c r="T166" s="36">
        <v>5000</v>
      </c>
      <c r="U166" s="36">
        <f>0</f>
        <v>0</v>
      </c>
      <c r="V166" s="36"/>
      <c r="W166" s="36">
        <v>236.04</v>
      </c>
      <c r="X166" s="36">
        <f t="shared" si="234"/>
        <v>5236.04</v>
      </c>
      <c r="Y166" s="36">
        <v>116798.9945</v>
      </c>
      <c r="Z166" s="36">
        <f t="shared" si="233"/>
        <v>116798.9945</v>
      </c>
    </row>
    <row r="167" spans="1:26" ht="20.100000000000001" customHeight="1">
      <c r="A167" s="33">
        <v>33</v>
      </c>
      <c r="B167" s="226" t="s">
        <v>293</v>
      </c>
      <c r="C167" s="61" t="s">
        <v>287</v>
      </c>
      <c r="D167" s="66" t="s">
        <v>288</v>
      </c>
      <c r="E167" s="78">
        <v>9050.14</v>
      </c>
      <c r="F167" s="27"/>
      <c r="G167" s="62">
        <f t="shared" si="235"/>
        <v>27150.42</v>
      </c>
      <c r="H167" s="62">
        <f t="shared" si="236"/>
        <v>678.76049999999998</v>
      </c>
      <c r="I167" s="62">
        <v>0</v>
      </c>
      <c r="J167" s="62">
        <f t="shared" si="237"/>
        <v>4525.07</v>
      </c>
      <c r="K167" s="36">
        <f t="shared" si="238"/>
        <v>31675.489999999998</v>
      </c>
      <c r="L167" s="62">
        <f t="shared" si="277"/>
        <v>9050.14</v>
      </c>
      <c r="M167" s="27"/>
      <c r="N167" s="27">
        <f>30000</f>
        <v>30000</v>
      </c>
      <c r="O167" s="62">
        <f t="shared" si="278"/>
        <v>905.01400000000001</v>
      </c>
      <c r="P167" s="62">
        <v>5000</v>
      </c>
      <c r="Q167" s="62">
        <f>4000</f>
        <v>4000</v>
      </c>
      <c r="R167" s="36">
        <f t="shared" si="279"/>
        <v>122035.03449999999</v>
      </c>
      <c r="S167" s="36"/>
      <c r="T167" s="36">
        <f>5000+5000</f>
        <v>10000</v>
      </c>
      <c r="U167" s="36">
        <f>25704.84</f>
        <v>25704.84</v>
      </c>
      <c r="V167" s="36">
        <f>'[2]April 2022'!$H$51</f>
        <v>226.2535</v>
      </c>
      <c r="W167" s="36">
        <v>236.04</v>
      </c>
      <c r="X167" s="36">
        <f t="shared" si="234"/>
        <v>36167.133499999996</v>
      </c>
      <c r="Y167" s="36">
        <v>85875.884749999997</v>
      </c>
      <c r="Z167" s="36">
        <f t="shared" si="233"/>
        <v>85867.900999999998</v>
      </c>
    </row>
    <row r="168" spans="1:26" ht="20.100000000000001" customHeight="1">
      <c r="A168" s="33">
        <v>34</v>
      </c>
      <c r="B168" s="226" t="s">
        <v>294</v>
      </c>
      <c r="C168" s="61" t="s">
        <v>287</v>
      </c>
      <c r="D168" s="66" t="s">
        <v>288</v>
      </c>
      <c r="E168" s="78">
        <v>9050.14</v>
      </c>
      <c r="F168" s="27"/>
      <c r="G168" s="62">
        <f t="shared" si="235"/>
        <v>27150.42</v>
      </c>
      <c r="H168" s="62">
        <f t="shared" si="236"/>
        <v>678.76049999999998</v>
      </c>
      <c r="I168" s="62">
        <v>0</v>
      </c>
      <c r="J168" s="62">
        <f t="shared" si="237"/>
        <v>4525.07</v>
      </c>
      <c r="K168" s="36">
        <f t="shared" si="238"/>
        <v>31675.489999999998</v>
      </c>
      <c r="L168" s="62">
        <f t="shared" si="277"/>
        <v>9050.14</v>
      </c>
      <c r="M168" s="27"/>
      <c r="N168" s="27">
        <f>30000</f>
        <v>30000</v>
      </c>
      <c r="O168" s="62">
        <f t="shared" si="278"/>
        <v>905.01400000000001</v>
      </c>
      <c r="P168" s="62">
        <v>5000</v>
      </c>
      <c r="Q168" s="62">
        <f>4000</f>
        <v>4000</v>
      </c>
      <c r="R168" s="36">
        <f t="shared" si="279"/>
        <v>122035.03449999999</v>
      </c>
      <c r="S168" s="36"/>
      <c r="T168" s="36">
        <f>10000+5000</f>
        <v>15000</v>
      </c>
      <c r="U168" s="36">
        <f>15112.49</f>
        <v>15112.49</v>
      </c>
      <c r="V168" s="36"/>
      <c r="W168" s="36">
        <v>236.04</v>
      </c>
      <c r="X168" s="36">
        <f t="shared" si="234"/>
        <v>30348.53</v>
      </c>
      <c r="Y168" s="36">
        <v>91686.504499999995</v>
      </c>
      <c r="Z168" s="36">
        <f t="shared" si="233"/>
        <v>91686.504499999995</v>
      </c>
    </row>
    <row r="169" spans="1:26" ht="20.100000000000001" customHeight="1">
      <c r="A169" s="33">
        <v>35</v>
      </c>
      <c r="B169" s="226" t="s">
        <v>295</v>
      </c>
      <c r="C169" s="61" t="s">
        <v>296</v>
      </c>
      <c r="D169" s="66" t="s">
        <v>297</v>
      </c>
      <c r="E169" s="62">
        <v>5769.6</v>
      </c>
      <c r="F169" s="27"/>
      <c r="G169" s="62">
        <f t="shared" si="235"/>
        <v>17308.800000000003</v>
      </c>
      <c r="H169" s="62">
        <f t="shared" si="236"/>
        <v>432.72</v>
      </c>
      <c r="I169" s="62">
        <v>0</v>
      </c>
      <c r="J169" s="62">
        <f t="shared" si="237"/>
        <v>2884.8</v>
      </c>
      <c r="K169" s="36">
        <f t="shared" si="238"/>
        <v>20193.600000000002</v>
      </c>
      <c r="L169" s="62">
        <f t="shared" si="277"/>
        <v>5769.6</v>
      </c>
      <c r="M169" s="27"/>
      <c r="N169" s="27">
        <f>20000</f>
        <v>20000</v>
      </c>
      <c r="O169" s="62">
        <f t="shared" si="278"/>
        <v>576.96</v>
      </c>
      <c r="P169" s="62">
        <v>5000</v>
      </c>
      <c r="Q169" s="62">
        <f>7000</f>
        <v>7000</v>
      </c>
      <c r="R169" s="36">
        <f t="shared" si="279"/>
        <v>84936.08</v>
      </c>
      <c r="S169" s="36"/>
      <c r="T169" s="36">
        <f>5000+5000</f>
        <v>10000</v>
      </c>
      <c r="U169" s="36">
        <f>26430.62</f>
        <v>26430.62</v>
      </c>
      <c r="V169" s="36"/>
      <c r="W169" s="36">
        <v>236.04</v>
      </c>
      <c r="X169" s="36">
        <f t="shared" si="234"/>
        <v>36666.660000000003</v>
      </c>
      <c r="Y169" s="36">
        <v>48269.42</v>
      </c>
      <c r="Z169" s="36">
        <f t="shared" si="233"/>
        <v>48269.42</v>
      </c>
    </row>
    <row r="170" spans="1:26" ht="20.100000000000001" customHeight="1">
      <c r="A170" s="33">
        <v>36</v>
      </c>
      <c r="B170" s="226" t="s">
        <v>298</v>
      </c>
      <c r="C170" s="61" t="s">
        <v>296</v>
      </c>
      <c r="D170" s="66" t="s">
        <v>297</v>
      </c>
      <c r="E170" s="62">
        <v>5769.6</v>
      </c>
      <c r="F170" s="27"/>
      <c r="G170" s="62">
        <f t="shared" si="235"/>
        <v>17308.800000000003</v>
      </c>
      <c r="H170" s="62">
        <f t="shared" si="236"/>
        <v>432.72</v>
      </c>
      <c r="I170" s="62">
        <v>0</v>
      </c>
      <c r="J170" s="62">
        <f t="shared" si="237"/>
        <v>2884.8</v>
      </c>
      <c r="K170" s="36">
        <f t="shared" si="238"/>
        <v>20193.600000000002</v>
      </c>
      <c r="L170" s="62">
        <f t="shared" si="277"/>
        <v>5769.6</v>
      </c>
      <c r="M170" s="27"/>
      <c r="N170" s="27">
        <f>20000</f>
        <v>20000</v>
      </c>
      <c r="O170" s="62">
        <f t="shared" si="278"/>
        <v>576.96</v>
      </c>
      <c r="P170" s="62">
        <v>5000</v>
      </c>
      <c r="Q170" s="62">
        <f>4000</f>
        <v>4000</v>
      </c>
      <c r="R170" s="36">
        <f t="shared" si="279"/>
        <v>81936.08</v>
      </c>
      <c r="S170" s="36"/>
      <c r="T170" s="36">
        <f>3000+5000</f>
        <v>8000</v>
      </c>
      <c r="U170" s="36">
        <f>16250</f>
        <v>16250</v>
      </c>
      <c r="V170" s="36"/>
      <c r="W170" s="36">
        <v>236.04</v>
      </c>
      <c r="X170" s="36">
        <f t="shared" si="234"/>
        <v>24486.04</v>
      </c>
      <c r="Y170" s="36">
        <v>57450.04</v>
      </c>
      <c r="Z170" s="36">
        <f t="shared" si="233"/>
        <v>57450.04</v>
      </c>
    </row>
    <row r="171" spans="1:26" ht="20.100000000000001" customHeight="1">
      <c r="A171" s="33">
        <v>37</v>
      </c>
      <c r="B171" s="226" t="s">
        <v>299</v>
      </c>
      <c r="C171" s="61" t="s">
        <v>296</v>
      </c>
      <c r="D171" s="66" t="s">
        <v>297</v>
      </c>
      <c r="E171" s="62">
        <v>5769.6</v>
      </c>
      <c r="F171" s="27"/>
      <c r="G171" s="62">
        <f t="shared" si="235"/>
        <v>17308.800000000003</v>
      </c>
      <c r="H171" s="62">
        <f t="shared" si="236"/>
        <v>432.72</v>
      </c>
      <c r="I171" s="62">
        <v>0</v>
      </c>
      <c r="J171" s="62">
        <f t="shared" si="237"/>
        <v>2884.8</v>
      </c>
      <c r="K171" s="36">
        <f t="shared" si="238"/>
        <v>20193.600000000002</v>
      </c>
      <c r="L171" s="62">
        <f t="shared" si="277"/>
        <v>5769.6</v>
      </c>
      <c r="M171" s="27"/>
      <c r="N171" s="27">
        <f>20000</f>
        <v>20000</v>
      </c>
      <c r="O171" s="62">
        <f t="shared" si="278"/>
        <v>576.96</v>
      </c>
      <c r="P171" s="62">
        <v>5000</v>
      </c>
      <c r="Q171" s="62">
        <f>4000</f>
        <v>4000</v>
      </c>
      <c r="R171" s="36">
        <f t="shared" si="279"/>
        <v>81936.08</v>
      </c>
      <c r="S171" s="36"/>
      <c r="T171" s="36">
        <f>3000+5000</f>
        <v>8000</v>
      </c>
      <c r="U171" s="36">
        <f>16729.17</f>
        <v>16729.169999999998</v>
      </c>
      <c r="V171" s="36"/>
      <c r="W171" s="36">
        <v>236.04</v>
      </c>
      <c r="X171" s="36">
        <f t="shared" si="234"/>
        <v>24965.21</v>
      </c>
      <c r="Y171" s="36">
        <v>56970.87</v>
      </c>
      <c r="Z171" s="36">
        <f t="shared" si="233"/>
        <v>56970.87</v>
      </c>
    </row>
    <row r="172" spans="1:26" ht="20.100000000000001" customHeight="1">
      <c r="A172" s="33">
        <v>38</v>
      </c>
      <c r="B172" s="217" t="s">
        <v>300</v>
      </c>
      <c r="C172" s="61" t="s">
        <v>296</v>
      </c>
      <c r="D172" s="66" t="s">
        <v>297</v>
      </c>
      <c r="E172" s="62">
        <v>5769.6</v>
      </c>
      <c r="F172" s="27"/>
      <c r="G172" s="62">
        <f t="shared" si="235"/>
        <v>17308.800000000003</v>
      </c>
      <c r="H172" s="62">
        <f t="shared" si="236"/>
        <v>432.72</v>
      </c>
      <c r="I172" s="62">
        <v>0</v>
      </c>
      <c r="J172" s="62">
        <f t="shared" si="237"/>
        <v>2884.8</v>
      </c>
      <c r="K172" s="36">
        <f t="shared" si="238"/>
        <v>20193.600000000002</v>
      </c>
      <c r="L172" s="62">
        <f>E171*100%</f>
        <v>5769.6</v>
      </c>
      <c r="M172" s="27"/>
      <c r="N172" s="27">
        <f>20000</f>
        <v>20000</v>
      </c>
      <c r="O172" s="62">
        <f t="shared" si="278"/>
        <v>576.96</v>
      </c>
      <c r="P172" s="62">
        <v>5000</v>
      </c>
      <c r="Q172" s="62">
        <f>7000</f>
        <v>7000</v>
      </c>
      <c r="R172" s="36">
        <f t="shared" si="279"/>
        <v>84936.08</v>
      </c>
      <c r="S172" s="36"/>
      <c r="T172" s="36">
        <f>5000+5000</f>
        <v>10000</v>
      </c>
      <c r="U172" s="36">
        <f>26000</f>
        <v>26000</v>
      </c>
      <c r="V172" s="36"/>
      <c r="W172" s="36">
        <v>236.04</v>
      </c>
      <c r="X172" s="36">
        <f t="shared" si="234"/>
        <v>36236.04</v>
      </c>
      <c r="Y172" s="36">
        <v>48700.04</v>
      </c>
      <c r="Z172" s="36">
        <f t="shared" ref="Z172:Z187" si="280">R172-X172</f>
        <v>48700.04</v>
      </c>
    </row>
    <row r="173" spans="1:26" ht="20.100000000000001" customHeight="1">
      <c r="A173" s="33">
        <v>39</v>
      </c>
      <c r="B173" s="223" t="s">
        <v>301</v>
      </c>
      <c r="C173" s="61" t="s">
        <v>296</v>
      </c>
      <c r="D173" s="66" t="s">
        <v>297</v>
      </c>
      <c r="E173" s="62">
        <v>5769.6</v>
      </c>
      <c r="F173" s="27"/>
      <c r="G173" s="62">
        <f t="shared" si="235"/>
        <v>17308.800000000003</v>
      </c>
      <c r="H173" s="62">
        <f t="shared" si="236"/>
        <v>432.72</v>
      </c>
      <c r="I173" s="62"/>
      <c r="J173" s="62">
        <f t="shared" si="237"/>
        <v>2884.8</v>
      </c>
      <c r="K173" s="36">
        <f t="shared" si="238"/>
        <v>20193.600000000002</v>
      </c>
      <c r="L173" s="62">
        <f t="shared" ref="L173:L186" si="281">E173*100%</f>
        <v>5769.6</v>
      </c>
      <c r="M173" s="27"/>
      <c r="N173" s="27">
        <f>20000</f>
        <v>20000</v>
      </c>
      <c r="O173" s="62">
        <f t="shared" si="278"/>
        <v>576.96</v>
      </c>
      <c r="P173" s="62">
        <v>5000</v>
      </c>
      <c r="Q173" s="62">
        <f>4000</f>
        <v>4000</v>
      </c>
      <c r="R173" s="36">
        <f t="shared" si="279"/>
        <v>81936.08</v>
      </c>
      <c r="S173" s="36"/>
      <c r="T173" s="36">
        <f>10000+5000</f>
        <v>15000</v>
      </c>
      <c r="U173" s="36">
        <f>13750</f>
        <v>13750</v>
      </c>
      <c r="V173" s="36"/>
      <c r="W173" s="36">
        <v>236.04</v>
      </c>
      <c r="X173" s="36">
        <f t="shared" si="234"/>
        <v>28986.04</v>
      </c>
      <c r="Y173" s="36">
        <v>52950.04</v>
      </c>
      <c r="Z173" s="36">
        <f t="shared" si="280"/>
        <v>52950.04</v>
      </c>
    </row>
    <row r="174" spans="1:26" ht="20.100000000000001" customHeight="1">
      <c r="A174" s="33">
        <v>40</v>
      </c>
      <c r="B174" s="221" t="s">
        <v>302</v>
      </c>
      <c r="C174" s="61" t="s">
        <v>296</v>
      </c>
      <c r="D174" s="66" t="s">
        <v>297</v>
      </c>
      <c r="E174" s="62">
        <v>5769.6</v>
      </c>
      <c r="F174" s="27"/>
      <c r="G174" s="62">
        <f t="shared" si="235"/>
        <v>17308.800000000003</v>
      </c>
      <c r="H174" s="62">
        <f t="shared" si="236"/>
        <v>432.72</v>
      </c>
      <c r="I174" s="62"/>
      <c r="J174" s="62">
        <f t="shared" si="237"/>
        <v>2884.8</v>
      </c>
      <c r="K174" s="36">
        <f t="shared" si="238"/>
        <v>20193.600000000002</v>
      </c>
      <c r="L174" s="62">
        <f t="shared" si="281"/>
        <v>5769.6</v>
      </c>
      <c r="M174" s="27"/>
      <c r="N174" s="27">
        <f>20000</f>
        <v>20000</v>
      </c>
      <c r="O174" s="62">
        <f t="shared" si="278"/>
        <v>576.96</v>
      </c>
      <c r="P174" s="62">
        <v>5000</v>
      </c>
      <c r="Q174" s="62">
        <f>4000</f>
        <v>4000</v>
      </c>
      <c r="R174" s="36">
        <f t="shared" si="279"/>
        <v>81936.08</v>
      </c>
      <c r="S174" s="36"/>
      <c r="T174" s="36">
        <f>3000+5000</f>
        <v>8000</v>
      </c>
      <c r="U174" s="36">
        <f>16958.34</f>
        <v>16958.34</v>
      </c>
      <c r="V174" s="36"/>
      <c r="W174" s="36">
        <v>236.04</v>
      </c>
      <c r="X174" s="36">
        <f t="shared" si="234"/>
        <v>25194.38</v>
      </c>
      <c r="Y174" s="36">
        <v>62241.7</v>
      </c>
      <c r="Z174" s="36">
        <f t="shared" si="280"/>
        <v>56741.7</v>
      </c>
    </row>
    <row r="175" spans="1:26" ht="20.100000000000001" customHeight="1">
      <c r="A175" s="33">
        <v>41</v>
      </c>
      <c r="B175" s="221" t="s">
        <v>303</v>
      </c>
      <c r="C175" s="61" t="s">
        <v>296</v>
      </c>
      <c r="D175" s="66" t="s">
        <v>297</v>
      </c>
      <c r="E175" s="62">
        <v>5769.6</v>
      </c>
      <c r="F175" s="27"/>
      <c r="G175" s="62">
        <f t="shared" si="235"/>
        <v>17308.800000000003</v>
      </c>
      <c r="H175" s="62">
        <f t="shared" si="236"/>
        <v>432.72</v>
      </c>
      <c r="I175" s="62"/>
      <c r="J175" s="62">
        <f t="shared" si="237"/>
        <v>2884.8</v>
      </c>
      <c r="K175" s="36">
        <f t="shared" si="238"/>
        <v>20193.600000000002</v>
      </c>
      <c r="L175" s="62">
        <f t="shared" si="281"/>
        <v>5769.6</v>
      </c>
      <c r="M175" s="27"/>
      <c r="N175" s="27">
        <f>20000</f>
        <v>20000</v>
      </c>
      <c r="O175" s="62">
        <f t="shared" si="278"/>
        <v>576.96</v>
      </c>
      <c r="P175" s="62">
        <v>5000</v>
      </c>
      <c r="Q175" s="62">
        <f>7000</f>
        <v>7000</v>
      </c>
      <c r="R175" s="36">
        <f t="shared" si="279"/>
        <v>84936.08</v>
      </c>
      <c r="S175" s="36"/>
      <c r="T175" s="36">
        <f>10000+5000</f>
        <v>15000</v>
      </c>
      <c r="U175" s="36">
        <f>22361.11</f>
        <v>22361.11</v>
      </c>
      <c r="V175" s="36"/>
      <c r="W175" s="36">
        <v>236.04</v>
      </c>
      <c r="X175" s="36">
        <f t="shared" si="234"/>
        <v>37597.15</v>
      </c>
      <c r="Y175" s="36">
        <v>47338.93</v>
      </c>
      <c r="Z175" s="36">
        <f t="shared" si="280"/>
        <v>47338.93</v>
      </c>
    </row>
    <row r="176" spans="1:26" ht="20.100000000000001" customHeight="1">
      <c r="A176" s="33">
        <v>42</v>
      </c>
      <c r="B176" s="223" t="s">
        <v>304</v>
      </c>
      <c r="C176" s="61" t="s">
        <v>296</v>
      </c>
      <c r="D176" s="66" t="s">
        <v>305</v>
      </c>
      <c r="E176" s="62">
        <v>5257.44</v>
      </c>
      <c r="F176" s="27"/>
      <c r="G176" s="62">
        <f t="shared" si="235"/>
        <v>15772.32</v>
      </c>
      <c r="H176" s="62">
        <f t="shared" si="236"/>
        <v>394.30799999999994</v>
      </c>
      <c r="I176" s="62"/>
      <c r="J176" s="62">
        <f t="shared" si="237"/>
        <v>2628.72</v>
      </c>
      <c r="K176" s="36">
        <f t="shared" si="238"/>
        <v>18401.039999999997</v>
      </c>
      <c r="L176" s="62">
        <f t="shared" si="281"/>
        <v>5257.44</v>
      </c>
      <c r="M176" s="27"/>
      <c r="N176" s="27">
        <f>20000</f>
        <v>20000</v>
      </c>
      <c r="O176" s="62">
        <f t="shared" si="278"/>
        <v>525.74400000000003</v>
      </c>
      <c r="P176" s="62">
        <v>5000</v>
      </c>
      <c r="Q176" s="62">
        <f>7000</f>
        <v>7000</v>
      </c>
      <c r="R176" s="36">
        <f t="shared" si="279"/>
        <v>80237.012000000002</v>
      </c>
      <c r="S176" s="36"/>
      <c r="T176" s="36">
        <f>10000+5000</f>
        <v>15000</v>
      </c>
      <c r="U176" s="36">
        <f>15625</f>
        <v>15625</v>
      </c>
      <c r="V176" s="36"/>
      <c r="W176" s="36">
        <v>236.04</v>
      </c>
      <c r="X176" s="36">
        <f t="shared" si="234"/>
        <v>30861.040000000001</v>
      </c>
      <c r="Y176" s="36">
        <v>49375.972000000002</v>
      </c>
      <c r="Z176" s="36">
        <f t="shared" si="280"/>
        <v>49375.972000000002</v>
      </c>
    </row>
    <row r="177" spans="1:26" ht="20.100000000000001" customHeight="1">
      <c r="A177" s="33">
        <v>43</v>
      </c>
      <c r="B177" s="223" t="s">
        <v>306</v>
      </c>
      <c r="C177" s="61" t="s">
        <v>296</v>
      </c>
      <c r="D177" s="66" t="s">
        <v>305</v>
      </c>
      <c r="E177" s="62">
        <v>5257.44</v>
      </c>
      <c r="F177" s="27"/>
      <c r="G177" s="62">
        <f t="shared" si="235"/>
        <v>15772.32</v>
      </c>
      <c r="H177" s="62">
        <f t="shared" si="236"/>
        <v>394.30799999999994</v>
      </c>
      <c r="I177" s="62"/>
      <c r="J177" s="62">
        <f t="shared" si="237"/>
        <v>2628.72</v>
      </c>
      <c r="K177" s="36">
        <f t="shared" si="238"/>
        <v>18401.039999999997</v>
      </c>
      <c r="L177" s="62">
        <f t="shared" si="281"/>
        <v>5257.44</v>
      </c>
      <c r="M177" s="27"/>
      <c r="N177" s="27">
        <f>20000</f>
        <v>20000</v>
      </c>
      <c r="O177" s="62">
        <f t="shared" si="278"/>
        <v>525.74400000000003</v>
      </c>
      <c r="P177" s="62">
        <v>5000</v>
      </c>
      <c r="Q177" s="62">
        <f>7000</f>
        <v>7000</v>
      </c>
      <c r="R177" s="36">
        <f t="shared" si="279"/>
        <v>80237.012000000002</v>
      </c>
      <c r="S177" s="36"/>
      <c r="T177" s="36">
        <f>10000+5000</f>
        <v>15000</v>
      </c>
      <c r="U177" s="36">
        <f>18333.33</f>
        <v>18333.330000000002</v>
      </c>
      <c r="V177" s="36"/>
      <c r="W177" s="36">
        <v>236.04</v>
      </c>
      <c r="X177" s="36">
        <f t="shared" si="234"/>
        <v>33569.370000000003</v>
      </c>
      <c r="Y177" s="36">
        <v>46667.642</v>
      </c>
      <c r="Z177" s="36">
        <f t="shared" si="280"/>
        <v>46667.642</v>
      </c>
    </row>
    <row r="178" spans="1:26" ht="20.100000000000001" customHeight="1">
      <c r="A178" s="33">
        <v>44</v>
      </c>
      <c r="B178" s="221" t="s">
        <v>307</v>
      </c>
      <c r="C178" s="61" t="s">
        <v>296</v>
      </c>
      <c r="D178" s="66" t="s">
        <v>308</v>
      </c>
      <c r="E178" s="62">
        <v>5428.12</v>
      </c>
      <c r="F178" s="27"/>
      <c r="G178" s="62">
        <f t="shared" si="235"/>
        <v>16284.36</v>
      </c>
      <c r="H178" s="62">
        <f t="shared" si="236"/>
        <v>407.10899999999998</v>
      </c>
      <c r="I178" s="62"/>
      <c r="J178" s="62">
        <f t="shared" si="237"/>
        <v>2714.06</v>
      </c>
      <c r="K178" s="36">
        <f t="shared" si="238"/>
        <v>18998.419999999998</v>
      </c>
      <c r="L178" s="62">
        <f t="shared" si="281"/>
        <v>5428.12</v>
      </c>
      <c r="M178" s="27"/>
      <c r="N178" s="27">
        <f>20000</f>
        <v>20000</v>
      </c>
      <c r="O178" s="62">
        <f t="shared" si="278"/>
        <v>542.81200000000001</v>
      </c>
      <c r="P178" s="62">
        <v>5000</v>
      </c>
      <c r="Q178" s="62">
        <f>7000</f>
        <v>7000</v>
      </c>
      <c r="R178" s="36">
        <f t="shared" si="279"/>
        <v>81803.001000000018</v>
      </c>
      <c r="S178" s="36"/>
      <c r="T178" s="36">
        <f>3000+5000</f>
        <v>8000</v>
      </c>
      <c r="U178" s="36">
        <f>44000</f>
        <v>44000</v>
      </c>
      <c r="V178" s="36"/>
      <c r="W178" s="36">
        <f>236.04</f>
        <v>236.04</v>
      </c>
      <c r="X178" s="36">
        <f t="shared" si="234"/>
        <v>52236.04</v>
      </c>
      <c r="Y178" s="36">
        <v>29566.961000000018</v>
      </c>
      <c r="Z178" s="36">
        <f t="shared" si="280"/>
        <v>29566.961000000018</v>
      </c>
    </row>
    <row r="179" spans="1:26" ht="20.100000000000001" customHeight="1">
      <c r="A179" s="33">
        <v>45</v>
      </c>
      <c r="B179" s="223" t="s">
        <v>309</v>
      </c>
      <c r="C179" s="61" t="s">
        <v>296</v>
      </c>
      <c r="D179" s="66" t="s">
        <v>310</v>
      </c>
      <c r="E179" s="62">
        <v>5086.76</v>
      </c>
      <c r="F179" s="27"/>
      <c r="G179" s="62">
        <f t="shared" si="235"/>
        <v>15260.28</v>
      </c>
      <c r="H179" s="62">
        <f t="shared" si="236"/>
        <v>381.50700000000001</v>
      </c>
      <c r="I179" s="62"/>
      <c r="J179" s="62">
        <f t="shared" si="237"/>
        <v>2543.38</v>
      </c>
      <c r="K179" s="36">
        <f t="shared" si="238"/>
        <v>17803.66</v>
      </c>
      <c r="L179" s="62">
        <f t="shared" si="281"/>
        <v>5086.76</v>
      </c>
      <c r="M179" s="27"/>
      <c r="N179" s="27">
        <f>20000</f>
        <v>20000</v>
      </c>
      <c r="O179" s="62">
        <f t="shared" si="278"/>
        <v>508.67600000000004</v>
      </c>
      <c r="P179" s="62">
        <v>5000</v>
      </c>
      <c r="Q179" s="62">
        <f>7000</f>
        <v>7000</v>
      </c>
      <c r="R179" s="36">
        <f t="shared" si="279"/>
        <v>78671.023000000016</v>
      </c>
      <c r="S179" s="36"/>
      <c r="T179" s="36">
        <f>15000</f>
        <v>15000</v>
      </c>
      <c r="U179" s="36">
        <f>20000</f>
        <v>20000</v>
      </c>
      <c r="V179" s="36"/>
      <c r="W179" s="36">
        <v>236.04</v>
      </c>
      <c r="X179" s="36">
        <f t="shared" si="234"/>
        <v>35236.04</v>
      </c>
      <c r="Y179" s="36">
        <v>43434.983000000015</v>
      </c>
      <c r="Z179" s="36">
        <f t="shared" si="280"/>
        <v>43434.983000000015</v>
      </c>
    </row>
    <row r="180" spans="1:26" ht="20.100000000000001" customHeight="1">
      <c r="A180" s="33">
        <v>46</v>
      </c>
      <c r="B180" s="223" t="s">
        <v>311</v>
      </c>
      <c r="C180" s="61" t="s">
        <v>312</v>
      </c>
      <c r="D180" s="66" t="s">
        <v>313</v>
      </c>
      <c r="E180" s="62">
        <v>4915.9399999999996</v>
      </c>
      <c r="F180" s="27"/>
      <c r="G180" s="62">
        <f t="shared" si="235"/>
        <v>14747.82</v>
      </c>
      <c r="H180" s="62">
        <f t="shared" si="236"/>
        <v>368.69549999999998</v>
      </c>
      <c r="I180" s="62"/>
      <c r="J180" s="62">
        <f t="shared" si="237"/>
        <v>2457.9699999999998</v>
      </c>
      <c r="K180" s="36">
        <f t="shared" si="238"/>
        <v>17205.789999999997</v>
      </c>
      <c r="L180" s="62">
        <f t="shared" si="281"/>
        <v>4915.9399999999996</v>
      </c>
      <c r="M180" s="27"/>
      <c r="N180" s="27">
        <f>20000</f>
        <v>20000</v>
      </c>
      <c r="O180" s="62">
        <f t="shared" si="278"/>
        <v>491.59399999999999</v>
      </c>
      <c r="P180" s="62">
        <v>5000</v>
      </c>
      <c r="Q180" s="62">
        <f>7000</f>
        <v>7000</v>
      </c>
      <c r="R180" s="36">
        <f t="shared" si="279"/>
        <v>77103.749500000005</v>
      </c>
      <c r="S180" s="36"/>
      <c r="T180" s="36">
        <f>5000+5000</f>
        <v>10000</v>
      </c>
      <c r="U180" s="36">
        <f>15000</f>
        <v>15000</v>
      </c>
      <c r="V180" s="36"/>
      <c r="W180" s="36">
        <v>236.04</v>
      </c>
      <c r="X180" s="36">
        <f t="shared" si="234"/>
        <v>25236.04</v>
      </c>
      <c r="Y180" s="36">
        <v>51867.709500000004</v>
      </c>
      <c r="Z180" s="36">
        <f t="shared" si="280"/>
        <v>51867.709500000004</v>
      </c>
    </row>
    <row r="181" spans="1:26" ht="20.100000000000001" customHeight="1">
      <c r="A181" s="33">
        <v>47</v>
      </c>
      <c r="B181" s="223" t="s">
        <v>314</v>
      </c>
      <c r="C181" s="61" t="s">
        <v>312</v>
      </c>
      <c r="D181" s="66" t="s">
        <v>313</v>
      </c>
      <c r="E181" s="62">
        <v>4915.9399999999996</v>
      </c>
      <c r="F181" s="27"/>
      <c r="G181" s="62">
        <f t="shared" si="235"/>
        <v>14747.82</v>
      </c>
      <c r="H181" s="62">
        <f t="shared" si="236"/>
        <v>368.69549999999998</v>
      </c>
      <c r="I181" s="62"/>
      <c r="J181" s="62">
        <f t="shared" si="237"/>
        <v>2457.9699999999998</v>
      </c>
      <c r="K181" s="36">
        <f t="shared" si="238"/>
        <v>17205.789999999997</v>
      </c>
      <c r="L181" s="62">
        <f t="shared" si="281"/>
        <v>4915.9399999999996</v>
      </c>
      <c r="M181" s="27"/>
      <c r="N181" s="27">
        <f>20000</f>
        <v>20000</v>
      </c>
      <c r="O181" s="62">
        <f t="shared" si="278"/>
        <v>491.59399999999999</v>
      </c>
      <c r="P181" s="62">
        <v>5000</v>
      </c>
      <c r="Q181" s="62">
        <f>4000</f>
        <v>4000</v>
      </c>
      <c r="R181" s="36">
        <f t="shared" si="279"/>
        <v>74103.749500000005</v>
      </c>
      <c r="S181" s="36"/>
      <c r="T181" s="36">
        <f>15000+5000+5000</f>
        <v>25000</v>
      </c>
      <c r="U181" s="36">
        <f>25555.56</f>
        <v>25555.56</v>
      </c>
      <c r="V181" s="36"/>
      <c r="W181" s="36">
        <v>236.04</v>
      </c>
      <c r="X181" s="36">
        <f t="shared" si="234"/>
        <v>50791.600000000006</v>
      </c>
      <c r="Y181" s="36">
        <v>23312.1495</v>
      </c>
      <c r="Z181" s="36">
        <f t="shared" si="280"/>
        <v>23312.1495</v>
      </c>
    </row>
    <row r="182" spans="1:26" ht="20.100000000000001" customHeight="1">
      <c r="A182" s="33">
        <v>48</v>
      </c>
      <c r="B182" s="223" t="s">
        <v>315</v>
      </c>
      <c r="C182" s="61" t="s">
        <v>312</v>
      </c>
      <c r="D182" s="66" t="s">
        <v>313</v>
      </c>
      <c r="E182" s="62">
        <v>4915.9399999999996</v>
      </c>
      <c r="F182" s="27"/>
      <c r="G182" s="62">
        <f t="shared" si="235"/>
        <v>14747.82</v>
      </c>
      <c r="H182" s="62">
        <f t="shared" si="236"/>
        <v>368.69549999999998</v>
      </c>
      <c r="I182" s="62"/>
      <c r="J182" s="62">
        <f t="shared" si="237"/>
        <v>2457.9699999999998</v>
      </c>
      <c r="K182" s="36">
        <f t="shared" si="238"/>
        <v>17205.789999999997</v>
      </c>
      <c r="L182" s="62">
        <f t="shared" si="281"/>
        <v>4915.9399999999996</v>
      </c>
      <c r="M182" s="27"/>
      <c r="N182" s="27">
        <f>20000</f>
        <v>20000</v>
      </c>
      <c r="O182" s="62">
        <f t="shared" si="278"/>
        <v>491.59399999999999</v>
      </c>
      <c r="P182" s="62">
        <v>5000</v>
      </c>
      <c r="Q182" s="62">
        <f>7000</f>
        <v>7000</v>
      </c>
      <c r="R182" s="36">
        <f t="shared" si="279"/>
        <v>77103.749500000005</v>
      </c>
      <c r="S182" s="36"/>
      <c r="T182" s="36">
        <f>5000+5000</f>
        <v>10000</v>
      </c>
      <c r="U182" s="36">
        <f>15972.22</f>
        <v>15972.22</v>
      </c>
      <c r="V182" s="36"/>
      <c r="W182" s="36">
        <v>236.04</v>
      </c>
      <c r="X182" s="36">
        <f t="shared" si="234"/>
        <v>26208.260000000002</v>
      </c>
      <c r="Y182" s="36">
        <v>50895.489500000003</v>
      </c>
      <c r="Z182" s="36">
        <f t="shared" si="280"/>
        <v>50895.489500000003</v>
      </c>
    </row>
    <row r="183" spans="1:26" ht="20.100000000000001" customHeight="1">
      <c r="A183" s="33">
        <v>49</v>
      </c>
      <c r="B183" s="223" t="s">
        <v>316</v>
      </c>
      <c r="C183" s="61" t="s">
        <v>312</v>
      </c>
      <c r="D183" s="66" t="s">
        <v>313</v>
      </c>
      <c r="E183" s="62">
        <v>4915.9399999999996</v>
      </c>
      <c r="F183" s="27"/>
      <c r="G183" s="62">
        <f t="shared" si="235"/>
        <v>14747.82</v>
      </c>
      <c r="H183" s="62">
        <f t="shared" si="236"/>
        <v>368.69549999999998</v>
      </c>
      <c r="I183" s="62"/>
      <c r="J183" s="62">
        <f t="shared" si="237"/>
        <v>2457.9699999999998</v>
      </c>
      <c r="K183" s="36">
        <f t="shared" si="238"/>
        <v>17205.789999999997</v>
      </c>
      <c r="L183" s="62">
        <f t="shared" si="281"/>
        <v>4915.9399999999996</v>
      </c>
      <c r="M183" s="27"/>
      <c r="N183" s="27">
        <f>20000</f>
        <v>20000</v>
      </c>
      <c r="O183" s="62">
        <f t="shared" si="278"/>
        <v>491.59399999999999</v>
      </c>
      <c r="P183" s="62">
        <v>5000</v>
      </c>
      <c r="Q183" s="62">
        <f>4000</f>
        <v>4000</v>
      </c>
      <c r="R183" s="36">
        <f t="shared" si="279"/>
        <v>74103.749500000005</v>
      </c>
      <c r="S183" s="36"/>
      <c r="T183" s="36">
        <f>10000+5000</f>
        <v>15000</v>
      </c>
      <c r="U183" s="36">
        <f>8416.67</f>
        <v>8416.67</v>
      </c>
      <c r="V183" s="36"/>
      <c r="W183" s="36">
        <v>236.04</v>
      </c>
      <c r="X183" s="36">
        <f t="shared" si="234"/>
        <v>23652.71</v>
      </c>
      <c r="Y183" s="36">
        <v>50451.039500000006</v>
      </c>
      <c r="Z183" s="36">
        <f t="shared" si="280"/>
        <v>50451.039500000006</v>
      </c>
    </row>
    <row r="184" spans="1:26" ht="20.100000000000001" customHeight="1">
      <c r="A184" s="33">
        <v>50</v>
      </c>
      <c r="B184" s="223" t="s">
        <v>317</v>
      </c>
      <c r="C184" s="61" t="s">
        <v>312</v>
      </c>
      <c r="D184" s="66" t="s">
        <v>313</v>
      </c>
      <c r="E184" s="62">
        <v>4915.9399999999996</v>
      </c>
      <c r="F184" s="27"/>
      <c r="G184" s="62">
        <f t="shared" si="235"/>
        <v>14747.82</v>
      </c>
      <c r="H184" s="62">
        <f t="shared" si="236"/>
        <v>368.69549999999998</v>
      </c>
      <c r="I184" s="62"/>
      <c r="J184" s="62">
        <f t="shared" si="237"/>
        <v>2457.9699999999998</v>
      </c>
      <c r="K184" s="36">
        <f t="shared" si="238"/>
        <v>17205.789999999997</v>
      </c>
      <c r="L184" s="62">
        <f t="shared" si="281"/>
        <v>4915.9399999999996</v>
      </c>
      <c r="M184" s="27"/>
      <c r="N184" s="27">
        <f>20000</f>
        <v>20000</v>
      </c>
      <c r="O184" s="62">
        <f t="shared" si="278"/>
        <v>491.59399999999999</v>
      </c>
      <c r="P184" s="62">
        <v>5000</v>
      </c>
      <c r="Q184" s="62">
        <f>7000</f>
        <v>7000</v>
      </c>
      <c r="R184" s="36">
        <f t="shared" si="279"/>
        <v>77103.749500000005</v>
      </c>
      <c r="S184" s="36"/>
      <c r="T184" s="36">
        <f>5000</f>
        <v>5000</v>
      </c>
      <c r="U184" s="36">
        <f>30000</f>
        <v>30000</v>
      </c>
      <c r="V184" s="36"/>
      <c r="W184" s="36">
        <v>236.04</v>
      </c>
      <c r="X184" s="36">
        <f t="shared" si="234"/>
        <v>35236.04</v>
      </c>
      <c r="Y184" s="36">
        <v>41867.709500000004</v>
      </c>
      <c r="Z184" s="36">
        <f t="shared" si="280"/>
        <v>41867.709500000004</v>
      </c>
    </row>
    <row r="185" spans="1:26" ht="20.100000000000001" customHeight="1">
      <c r="A185" s="33">
        <v>51</v>
      </c>
      <c r="B185" s="233" t="s">
        <v>318</v>
      </c>
      <c r="C185" s="61" t="s">
        <v>312</v>
      </c>
      <c r="D185" s="66" t="s">
        <v>319</v>
      </c>
      <c r="E185" s="62">
        <v>4836.5</v>
      </c>
      <c r="F185" s="27"/>
      <c r="G185" s="62">
        <f t="shared" si="235"/>
        <v>14509.5</v>
      </c>
      <c r="H185" s="62">
        <f t="shared" si="236"/>
        <v>362.73750000000001</v>
      </c>
      <c r="I185" s="62"/>
      <c r="J185" s="62">
        <f t="shared" si="237"/>
        <v>2418.25</v>
      </c>
      <c r="K185" s="36">
        <f t="shared" si="238"/>
        <v>16927.75</v>
      </c>
      <c r="L185" s="62">
        <f t="shared" si="281"/>
        <v>4836.5</v>
      </c>
      <c r="M185" s="27"/>
      <c r="N185" s="27">
        <f>15000</f>
        <v>15000</v>
      </c>
      <c r="O185" s="62">
        <f t="shared" si="278"/>
        <v>483.65000000000003</v>
      </c>
      <c r="P185" s="62">
        <v>5000</v>
      </c>
      <c r="Q185" s="62">
        <f>7000</f>
        <v>7000</v>
      </c>
      <c r="R185" s="36">
        <f t="shared" si="279"/>
        <v>71374.887500000012</v>
      </c>
      <c r="S185" s="36"/>
      <c r="T185" s="36">
        <f>10000+5000</f>
        <v>15000</v>
      </c>
      <c r="U185" s="36">
        <f>10000</f>
        <v>10000</v>
      </c>
      <c r="V185" s="36"/>
      <c r="W185" s="36">
        <v>236.04</v>
      </c>
      <c r="X185" s="36">
        <f t="shared" si="234"/>
        <v>25236.04</v>
      </c>
      <c r="Y185" s="36">
        <v>46138.847500000011</v>
      </c>
      <c r="Z185" s="36">
        <f t="shared" si="280"/>
        <v>46138.847500000011</v>
      </c>
    </row>
    <row r="186" spans="1:26" ht="20.100000000000001" customHeight="1">
      <c r="A186" s="33">
        <v>52</v>
      </c>
      <c r="B186" s="234" t="s">
        <v>320</v>
      </c>
      <c r="C186" s="61" t="s">
        <v>312</v>
      </c>
      <c r="D186" s="66" t="s">
        <v>319</v>
      </c>
      <c r="E186" s="62">
        <v>4836.5</v>
      </c>
      <c r="F186" s="27"/>
      <c r="G186" s="62">
        <f t="shared" si="235"/>
        <v>14509.5</v>
      </c>
      <c r="H186" s="62">
        <f t="shared" si="236"/>
        <v>362.73750000000001</v>
      </c>
      <c r="I186" s="62"/>
      <c r="J186" s="62">
        <f t="shared" si="237"/>
        <v>2418.25</v>
      </c>
      <c r="K186" s="36">
        <f t="shared" si="238"/>
        <v>16927.75</v>
      </c>
      <c r="L186" s="62">
        <f t="shared" si="281"/>
        <v>4836.5</v>
      </c>
      <c r="M186" s="27"/>
      <c r="N186" s="27">
        <f>15000</f>
        <v>15000</v>
      </c>
      <c r="O186" s="62">
        <f t="shared" si="278"/>
        <v>483.65000000000003</v>
      </c>
      <c r="P186" s="62">
        <v>5000</v>
      </c>
      <c r="Q186" s="62">
        <f>7000</f>
        <v>7000</v>
      </c>
      <c r="R186" s="36">
        <f t="shared" si="279"/>
        <v>71374.887500000012</v>
      </c>
      <c r="S186" s="36"/>
      <c r="T186" s="36">
        <f>10000+5000</f>
        <v>15000</v>
      </c>
      <c r="U186" s="36">
        <f>26222.06</f>
        <v>26222.06</v>
      </c>
      <c r="V186" s="36"/>
      <c r="W186" s="36">
        <v>236.04</v>
      </c>
      <c r="X186" s="36">
        <f t="shared" si="234"/>
        <v>41458.100000000006</v>
      </c>
      <c r="Y186" s="36">
        <v>29916.787500000006</v>
      </c>
      <c r="Z186" s="36">
        <f t="shared" si="280"/>
        <v>29916.787500000006</v>
      </c>
    </row>
    <row r="187" spans="1:26" ht="20.100000000000001" customHeight="1">
      <c r="A187" s="33">
        <v>53</v>
      </c>
      <c r="B187" s="222" t="s">
        <v>321</v>
      </c>
      <c r="C187" s="61" t="s">
        <v>312</v>
      </c>
      <c r="D187" s="66" t="s">
        <v>319</v>
      </c>
      <c r="E187" s="62">
        <v>4836.5</v>
      </c>
      <c r="F187" s="27"/>
      <c r="G187" s="62">
        <f t="shared" ref="G187" si="282">E187*300%</f>
        <v>14509.5</v>
      </c>
      <c r="H187" s="62">
        <f t="shared" ref="H187" si="283">E187*7.5%</f>
        <v>362.73750000000001</v>
      </c>
      <c r="I187" s="62"/>
      <c r="J187" s="62">
        <f t="shared" ref="J187" si="284">E187*50%</f>
        <v>2418.25</v>
      </c>
      <c r="K187" s="36">
        <f t="shared" ref="K187" si="285">E187*350%</f>
        <v>16927.75</v>
      </c>
      <c r="L187" s="62">
        <f t="shared" ref="L187" si="286">E187*100%</f>
        <v>4836.5</v>
      </c>
      <c r="M187" s="27"/>
      <c r="N187" s="27">
        <f>15000</f>
        <v>15000</v>
      </c>
      <c r="O187" s="62">
        <f t="shared" ref="O187" si="287">E187*10%</f>
        <v>483.65000000000003</v>
      </c>
      <c r="P187" s="62">
        <v>5000</v>
      </c>
      <c r="Q187" s="62">
        <f>4000</f>
        <v>4000</v>
      </c>
      <c r="R187" s="36">
        <f t="shared" ref="R187" si="288">SUM(E187:Q187)</f>
        <v>68374.887500000012</v>
      </c>
      <c r="S187" s="36"/>
      <c r="T187" s="36">
        <f>10000+5000</f>
        <v>15000</v>
      </c>
      <c r="U187" s="36">
        <f>32916.67</f>
        <v>32916.67</v>
      </c>
      <c r="V187" s="36"/>
      <c r="W187" s="36">
        <v>236.04</v>
      </c>
      <c r="X187" s="36">
        <f t="shared" si="234"/>
        <v>48152.71</v>
      </c>
      <c r="Y187" s="36">
        <v>20222.177500000013</v>
      </c>
      <c r="Z187" s="36">
        <f t="shared" si="280"/>
        <v>20222.177500000013</v>
      </c>
    </row>
    <row r="188" spans="1:26" ht="20.100000000000001" customHeight="1">
      <c r="A188" s="33">
        <v>54</v>
      </c>
      <c r="B188" s="222" t="s">
        <v>322</v>
      </c>
      <c r="C188" s="61" t="s">
        <v>312</v>
      </c>
      <c r="D188" s="66" t="s">
        <v>323</v>
      </c>
      <c r="E188" s="62">
        <v>4915.9399999999996</v>
      </c>
      <c r="F188" s="27"/>
      <c r="G188" s="62">
        <f t="shared" ref="G188" si="289">E188*300%</f>
        <v>14747.82</v>
      </c>
      <c r="H188" s="62">
        <f t="shared" ref="H188" si="290">E188*7.5%</f>
        <v>368.69549999999998</v>
      </c>
      <c r="I188" s="62"/>
      <c r="J188" s="62">
        <f t="shared" ref="J188" si="291">E188*50%</f>
        <v>2457.9699999999998</v>
      </c>
      <c r="K188" s="36">
        <f t="shared" ref="K188" si="292">E188*350%</f>
        <v>17205.789999999997</v>
      </c>
      <c r="L188" s="62">
        <f t="shared" ref="L188" si="293">E188*100%</f>
        <v>4915.9399999999996</v>
      </c>
      <c r="M188" s="27"/>
      <c r="N188" s="27">
        <f>20000</f>
        <v>20000</v>
      </c>
      <c r="O188" s="62">
        <f t="shared" ref="O188" si="294">E188*10%</f>
        <v>491.59399999999999</v>
      </c>
      <c r="P188" s="62">
        <v>5000</v>
      </c>
      <c r="Q188" s="62">
        <f>4000</f>
        <v>4000</v>
      </c>
      <c r="R188" s="36">
        <f t="shared" ref="R188" si="295">SUM(E188:Q188)</f>
        <v>74103.749500000005</v>
      </c>
      <c r="S188" s="36"/>
      <c r="T188" s="36">
        <f>0</f>
        <v>0</v>
      </c>
      <c r="U188" s="36">
        <f>0</f>
        <v>0</v>
      </c>
      <c r="V188" s="36"/>
      <c r="W188" s="36">
        <v>236.04</v>
      </c>
      <c r="X188" s="36">
        <f t="shared" si="234"/>
        <v>236.04</v>
      </c>
      <c r="Y188" s="36">
        <v>73867.709500000012</v>
      </c>
      <c r="Z188" s="36">
        <f>R188-X188</f>
        <v>73867.709500000012</v>
      </c>
    </row>
    <row r="189" spans="1:26" ht="20.100000000000001" customHeight="1">
      <c r="A189" s="33">
        <v>55</v>
      </c>
      <c r="B189" s="222" t="s">
        <v>324</v>
      </c>
      <c r="C189" s="61" t="s">
        <v>312</v>
      </c>
      <c r="D189" s="66" t="s">
        <v>325</v>
      </c>
      <c r="E189" s="140">
        <v>4248.5</v>
      </c>
      <c r="F189" s="27"/>
      <c r="G189" s="62">
        <f t="shared" ref="G189:G190" si="296">E189*300%</f>
        <v>12745.5</v>
      </c>
      <c r="H189" s="62">
        <f t="shared" ref="H189:H190" si="297">E189*7.5%</f>
        <v>318.63749999999999</v>
      </c>
      <c r="I189" s="62"/>
      <c r="J189" s="62">
        <f t="shared" ref="J189:J190" si="298">E189*50%</f>
        <v>2124.25</v>
      </c>
      <c r="K189" s="36">
        <f t="shared" ref="K189:K190" si="299">E189*350%</f>
        <v>14869.75</v>
      </c>
      <c r="L189" s="62">
        <f t="shared" ref="L189:L190" si="300">E189*100%</f>
        <v>4248.5</v>
      </c>
      <c r="M189" s="27"/>
      <c r="N189" s="27">
        <f>15000</f>
        <v>15000</v>
      </c>
      <c r="O189" s="62">
        <f t="shared" ref="O189:O190" si="301">E189*10%</f>
        <v>424.85</v>
      </c>
      <c r="P189" s="62">
        <v>5000</v>
      </c>
      <c r="Q189" s="62">
        <f>7000</f>
        <v>7000</v>
      </c>
      <c r="R189" s="36">
        <f>SUM(E189:Q189)</f>
        <v>65979.987499999988</v>
      </c>
      <c r="S189" s="36"/>
      <c r="T189" s="36">
        <f>5000</f>
        <v>5000</v>
      </c>
      <c r="U189" s="36"/>
      <c r="V189" s="36"/>
      <c r="W189" s="36">
        <v>236.04</v>
      </c>
      <c r="X189" s="36">
        <f t="shared" ref="X189:X190" si="302">W189+V189+U189+T189+S189</f>
        <v>5236.04</v>
      </c>
      <c r="Y189" s="36">
        <v>60743.947499999987</v>
      </c>
      <c r="Z189" s="36">
        <f>R189-X189</f>
        <v>60743.947499999987</v>
      </c>
    </row>
    <row r="190" spans="1:26" ht="20.100000000000001" customHeight="1">
      <c r="A190" s="33">
        <v>56</v>
      </c>
      <c r="B190" s="222" t="s">
        <v>326</v>
      </c>
      <c r="C190" s="61" t="s">
        <v>312</v>
      </c>
      <c r="D190" s="66" t="s">
        <v>323</v>
      </c>
      <c r="E190" s="62">
        <v>4915.9399999999996</v>
      </c>
      <c r="F190" s="27"/>
      <c r="G190" s="62">
        <f t="shared" si="296"/>
        <v>14747.82</v>
      </c>
      <c r="H190" s="62">
        <f t="shared" si="297"/>
        <v>368.69549999999998</v>
      </c>
      <c r="I190" s="62"/>
      <c r="J190" s="62">
        <f t="shared" si="298"/>
        <v>2457.9699999999998</v>
      </c>
      <c r="K190" s="36">
        <f t="shared" si="299"/>
        <v>17205.789999999997</v>
      </c>
      <c r="L190" s="62">
        <f t="shared" si="300"/>
        <v>4915.9399999999996</v>
      </c>
      <c r="M190" s="27"/>
      <c r="N190" s="27">
        <f>20000</f>
        <v>20000</v>
      </c>
      <c r="O190" s="62">
        <f t="shared" si="301"/>
        <v>491.59399999999999</v>
      </c>
      <c r="P190" s="62">
        <v>5000</v>
      </c>
      <c r="Q190" s="62">
        <f>7000</f>
        <v>7000</v>
      </c>
      <c r="R190" s="36">
        <f t="shared" ref="R190" si="303">SUM(E190:Q190)</f>
        <v>77103.749500000005</v>
      </c>
      <c r="S190" s="36"/>
      <c r="T190" s="36">
        <f>10000+5000</f>
        <v>15000</v>
      </c>
      <c r="U190" s="36">
        <f>0</f>
        <v>0</v>
      </c>
      <c r="V190" s="36"/>
      <c r="W190" s="36">
        <v>236.04</v>
      </c>
      <c r="X190" s="36">
        <f t="shared" si="302"/>
        <v>15236.04</v>
      </c>
      <c r="Y190" s="36">
        <v>61867.709500000004</v>
      </c>
      <c r="Z190" s="36">
        <f>R190-X190</f>
        <v>61867.709500000004</v>
      </c>
    </row>
    <row r="191" spans="1:26" ht="20.100000000000001" customHeight="1">
      <c r="A191" s="33"/>
      <c r="B191" s="48" t="s">
        <v>34</v>
      </c>
      <c r="C191" s="49" t="s">
        <v>327</v>
      </c>
      <c r="D191" s="37"/>
      <c r="E191" s="95">
        <f>SUM(E135:E190)</f>
        <v>836822.55999999912</v>
      </c>
      <c r="F191" s="95"/>
      <c r="G191" s="95">
        <f t="shared" ref="G191:L191" si="304">SUM(G135:G190)</f>
        <v>2510467.679999996</v>
      </c>
      <c r="H191" s="95">
        <f t="shared" si="304"/>
        <v>62761.691999999988</v>
      </c>
      <c r="I191" s="95">
        <f t="shared" si="304"/>
        <v>280855.33</v>
      </c>
      <c r="J191" s="95">
        <f t="shared" si="304"/>
        <v>418411.27999999956</v>
      </c>
      <c r="K191" s="95">
        <f t="shared" si="304"/>
        <v>2928878.9600000037</v>
      </c>
      <c r="L191" s="95">
        <f t="shared" si="304"/>
        <v>836822.55999999912</v>
      </c>
      <c r="M191" s="134"/>
      <c r="N191" s="134">
        <f>SUM(N135:N190)</f>
        <v>2340000</v>
      </c>
      <c r="O191" s="95">
        <f>SUM(O135:O190)</f>
        <v>83682.256000000023</v>
      </c>
      <c r="P191" s="95">
        <f>SUM(P135:P190)</f>
        <v>505000</v>
      </c>
      <c r="Q191" s="95">
        <f>SUM(Q135:Q190)</f>
        <v>211000</v>
      </c>
      <c r="R191" s="95">
        <f>SUM(R135:R190)</f>
        <v>10727823.2261</v>
      </c>
      <c r="S191" s="95"/>
      <c r="T191" s="95">
        <f t="shared" ref="T191:Z191" si="305">SUM(T135:T190)</f>
        <v>1019500</v>
      </c>
      <c r="U191" s="95">
        <f t="shared" si="305"/>
        <v>2249692.4800000009</v>
      </c>
      <c r="V191" s="95">
        <f t="shared" si="305"/>
        <v>6916.7807499999999</v>
      </c>
      <c r="W191" s="95">
        <f t="shared" si="305"/>
        <v>231526.60000000027</v>
      </c>
      <c r="X191" s="95">
        <f t="shared" si="305"/>
        <v>3507635.8607500009</v>
      </c>
      <c r="Y191" s="95">
        <f t="shared" si="305"/>
        <v>7276805.0872499999</v>
      </c>
      <c r="Z191" s="95">
        <f t="shared" si="305"/>
        <v>7220187.3653499987</v>
      </c>
    </row>
    <row r="192" spans="1:26" ht="20.100000000000001" customHeight="1">
      <c r="A192" s="33"/>
      <c r="B192" s="46" t="s">
        <v>328</v>
      </c>
      <c r="C192" s="73">
        <f>C39+C44+C57+C62+C79+C89+C102+C109+C120+C132+C191</f>
        <v>152</v>
      </c>
      <c r="D192" s="40"/>
      <c r="E192" s="41">
        <v>3773721.59</v>
      </c>
      <c r="F192" s="41">
        <f t="shared" ref="F192:R192" si="306">F39+F44+F57+F62+F79+F89+F102+F109+F120+F132+F191</f>
        <v>43750</v>
      </c>
      <c r="G192" s="41">
        <f t="shared" si="306"/>
        <v>11262025.019999994</v>
      </c>
      <c r="H192" s="41">
        <f t="shared" si="306"/>
        <v>321672.81799999997</v>
      </c>
      <c r="I192" s="41">
        <f t="shared" si="306"/>
        <v>2006109.5000000005</v>
      </c>
      <c r="J192" s="41">
        <f t="shared" si="306"/>
        <v>1895727.8599999999</v>
      </c>
      <c r="K192" s="41">
        <f t="shared" si="306"/>
        <v>12764555.440000001</v>
      </c>
      <c r="L192" s="41">
        <f t="shared" si="306"/>
        <v>3767382.4099999997</v>
      </c>
      <c r="M192" s="41">
        <f t="shared" si="306"/>
        <v>7830000</v>
      </c>
      <c r="N192" s="41">
        <f t="shared" si="306"/>
        <v>5080000</v>
      </c>
      <c r="O192" s="41">
        <f t="shared" si="306"/>
        <v>380750.46400000004</v>
      </c>
      <c r="P192" s="41">
        <f t="shared" si="306"/>
        <v>2035000</v>
      </c>
      <c r="Q192" s="41">
        <f t="shared" si="306"/>
        <v>1596903.6645499999</v>
      </c>
      <c r="R192" s="41">
        <f t="shared" si="306"/>
        <v>51044020.940200001</v>
      </c>
      <c r="S192" s="41"/>
      <c r="T192" s="41">
        <f>T39+T44+T57+T62+T79+T89+T102+T109+T120+T132+T191</f>
        <v>5074500</v>
      </c>
      <c r="U192" s="41">
        <f>U39+U44+U57+U62+U79+U89+U102+U109+U120+U132+U191</f>
        <v>6538580.7400000002</v>
      </c>
      <c r="V192" s="41">
        <f>V39+V44+V57+V62+V79+V89+V102+V109+V120+V132+V191</f>
        <v>26877.441250000003</v>
      </c>
      <c r="W192" s="41">
        <f>W39+W44+W57+W62+W79+W89+W102+W109+W120+W132+W191</f>
        <v>1499928.2700000003</v>
      </c>
      <c r="X192" s="41">
        <f>X39+X44+X57+X62+X79+X89+X102+X109+X120+X132+X191</f>
        <v>13139886.451250002</v>
      </c>
      <c r="Y192" s="41">
        <v>37262686.712170966</v>
      </c>
      <c r="Z192" s="41">
        <f>Z39+Z44+Z57+Z62+Z79+Z89+Z102+Z109+Z120+Z132+Z191</f>
        <v>37904134.488949999</v>
      </c>
    </row>
    <row r="193" spans="1:26" ht="20.100000000000001" customHeight="1">
      <c r="A193" s="33"/>
      <c r="B193" s="70"/>
      <c r="C193" s="46"/>
      <c r="D193" s="70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20.100000000000001" customHeight="1">
      <c r="A194" s="33"/>
      <c r="B194" s="70"/>
      <c r="C194" s="242" t="s">
        <v>329</v>
      </c>
      <c r="D194" s="242"/>
      <c r="E194" s="242"/>
      <c r="F194" s="242"/>
      <c r="G194" s="242"/>
      <c r="H194" s="242"/>
      <c r="I194" s="242"/>
      <c r="J194" s="241" t="s">
        <v>330</v>
      </c>
      <c r="K194" s="241"/>
      <c r="L194" s="241"/>
      <c r="M194" s="40"/>
      <c r="N194" s="40"/>
      <c r="O194" s="241" t="s">
        <v>331</v>
      </c>
      <c r="P194" s="241"/>
      <c r="Q194" s="241"/>
      <c r="R194" s="241"/>
      <c r="S194" s="40"/>
      <c r="T194" s="40"/>
      <c r="U194" s="40"/>
      <c r="V194" s="40"/>
      <c r="W194" s="71"/>
      <c r="X194" s="71"/>
      <c r="Y194" s="71"/>
      <c r="Z194" s="71"/>
    </row>
    <row r="195" spans="1:26" ht="20.100000000000001" customHeight="1">
      <c r="A195" s="33"/>
      <c r="B195" s="70"/>
      <c r="C195" s="242"/>
      <c r="D195" s="242"/>
      <c r="E195" s="242"/>
      <c r="F195" s="242"/>
      <c r="G195" s="242"/>
      <c r="H195" s="242"/>
      <c r="I195" s="242"/>
      <c r="J195" s="241"/>
      <c r="K195" s="241"/>
      <c r="L195" s="241"/>
      <c r="M195" s="40"/>
      <c r="N195" s="40"/>
      <c r="O195" s="241"/>
      <c r="P195" s="241"/>
      <c r="Q195" s="241"/>
      <c r="R195" s="241"/>
      <c r="S195" s="40"/>
      <c r="T195" s="40"/>
      <c r="U195" s="40"/>
      <c r="V195" s="40"/>
      <c r="W195" s="71"/>
      <c r="X195" s="71"/>
      <c r="Y195" s="71"/>
      <c r="Z195" s="71"/>
    </row>
    <row r="196" spans="1:26" ht="20.100000000000001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0.100000000000001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0.100000000000001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213"/>
      <c r="S198" s="4"/>
      <c r="T198" s="4"/>
      <c r="U198" s="4"/>
      <c r="V198" s="4"/>
      <c r="W198" s="4"/>
      <c r="X198" s="4"/>
      <c r="Y198" s="4"/>
      <c r="Z198" s="4"/>
    </row>
  </sheetData>
  <mergeCells count="8">
    <mergeCell ref="T5:X5"/>
    <mergeCell ref="B3:D3"/>
    <mergeCell ref="P194:R195"/>
    <mergeCell ref="O194:O195"/>
    <mergeCell ref="K194:L195"/>
    <mergeCell ref="J194:J195"/>
    <mergeCell ref="D194:I195"/>
    <mergeCell ref="C194:C195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9" max="26" man="1"/>
    <brk id="79" max="26" man="1"/>
    <brk id="120" max="26" man="1"/>
    <brk id="162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98"/>
  <sheetViews>
    <sheetView view="pageBreakPreview" zoomScaleNormal="100" zoomScaleSheetLayoutView="100" workbookViewId="0">
      <pane xSplit="3" ySplit="9" topLeftCell="D10" activePane="bottomRight" state="frozen"/>
      <selection pane="bottomRight" activeCell="A5" sqref="A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8.42578125" style="1" customWidth="1"/>
    <col min="3" max="3" width="47.5703125" style="1" customWidth="1"/>
    <col min="4" max="4" width="12.85546875" style="1" customWidth="1"/>
    <col min="5" max="5" width="18" style="1" hidden="1" customWidth="1"/>
    <col min="6" max="6" width="18.7109375" style="1" hidden="1" customWidth="1"/>
    <col min="7" max="7" width="23" style="1" hidden="1" customWidth="1"/>
    <col min="8" max="8" width="16.42578125" style="1" hidden="1" customWidth="1"/>
    <col min="9" max="9" width="18.140625" style="1" hidden="1" customWidth="1"/>
    <col min="10" max="10" width="18" style="1" hidden="1" customWidth="1"/>
    <col min="11" max="11" width="19.140625" style="1" hidden="1" customWidth="1"/>
    <col min="12" max="12" width="20" style="1" hidden="1" customWidth="1"/>
    <col min="13" max="13" width="24.5703125" style="1" hidden="1" customWidth="1"/>
    <col min="14" max="14" width="19.42578125" style="1" hidden="1" customWidth="1"/>
    <col min="15" max="15" width="16" style="1" hidden="1" customWidth="1"/>
    <col min="16" max="16" width="18.28515625" style="1" hidden="1" customWidth="1"/>
    <col min="17" max="17" width="20" style="1" hidden="1" customWidth="1"/>
    <col min="18" max="18" width="19.7109375" style="1" hidden="1" customWidth="1"/>
    <col min="19" max="19" width="14.140625" style="1" hidden="1" customWidth="1"/>
    <col min="20" max="20" width="18.28515625" style="1" hidden="1" customWidth="1"/>
    <col min="21" max="21" width="18.7109375" style="1" hidden="1" customWidth="1"/>
    <col min="22" max="23" width="18.28515625" style="1" hidden="1" customWidth="1"/>
    <col min="24" max="26" width="19.7109375" style="1" hidden="1" customWidth="1"/>
    <col min="27" max="27" width="18.28515625" style="1" hidden="1" customWidth="1"/>
    <col min="28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E1" s="1" t="s">
        <v>0</v>
      </c>
    </row>
    <row r="2" spans="1:31" ht="5.25" customHeight="1">
      <c r="R2" s="51"/>
      <c r="S2" s="51"/>
      <c r="T2" s="51"/>
      <c r="U2" s="51"/>
      <c r="V2" s="51"/>
      <c r="W2" s="51"/>
      <c r="X2" s="51"/>
      <c r="Y2" s="51"/>
      <c r="Z2" s="51"/>
    </row>
    <row r="3" spans="1:31" ht="20.100000000000001" customHeight="1">
      <c r="B3" s="240" t="s">
        <v>1</v>
      </c>
      <c r="C3" s="240"/>
      <c r="D3" s="240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</row>
    <row r="4" spans="1:31" ht="2.25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</row>
    <row r="5" spans="1:31" ht="20.100000000000001" customHeight="1">
      <c r="B5" s="52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239" t="s">
        <v>3</v>
      </c>
      <c r="U5" s="239"/>
      <c r="V5" s="239"/>
      <c r="W5" s="239"/>
      <c r="X5" s="239"/>
      <c r="Y5" s="56"/>
      <c r="Z5" s="56" t="s">
        <v>4</v>
      </c>
    </row>
    <row r="6" spans="1:31" ht="35.450000000000003" customHeight="1">
      <c r="A6" s="33"/>
      <c r="B6" s="58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2"/>
      <c r="W6" s="7"/>
      <c r="X6" s="7"/>
      <c r="Y6" s="158" t="s">
        <v>15</v>
      </c>
      <c r="Z6" s="158" t="s">
        <v>16</v>
      </c>
    </row>
    <row r="7" spans="1:31" ht="48" customHeight="1">
      <c r="A7" s="33"/>
      <c r="B7" s="21"/>
      <c r="C7" s="58"/>
      <c r="D7" s="58" t="s">
        <v>17</v>
      </c>
      <c r="E7" s="2" t="s">
        <v>18</v>
      </c>
      <c r="F7" s="59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29</v>
      </c>
      <c r="T7" s="59" t="s">
        <v>30</v>
      </c>
      <c r="U7" s="59" t="s">
        <v>31</v>
      </c>
      <c r="V7" s="59" t="s">
        <v>32</v>
      </c>
      <c r="W7" s="2" t="s">
        <v>33</v>
      </c>
      <c r="X7" s="2" t="s">
        <v>34</v>
      </c>
      <c r="Y7" s="2"/>
      <c r="Z7" s="2"/>
    </row>
    <row r="8" spans="1:31" ht="20.100000000000001" customHeight="1">
      <c r="A8" s="21" t="s">
        <v>35</v>
      </c>
      <c r="B8" s="212" t="s">
        <v>36</v>
      </c>
      <c r="C8" s="48"/>
      <c r="D8" s="48"/>
      <c r="E8" s="60" t="s">
        <v>37</v>
      </c>
      <c r="F8" s="7"/>
      <c r="G8" s="60"/>
      <c r="H8" s="60" t="s">
        <v>37</v>
      </c>
      <c r="I8" s="60"/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/>
      <c r="W8" s="60" t="s">
        <v>37</v>
      </c>
      <c r="X8" s="60"/>
      <c r="Y8" s="60"/>
      <c r="Z8" s="60"/>
    </row>
    <row r="9" spans="1:31" ht="20.100000000000001" customHeight="1">
      <c r="A9" s="3">
        <v>1</v>
      </c>
      <c r="B9" s="223" t="s">
        <v>38</v>
      </c>
      <c r="C9" s="61" t="s">
        <v>39</v>
      </c>
      <c r="D9" s="61" t="s">
        <v>40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27">
        <f>250000</f>
        <v>250000</v>
      </c>
      <c r="N9" s="27"/>
      <c r="O9" s="36">
        <v>16048.88</v>
      </c>
      <c r="P9" s="36">
        <v>25000</v>
      </c>
      <c r="Q9" s="36">
        <v>25235</v>
      </c>
      <c r="R9" s="36">
        <f>Q9+P9+O9+N9+M9+L9+K9+J9+I9+H9+G9+F9+E9</f>
        <v>1158849.8399999999</v>
      </c>
      <c r="S9" s="36"/>
      <c r="T9" s="36"/>
      <c r="U9" s="36"/>
      <c r="V9" s="36"/>
      <c r="W9" s="36">
        <v>113176.97</v>
      </c>
      <c r="X9" s="36">
        <f>W9+V9+U9+T9+S9</f>
        <v>113176.97</v>
      </c>
      <c r="Y9" s="36">
        <v>1045672.8699999999</v>
      </c>
      <c r="Z9" s="36">
        <f t="shared" ref="Z9:Z30" si="0">R9-X9</f>
        <v>1045672.8699999999</v>
      </c>
      <c r="AA9" s="34"/>
    </row>
    <row r="10" spans="1:31" ht="20.100000000000001" customHeight="1">
      <c r="A10" s="3">
        <v>2</v>
      </c>
      <c r="B10" s="223" t="s">
        <v>41</v>
      </c>
      <c r="C10" s="61" t="s">
        <v>42</v>
      </c>
      <c r="D10" s="66" t="s">
        <v>43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27">
        <f>200000</f>
        <v>200000</v>
      </c>
      <c r="N10" s="27"/>
      <c r="O10" s="62">
        <f>E10*10%</f>
        <v>8174.0020000000004</v>
      </c>
      <c r="P10" s="62">
        <v>20000</v>
      </c>
      <c r="Q10" s="62">
        <v>0</v>
      </c>
      <c r="R10" s="36">
        <f t="shared" ref="R10:R38" si="1">Q10+P10+O10+N10+M10+L10+K10+J10+I10+H10+G10+F10+E10</f>
        <v>1050209.0634999999</v>
      </c>
      <c r="S10" s="36"/>
      <c r="T10" s="36">
        <v>200000</v>
      </c>
      <c r="U10" s="36">
        <f>59722.22</f>
        <v>59722.22</v>
      </c>
      <c r="V10" s="36">
        <f>'[2]April 2022'!$H$34</f>
        <v>2043.5005000000001</v>
      </c>
      <c r="W10" s="62">
        <v>52776.63</v>
      </c>
      <c r="X10" s="36">
        <f t="shared" ref="X10:X38" si="2">W10+V10+U10+T10+S10</f>
        <v>314542.3505</v>
      </c>
      <c r="Y10" s="36">
        <v>735666.71299999999</v>
      </c>
      <c r="Z10" s="36">
        <f t="shared" si="0"/>
        <v>735666.71299999999</v>
      </c>
      <c r="AA10" s="34"/>
    </row>
    <row r="11" spans="1:31" ht="20.100000000000001" customHeight="1">
      <c r="A11" s="3">
        <v>3</v>
      </c>
      <c r="B11" s="223" t="s">
        <v>44</v>
      </c>
      <c r="C11" s="33" t="s">
        <v>45</v>
      </c>
      <c r="D11" s="3" t="s">
        <v>46</v>
      </c>
      <c r="E11" s="62">
        <v>41157.69</v>
      </c>
      <c r="F11" s="62"/>
      <c r="G11" s="62">
        <f>E11*300%</f>
        <v>123473.07</v>
      </c>
      <c r="H11" s="62">
        <f>E11*7.5%</f>
        <v>3086.8267500000002</v>
      </c>
      <c r="I11" s="62">
        <v>40122.19</v>
      </c>
      <c r="J11" s="62">
        <f>E11*50%</f>
        <v>20578.845000000001</v>
      </c>
      <c r="K11" s="62">
        <f>E11*350%</f>
        <v>144051.91500000001</v>
      </c>
      <c r="L11" s="62">
        <f>E11*100%</f>
        <v>41157.69</v>
      </c>
      <c r="M11" s="27">
        <f>180000</f>
        <v>180000</v>
      </c>
      <c r="N11" s="27"/>
      <c r="O11" s="62">
        <f>E11*10%</f>
        <v>4115.7690000000002</v>
      </c>
      <c r="P11" s="62">
        <v>20000</v>
      </c>
      <c r="Q11" s="62">
        <v>150000</v>
      </c>
      <c r="R11" s="36">
        <f t="shared" si="1"/>
        <v>767743.99575</v>
      </c>
      <c r="S11" s="36"/>
      <c r="T11" s="36"/>
      <c r="U11" s="36"/>
      <c r="V11" s="36">
        <f>'[2]April 2022'!$H$26</f>
        <v>1028.9422500000001</v>
      </c>
      <c r="W11" s="62">
        <f>21618.09</f>
        <v>21618.09</v>
      </c>
      <c r="X11" s="36">
        <f t="shared" si="2"/>
        <v>22647.03225</v>
      </c>
      <c r="Y11" s="36">
        <v>745134.34950000001</v>
      </c>
      <c r="Z11" s="36">
        <f t="shared" si="0"/>
        <v>745096.96349999995</v>
      </c>
      <c r="AA11" s="34"/>
    </row>
    <row r="12" spans="1:31" ht="20.100000000000001" customHeight="1">
      <c r="A12" s="3">
        <v>4</v>
      </c>
      <c r="B12" s="224" t="s">
        <v>47</v>
      </c>
      <c r="C12" s="43" t="s">
        <v>48</v>
      </c>
      <c r="D12" s="75" t="s">
        <v>46</v>
      </c>
      <c r="E12" s="65">
        <v>41157.69</v>
      </c>
      <c r="F12" s="64"/>
      <c r="G12" s="62">
        <f>E12*300%</f>
        <v>123473.07</v>
      </c>
      <c r="H12" s="62">
        <f>E12*7.5%</f>
        <v>3086.8267500000002</v>
      </c>
      <c r="I12" s="62">
        <v>40122.19</v>
      </c>
      <c r="J12" s="62">
        <f>E12*50%</f>
        <v>20578.845000000001</v>
      </c>
      <c r="K12" s="62">
        <f>E12*350%</f>
        <v>144051.91500000001</v>
      </c>
      <c r="L12" s="62">
        <f>E12*100%</f>
        <v>41157.69</v>
      </c>
      <c r="M12" s="27">
        <f>180000</f>
        <v>180000</v>
      </c>
      <c r="N12" s="27"/>
      <c r="O12" s="62">
        <f>E12*10%</f>
        <v>4115.7690000000002</v>
      </c>
      <c r="P12" s="62">
        <v>20000</v>
      </c>
      <c r="Q12" s="65">
        <f>100000</f>
        <v>100000</v>
      </c>
      <c r="R12" s="36">
        <f t="shared" si="1"/>
        <v>717743.99575</v>
      </c>
      <c r="S12" s="65"/>
      <c r="T12" s="65"/>
      <c r="U12" s="65"/>
      <c r="V12" s="65"/>
      <c r="W12" s="36">
        <f>21618.09</f>
        <v>21618.09</v>
      </c>
      <c r="X12" s="36">
        <f t="shared" si="2"/>
        <v>21618.09</v>
      </c>
      <c r="Y12" s="36">
        <v>696125.90575000003</v>
      </c>
      <c r="Z12" s="36">
        <f t="shared" si="0"/>
        <v>696125.90575000003</v>
      </c>
      <c r="AA12" s="34"/>
    </row>
    <row r="13" spans="1:31" ht="20.100000000000001" customHeight="1">
      <c r="A13" s="3">
        <v>5</v>
      </c>
      <c r="B13" s="223" t="s">
        <v>49</v>
      </c>
      <c r="C13" s="61" t="s">
        <v>50</v>
      </c>
      <c r="D13" s="3" t="s">
        <v>51</v>
      </c>
      <c r="E13" s="65">
        <v>41157.69</v>
      </c>
      <c r="F13" s="64"/>
      <c r="G13" s="62">
        <f>E13*300%</f>
        <v>123473.07</v>
      </c>
      <c r="H13" s="62">
        <f>E13*7.5%</f>
        <v>3086.8267500000002</v>
      </c>
      <c r="I13" s="62">
        <v>40122.19</v>
      </c>
      <c r="J13" s="62">
        <f>E13*50%</f>
        <v>20578.845000000001</v>
      </c>
      <c r="K13" s="62">
        <f>E13*350%</f>
        <v>144051.91500000001</v>
      </c>
      <c r="L13" s="62">
        <f>E13*100%</f>
        <v>41157.69</v>
      </c>
      <c r="M13" s="27"/>
      <c r="N13" s="27">
        <f>90000</f>
        <v>90000</v>
      </c>
      <c r="O13" s="62">
        <f>E13*10%</f>
        <v>4115.7690000000002</v>
      </c>
      <c r="P13" s="62">
        <v>20000</v>
      </c>
      <c r="Q13" s="65">
        <v>0</v>
      </c>
      <c r="R13" s="36">
        <f t="shared" si="1"/>
        <v>527743.99575</v>
      </c>
      <c r="S13" s="65"/>
      <c r="T13" s="65">
        <f>100000+2000</f>
        <v>102000</v>
      </c>
      <c r="U13" s="65"/>
      <c r="V13" s="65"/>
      <c r="W13" s="36">
        <f>21618.09</f>
        <v>21618.09</v>
      </c>
      <c r="X13" s="36">
        <f t="shared" si="2"/>
        <v>123618.09</v>
      </c>
      <c r="Y13" s="36">
        <v>506125.90574999998</v>
      </c>
      <c r="Z13" s="36">
        <f t="shared" si="0"/>
        <v>404125.90575000003</v>
      </c>
      <c r="AA13" s="34"/>
    </row>
    <row r="14" spans="1:31" ht="20.100000000000001" customHeight="1">
      <c r="A14" s="3">
        <v>6</v>
      </c>
      <c r="B14" s="224" t="s">
        <v>52</v>
      </c>
      <c r="C14" s="33" t="s">
        <v>53</v>
      </c>
      <c r="D14" s="38" t="s">
        <v>54</v>
      </c>
      <c r="E14" s="62">
        <v>33507.5</v>
      </c>
      <c r="F14" s="62"/>
      <c r="G14" s="62">
        <f t="shared" ref="G14:G30" si="3">E14*300%</f>
        <v>100522.5</v>
      </c>
      <c r="H14" s="62">
        <f t="shared" ref="H14:H30" si="4">E14*7.5%</f>
        <v>2513.0625</v>
      </c>
      <c r="I14" s="62">
        <v>40122.19</v>
      </c>
      <c r="J14" s="62">
        <f t="shared" ref="J14:J30" si="5">E14*50%</f>
        <v>16753.75</v>
      </c>
      <c r="K14" s="62">
        <f t="shared" ref="K14:K30" si="6">E14*350%</f>
        <v>117276.25</v>
      </c>
      <c r="L14" s="62">
        <f t="shared" ref="L14:L30" si="7">E14*100%</f>
        <v>33507.5</v>
      </c>
      <c r="M14" s="27"/>
      <c r="N14" s="27">
        <f>80000</f>
        <v>80000</v>
      </c>
      <c r="O14" s="62">
        <f t="shared" ref="O14:O30" si="8">E14*10%</f>
        <v>3350.75</v>
      </c>
      <c r="P14" s="62">
        <v>20000</v>
      </c>
      <c r="Q14" s="62">
        <f>100000</f>
        <v>100000</v>
      </c>
      <c r="R14" s="36">
        <f t="shared" si="1"/>
        <v>547553.50249999994</v>
      </c>
      <c r="S14" s="36"/>
      <c r="T14" s="36">
        <f>0</f>
        <v>0</v>
      </c>
      <c r="U14" s="36">
        <v>0</v>
      </c>
      <c r="V14" s="36">
        <f>'[2]April 2022'!$H$25</f>
        <v>837.6875</v>
      </c>
      <c r="W14" s="36">
        <v>15548.33</v>
      </c>
      <c r="X14" s="36">
        <f t="shared" si="2"/>
        <v>16386.017500000002</v>
      </c>
      <c r="Y14" s="36">
        <v>531167.48249999993</v>
      </c>
      <c r="Z14" s="36">
        <f t="shared" si="0"/>
        <v>531167.48499999999</v>
      </c>
      <c r="AA14" s="34"/>
    </row>
    <row r="15" spans="1:31" ht="20.100000000000001" customHeight="1">
      <c r="A15" s="3">
        <v>7</v>
      </c>
      <c r="B15" s="225" t="s">
        <v>55</v>
      </c>
      <c r="C15" s="47" t="s">
        <v>56</v>
      </c>
      <c r="D15" s="29" t="s">
        <v>54</v>
      </c>
      <c r="E15" s="26">
        <v>33507.5</v>
      </c>
      <c r="F15" s="26"/>
      <c r="G15" s="26">
        <f>E15*300%</f>
        <v>100522.5</v>
      </c>
      <c r="H15" s="26">
        <f>E15*7.5%</f>
        <v>2513.0625</v>
      </c>
      <c r="I15" s="26">
        <v>40122.19</v>
      </c>
      <c r="J15" s="26">
        <f>E15*50%</f>
        <v>16753.75</v>
      </c>
      <c r="K15" s="26">
        <f>E15*350%</f>
        <v>117276.25</v>
      </c>
      <c r="L15" s="26">
        <f>E15*100%</f>
        <v>33507.5</v>
      </c>
      <c r="M15" s="27"/>
      <c r="N15" s="27">
        <f>80000</f>
        <v>80000</v>
      </c>
      <c r="O15" s="26">
        <f>E15*10%</f>
        <v>3350.75</v>
      </c>
      <c r="P15" s="26">
        <v>20000</v>
      </c>
      <c r="Q15" s="26">
        <v>0</v>
      </c>
      <c r="R15" s="36">
        <f t="shared" si="1"/>
        <v>447553.5025</v>
      </c>
      <c r="S15" s="36"/>
      <c r="T15" s="26">
        <f>50000</f>
        <v>50000</v>
      </c>
      <c r="U15" s="26">
        <f>160416.67</f>
        <v>160416.67000000001</v>
      </c>
      <c r="V15" s="26">
        <f>'[3]DECEMBER 2019'!$H$38</f>
        <v>837.6875</v>
      </c>
      <c r="W15" s="26">
        <v>15548.33</v>
      </c>
      <c r="X15" s="36">
        <f t="shared" si="2"/>
        <v>226802.6875</v>
      </c>
      <c r="Y15" s="26">
        <v>220750.815</v>
      </c>
      <c r="Z15" s="26">
        <f>R15-X15</f>
        <v>220750.815</v>
      </c>
      <c r="AA15" s="34"/>
    </row>
    <row r="16" spans="1:31" ht="20.100000000000001" customHeight="1">
      <c r="A16" s="3">
        <v>8</v>
      </c>
      <c r="B16" s="224" t="s">
        <v>57</v>
      </c>
      <c r="C16" s="33" t="s">
        <v>58</v>
      </c>
      <c r="D16" s="3" t="s">
        <v>54</v>
      </c>
      <c r="E16" s="36">
        <v>33507.5</v>
      </c>
      <c r="F16" s="62"/>
      <c r="G16" s="62">
        <f t="shared" si="3"/>
        <v>100522.5</v>
      </c>
      <c r="H16" s="62">
        <f t="shared" si="4"/>
        <v>2513.0625</v>
      </c>
      <c r="I16" s="62">
        <v>40122.19</v>
      </c>
      <c r="J16" s="62">
        <f t="shared" si="5"/>
        <v>16753.75</v>
      </c>
      <c r="K16" s="62">
        <f t="shared" si="6"/>
        <v>117276.25</v>
      </c>
      <c r="L16" s="62">
        <f t="shared" si="7"/>
        <v>33507.5</v>
      </c>
      <c r="M16" s="27"/>
      <c r="N16" s="27">
        <f>80000</f>
        <v>80000</v>
      </c>
      <c r="O16" s="62">
        <f t="shared" si="8"/>
        <v>3350.75</v>
      </c>
      <c r="P16" s="62">
        <v>20000</v>
      </c>
      <c r="Q16" s="63">
        <v>0</v>
      </c>
      <c r="R16" s="36">
        <f t="shared" si="1"/>
        <v>447553.5025</v>
      </c>
      <c r="S16" s="36"/>
      <c r="T16" s="36">
        <f>20000</f>
        <v>20000</v>
      </c>
      <c r="U16" s="36">
        <f>179017.51</f>
        <v>179017.51</v>
      </c>
      <c r="V16" s="36">
        <f>'[3]DECEMBER 2019'!$H$35</f>
        <v>837.6875</v>
      </c>
      <c r="W16" s="36">
        <v>15548.33</v>
      </c>
      <c r="X16" s="36">
        <f t="shared" si="2"/>
        <v>215403.52750000003</v>
      </c>
      <c r="Y16" s="36">
        <v>232149.97499999998</v>
      </c>
      <c r="Z16" s="36">
        <f t="shared" si="0"/>
        <v>232149.97499999998</v>
      </c>
      <c r="AA16" s="34"/>
    </row>
    <row r="17" spans="1:27" ht="20.100000000000001" customHeight="1">
      <c r="A17" s="3">
        <v>9</v>
      </c>
      <c r="B17" s="226" t="s">
        <v>59</v>
      </c>
      <c r="C17" s="61" t="s">
        <v>60</v>
      </c>
      <c r="D17" s="66" t="s">
        <v>54</v>
      </c>
      <c r="E17" s="62">
        <v>33507.5</v>
      </c>
      <c r="F17" s="62"/>
      <c r="G17" s="62">
        <f>E17*300%</f>
        <v>100522.5</v>
      </c>
      <c r="H17" s="62">
        <f>E17*7.5%</f>
        <v>2513.0625</v>
      </c>
      <c r="I17" s="62">
        <f>40122.19</f>
        <v>40122.19</v>
      </c>
      <c r="J17" s="62">
        <f>E17*50%</f>
        <v>16753.75</v>
      </c>
      <c r="K17" s="36">
        <f>E17*350%</f>
        <v>117276.25</v>
      </c>
      <c r="L17" s="62">
        <f>E17*100%</f>
        <v>33507.5</v>
      </c>
      <c r="M17" s="27"/>
      <c r="N17" s="27">
        <f t="shared" ref="N17:N126" si="9">80000</f>
        <v>80000</v>
      </c>
      <c r="O17" s="62">
        <f>E17*10%</f>
        <v>3350.75</v>
      </c>
      <c r="P17" s="62">
        <v>20000</v>
      </c>
      <c r="Q17" s="62">
        <v>0</v>
      </c>
      <c r="R17" s="36">
        <f>SUM(E17:Q17)</f>
        <v>447553.5025</v>
      </c>
      <c r="S17" s="36"/>
      <c r="T17" s="36">
        <f>50000</f>
        <v>50000</v>
      </c>
      <c r="U17" s="36">
        <f>90000</f>
        <v>90000</v>
      </c>
      <c r="V17" s="36">
        <f>'[2]April 2022'!$H$28</f>
        <v>837.6875</v>
      </c>
      <c r="W17" s="62">
        <f>15548.33</f>
        <v>15548.33</v>
      </c>
      <c r="X17" s="36">
        <f>W17+V17+U17+T17+S17</f>
        <v>156386.01750000002</v>
      </c>
      <c r="Y17" s="36">
        <v>291198.59250000003</v>
      </c>
      <c r="Z17" s="36">
        <f>R17-X17</f>
        <v>291167.48499999999</v>
      </c>
      <c r="AA17" s="34"/>
    </row>
    <row r="18" spans="1:27" ht="20.100000000000001" customHeight="1">
      <c r="A18" s="3">
        <v>10</v>
      </c>
      <c r="B18" s="214" t="s">
        <v>61</v>
      </c>
      <c r="C18" s="61" t="s">
        <v>62</v>
      </c>
      <c r="D18" s="11" t="s">
        <v>63</v>
      </c>
      <c r="E18" s="36">
        <v>31018.84</v>
      </c>
      <c r="F18" s="62"/>
      <c r="G18" s="62">
        <f t="shared" ref="G18" si="10">E18*300%</f>
        <v>93056.52</v>
      </c>
      <c r="H18" s="62">
        <f t="shared" ref="H18" si="11">E18*7.5%</f>
        <v>2326.413</v>
      </c>
      <c r="I18" s="62">
        <v>40122.19</v>
      </c>
      <c r="J18" s="62">
        <f t="shared" ref="J18" si="12">E18*50%</f>
        <v>15509.42</v>
      </c>
      <c r="K18" s="62">
        <f t="shared" ref="K18" si="13">E18*350%</f>
        <v>108565.94</v>
      </c>
      <c r="L18" s="62">
        <f t="shared" ref="L18" si="14">E18*100%</f>
        <v>31018.84</v>
      </c>
      <c r="M18" s="27"/>
      <c r="N18" s="27">
        <f>80000</f>
        <v>80000</v>
      </c>
      <c r="O18" s="62">
        <f t="shared" ref="O18" si="15">E18*10%</f>
        <v>3101.884</v>
      </c>
      <c r="P18" s="62">
        <v>20000</v>
      </c>
      <c r="Q18" s="63">
        <v>0</v>
      </c>
      <c r="R18" s="36">
        <f t="shared" si="1"/>
        <v>424720.04700000002</v>
      </c>
      <c r="S18" s="36"/>
      <c r="T18" s="36">
        <f>50000</f>
        <v>50000</v>
      </c>
      <c r="U18" s="36">
        <f>59583.33</f>
        <v>59583.33</v>
      </c>
      <c r="V18" s="36"/>
      <c r="W18" s="36">
        <v>15548.33</v>
      </c>
      <c r="X18" s="36">
        <f t="shared" si="2"/>
        <v>125131.66</v>
      </c>
      <c r="Y18" s="36">
        <v>299588.38699999999</v>
      </c>
      <c r="Z18" s="36">
        <f t="shared" ref="Z18" si="16">R18-X18</f>
        <v>299588.38699999999</v>
      </c>
      <c r="AA18" s="34"/>
    </row>
    <row r="19" spans="1:27" ht="20.100000000000001" customHeight="1">
      <c r="A19" s="3">
        <v>11</v>
      </c>
      <c r="B19" s="227" t="s">
        <v>64</v>
      </c>
      <c r="C19" s="43" t="s">
        <v>65</v>
      </c>
      <c r="D19" s="44" t="s">
        <v>66</v>
      </c>
      <c r="E19" s="64">
        <v>26732.65</v>
      </c>
      <c r="F19" s="64"/>
      <c r="G19" s="64">
        <f t="shared" si="3"/>
        <v>80197.950000000012</v>
      </c>
      <c r="H19" s="64">
        <f t="shared" si="4"/>
        <v>2004.94875</v>
      </c>
      <c r="I19" s="64"/>
      <c r="J19" s="64">
        <f t="shared" si="5"/>
        <v>13366.325000000001</v>
      </c>
      <c r="K19" s="64">
        <f t="shared" si="6"/>
        <v>93564.275000000009</v>
      </c>
      <c r="L19" s="64">
        <f t="shared" si="7"/>
        <v>26732.65</v>
      </c>
      <c r="M19" s="27"/>
      <c r="N19" s="27">
        <f t="shared" ref="N19:N22" si="17">70000</f>
        <v>70000</v>
      </c>
      <c r="O19" s="64">
        <f t="shared" si="8"/>
        <v>2673.2650000000003</v>
      </c>
      <c r="P19" s="64">
        <v>20000</v>
      </c>
      <c r="Q19" s="64">
        <v>50000</v>
      </c>
      <c r="R19" s="36">
        <f t="shared" si="1"/>
        <v>385272.06375000003</v>
      </c>
      <c r="S19" s="65"/>
      <c r="T19" s="65">
        <v>50000</v>
      </c>
      <c r="U19" s="65">
        <f>150000</f>
        <v>150000</v>
      </c>
      <c r="V19" s="65">
        <v>0</v>
      </c>
      <c r="W19" s="65">
        <v>7709.76</v>
      </c>
      <c r="X19" s="36">
        <f t="shared" si="2"/>
        <v>207709.76</v>
      </c>
      <c r="Y19" s="36">
        <v>177562.30375000002</v>
      </c>
      <c r="Z19" s="36">
        <f t="shared" si="0"/>
        <v>177562.30375000002</v>
      </c>
      <c r="AA19" s="34"/>
    </row>
    <row r="20" spans="1:27" ht="19.5" customHeight="1">
      <c r="A20" s="3">
        <v>12</v>
      </c>
      <c r="B20" s="224" t="s">
        <v>67</v>
      </c>
      <c r="C20" s="43" t="s">
        <v>68</v>
      </c>
      <c r="D20" s="3" t="s">
        <v>66</v>
      </c>
      <c r="E20" s="64">
        <v>26732.65</v>
      </c>
      <c r="F20" s="62"/>
      <c r="G20" s="62">
        <f t="shared" si="3"/>
        <v>80197.950000000012</v>
      </c>
      <c r="H20" s="62">
        <f t="shared" si="4"/>
        <v>2004.94875</v>
      </c>
      <c r="I20" s="62"/>
      <c r="J20" s="62">
        <f t="shared" si="5"/>
        <v>13366.325000000001</v>
      </c>
      <c r="K20" s="36">
        <f t="shared" si="6"/>
        <v>93564.275000000009</v>
      </c>
      <c r="L20" s="62">
        <f t="shared" si="7"/>
        <v>26732.65</v>
      </c>
      <c r="M20" s="27"/>
      <c r="N20" s="27">
        <f t="shared" si="17"/>
        <v>70000</v>
      </c>
      <c r="O20" s="62">
        <f t="shared" si="8"/>
        <v>2673.2650000000003</v>
      </c>
      <c r="P20" s="62">
        <v>20000</v>
      </c>
      <c r="Q20" s="62">
        <v>0</v>
      </c>
      <c r="R20" s="36">
        <f t="shared" si="1"/>
        <v>335272.06375000009</v>
      </c>
      <c r="S20" s="36"/>
      <c r="T20" s="36"/>
      <c r="U20" s="36"/>
      <c r="V20" s="36">
        <f>'[2]April 2022'!$H$27</f>
        <v>668.31625000000008</v>
      </c>
      <c r="W20" s="36">
        <v>7709.76</v>
      </c>
      <c r="X20" s="36">
        <f t="shared" si="2"/>
        <v>8378.0762500000001</v>
      </c>
      <c r="Y20" s="36">
        <v>326903.8212500001</v>
      </c>
      <c r="Z20" s="36">
        <f t="shared" si="0"/>
        <v>326893.9875000001</v>
      </c>
      <c r="AA20" s="34"/>
    </row>
    <row r="21" spans="1:27" ht="19.5" customHeight="1">
      <c r="A21" s="3">
        <v>13</v>
      </c>
      <c r="B21" s="224" t="s">
        <v>69</v>
      </c>
      <c r="C21" s="33" t="s">
        <v>70</v>
      </c>
      <c r="D21" s="3" t="s">
        <v>66</v>
      </c>
      <c r="E21" s="64">
        <v>26732.65</v>
      </c>
      <c r="F21" s="62"/>
      <c r="G21" s="62">
        <f>E21*300%</f>
        <v>80197.950000000012</v>
      </c>
      <c r="H21" s="62">
        <f>E21*7.5%</f>
        <v>2004.94875</v>
      </c>
      <c r="I21" s="62"/>
      <c r="J21" s="62">
        <f t="shared" si="5"/>
        <v>13366.325000000001</v>
      </c>
      <c r="K21" s="36">
        <f>E21*350%</f>
        <v>93564.275000000009</v>
      </c>
      <c r="L21" s="62">
        <f>E21*100%</f>
        <v>26732.65</v>
      </c>
      <c r="M21" s="27">
        <f>140000</f>
        <v>140000</v>
      </c>
      <c r="N21" s="27"/>
      <c r="O21" s="62">
        <f>E21*10%</f>
        <v>2673.2650000000003</v>
      </c>
      <c r="P21" s="62">
        <v>20000</v>
      </c>
      <c r="Q21" s="62">
        <f>50000+100000</f>
        <v>150000</v>
      </c>
      <c r="R21" s="36">
        <f t="shared" si="1"/>
        <v>555272.06375000009</v>
      </c>
      <c r="S21" s="36"/>
      <c r="T21" s="36"/>
      <c r="U21" s="36"/>
      <c r="V21" s="36"/>
      <c r="W21" s="36">
        <f t="shared" ref="W21:W106" si="18">7709.76</f>
        <v>7709.76</v>
      </c>
      <c r="X21" s="36">
        <f t="shared" si="2"/>
        <v>7709.76</v>
      </c>
      <c r="Y21" s="36">
        <v>547562.30375000008</v>
      </c>
      <c r="Z21" s="36">
        <f>R21-X21</f>
        <v>547562.30375000008</v>
      </c>
      <c r="AA21" s="34"/>
    </row>
    <row r="22" spans="1:27" ht="20.100000000000001" customHeight="1">
      <c r="A22" s="3">
        <v>14</v>
      </c>
      <c r="B22" s="223" t="s">
        <v>71</v>
      </c>
      <c r="C22" s="43" t="s">
        <v>72</v>
      </c>
      <c r="D22" s="66" t="s">
        <v>73</v>
      </c>
      <c r="E22" s="62">
        <v>26339.3</v>
      </c>
      <c r="F22" s="62"/>
      <c r="G22" s="62">
        <f t="shared" si="3"/>
        <v>79017.899999999994</v>
      </c>
      <c r="H22" s="62">
        <f t="shared" si="4"/>
        <v>1975.4474999999998</v>
      </c>
      <c r="I22" s="36">
        <v>0</v>
      </c>
      <c r="J22" s="62">
        <f t="shared" si="5"/>
        <v>13169.65</v>
      </c>
      <c r="K22" s="36">
        <f t="shared" si="6"/>
        <v>92187.55</v>
      </c>
      <c r="L22" s="62">
        <f t="shared" si="7"/>
        <v>26339.3</v>
      </c>
      <c r="M22" s="27"/>
      <c r="N22" s="27">
        <f t="shared" si="17"/>
        <v>70000</v>
      </c>
      <c r="O22" s="62">
        <f t="shared" si="8"/>
        <v>2633.9300000000003</v>
      </c>
      <c r="P22" s="62">
        <v>15000</v>
      </c>
      <c r="Q22" s="62">
        <f>0</f>
        <v>0</v>
      </c>
      <c r="R22" s="36">
        <f t="shared" si="1"/>
        <v>326663.07749999996</v>
      </c>
      <c r="S22" s="36"/>
      <c r="T22" s="36"/>
      <c r="U22" s="36"/>
      <c r="V22" s="36"/>
      <c r="W22" s="62">
        <f>7709.76</f>
        <v>7709.76</v>
      </c>
      <c r="X22" s="36">
        <f t="shared" si="2"/>
        <v>7709.76</v>
      </c>
      <c r="Y22" s="36">
        <v>318953.31749999995</v>
      </c>
      <c r="Z22" s="36">
        <f t="shared" si="0"/>
        <v>318953.31749999995</v>
      </c>
      <c r="AA22" s="34"/>
    </row>
    <row r="23" spans="1:27" ht="20.100000000000001" customHeight="1">
      <c r="A23" s="3">
        <v>15</v>
      </c>
      <c r="B23" s="224" t="s">
        <v>74</v>
      </c>
      <c r="C23" s="33" t="s">
        <v>75</v>
      </c>
      <c r="D23" s="66" t="s">
        <v>76</v>
      </c>
      <c r="E23" s="62">
        <f>39662.25</f>
        <v>39662.25</v>
      </c>
      <c r="F23" s="62"/>
      <c r="G23" s="62">
        <f t="shared" si="3"/>
        <v>118986.75</v>
      </c>
      <c r="H23" s="62">
        <f t="shared" si="4"/>
        <v>2974.6687499999998</v>
      </c>
      <c r="I23" s="36">
        <v>0</v>
      </c>
      <c r="J23" s="62">
        <f t="shared" si="5"/>
        <v>19831.125</v>
      </c>
      <c r="K23" s="36">
        <f t="shared" si="6"/>
        <v>138817.875</v>
      </c>
      <c r="L23" s="62">
        <f t="shared" si="7"/>
        <v>39662.25</v>
      </c>
      <c r="M23" s="27"/>
      <c r="N23" s="27">
        <f>90000</f>
        <v>90000</v>
      </c>
      <c r="O23" s="62">
        <f t="shared" si="8"/>
        <v>3966.2250000000004</v>
      </c>
      <c r="P23" s="62">
        <v>15000</v>
      </c>
      <c r="Q23" s="62">
        <f>100000+100000</f>
        <v>200000</v>
      </c>
      <c r="R23" s="36">
        <f t="shared" si="1"/>
        <v>668901.14375000005</v>
      </c>
      <c r="S23" s="36"/>
      <c r="T23" s="36"/>
      <c r="U23" s="36"/>
      <c r="V23" s="36"/>
      <c r="W23" s="62">
        <v>21618.09</v>
      </c>
      <c r="X23" s="36">
        <f t="shared" si="2"/>
        <v>21618.09</v>
      </c>
      <c r="Y23" s="36">
        <v>489003.27324999997</v>
      </c>
      <c r="Z23" s="36">
        <f t="shared" si="0"/>
        <v>647283.05375000008</v>
      </c>
      <c r="AA23" s="34"/>
    </row>
    <row r="24" spans="1:27" ht="20.100000000000001" customHeight="1">
      <c r="A24" s="3">
        <v>16</v>
      </c>
      <c r="B24" s="223" t="s">
        <v>77</v>
      </c>
      <c r="C24" s="61" t="s">
        <v>78</v>
      </c>
      <c r="D24" s="66" t="s">
        <v>79</v>
      </c>
      <c r="E24" s="62">
        <v>23891.119999999999</v>
      </c>
      <c r="F24" s="62"/>
      <c r="G24" s="62">
        <f>E24*300%</f>
        <v>71673.36</v>
      </c>
      <c r="H24" s="62">
        <f>E24*7.5%</f>
        <v>1791.8339999999998</v>
      </c>
      <c r="I24" s="62">
        <v>0</v>
      </c>
      <c r="J24" s="62">
        <f t="shared" si="5"/>
        <v>11945.56</v>
      </c>
      <c r="K24" s="36">
        <f>E24*350%</f>
        <v>83618.92</v>
      </c>
      <c r="L24" s="62">
        <f>E24*100%</f>
        <v>23891.119999999999</v>
      </c>
      <c r="M24" s="27">
        <f>120000</f>
        <v>120000</v>
      </c>
      <c r="N24" s="27"/>
      <c r="O24" s="62">
        <f>E24*10%</f>
        <v>2389.1120000000001</v>
      </c>
      <c r="P24" s="62">
        <v>15000</v>
      </c>
      <c r="Q24" s="62">
        <v>0</v>
      </c>
      <c r="R24" s="36">
        <f t="shared" si="1"/>
        <v>354201.02600000001</v>
      </c>
      <c r="S24" s="36"/>
      <c r="T24" s="36">
        <f>70000</f>
        <v>70000</v>
      </c>
      <c r="U24" s="36">
        <f>98464.26</f>
        <v>98464.26</v>
      </c>
      <c r="V24" s="36"/>
      <c r="W24" s="62">
        <f t="shared" ref="W24:W100" si="19">7709.76</f>
        <v>7709.76</v>
      </c>
      <c r="X24" s="36">
        <f t="shared" si="2"/>
        <v>176174.02</v>
      </c>
      <c r="Y24" s="36">
        <v>238027.00600000002</v>
      </c>
      <c r="Z24" s="36">
        <f>R24-X24</f>
        <v>178027.00600000002</v>
      </c>
      <c r="AA24" s="34"/>
    </row>
    <row r="25" spans="1:27" ht="20.100000000000001" customHeight="1">
      <c r="A25" s="3">
        <v>17</v>
      </c>
      <c r="B25" s="223" t="s">
        <v>80</v>
      </c>
      <c r="C25" s="61" t="s">
        <v>81</v>
      </c>
      <c r="D25" s="66" t="s">
        <v>82</v>
      </c>
      <c r="E25" s="62">
        <v>18779.3</v>
      </c>
      <c r="F25" s="62"/>
      <c r="G25" s="62">
        <f t="shared" si="3"/>
        <v>56337.899999999994</v>
      </c>
      <c r="H25" s="62">
        <f t="shared" si="4"/>
        <v>1408.4475</v>
      </c>
      <c r="I25" s="36"/>
      <c r="J25" s="62">
        <f t="shared" si="5"/>
        <v>9389.65</v>
      </c>
      <c r="K25" s="36">
        <f t="shared" si="6"/>
        <v>65727.55</v>
      </c>
      <c r="L25" s="62">
        <f t="shared" si="7"/>
        <v>18779.3</v>
      </c>
      <c r="M25" s="27"/>
      <c r="N25" s="27">
        <f>60000</f>
        <v>60000</v>
      </c>
      <c r="O25" s="62">
        <f t="shared" si="8"/>
        <v>1877.93</v>
      </c>
      <c r="P25" s="62">
        <v>10000</v>
      </c>
      <c r="Q25" s="62"/>
      <c r="R25" s="36">
        <f t="shared" si="1"/>
        <v>242300.07749999998</v>
      </c>
      <c r="S25" s="36"/>
      <c r="T25" s="36">
        <f>20000</f>
        <v>20000</v>
      </c>
      <c r="U25" s="36">
        <f>111833.33</f>
        <v>111833.33</v>
      </c>
      <c r="V25" s="36"/>
      <c r="W25" s="62">
        <v>3369.51</v>
      </c>
      <c r="X25" s="36">
        <f t="shared" si="2"/>
        <v>135202.84</v>
      </c>
      <c r="Y25" s="36">
        <v>107097.23749999999</v>
      </c>
      <c r="Z25" s="36">
        <f t="shared" si="0"/>
        <v>107097.23749999999</v>
      </c>
      <c r="AA25" s="34"/>
    </row>
    <row r="26" spans="1:27" ht="18.75" customHeight="1">
      <c r="A26" s="3">
        <v>18</v>
      </c>
      <c r="B26" s="223" t="s">
        <v>83</v>
      </c>
      <c r="C26" s="61" t="s">
        <v>84</v>
      </c>
      <c r="D26" s="66" t="s">
        <v>85</v>
      </c>
      <c r="E26" s="62">
        <f>21520.88</f>
        <v>21520.880000000001</v>
      </c>
      <c r="F26" s="62"/>
      <c r="G26" s="62">
        <f t="shared" si="3"/>
        <v>64562.64</v>
      </c>
      <c r="H26" s="62">
        <f t="shared" si="4"/>
        <v>1614.066</v>
      </c>
      <c r="I26" s="36"/>
      <c r="J26" s="62">
        <f t="shared" si="5"/>
        <v>10760.44</v>
      </c>
      <c r="K26" s="36">
        <f t="shared" si="6"/>
        <v>75323.08</v>
      </c>
      <c r="L26" s="62">
        <f t="shared" si="7"/>
        <v>21520.880000000001</v>
      </c>
      <c r="M26" s="27"/>
      <c r="N26" s="27">
        <f>60000</f>
        <v>60000</v>
      </c>
      <c r="O26" s="62">
        <f t="shared" si="8"/>
        <v>2152.0880000000002</v>
      </c>
      <c r="P26" s="62">
        <v>15000</v>
      </c>
      <c r="Q26" s="62"/>
      <c r="R26" s="36">
        <f t="shared" si="1"/>
        <v>272454.07400000002</v>
      </c>
      <c r="S26" s="36"/>
      <c r="T26" s="36">
        <f>20000</f>
        <v>20000</v>
      </c>
      <c r="U26" s="36">
        <f>82500</f>
        <v>82500</v>
      </c>
      <c r="V26" s="36">
        <f>'[2]April 2022'!$H$45</f>
        <v>538.02200000000005</v>
      </c>
      <c r="W26" s="62">
        <v>3369.51</v>
      </c>
      <c r="X26" s="36">
        <f t="shared" si="2"/>
        <v>106407.53200000001</v>
      </c>
      <c r="Y26" s="36">
        <v>166102.64025000003</v>
      </c>
      <c r="Z26" s="36">
        <f t="shared" si="0"/>
        <v>166046.54200000002</v>
      </c>
      <c r="AA26" s="34"/>
    </row>
    <row r="27" spans="1:27" ht="18.75" customHeight="1">
      <c r="A27" s="3">
        <v>19</v>
      </c>
      <c r="B27" s="214" t="s">
        <v>86</v>
      </c>
      <c r="C27" s="33" t="s">
        <v>87</v>
      </c>
      <c r="D27" s="66" t="s">
        <v>76</v>
      </c>
      <c r="E27" s="62">
        <v>23074.99</v>
      </c>
      <c r="F27" s="26"/>
      <c r="G27" s="26">
        <f>E27*300%</f>
        <v>69224.97</v>
      </c>
      <c r="H27" s="26">
        <f>E27*7.5%</f>
        <v>1730.6242500000001</v>
      </c>
      <c r="I27" s="26"/>
      <c r="J27" s="26">
        <f t="shared" si="5"/>
        <v>11537.495000000001</v>
      </c>
      <c r="K27" s="26">
        <f>E27*350%</f>
        <v>80762.465000000011</v>
      </c>
      <c r="L27" s="26">
        <f>E27*100%</f>
        <v>23074.99</v>
      </c>
      <c r="M27" s="27">
        <f>100000</f>
        <v>100000</v>
      </c>
      <c r="N27" s="27"/>
      <c r="O27" s="26">
        <f>E27*10%</f>
        <v>2307.4990000000003</v>
      </c>
      <c r="P27" s="26">
        <v>10000</v>
      </c>
      <c r="Q27" s="26">
        <f>100000</f>
        <v>100000</v>
      </c>
      <c r="R27" s="36">
        <f t="shared" si="1"/>
        <v>421713.03324999998</v>
      </c>
      <c r="S27" s="36"/>
      <c r="T27" s="26">
        <f>30000</f>
        <v>30000</v>
      </c>
      <c r="U27" s="26"/>
      <c r="V27" s="26">
        <f>'[2]April 2022'!$H$52</f>
        <v>576.87475000000006</v>
      </c>
      <c r="W27" s="62">
        <f t="shared" si="19"/>
        <v>7709.76</v>
      </c>
      <c r="X27" s="36">
        <f t="shared" si="2"/>
        <v>38286.634749999997</v>
      </c>
      <c r="Y27" s="26">
        <v>383558.67324999999</v>
      </c>
      <c r="Z27" s="26">
        <f>R27-X27</f>
        <v>383426.39850000001</v>
      </c>
      <c r="AA27" s="34"/>
    </row>
    <row r="28" spans="1:27" ht="18.75" customHeight="1">
      <c r="A28" s="3">
        <v>20</v>
      </c>
      <c r="B28" s="214" t="s">
        <v>88</v>
      </c>
      <c r="C28" s="61" t="s">
        <v>89</v>
      </c>
      <c r="D28" s="66" t="s">
        <v>90</v>
      </c>
      <c r="E28" s="67">
        <v>13492.21</v>
      </c>
      <c r="F28" s="62"/>
      <c r="G28" s="62">
        <f t="shared" si="3"/>
        <v>40476.629999999997</v>
      </c>
      <c r="H28" s="62">
        <f t="shared" si="4"/>
        <v>1011.9157499999999</v>
      </c>
      <c r="I28" s="62"/>
      <c r="J28" s="62">
        <f t="shared" si="5"/>
        <v>6746.1049999999996</v>
      </c>
      <c r="K28" s="36">
        <f t="shared" si="6"/>
        <v>47222.735000000001</v>
      </c>
      <c r="L28" s="62">
        <f t="shared" si="7"/>
        <v>13492.21</v>
      </c>
      <c r="M28" s="27"/>
      <c r="N28" s="27">
        <f>50000</f>
        <v>50000</v>
      </c>
      <c r="O28" s="62">
        <f t="shared" si="8"/>
        <v>1349.221</v>
      </c>
      <c r="P28" s="62">
        <v>10000</v>
      </c>
      <c r="Q28" s="62"/>
      <c r="R28" s="36">
        <f t="shared" si="1"/>
        <v>183791.02674999999</v>
      </c>
      <c r="S28" s="36"/>
      <c r="T28" s="36"/>
      <c r="U28" s="36"/>
      <c r="V28" s="36"/>
      <c r="W28" s="62">
        <v>1484.37</v>
      </c>
      <c r="X28" s="36">
        <f t="shared" si="2"/>
        <v>1484.37</v>
      </c>
      <c r="Y28" s="36">
        <v>182306.65674999999</v>
      </c>
      <c r="Z28" s="36">
        <f t="shared" si="0"/>
        <v>182306.65674999999</v>
      </c>
      <c r="AA28" s="34"/>
    </row>
    <row r="29" spans="1:27" ht="18.75" customHeight="1">
      <c r="A29" s="3">
        <v>21</v>
      </c>
      <c r="B29" s="214" t="s">
        <v>91</v>
      </c>
      <c r="C29" s="61" t="s">
        <v>92</v>
      </c>
      <c r="D29" s="66" t="s">
        <v>93</v>
      </c>
      <c r="E29" s="26">
        <v>12351.94</v>
      </c>
      <c r="F29" s="26"/>
      <c r="G29" s="26">
        <f t="shared" si="3"/>
        <v>37055.82</v>
      </c>
      <c r="H29" s="26">
        <f t="shared" si="4"/>
        <v>926.39549999999997</v>
      </c>
      <c r="I29" s="26"/>
      <c r="J29" s="26">
        <f t="shared" si="5"/>
        <v>6175.97</v>
      </c>
      <c r="K29" s="26">
        <f t="shared" si="6"/>
        <v>43231.79</v>
      </c>
      <c r="L29" s="26">
        <f t="shared" si="7"/>
        <v>12351.94</v>
      </c>
      <c r="M29" s="27"/>
      <c r="N29" s="27">
        <f>50000</f>
        <v>50000</v>
      </c>
      <c r="O29" s="26">
        <f t="shared" si="8"/>
        <v>1235.1940000000002</v>
      </c>
      <c r="P29" s="26">
        <v>10000</v>
      </c>
      <c r="Q29" s="26"/>
      <c r="R29" s="36">
        <f t="shared" si="1"/>
        <v>173329.04949999999</v>
      </c>
      <c r="S29" s="36"/>
      <c r="T29" s="26"/>
      <c r="U29" s="26"/>
      <c r="V29" s="26"/>
      <c r="W29" s="27">
        <f t="shared" ref="W29:W30" si="20">1484.37</f>
        <v>1484.37</v>
      </c>
      <c r="X29" s="36">
        <f t="shared" si="2"/>
        <v>1484.37</v>
      </c>
      <c r="Y29" s="26">
        <v>171844.6795</v>
      </c>
      <c r="Z29" s="26">
        <f t="shared" si="0"/>
        <v>171844.6795</v>
      </c>
      <c r="AA29" s="34"/>
    </row>
    <row r="30" spans="1:27" ht="18.75" customHeight="1">
      <c r="A30" s="3">
        <v>22</v>
      </c>
      <c r="B30" s="214" t="s">
        <v>94</v>
      </c>
      <c r="C30" s="61" t="s">
        <v>92</v>
      </c>
      <c r="D30" s="66" t="s">
        <v>95</v>
      </c>
      <c r="E30" s="26">
        <v>17784.099999999999</v>
      </c>
      <c r="F30" s="26"/>
      <c r="G30" s="26">
        <f t="shared" si="3"/>
        <v>53352.299999999996</v>
      </c>
      <c r="H30" s="26">
        <f t="shared" si="4"/>
        <v>1333.8074999999999</v>
      </c>
      <c r="I30" s="26"/>
      <c r="J30" s="26">
        <f t="shared" si="5"/>
        <v>8892.0499999999993</v>
      </c>
      <c r="K30" s="26">
        <f t="shared" si="6"/>
        <v>62244.349999999991</v>
      </c>
      <c r="L30" s="26">
        <f t="shared" si="7"/>
        <v>17784.099999999999</v>
      </c>
      <c r="M30" s="27"/>
      <c r="N30" s="27">
        <f>60000</f>
        <v>60000</v>
      </c>
      <c r="O30" s="26">
        <f t="shared" si="8"/>
        <v>1778.4099999999999</v>
      </c>
      <c r="P30" s="26">
        <v>10000</v>
      </c>
      <c r="Q30" s="26"/>
      <c r="R30" s="36">
        <f t="shared" si="1"/>
        <v>233169.11749999996</v>
      </c>
      <c r="S30" s="36"/>
      <c r="T30" s="26">
        <f>10000</f>
        <v>10000</v>
      </c>
      <c r="U30" s="26">
        <f>34333.33</f>
        <v>34333.33</v>
      </c>
      <c r="V30" s="26"/>
      <c r="W30" s="27">
        <f t="shared" si="20"/>
        <v>1484.37</v>
      </c>
      <c r="X30" s="36">
        <f t="shared" si="2"/>
        <v>45817.700000000004</v>
      </c>
      <c r="Y30" s="26">
        <v>187351.41749999995</v>
      </c>
      <c r="Z30" s="26">
        <f t="shared" si="0"/>
        <v>187351.41749999995</v>
      </c>
      <c r="AA30" s="34"/>
    </row>
    <row r="31" spans="1:27" ht="18.75" customHeight="1">
      <c r="A31" s="3">
        <v>23</v>
      </c>
      <c r="B31" s="226" t="s">
        <v>96</v>
      </c>
      <c r="C31" s="33" t="s">
        <v>97</v>
      </c>
      <c r="D31" s="66" t="s">
        <v>98</v>
      </c>
      <c r="E31" s="62">
        <v>24741.26</v>
      </c>
      <c r="F31" s="62"/>
      <c r="G31" s="62">
        <f>E31*300%</f>
        <v>74223.78</v>
      </c>
      <c r="H31" s="62">
        <f>E31*7.5%</f>
        <v>1855.5944999999997</v>
      </c>
      <c r="I31" s="62">
        <v>0</v>
      </c>
      <c r="J31" s="62">
        <f>E31*50%</f>
        <v>12370.63</v>
      </c>
      <c r="K31" s="36">
        <f>E31*350%</f>
        <v>86594.409999999989</v>
      </c>
      <c r="L31" s="62">
        <f>E31*100%</f>
        <v>24741.26</v>
      </c>
      <c r="M31" s="27"/>
      <c r="N31" s="27">
        <f>70000</f>
        <v>70000</v>
      </c>
      <c r="O31" s="62">
        <f>E31*10%</f>
        <v>2474.1260000000002</v>
      </c>
      <c r="P31" s="62">
        <v>15000</v>
      </c>
      <c r="Q31" s="62">
        <v>0</v>
      </c>
      <c r="R31" s="36">
        <f t="shared" si="1"/>
        <v>312001.06050000002</v>
      </c>
      <c r="S31" s="36"/>
      <c r="T31" s="36">
        <v>20000</v>
      </c>
      <c r="U31" s="36">
        <f>68750</f>
        <v>68750</v>
      </c>
      <c r="V31" s="36">
        <f>'[2]April 2022'!$H$38</f>
        <v>618.53150000000005</v>
      </c>
      <c r="W31" s="62">
        <f>7709.76</f>
        <v>7709.76</v>
      </c>
      <c r="X31" s="36">
        <f t="shared" si="2"/>
        <v>97078.291499999992</v>
      </c>
      <c r="Y31" s="36">
        <v>214944.02250000002</v>
      </c>
      <c r="Z31" s="36">
        <f>R31-X31</f>
        <v>214922.76900000003</v>
      </c>
      <c r="AA31" s="34"/>
    </row>
    <row r="32" spans="1:27" ht="18.75" customHeight="1">
      <c r="A32" s="3">
        <v>24</v>
      </c>
      <c r="B32" s="223" t="s">
        <v>99</v>
      </c>
      <c r="C32" s="33" t="s">
        <v>100</v>
      </c>
      <c r="D32" s="66" t="s">
        <v>82</v>
      </c>
      <c r="E32" s="62">
        <v>18779.3</v>
      </c>
      <c r="F32" s="62"/>
      <c r="G32" s="62">
        <f>E32*300%</f>
        <v>56337.899999999994</v>
      </c>
      <c r="H32" s="62">
        <f>E32*7.5%</f>
        <v>1408.4475</v>
      </c>
      <c r="I32" s="62"/>
      <c r="J32" s="62">
        <f>E32*50%</f>
        <v>9389.65</v>
      </c>
      <c r="K32" s="36">
        <f>E32*350%</f>
        <v>65727.55</v>
      </c>
      <c r="L32" s="62">
        <f>E32*100%</f>
        <v>18779.3</v>
      </c>
      <c r="M32" s="27"/>
      <c r="N32" s="27">
        <f>60000</f>
        <v>60000</v>
      </c>
      <c r="O32" s="62">
        <f>E32*10%</f>
        <v>1877.93</v>
      </c>
      <c r="P32" s="62">
        <v>10000</v>
      </c>
      <c r="Q32" s="62"/>
      <c r="R32" s="36">
        <f t="shared" si="1"/>
        <v>242300.07749999998</v>
      </c>
      <c r="S32" s="36"/>
      <c r="T32" s="36">
        <f>20000</f>
        <v>20000</v>
      </c>
      <c r="U32" s="36">
        <f>87500+43750</f>
        <v>131250</v>
      </c>
      <c r="V32" s="36"/>
      <c r="W32" s="62">
        <v>3369.51</v>
      </c>
      <c r="X32" s="36">
        <f t="shared" si="2"/>
        <v>154619.51</v>
      </c>
      <c r="Y32" s="36">
        <v>87680.567499999976</v>
      </c>
      <c r="Z32" s="36">
        <f>R32-X32</f>
        <v>87680.567499999976</v>
      </c>
      <c r="AA32" s="34"/>
    </row>
    <row r="33" spans="1:27" ht="18.75" customHeight="1">
      <c r="A33" s="3">
        <v>25</v>
      </c>
      <c r="B33" s="214" t="s">
        <v>101</v>
      </c>
      <c r="C33" s="33" t="s">
        <v>102</v>
      </c>
      <c r="D33" s="66" t="s">
        <v>103</v>
      </c>
      <c r="E33" s="26">
        <v>18281.64</v>
      </c>
      <c r="F33" s="26"/>
      <c r="G33" s="26">
        <f>E33*300%</f>
        <v>54844.92</v>
      </c>
      <c r="H33" s="26">
        <f>E33*7.5%</f>
        <v>1371.1229999999998</v>
      </c>
      <c r="I33" s="26"/>
      <c r="J33" s="26">
        <f>E33*50%</f>
        <v>9140.82</v>
      </c>
      <c r="K33" s="26">
        <f>E33*350%</f>
        <v>63985.74</v>
      </c>
      <c r="L33" s="26">
        <f>E33*100%</f>
        <v>18281.64</v>
      </c>
      <c r="M33" s="27"/>
      <c r="N33" s="27">
        <v>60000</v>
      </c>
      <c r="O33" s="26">
        <f>E33*10%</f>
        <v>1828.164</v>
      </c>
      <c r="P33" s="26">
        <v>10000</v>
      </c>
      <c r="Q33" s="26"/>
      <c r="R33" s="36">
        <f t="shared" si="1"/>
        <v>237734.04700000002</v>
      </c>
      <c r="S33" s="36"/>
      <c r="T33" s="36">
        <f>30000</f>
        <v>30000</v>
      </c>
      <c r="U33" s="36"/>
      <c r="V33" s="36">
        <f>0</f>
        <v>0</v>
      </c>
      <c r="W33" s="62">
        <v>3369.51</v>
      </c>
      <c r="X33" s="36">
        <f t="shared" si="2"/>
        <v>33369.51</v>
      </c>
      <c r="Y33" s="36">
        <v>204364.53700000001</v>
      </c>
      <c r="Z33" s="36">
        <f>R33-X33</f>
        <v>204364.53700000001</v>
      </c>
      <c r="AA33" s="34"/>
    </row>
    <row r="34" spans="1:27" ht="18.75" customHeight="1">
      <c r="A34" s="3">
        <v>26</v>
      </c>
      <c r="B34" s="223" t="s">
        <v>104</v>
      </c>
      <c r="C34" s="61" t="s">
        <v>105</v>
      </c>
      <c r="D34" s="66" t="s">
        <v>106</v>
      </c>
      <c r="E34" s="67">
        <v>13492.21</v>
      </c>
      <c r="F34" s="62"/>
      <c r="G34" s="62">
        <f t="shared" ref="G34:G35" si="21">E34*300%</f>
        <v>40476.629999999997</v>
      </c>
      <c r="H34" s="62">
        <f t="shared" ref="H34:H35" si="22">E34*7.5%</f>
        <v>1011.9157499999999</v>
      </c>
      <c r="I34" s="62"/>
      <c r="J34" s="62">
        <f t="shared" ref="J34:J35" si="23">E34*50%</f>
        <v>6746.1049999999996</v>
      </c>
      <c r="K34" s="36">
        <f t="shared" ref="K34:K35" si="24">E34*350%</f>
        <v>47222.735000000001</v>
      </c>
      <c r="L34" s="62">
        <f t="shared" ref="L34" si="25">E34*100%</f>
        <v>13492.21</v>
      </c>
      <c r="M34" s="27"/>
      <c r="N34" s="27">
        <f>50000</f>
        <v>50000</v>
      </c>
      <c r="O34" s="62">
        <f t="shared" ref="O34" si="26">E34*10%</f>
        <v>1349.221</v>
      </c>
      <c r="P34" s="62">
        <v>10000</v>
      </c>
      <c r="Q34" s="62"/>
      <c r="R34" s="36">
        <f t="shared" ref="R34:R35" si="27">SUM(E34:Q34)</f>
        <v>183791.02674999999</v>
      </c>
      <c r="S34" s="36"/>
      <c r="T34" s="36">
        <f>10000</f>
        <v>10000</v>
      </c>
      <c r="U34" s="36"/>
      <c r="V34" s="36"/>
      <c r="W34" s="62">
        <v>1484.37</v>
      </c>
      <c r="X34" s="36">
        <f t="shared" si="2"/>
        <v>11484.369999999999</v>
      </c>
      <c r="Y34" s="36">
        <v>172306.65674999999</v>
      </c>
      <c r="Z34" s="36">
        <f t="shared" ref="Z34:Z35" si="28">R34-X34</f>
        <v>172306.65674999999</v>
      </c>
      <c r="AA34" s="34"/>
    </row>
    <row r="35" spans="1:27" ht="18.75" customHeight="1">
      <c r="A35" s="3">
        <v>27</v>
      </c>
      <c r="B35" s="214" t="s">
        <v>107</v>
      </c>
      <c r="C35" s="61" t="s">
        <v>105</v>
      </c>
      <c r="D35" s="66" t="s">
        <v>108</v>
      </c>
      <c r="E35" s="67">
        <v>13112.16</v>
      </c>
      <c r="F35" s="62"/>
      <c r="G35" s="62">
        <f t="shared" si="21"/>
        <v>39336.479999999996</v>
      </c>
      <c r="H35" s="62">
        <f t="shared" si="22"/>
        <v>983.41199999999992</v>
      </c>
      <c r="I35" s="62"/>
      <c r="J35" s="62">
        <f t="shared" si="23"/>
        <v>6556.08</v>
      </c>
      <c r="K35" s="36">
        <f t="shared" si="24"/>
        <v>45892.56</v>
      </c>
      <c r="L35" s="62">
        <f>E35*100%</f>
        <v>13112.16</v>
      </c>
      <c r="M35" s="27"/>
      <c r="N35" s="27">
        <f>50000</f>
        <v>50000</v>
      </c>
      <c r="O35" s="62">
        <f>E35*10%</f>
        <v>1311.2160000000001</v>
      </c>
      <c r="P35" s="62">
        <v>10000</v>
      </c>
      <c r="R35" s="62">
        <f t="shared" si="27"/>
        <v>180304.068</v>
      </c>
      <c r="S35" s="62"/>
      <c r="T35" s="36">
        <f>20000</f>
        <v>20000</v>
      </c>
      <c r="U35" s="36"/>
      <c r="V35" s="36"/>
      <c r="W35" s="62">
        <f>(1484.37)</f>
        <v>1484.37</v>
      </c>
      <c r="X35" s="36">
        <f t="shared" si="2"/>
        <v>21484.37</v>
      </c>
      <c r="Y35" s="36">
        <v>158819.698</v>
      </c>
      <c r="Z35" s="36">
        <f t="shared" si="28"/>
        <v>158819.698</v>
      </c>
      <c r="AA35" s="34"/>
    </row>
    <row r="36" spans="1:27" ht="18.75" customHeight="1">
      <c r="A36" s="3">
        <v>28</v>
      </c>
      <c r="B36" s="225" t="s">
        <v>109</v>
      </c>
      <c r="C36" s="47" t="s">
        <v>110</v>
      </c>
      <c r="D36" s="66" t="s">
        <v>111</v>
      </c>
      <c r="E36" s="26">
        <v>13112.16</v>
      </c>
      <c r="F36" s="26"/>
      <c r="G36" s="26">
        <f>E36*300%</f>
        <v>39336.479999999996</v>
      </c>
      <c r="H36" s="26">
        <f>E36*7.5%</f>
        <v>983.41199999999992</v>
      </c>
      <c r="I36" s="26"/>
      <c r="J36" s="26">
        <f>E36*50%</f>
        <v>6556.08</v>
      </c>
      <c r="K36" s="26">
        <f>E36*350%</f>
        <v>45892.56</v>
      </c>
      <c r="L36" s="26">
        <f>E36*100%</f>
        <v>13112.16</v>
      </c>
      <c r="M36" s="27"/>
      <c r="N36" s="27">
        <f>50000</f>
        <v>50000</v>
      </c>
      <c r="O36" s="26">
        <f>E36*10%</f>
        <v>1311.2160000000001</v>
      </c>
      <c r="P36" s="26">
        <v>10000</v>
      </c>
      <c r="Q36" s="26"/>
      <c r="R36" s="36">
        <f t="shared" si="1"/>
        <v>180304.068</v>
      </c>
      <c r="S36" s="36"/>
      <c r="T36" s="36">
        <f>50000</f>
        <v>50000</v>
      </c>
      <c r="U36" s="36">
        <f>17166.67</f>
        <v>17166.669999999998</v>
      </c>
      <c r="V36" s="36">
        <f>0</f>
        <v>0</v>
      </c>
      <c r="W36" s="27">
        <f t="shared" ref="W36:W38" si="29">1484.37</f>
        <v>1484.37</v>
      </c>
      <c r="X36" s="36">
        <f t="shared" si="2"/>
        <v>68651.039999999994</v>
      </c>
      <c r="Y36" s="36">
        <v>111653.02800000001</v>
      </c>
      <c r="Z36" s="36">
        <f>R36-X36</f>
        <v>111653.02800000001</v>
      </c>
      <c r="AA36" s="34"/>
    </row>
    <row r="37" spans="1:27" ht="18.75" customHeight="1">
      <c r="A37" s="3">
        <v>29</v>
      </c>
      <c r="B37" s="215" t="s">
        <v>112</v>
      </c>
      <c r="C37" s="47" t="s">
        <v>113</v>
      </c>
      <c r="D37" s="66" t="s">
        <v>93</v>
      </c>
      <c r="E37" s="26">
        <v>12351.94</v>
      </c>
      <c r="F37" s="26"/>
      <c r="G37" s="26">
        <f>E37*300%</f>
        <v>37055.82</v>
      </c>
      <c r="H37" s="26">
        <f>E37*7.5%</f>
        <v>926.39549999999997</v>
      </c>
      <c r="I37" s="26"/>
      <c r="J37" s="26">
        <f>E37*50%</f>
        <v>6175.97</v>
      </c>
      <c r="K37" s="26">
        <f>E37*350%</f>
        <v>43231.79</v>
      </c>
      <c r="L37" s="26">
        <f>E37*100%</f>
        <v>12351.94</v>
      </c>
      <c r="M37" s="27"/>
      <c r="N37" s="27">
        <f>50000</f>
        <v>50000</v>
      </c>
      <c r="O37" s="26">
        <f>E37*10%</f>
        <v>1235.1940000000002</v>
      </c>
      <c r="P37" s="26">
        <v>10000</v>
      </c>
      <c r="Q37" s="26"/>
      <c r="R37" s="36">
        <f t="shared" si="1"/>
        <v>173329.04949999999</v>
      </c>
      <c r="S37" s="36"/>
      <c r="T37" s="36">
        <f>50000</f>
        <v>50000</v>
      </c>
      <c r="U37" s="36"/>
      <c r="V37" s="36">
        <f>0</f>
        <v>0</v>
      </c>
      <c r="W37" s="27">
        <f t="shared" si="29"/>
        <v>1484.37</v>
      </c>
      <c r="X37" s="36">
        <f t="shared" si="2"/>
        <v>51484.37</v>
      </c>
      <c r="Y37" s="36">
        <v>121844.6795</v>
      </c>
      <c r="Z37" s="36">
        <f>R37-X37</f>
        <v>121844.6795</v>
      </c>
      <c r="AA37" s="34"/>
    </row>
    <row r="38" spans="1:27" ht="18.75" customHeight="1">
      <c r="A38" s="3">
        <v>30</v>
      </c>
      <c r="B38" s="215" t="s">
        <v>114</v>
      </c>
      <c r="C38" s="47" t="s">
        <v>113</v>
      </c>
      <c r="D38" s="66" t="s">
        <v>93</v>
      </c>
      <c r="E38" s="26">
        <v>12351.94</v>
      </c>
      <c r="F38" s="26"/>
      <c r="G38" s="26">
        <f>E38*300%</f>
        <v>37055.82</v>
      </c>
      <c r="H38" s="26">
        <f>E38*7.5%</f>
        <v>926.39549999999997</v>
      </c>
      <c r="I38" s="26"/>
      <c r="J38" s="26">
        <f>E38*50%</f>
        <v>6175.97</v>
      </c>
      <c r="K38" s="26">
        <f>E38*350%</f>
        <v>43231.79</v>
      </c>
      <c r="L38" s="26">
        <f>E38*100%</f>
        <v>12351.94</v>
      </c>
      <c r="M38" s="27"/>
      <c r="N38" s="27">
        <f>50000</f>
        <v>50000</v>
      </c>
      <c r="O38" s="26">
        <f>E38*10%</f>
        <v>1235.1940000000002</v>
      </c>
      <c r="P38" s="26">
        <v>10000</v>
      </c>
      <c r="Q38" s="26"/>
      <c r="R38" s="36">
        <f t="shared" si="1"/>
        <v>173329.04949999999</v>
      </c>
      <c r="S38" s="36"/>
      <c r="T38" s="36"/>
      <c r="U38" s="36"/>
      <c r="V38" s="36">
        <f>0</f>
        <v>0</v>
      </c>
      <c r="W38" s="27">
        <f t="shared" si="29"/>
        <v>1484.37</v>
      </c>
      <c r="X38" s="36">
        <f t="shared" si="2"/>
        <v>1484.37</v>
      </c>
      <c r="Y38" s="36">
        <v>171844.6795</v>
      </c>
      <c r="Z38" s="36">
        <f>R38-X38</f>
        <v>171844.6795</v>
      </c>
      <c r="AA38" s="34"/>
    </row>
    <row r="39" spans="1:27" ht="18.75" customHeight="1">
      <c r="A39" s="3"/>
      <c r="B39" s="228" t="s">
        <v>34</v>
      </c>
      <c r="C39" s="7">
        <v>30</v>
      </c>
      <c r="D39" s="66"/>
      <c r="E39" s="68">
        <f>SUM(E9:E38)</f>
        <v>934067.33000000007</v>
      </c>
      <c r="F39" s="68"/>
      <c r="G39" s="68">
        <f t="shared" ref="G39:R39" si="30">SUM(G9:G38)</f>
        <v>2641713.2399999988</v>
      </c>
      <c r="H39" s="68">
        <f t="shared" si="30"/>
        <v>106165.02349999997</v>
      </c>
      <c r="I39" s="68">
        <f t="shared" si="30"/>
        <v>521588.47000000003</v>
      </c>
      <c r="J39" s="68">
        <f t="shared" si="30"/>
        <v>459009.23000000004</v>
      </c>
      <c r="K39" s="68">
        <f t="shared" si="30"/>
        <v>2707525.03</v>
      </c>
      <c r="L39" s="68">
        <f t="shared" si="30"/>
        <v>893945.15</v>
      </c>
      <c r="M39" s="134">
        <f t="shared" si="30"/>
        <v>1170000</v>
      </c>
      <c r="N39" s="134">
        <f t="shared" si="30"/>
        <v>1510000</v>
      </c>
      <c r="O39" s="68">
        <f t="shared" si="30"/>
        <v>93406.738000000012</v>
      </c>
      <c r="P39" s="68">
        <f t="shared" si="30"/>
        <v>460000</v>
      </c>
      <c r="Q39" s="68">
        <f t="shared" si="30"/>
        <v>875235</v>
      </c>
      <c r="R39" s="68">
        <f t="shared" si="30"/>
        <v>12372655.211500002</v>
      </c>
      <c r="S39" s="68"/>
      <c r="T39" s="68">
        <f>SUM(T9:T38)</f>
        <v>872000</v>
      </c>
      <c r="U39" s="68">
        <f>SUM(U9:U38)</f>
        <v>1243037.3199999998</v>
      </c>
      <c r="V39" s="68">
        <f>SUM(V9:V38)</f>
        <v>8824.937249999999</v>
      </c>
      <c r="W39" s="68">
        <f>SUM(W9:W38)</f>
        <v>409488.93000000011</v>
      </c>
      <c r="X39" s="68">
        <f>SUM(X9:X38)</f>
        <v>2533351.1872500004</v>
      </c>
      <c r="Y39" s="68">
        <v>9843312.195000004</v>
      </c>
      <c r="Z39" s="68">
        <f>SUM(Z9:Z38)</f>
        <v>9839304.0242500026</v>
      </c>
      <c r="AA39" s="34"/>
    </row>
    <row r="40" spans="1:27" ht="18.75" customHeight="1">
      <c r="A40" s="3"/>
      <c r="B40" s="216"/>
      <c r="C40" s="33"/>
      <c r="D40" s="66"/>
      <c r="E40" s="68"/>
      <c r="F40" s="68"/>
      <c r="G40" s="68"/>
      <c r="H40" s="68"/>
      <c r="I40" s="68"/>
      <c r="J40" s="68"/>
      <c r="K40" s="68"/>
      <c r="L40" s="68"/>
      <c r="M40" s="27"/>
      <c r="N40" s="27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7" ht="18.75" customHeight="1">
      <c r="A41" s="3"/>
      <c r="B41" s="228" t="s">
        <v>115</v>
      </c>
      <c r="C41" s="33"/>
      <c r="D41" s="66"/>
      <c r="E41" s="62"/>
      <c r="F41" s="62"/>
      <c r="G41" s="62"/>
      <c r="H41" s="62"/>
      <c r="I41" s="62"/>
      <c r="J41" s="62"/>
      <c r="K41" s="36"/>
      <c r="L41" s="62"/>
      <c r="M41" s="27"/>
      <c r="N41" s="27"/>
      <c r="O41" s="62"/>
      <c r="P41" s="62"/>
      <c r="Q41" s="62"/>
      <c r="R41" s="36"/>
      <c r="S41" s="36"/>
      <c r="T41" s="36"/>
      <c r="U41" s="36"/>
      <c r="V41" s="36"/>
      <c r="W41" s="62"/>
      <c r="X41" s="36"/>
      <c r="Y41" s="36"/>
      <c r="Z41" s="36"/>
    </row>
    <row r="42" spans="1:27" ht="18.75" customHeight="1">
      <c r="A42" s="3">
        <v>1</v>
      </c>
      <c r="B42" s="214" t="s">
        <v>116</v>
      </c>
      <c r="C42" s="33" t="s">
        <v>117</v>
      </c>
      <c r="D42" s="3" t="s">
        <v>118</v>
      </c>
      <c r="E42" s="62">
        <v>79039.64</v>
      </c>
      <c r="F42" s="62"/>
      <c r="G42" s="62">
        <f>E42*300%</f>
        <v>237118.91999999998</v>
      </c>
      <c r="H42" s="62">
        <f>E42*7.5%</f>
        <v>5927.973</v>
      </c>
      <c r="I42" s="62">
        <v>80244.38</v>
      </c>
      <c r="J42" s="62">
        <f>E42*50%</f>
        <v>39519.82</v>
      </c>
      <c r="K42" s="62">
        <f>E42*350%</f>
        <v>276638.74</v>
      </c>
      <c r="L42" s="62">
        <f t="shared" ref="L42:L43" si="31">E42*100%</f>
        <v>79039.64</v>
      </c>
      <c r="M42" s="27"/>
      <c r="N42" s="27">
        <f>100000</f>
        <v>100000</v>
      </c>
      <c r="O42" s="62">
        <f t="shared" ref="O42:O43" si="32">E42*10%</f>
        <v>7903.9639999999999</v>
      </c>
      <c r="P42" s="62">
        <v>20000</v>
      </c>
      <c r="Q42" s="62"/>
      <c r="R42" s="36">
        <f>SUM(E42:Q42)</f>
        <v>925433.07700000005</v>
      </c>
      <c r="S42" s="36"/>
      <c r="T42" s="36">
        <f>100000</f>
        <v>100000</v>
      </c>
      <c r="U42" s="36"/>
      <c r="V42" s="36"/>
      <c r="W42" s="62">
        <f>(52776.63)</f>
        <v>52776.63</v>
      </c>
      <c r="X42" s="36">
        <f>W42+V42+U42+T42+S42</f>
        <v>152776.63</v>
      </c>
      <c r="Y42" s="36">
        <v>772656.44700000004</v>
      </c>
      <c r="Z42" s="36">
        <f t="shared" ref="Z42:Z43" si="33">R42-X42</f>
        <v>772656.44700000004</v>
      </c>
    </row>
    <row r="43" spans="1:27" ht="18.75" customHeight="1">
      <c r="A43" s="3">
        <v>2</v>
      </c>
      <c r="B43" s="214" t="s">
        <v>119</v>
      </c>
      <c r="C43" s="33" t="s">
        <v>120</v>
      </c>
      <c r="D43" s="3" t="s">
        <v>93</v>
      </c>
      <c r="E43" s="26">
        <v>12351.94</v>
      </c>
      <c r="F43" s="26"/>
      <c r="G43" s="26">
        <f t="shared" ref="G43" si="34">E43*300%</f>
        <v>37055.82</v>
      </c>
      <c r="H43" s="26">
        <f t="shared" ref="H43" si="35">E43*7.5%</f>
        <v>926.39549999999997</v>
      </c>
      <c r="I43" s="26"/>
      <c r="J43" s="26">
        <f t="shared" ref="J43" si="36">E43*50%</f>
        <v>6175.97</v>
      </c>
      <c r="K43" s="26">
        <f t="shared" ref="K43" si="37">E43*350%</f>
        <v>43231.79</v>
      </c>
      <c r="L43" s="26">
        <f t="shared" si="31"/>
        <v>12351.94</v>
      </c>
      <c r="M43" s="27"/>
      <c r="N43" s="27">
        <f>50000</f>
        <v>50000</v>
      </c>
      <c r="O43" s="26">
        <f t="shared" si="32"/>
        <v>1235.1940000000002</v>
      </c>
      <c r="P43" s="26">
        <v>10000</v>
      </c>
      <c r="Q43" s="26"/>
      <c r="R43" s="36">
        <f>(Q43+P43+O43+N43+M43+L43+K43+J43+I43+H43+G43+F43+E43)*12/30</f>
        <v>69331.6198</v>
      </c>
      <c r="S43" s="36"/>
      <c r="T43" s="36"/>
      <c r="U43" s="36"/>
      <c r="V43" s="36">
        <f>0</f>
        <v>0</v>
      </c>
      <c r="W43" s="62">
        <v>1484.37</v>
      </c>
      <c r="X43" s="36">
        <f t="shared" ref="X43" si="38">W43+V43+U43+T43+S43</f>
        <v>1484.37</v>
      </c>
      <c r="Y43" s="36"/>
      <c r="Z43" s="36">
        <f t="shared" si="33"/>
        <v>67847.249800000005</v>
      </c>
    </row>
    <row r="44" spans="1:27" ht="19.5" customHeight="1">
      <c r="A44" s="3"/>
      <c r="B44" s="217"/>
      <c r="C44" s="7">
        <v>2</v>
      </c>
      <c r="D44" s="3"/>
      <c r="E44" s="68">
        <f>SUM(E42:E43)</f>
        <v>91391.58</v>
      </c>
      <c r="F44" s="68"/>
      <c r="G44" s="68">
        <f t="shared" ref="G44:L44" si="39">SUM(G42:G43)</f>
        <v>274174.74</v>
      </c>
      <c r="H44" s="68">
        <f t="shared" si="39"/>
        <v>6854.3684999999996</v>
      </c>
      <c r="I44" s="68">
        <f t="shared" si="39"/>
        <v>80244.38</v>
      </c>
      <c r="J44" s="68">
        <f t="shared" si="39"/>
        <v>45695.79</v>
      </c>
      <c r="K44" s="68">
        <f t="shared" si="39"/>
        <v>319870.52999999997</v>
      </c>
      <c r="L44" s="68">
        <f t="shared" si="39"/>
        <v>91391.58</v>
      </c>
      <c r="M44" s="134"/>
      <c r="N44" s="134">
        <f>SUM(N42:N43)</f>
        <v>150000</v>
      </c>
      <c r="O44" s="68">
        <f>SUM(O42:O43)</f>
        <v>9139.1579999999994</v>
      </c>
      <c r="P44" s="68">
        <f>SUM(P42:P43)</f>
        <v>30000</v>
      </c>
      <c r="Q44" s="68"/>
      <c r="R44" s="68">
        <f>SUM(R42:R43)</f>
        <v>994764.69680000003</v>
      </c>
      <c r="S44" s="68"/>
      <c r="T44" s="68">
        <f>SUM(T42:T43)</f>
        <v>100000</v>
      </c>
      <c r="U44" s="68"/>
      <c r="V44" s="68">
        <f>SUM(V42:V43)</f>
        <v>0</v>
      </c>
      <c r="W44" s="68">
        <f>SUM(W42:W43)</f>
        <v>54261</v>
      </c>
      <c r="X44" s="68">
        <f>SUM(X42:X43)</f>
        <v>154261</v>
      </c>
      <c r="Y44" s="68">
        <f>SUM(Y42:Y43)</f>
        <v>772656.44700000004</v>
      </c>
      <c r="Z44" s="68">
        <f>SUM(Z42:Z43)</f>
        <v>840503.69680000003</v>
      </c>
      <c r="AA44" s="107"/>
    </row>
    <row r="45" spans="1:27" ht="20.100000000000001" customHeight="1">
      <c r="A45" s="3"/>
      <c r="B45" s="224"/>
      <c r="C45" s="33"/>
      <c r="D45" s="3"/>
      <c r="E45" s="68"/>
      <c r="F45" s="68"/>
      <c r="G45" s="68"/>
      <c r="H45" s="68"/>
      <c r="I45" s="68"/>
      <c r="J45" s="68"/>
      <c r="K45" s="68"/>
      <c r="L45" s="68"/>
      <c r="M45" s="27"/>
      <c r="N45" s="27"/>
      <c r="O45" s="68"/>
      <c r="P45" s="68"/>
      <c r="Q45" s="68"/>
      <c r="R45" s="68"/>
      <c r="S45" s="68"/>
      <c r="T45" s="68"/>
      <c r="U45" s="68"/>
      <c r="V45" s="68"/>
      <c r="W45" s="68"/>
      <c r="X45" s="36"/>
      <c r="Y45" s="36"/>
      <c r="Z45" s="36"/>
    </row>
    <row r="46" spans="1:27" ht="20.100000000000001" customHeight="1">
      <c r="A46" s="3"/>
      <c r="B46" s="229" t="s">
        <v>121</v>
      </c>
      <c r="C46" s="50"/>
      <c r="D46" s="2"/>
      <c r="E46" s="68"/>
      <c r="F46" s="68"/>
      <c r="G46" s="68"/>
      <c r="H46" s="36"/>
      <c r="I46" s="36"/>
      <c r="J46" s="36"/>
      <c r="K46" s="36"/>
      <c r="L46" s="36"/>
      <c r="M46" s="27"/>
      <c r="N46" s="27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7" ht="20.100000000000001" customHeight="1">
      <c r="A47" s="3">
        <v>1</v>
      </c>
      <c r="B47" s="223" t="s">
        <v>122</v>
      </c>
      <c r="C47" s="33" t="s">
        <v>123</v>
      </c>
      <c r="D47" s="3" t="s">
        <v>43</v>
      </c>
      <c r="E47" s="62">
        <v>81740.02</v>
      </c>
      <c r="F47" s="62"/>
      <c r="G47" s="62">
        <f>E47*300%</f>
        <v>245220.06</v>
      </c>
      <c r="H47" s="62">
        <f>E47*7.5%</f>
        <v>6130.5015000000003</v>
      </c>
      <c r="I47" s="62">
        <v>80244.38</v>
      </c>
      <c r="J47" s="62">
        <f>E47*50%</f>
        <v>40870.01</v>
      </c>
      <c r="K47" s="62">
        <f>E47*350%</f>
        <v>286090.07</v>
      </c>
      <c r="L47" s="62">
        <f t="shared" ref="L47:L56" si="40">E47*100%</f>
        <v>81740.02</v>
      </c>
      <c r="M47" s="27">
        <f>200000</f>
        <v>200000</v>
      </c>
      <c r="N47" s="27"/>
      <c r="O47" s="62">
        <f t="shared" ref="O47:O56" si="41">E47*10%</f>
        <v>8174.0020000000004</v>
      </c>
      <c r="P47" s="62">
        <v>20000</v>
      </c>
      <c r="Q47" s="62"/>
      <c r="R47" s="36">
        <f t="shared" ref="R47:R55" si="42">SUM(E47:Q47)</f>
        <v>1050209.0635000002</v>
      </c>
      <c r="S47" s="36"/>
      <c r="T47" s="36">
        <f>200000</f>
        <v>200000</v>
      </c>
      <c r="U47" s="36">
        <f>52500*2</f>
        <v>105000</v>
      </c>
      <c r="V47" s="36"/>
      <c r="W47" s="62">
        <f>52776.63</f>
        <v>52776.63</v>
      </c>
      <c r="X47" s="36">
        <f>W47+V47+U47+T47+S47</f>
        <v>357776.63</v>
      </c>
      <c r="Y47" s="36">
        <v>692432.43350000016</v>
      </c>
      <c r="Z47" s="36">
        <f t="shared" ref="Z47:Z55" si="43">R47-X47</f>
        <v>692432.43350000016</v>
      </c>
    </row>
    <row r="48" spans="1:27" ht="20.100000000000001" customHeight="1">
      <c r="A48" s="3">
        <v>2</v>
      </c>
      <c r="B48" s="223" t="s">
        <v>124</v>
      </c>
      <c r="C48" s="33" t="s">
        <v>125</v>
      </c>
      <c r="D48" s="3" t="s">
        <v>54</v>
      </c>
      <c r="E48" s="62">
        <v>33507.5</v>
      </c>
      <c r="F48" s="62"/>
      <c r="G48" s="62">
        <f>E48*300%</f>
        <v>100522.5</v>
      </c>
      <c r="H48" s="62">
        <f>E48*7.5%</f>
        <v>2513.0625</v>
      </c>
      <c r="I48" s="62">
        <v>40122.19</v>
      </c>
      <c r="J48" s="62">
        <f>E48*50%</f>
        <v>16753.75</v>
      </c>
      <c r="K48" s="62">
        <f>E48*350%</f>
        <v>117276.25</v>
      </c>
      <c r="L48" s="62">
        <f>E48*100%</f>
        <v>33507.5</v>
      </c>
      <c r="M48" s="27">
        <f>160000</f>
        <v>160000</v>
      </c>
      <c r="N48" s="27"/>
      <c r="O48" s="62">
        <f>E48*10%</f>
        <v>3350.75</v>
      </c>
      <c r="P48" s="62">
        <v>20000</v>
      </c>
      <c r="Q48" s="62">
        <v>0</v>
      </c>
      <c r="R48" s="36">
        <f>SUM(E48:Q48)</f>
        <v>527553.50249999994</v>
      </c>
      <c r="S48" s="36"/>
      <c r="T48" s="36">
        <v>50000</v>
      </c>
      <c r="U48" s="36">
        <f>0</f>
        <v>0</v>
      </c>
      <c r="V48" s="36"/>
      <c r="W48" s="62">
        <v>15548.33</v>
      </c>
      <c r="X48" s="36">
        <f t="shared" ref="X48:X55" si="44">W48+V48+U48+T48+S48</f>
        <v>65548.33</v>
      </c>
      <c r="Y48" s="36">
        <v>462005.17249999993</v>
      </c>
      <c r="Z48" s="36">
        <f>R48-X48</f>
        <v>462005.17249999993</v>
      </c>
    </row>
    <row r="49" spans="1:27" ht="20.100000000000001" customHeight="1">
      <c r="A49" s="3">
        <v>3</v>
      </c>
      <c r="B49" s="223" t="s">
        <v>126</v>
      </c>
      <c r="C49" s="33" t="s">
        <v>127</v>
      </c>
      <c r="D49" s="3" t="s">
        <v>54</v>
      </c>
      <c r="E49" s="62">
        <v>33507.5</v>
      </c>
      <c r="F49" s="62"/>
      <c r="G49" s="62">
        <f>E49*300%</f>
        <v>100522.5</v>
      </c>
      <c r="H49" s="62">
        <f>E49*7.5%</f>
        <v>2513.0625</v>
      </c>
      <c r="I49" s="62">
        <v>40122.19</v>
      </c>
      <c r="J49" s="62">
        <f>E49*50%</f>
        <v>16753.75</v>
      </c>
      <c r="K49" s="62">
        <f>E49*350%</f>
        <v>117276.25</v>
      </c>
      <c r="L49" s="62">
        <f>E49*100%</f>
        <v>33507.5</v>
      </c>
      <c r="M49" s="27">
        <f>160000</f>
        <v>160000</v>
      </c>
      <c r="N49" s="27"/>
      <c r="O49" s="62">
        <f>E49*10%</f>
        <v>3350.75</v>
      </c>
      <c r="P49" s="62">
        <v>20000</v>
      </c>
      <c r="Q49" s="62"/>
      <c r="R49" s="36">
        <f>SUM(E49:Q49)</f>
        <v>527553.50249999994</v>
      </c>
      <c r="S49" s="36"/>
      <c r="T49" s="36">
        <f>80000+23000</f>
        <v>103000</v>
      </c>
      <c r="U49" s="36">
        <f>246905.96</f>
        <v>246905.96</v>
      </c>
      <c r="V49" s="36"/>
      <c r="W49" s="62">
        <v>15548.33</v>
      </c>
      <c r="X49" s="36">
        <f t="shared" si="44"/>
        <v>365454.29</v>
      </c>
      <c r="Y49" s="36">
        <v>162099.21249999997</v>
      </c>
      <c r="Z49" s="36">
        <f>R49-X49</f>
        <v>162099.21249999997</v>
      </c>
    </row>
    <row r="50" spans="1:27" ht="20.100000000000001" customHeight="1">
      <c r="A50" s="3">
        <v>4</v>
      </c>
      <c r="B50" s="223" t="s">
        <v>128</v>
      </c>
      <c r="C50" s="33" t="s">
        <v>127</v>
      </c>
      <c r="D50" s="3" t="s">
        <v>129</v>
      </c>
      <c r="E50" s="62">
        <v>32263.200000000001</v>
      </c>
      <c r="F50" s="62"/>
      <c r="G50" s="62">
        <f>E50*300%</f>
        <v>96789.6</v>
      </c>
      <c r="H50" s="62">
        <f>E50*7.5%</f>
        <v>2419.7399999999998</v>
      </c>
      <c r="I50" s="62">
        <v>40122.19</v>
      </c>
      <c r="J50" s="62">
        <f>E50*50%</f>
        <v>16131.6</v>
      </c>
      <c r="K50" s="62">
        <f>E50*350%</f>
        <v>112921.2</v>
      </c>
      <c r="L50" s="62">
        <f>E50*100%</f>
        <v>32263.200000000001</v>
      </c>
      <c r="M50" s="27">
        <f>160000</f>
        <v>160000</v>
      </c>
      <c r="N50" s="27"/>
      <c r="O50" s="62">
        <f>E50*10%</f>
        <v>3226.32</v>
      </c>
      <c r="P50" s="62">
        <v>20000</v>
      </c>
      <c r="Q50" s="62"/>
      <c r="R50" s="36">
        <f>SUM(E50:Q50)</f>
        <v>516137.05000000005</v>
      </c>
      <c r="S50" s="36"/>
      <c r="T50" s="36">
        <f>30000</f>
        <v>30000</v>
      </c>
      <c r="U50" s="36">
        <f>176288.88</f>
        <v>176288.88</v>
      </c>
      <c r="V50" s="36"/>
      <c r="W50" s="62">
        <f>15548.33</f>
        <v>15548.33</v>
      </c>
      <c r="X50" s="36">
        <f t="shared" si="44"/>
        <v>221837.21</v>
      </c>
      <c r="Y50" s="36">
        <v>294299.84000000008</v>
      </c>
      <c r="Z50" s="36">
        <f>R50-X50</f>
        <v>294299.84000000008</v>
      </c>
    </row>
    <row r="51" spans="1:27" ht="20.100000000000001" customHeight="1">
      <c r="A51" s="3">
        <v>5</v>
      </c>
      <c r="B51" s="223" t="s">
        <v>130</v>
      </c>
      <c r="C51" s="33" t="s">
        <v>131</v>
      </c>
      <c r="D51" s="3" t="s">
        <v>132</v>
      </c>
      <c r="E51" s="62">
        <v>28489.81</v>
      </c>
      <c r="F51" s="62"/>
      <c r="G51" s="62">
        <f t="shared" ref="G51:G56" si="45">E51*300%</f>
        <v>85469.430000000008</v>
      </c>
      <c r="H51" s="62">
        <f t="shared" ref="H51:H56" si="46">E51*7.5%</f>
        <v>2136.7357499999998</v>
      </c>
      <c r="I51" s="62">
        <v>0</v>
      </c>
      <c r="J51" s="62">
        <f t="shared" ref="J51:J56" si="47">E51*50%</f>
        <v>14244.905000000001</v>
      </c>
      <c r="K51" s="62">
        <f t="shared" ref="K51:K56" si="48">E51*350%</f>
        <v>99714.335000000006</v>
      </c>
      <c r="L51" s="62">
        <f t="shared" si="40"/>
        <v>28489.81</v>
      </c>
      <c r="M51" s="27">
        <f t="shared" ref="M51:M52" si="49">140000</f>
        <v>140000</v>
      </c>
      <c r="N51" s="27"/>
      <c r="O51" s="62">
        <f t="shared" si="41"/>
        <v>2848.9810000000002</v>
      </c>
      <c r="P51" s="62">
        <v>20000</v>
      </c>
      <c r="Q51" s="62">
        <v>0</v>
      </c>
      <c r="R51" s="36">
        <f t="shared" si="42"/>
        <v>421394.00675000006</v>
      </c>
      <c r="S51" s="36"/>
      <c r="T51" s="36"/>
      <c r="U51" s="36"/>
      <c r="V51" s="36">
        <f>'[2]April 2022'!$H$23</f>
        <v>712.24525000000006</v>
      </c>
      <c r="W51" s="62">
        <v>7709.76</v>
      </c>
      <c r="X51" s="36">
        <f t="shared" si="44"/>
        <v>8422.0052500000002</v>
      </c>
      <c r="Y51" s="36">
        <v>412972.00150000007</v>
      </c>
      <c r="Z51" s="36">
        <f t="shared" si="43"/>
        <v>412972.00150000007</v>
      </c>
    </row>
    <row r="52" spans="1:27" ht="20.100000000000001" customHeight="1">
      <c r="A52" s="3">
        <v>6</v>
      </c>
      <c r="B52" s="223" t="s">
        <v>133</v>
      </c>
      <c r="C52" s="33" t="s">
        <v>131</v>
      </c>
      <c r="D52" s="3" t="s">
        <v>66</v>
      </c>
      <c r="E52" s="62">
        <v>26732.65</v>
      </c>
      <c r="F52" s="62"/>
      <c r="G52" s="62">
        <f t="shared" si="45"/>
        <v>80197.950000000012</v>
      </c>
      <c r="H52" s="62">
        <f t="shared" si="46"/>
        <v>2004.94875</v>
      </c>
      <c r="I52" s="62"/>
      <c r="J52" s="62">
        <f t="shared" si="47"/>
        <v>13366.325000000001</v>
      </c>
      <c r="K52" s="62">
        <f t="shared" si="48"/>
        <v>93564.275000000009</v>
      </c>
      <c r="L52" s="62">
        <f t="shared" si="40"/>
        <v>26732.65</v>
      </c>
      <c r="M52" s="27">
        <f t="shared" si="49"/>
        <v>140000</v>
      </c>
      <c r="N52" s="27"/>
      <c r="O52" s="62">
        <f t="shared" si="41"/>
        <v>2673.2650000000003</v>
      </c>
      <c r="P52" s="62">
        <v>20000</v>
      </c>
      <c r="Q52" s="62"/>
      <c r="R52" s="36">
        <f t="shared" si="42"/>
        <v>405272.06374999997</v>
      </c>
      <c r="S52" s="36"/>
      <c r="T52" s="36">
        <f>15000</f>
        <v>15000</v>
      </c>
      <c r="U52" s="36">
        <f>133333.34</f>
        <v>133333.34</v>
      </c>
      <c r="V52" s="36"/>
      <c r="W52" s="62">
        <v>7709.76</v>
      </c>
      <c r="X52" s="36">
        <f t="shared" si="44"/>
        <v>156043.1</v>
      </c>
      <c r="Y52" s="36">
        <v>249228.96374999997</v>
      </c>
      <c r="Z52" s="36">
        <f t="shared" si="43"/>
        <v>249228.96374999997</v>
      </c>
    </row>
    <row r="53" spans="1:27" ht="20.100000000000001" customHeight="1">
      <c r="A53" s="3">
        <v>7</v>
      </c>
      <c r="B53" s="230" t="s">
        <v>134</v>
      </c>
      <c r="C53" s="33" t="s">
        <v>135</v>
      </c>
      <c r="D53" s="25" t="s">
        <v>66</v>
      </c>
      <c r="E53" s="26">
        <v>26732.65</v>
      </c>
      <c r="F53" s="26"/>
      <c r="G53" s="26">
        <f>E53*300%</f>
        <v>80197.950000000012</v>
      </c>
      <c r="H53" s="26">
        <f>E53*7.5%</f>
        <v>2004.94875</v>
      </c>
      <c r="I53" s="26"/>
      <c r="J53" s="26">
        <f>E53*50%</f>
        <v>13366.325000000001</v>
      </c>
      <c r="K53" s="26">
        <f>E53*350%</f>
        <v>93564.275000000009</v>
      </c>
      <c r="L53" s="26">
        <f>E53*100%</f>
        <v>26732.65</v>
      </c>
      <c r="M53" s="27">
        <f>140000</f>
        <v>140000</v>
      </c>
      <c r="N53" s="27"/>
      <c r="O53" s="26">
        <f>E53*10%</f>
        <v>2673.2650000000003</v>
      </c>
      <c r="P53" s="26">
        <v>20000</v>
      </c>
      <c r="Q53" s="26"/>
      <c r="R53" s="36">
        <f>SUM(E53:Q53)</f>
        <v>405272.06374999997</v>
      </c>
      <c r="S53" s="36"/>
      <c r="T53" s="24"/>
      <c r="U53" s="24"/>
      <c r="V53" s="24">
        <v>0</v>
      </c>
      <c r="W53" s="24">
        <v>7709.76</v>
      </c>
      <c r="X53" s="36">
        <f t="shared" si="44"/>
        <v>7709.76</v>
      </c>
      <c r="Y53" s="36">
        <v>397562.30374999996</v>
      </c>
      <c r="Z53" s="36">
        <f>R53-X53</f>
        <v>397562.30374999996</v>
      </c>
    </row>
    <row r="54" spans="1:27" ht="20.100000000000001" customHeight="1">
      <c r="A54" s="3">
        <v>8</v>
      </c>
      <c r="B54" s="223" t="s">
        <v>136</v>
      </c>
      <c r="C54" s="33" t="s">
        <v>137</v>
      </c>
      <c r="D54" s="3" t="s">
        <v>138</v>
      </c>
      <c r="E54" s="62">
        <v>25523.45</v>
      </c>
      <c r="F54" s="62"/>
      <c r="G54" s="62">
        <f t="shared" si="45"/>
        <v>76570.350000000006</v>
      </c>
      <c r="H54" s="62">
        <f t="shared" si="46"/>
        <v>1914.25875</v>
      </c>
      <c r="I54" s="62">
        <v>0</v>
      </c>
      <c r="J54" s="62">
        <f t="shared" si="47"/>
        <v>12761.725</v>
      </c>
      <c r="K54" s="62">
        <f t="shared" si="48"/>
        <v>89332.074999999997</v>
      </c>
      <c r="L54" s="62">
        <f t="shared" si="40"/>
        <v>25523.45</v>
      </c>
      <c r="M54" s="27">
        <f>120000</f>
        <v>120000</v>
      </c>
      <c r="N54" s="27"/>
      <c r="O54" s="62">
        <f t="shared" si="41"/>
        <v>2552.3450000000003</v>
      </c>
      <c r="P54" s="62">
        <v>15000</v>
      </c>
      <c r="Q54" s="62">
        <v>0</v>
      </c>
      <c r="R54" s="36">
        <f t="shared" si="42"/>
        <v>369177.65375</v>
      </c>
      <c r="S54" s="36"/>
      <c r="T54" s="36"/>
      <c r="U54" s="36"/>
      <c r="V54" s="36"/>
      <c r="W54" s="62">
        <v>7709.76</v>
      </c>
      <c r="X54" s="36">
        <f t="shared" si="44"/>
        <v>7709.76</v>
      </c>
      <c r="Y54" s="36">
        <v>361467.89374999999</v>
      </c>
      <c r="Z54" s="36">
        <f t="shared" si="43"/>
        <v>361467.89374999999</v>
      </c>
    </row>
    <row r="55" spans="1:27" ht="20.100000000000001" customHeight="1">
      <c r="A55" s="3">
        <v>9</v>
      </c>
      <c r="B55" s="225" t="s">
        <v>139</v>
      </c>
      <c r="C55" s="33" t="s">
        <v>140</v>
      </c>
      <c r="D55" s="29" t="s">
        <v>98</v>
      </c>
      <c r="E55" s="26">
        <v>24741.26</v>
      </c>
      <c r="F55" s="62"/>
      <c r="G55" s="26">
        <f t="shared" si="45"/>
        <v>74223.78</v>
      </c>
      <c r="H55" s="26">
        <f t="shared" si="46"/>
        <v>1855.5944999999997</v>
      </c>
      <c r="I55" s="26"/>
      <c r="J55" s="26">
        <f t="shared" si="47"/>
        <v>12370.63</v>
      </c>
      <c r="K55" s="26">
        <f t="shared" si="48"/>
        <v>86594.409999999989</v>
      </c>
      <c r="L55" s="26">
        <f t="shared" si="40"/>
        <v>24741.26</v>
      </c>
      <c r="M55" s="27">
        <f t="shared" ref="M55" si="50">120000</f>
        <v>120000</v>
      </c>
      <c r="N55" s="27"/>
      <c r="O55" s="26">
        <f t="shared" si="41"/>
        <v>2474.1260000000002</v>
      </c>
      <c r="P55" s="26">
        <v>15000</v>
      </c>
      <c r="Q55" s="26"/>
      <c r="R55" s="36">
        <f t="shared" si="42"/>
        <v>362001.06049999996</v>
      </c>
      <c r="S55" s="36"/>
      <c r="T55" s="24">
        <f>50000+10000</f>
        <v>60000</v>
      </c>
      <c r="U55" s="24">
        <f>91666.67</f>
        <v>91666.67</v>
      </c>
      <c r="V55" s="24">
        <f>'[2]April 2022'!$H$46</f>
        <v>618.53150000000005</v>
      </c>
      <c r="W55" s="26">
        <f>7709.76</f>
        <v>7709.76</v>
      </c>
      <c r="X55" s="36">
        <f t="shared" si="44"/>
        <v>159994.9615</v>
      </c>
      <c r="Y55" s="36">
        <v>202027.35249999998</v>
      </c>
      <c r="Z55" s="36">
        <f t="shared" si="43"/>
        <v>202006.09899999996</v>
      </c>
    </row>
    <row r="56" spans="1:27" ht="20.100000000000001" customHeight="1">
      <c r="A56" s="3">
        <v>10</v>
      </c>
      <c r="B56" s="225" t="s">
        <v>141</v>
      </c>
      <c r="C56" s="33" t="s">
        <v>142</v>
      </c>
      <c r="D56" s="3" t="s">
        <v>143</v>
      </c>
      <c r="E56" s="26">
        <f>14736.14</f>
        <v>14736.14</v>
      </c>
      <c r="F56" s="26"/>
      <c r="G56" s="26">
        <f t="shared" si="45"/>
        <v>44208.42</v>
      </c>
      <c r="H56" s="26">
        <f t="shared" si="46"/>
        <v>1105.2104999999999</v>
      </c>
      <c r="I56" s="26"/>
      <c r="J56" s="26">
        <f t="shared" si="47"/>
        <v>7368.07</v>
      </c>
      <c r="K56" s="26">
        <f t="shared" si="48"/>
        <v>51576.49</v>
      </c>
      <c r="L56" s="26">
        <f t="shared" si="40"/>
        <v>14736.14</v>
      </c>
      <c r="M56" s="27">
        <f>100000</f>
        <v>100000</v>
      </c>
      <c r="N56" s="27"/>
      <c r="O56" s="26">
        <f t="shared" si="41"/>
        <v>1473.614</v>
      </c>
      <c r="P56" s="26">
        <v>10000</v>
      </c>
      <c r="Q56" s="26"/>
      <c r="R56" s="36">
        <f>SUM(E56:Q56)*12/30</f>
        <v>98081.633799999996</v>
      </c>
      <c r="S56" s="36"/>
      <c r="T56" s="24"/>
      <c r="U56" s="24"/>
      <c r="V56" s="24"/>
      <c r="W56" s="26">
        <v>1484.37</v>
      </c>
      <c r="X56" s="36">
        <f>W56+V56+U56+T56</f>
        <v>1484.37</v>
      </c>
      <c r="Y56" s="36"/>
      <c r="Z56" s="36">
        <f>R56-X56</f>
        <v>96597.263800000001</v>
      </c>
    </row>
    <row r="57" spans="1:27" ht="20.100000000000001" customHeight="1">
      <c r="A57" s="3"/>
      <c r="B57" s="231" t="s">
        <v>34</v>
      </c>
      <c r="C57" s="30">
        <v>10</v>
      </c>
      <c r="D57" s="30"/>
      <c r="E57" s="92">
        <f t="shared" ref="E57:M57" si="51">SUM(E47:E56)</f>
        <v>327974.18000000005</v>
      </c>
      <c r="F57" s="92">
        <f t="shared" si="51"/>
        <v>0</v>
      </c>
      <c r="G57" s="92">
        <f t="shared" si="51"/>
        <v>983922.54</v>
      </c>
      <c r="H57" s="92">
        <f t="shared" si="51"/>
        <v>24598.0635</v>
      </c>
      <c r="I57" s="92">
        <f t="shared" si="51"/>
        <v>200610.95</v>
      </c>
      <c r="J57" s="92">
        <f t="shared" si="51"/>
        <v>163987.09000000003</v>
      </c>
      <c r="K57" s="92">
        <f t="shared" si="51"/>
        <v>1147909.6299999999</v>
      </c>
      <c r="L57" s="92">
        <f t="shared" si="51"/>
        <v>327974.18000000005</v>
      </c>
      <c r="M57" s="134">
        <f t="shared" si="51"/>
        <v>1440000</v>
      </c>
      <c r="N57" s="134"/>
      <c r="O57" s="92">
        <f>SUM(O47:O56)</f>
        <v>32797.417999999998</v>
      </c>
      <c r="P57" s="92">
        <f>SUM(P47:P56)</f>
        <v>180000</v>
      </c>
      <c r="Q57" s="92">
        <f>SUM(Q47:Q56)</f>
        <v>0</v>
      </c>
      <c r="R57" s="92">
        <f>SUM(R47:R56)</f>
        <v>4682651.6007999992</v>
      </c>
      <c r="S57" s="92"/>
      <c r="T57" s="92">
        <f t="shared" ref="T57:Z57" si="52">SUM(T47:T56)</f>
        <v>458000</v>
      </c>
      <c r="U57" s="92">
        <f t="shared" si="52"/>
        <v>753194.85</v>
      </c>
      <c r="V57" s="92">
        <f t="shared" si="52"/>
        <v>1330.77675</v>
      </c>
      <c r="W57" s="92">
        <f t="shared" si="52"/>
        <v>139454.78999999998</v>
      </c>
      <c r="X57" s="92">
        <f t="shared" si="52"/>
        <v>1351980.4167500001</v>
      </c>
      <c r="Y57" s="92">
        <f t="shared" si="52"/>
        <v>3234095.1737500001</v>
      </c>
      <c r="Z57" s="92">
        <f t="shared" si="52"/>
        <v>3330671.1840499998</v>
      </c>
      <c r="AA57" s="107"/>
    </row>
    <row r="58" spans="1:27" ht="20.100000000000001" customHeight="1">
      <c r="A58" s="3"/>
      <c r="B58" s="218"/>
      <c r="C58" s="30"/>
      <c r="D58" s="30"/>
      <c r="E58" s="31"/>
      <c r="F58" s="31"/>
      <c r="G58" s="31"/>
      <c r="H58" s="31"/>
      <c r="I58" s="31"/>
      <c r="J58" s="31"/>
      <c r="K58" s="31"/>
      <c r="L58" s="31"/>
      <c r="M58" s="27"/>
      <c r="N58" s="27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7" ht="20.100000000000001" customHeight="1">
      <c r="A59" s="3"/>
      <c r="B59" s="231" t="s">
        <v>144</v>
      </c>
      <c r="C59" s="30"/>
      <c r="D59" s="30"/>
      <c r="E59" s="31"/>
      <c r="F59" s="31"/>
      <c r="G59" s="31"/>
      <c r="H59" s="31"/>
      <c r="I59" s="31"/>
      <c r="J59" s="31"/>
      <c r="K59" s="31"/>
      <c r="L59" s="31"/>
      <c r="M59" s="27"/>
      <c r="N59" s="27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7" ht="20.100000000000001" customHeight="1">
      <c r="A60" s="3">
        <v>1</v>
      </c>
      <c r="B60" s="223" t="s">
        <v>145</v>
      </c>
      <c r="C60" s="61" t="s">
        <v>146</v>
      </c>
      <c r="D60" s="66" t="s">
        <v>43</v>
      </c>
      <c r="E60" s="62">
        <v>81740.02</v>
      </c>
      <c r="F60" s="62"/>
      <c r="G60" s="62">
        <f>E60*300%</f>
        <v>245220.06</v>
      </c>
      <c r="H60" s="62">
        <f>E60*7.5%</f>
        <v>6130.5015000000003</v>
      </c>
      <c r="I60" s="62">
        <v>80244.38</v>
      </c>
      <c r="J60" s="62">
        <f>E60*50%</f>
        <v>40870.01</v>
      </c>
      <c r="K60" s="62">
        <f>E60*350%</f>
        <v>286090.07</v>
      </c>
      <c r="L60" s="62">
        <f>E60*100%</f>
        <v>81740.02</v>
      </c>
      <c r="M60" s="27">
        <f>200000</f>
        <v>200000</v>
      </c>
      <c r="N60" s="27"/>
      <c r="O60" s="62">
        <f>E60*10%</f>
        <v>8174.0020000000004</v>
      </c>
      <c r="P60" s="62">
        <v>20000</v>
      </c>
      <c r="Q60" s="62">
        <v>0</v>
      </c>
      <c r="R60" s="36">
        <f>SUM(E60:Q60)</f>
        <v>1050209.0635000002</v>
      </c>
      <c r="S60" s="36"/>
      <c r="T60" s="36"/>
      <c r="U60" s="36"/>
      <c r="V60" s="36">
        <v>0</v>
      </c>
      <c r="W60" s="62">
        <v>52776.63</v>
      </c>
      <c r="X60" s="36">
        <f>W60+V60+U60+T60+S60</f>
        <v>52776.63</v>
      </c>
      <c r="Y60" s="36">
        <v>997432.43350000016</v>
      </c>
      <c r="Z60" s="36">
        <f>R60-X60</f>
        <v>997432.43350000016</v>
      </c>
    </row>
    <row r="61" spans="1:27" ht="20.100000000000001" customHeight="1">
      <c r="A61" s="3">
        <v>2</v>
      </c>
      <c r="B61" s="214" t="s">
        <v>147</v>
      </c>
      <c r="C61" s="61" t="s">
        <v>148</v>
      </c>
      <c r="D61" s="66" t="s">
        <v>149</v>
      </c>
      <c r="E61" s="36">
        <v>32263.200000000001</v>
      </c>
      <c r="F61" s="62"/>
      <c r="G61" s="62">
        <f t="shared" ref="G61" si="53">E61*300%</f>
        <v>96789.6</v>
      </c>
      <c r="H61" s="62">
        <f t="shared" ref="H61" si="54">E61*7.5%</f>
        <v>2419.7399999999998</v>
      </c>
      <c r="I61" s="62">
        <v>40122.19</v>
      </c>
      <c r="J61" s="62">
        <f t="shared" ref="J61" si="55">E61*50%</f>
        <v>16131.6</v>
      </c>
      <c r="K61" s="62">
        <f t="shared" ref="K61" si="56">E61*350%</f>
        <v>112921.2</v>
      </c>
      <c r="L61" s="62">
        <f t="shared" ref="L61" si="57">E61*100%</f>
        <v>32263.200000000001</v>
      </c>
      <c r="M61" s="27"/>
      <c r="N61" s="27">
        <f>80000</f>
        <v>80000</v>
      </c>
      <c r="O61" s="62">
        <f t="shared" ref="O61" si="58">E61*10%</f>
        <v>3226.32</v>
      </c>
      <c r="P61" s="62">
        <v>20000</v>
      </c>
      <c r="Q61" s="63">
        <v>0</v>
      </c>
      <c r="R61" s="36">
        <f t="shared" ref="R61" si="59">SUM(E61:Q61)</f>
        <v>436137.05000000005</v>
      </c>
      <c r="S61" s="36"/>
      <c r="T61" s="36">
        <f>50000</f>
        <v>50000</v>
      </c>
      <c r="U61" s="36">
        <f>95000</f>
        <v>95000</v>
      </c>
      <c r="V61" s="36">
        <v>0</v>
      </c>
      <c r="W61" s="62">
        <f>15548.33</f>
        <v>15548.33</v>
      </c>
      <c r="X61" s="36">
        <f>W61+V61+U61+T61+S61</f>
        <v>160548.33000000002</v>
      </c>
      <c r="Y61" s="36">
        <v>275588.72000000003</v>
      </c>
      <c r="Z61" s="36">
        <f>R61-X61</f>
        <v>275588.72000000003</v>
      </c>
    </row>
    <row r="62" spans="1:27" ht="20.100000000000001" customHeight="1">
      <c r="A62" s="3"/>
      <c r="B62" s="231" t="s">
        <v>34</v>
      </c>
      <c r="C62" s="30">
        <v>2</v>
      </c>
      <c r="D62" s="30"/>
      <c r="E62" s="92">
        <v>114003.22</v>
      </c>
      <c r="F62" s="92"/>
      <c r="G62" s="92">
        <f t="shared" ref="G62:R62" si="60">SUM(G60:G61)</f>
        <v>342009.66000000003</v>
      </c>
      <c r="H62" s="92">
        <f t="shared" si="60"/>
        <v>8550.2415000000001</v>
      </c>
      <c r="I62" s="92">
        <f t="shared" si="60"/>
        <v>120366.57</v>
      </c>
      <c r="J62" s="92">
        <f t="shared" si="60"/>
        <v>57001.61</v>
      </c>
      <c r="K62" s="92">
        <f t="shared" si="60"/>
        <v>399011.27</v>
      </c>
      <c r="L62" s="92">
        <f t="shared" si="60"/>
        <v>114003.22</v>
      </c>
      <c r="M62" s="134">
        <f t="shared" si="60"/>
        <v>200000</v>
      </c>
      <c r="N62" s="134">
        <f t="shared" si="60"/>
        <v>80000</v>
      </c>
      <c r="O62" s="92">
        <f t="shared" si="60"/>
        <v>11400.322</v>
      </c>
      <c r="P62" s="92">
        <f t="shared" si="60"/>
        <v>40000</v>
      </c>
      <c r="Q62" s="92">
        <f t="shared" si="60"/>
        <v>0</v>
      </c>
      <c r="R62" s="92">
        <f t="shared" si="60"/>
        <v>1486346.1135000002</v>
      </c>
      <c r="S62" s="92"/>
      <c r="T62" s="92">
        <f>SUM(T60:T61)</f>
        <v>50000</v>
      </c>
      <c r="U62" s="92">
        <f>SUM(U61)</f>
        <v>95000</v>
      </c>
      <c r="V62" s="92">
        <f>SUM(V60:V61)</f>
        <v>0</v>
      </c>
      <c r="W62" s="92">
        <f>SUM(W60:W61)</f>
        <v>68324.959999999992</v>
      </c>
      <c r="X62" s="92">
        <f>SUM(X60:X61)</f>
        <v>213324.96000000002</v>
      </c>
      <c r="Y62" s="92">
        <v>1273021.1535000002</v>
      </c>
      <c r="Z62" s="92">
        <f>SUM(Z60:Z61)</f>
        <v>1273021.1535000002</v>
      </c>
      <c r="AA62" s="107"/>
    </row>
    <row r="63" spans="1:27" ht="20.100000000000001" customHeight="1">
      <c r="A63" s="3"/>
      <c r="B63" s="231"/>
      <c r="C63" s="30"/>
      <c r="D63" s="30"/>
      <c r="E63" s="31"/>
      <c r="F63" s="31"/>
      <c r="G63" s="31"/>
      <c r="H63" s="31"/>
      <c r="I63" s="31"/>
      <c r="J63" s="31"/>
      <c r="K63" s="31"/>
      <c r="L63" s="31"/>
      <c r="M63" s="27"/>
      <c r="N63" s="27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7" ht="20.100000000000001" customHeight="1">
      <c r="A64" s="3"/>
      <c r="B64" s="231" t="s">
        <v>150</v>
      </c>
      <c r="C64" s="30"/>
      <c r="D64" s="30"/>
      <c r="E64" s="31"/>
      <c r="F64" s="31"/>
      <c r="G64" s="31"/>
      <c r="H64" s="31"/>
      <c r="I64" s="31"/>
      <c r="J64" s="31"/>
      <c r="K64" s="31"/>
      <c r="L64" s="31"/>
      <c r="M64" s="27"/>
      <c r="N64" s="27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7" ht="20.100000000000001" customHeight="1">
      <c r="A65" s="3">
        <v>1</v>
      </c>
      <c r="B65" s="225" t="s">
        <v>151</v>
      </c>
      <c r="C65" s="47" t="s">
        <v>152</v>
      </c>
      <c r="D65" s="29" t="s">
        <v>43</v>
      </c>
      <c r="E65" s="26">
        <v>81740.02</v>
      </c>
      <c r="F65" s="26"/>
      <c r="G65" s="26">
        <f t="shared" ref="G65:G78" si="61">E65*300%</f>
        <v>245220.06</v>
      </c>
      <c r="H65" s="26">
        <f t="shared" ref="H65:H78" si="62">E65*7.5%</f>
        <v>6130.5015000000003</v>
      </c>
      <c r="I65" s="26">
        <f>80244.38</f>
        <v>80244.38</v>
      </c>
      <c r="J65" s="26">
        <f t="shared" ref="J65:J78" si="63">E65*50%</f>
        <v>40870.01</v>
      </c>
      <c r="K65" s="26">
        <f t="shared" ref="K65:K78" si="64">E65*350%</f>
        <v>286090.07</v>
      </c>
      <c r="L65" s="26">
        <f t="shared" ref="L65:L78" si="65">E65*100%</f>
        <v>81740.02</v>
      </c>
      <c r="M65" s="27">
        <f>200000</f>
        <v>200000</v>
      </c>
      <c r="N65" s="27"/>
      <c r="O65" s="26">
        <f t="shared" ref="O65:O78" si="66">E65*10%</f>
        <v>8174.0020000000004</v>
      </c>
      <c r="P65" s="26">
        <v>20000</v>
      </c>
      <c r="Q65" s="26">
        <v>0</v>
      </c>
      <c r="R65" s="26">
        <f t="shared" ref="R65:R78" si="67">SUM(E65:Q65)</f>
        <v>1050209.0635000002</v>
      </c>
      <c r="S65" s="26"/>
      <c r="T65" s="26">
        <f>100000+100000</f>
        <v>200000</v>
      </c>
      <c r="U65" s="26"/>
      <c r="V65" s="26"/>
      <c r="W65" s="26">
        <f>52776.63</f>
        <v>52776.63</v>
      </c>
      <c r="X65" s="26">
        <f>W65+V65+U65+T65+S65</f>
        <v>252776.63</v>
      </c>
      <c r="Y65" s="26">
        <v>797432.43350000016</v>
      </c>
      <c r="Z65" s="26">
        <f t="shared" ref="Z65:Z78" si="68">R65-X65</f>
        <v>797432.43350000016</v>
      </c>
    </row>
    <row r="66" spans="1:27" ht="20.100000000000001" customHeight="1">
      <c r="A66" s="3">
        <v>2</v>
      </c>
      <c r="B66" s="215" t="s">
        <v>153</v>
      </c>
      <c r="C66" s="47" t="s">
        <v>56</v>
      </c>
      <c r="D66" s="66" t="s">
        <v>63</v>
      </c>
      <c r="E66" s="36">
        <v>31018.84</v>
      </c>
      <c r="F66" s="62"/>
      <c r="G66" s="62">
        <f t="shared" si="61"/>
        <v>93056.52</v>
      </c>
      <c r="H66" s="62">
        <f t="shared" si="62"/>
        <v>2326.413</v>
      </c>
      <c r="I66" s="62">
        <v>40122.19</v>
      </c>
      <c r="J66" s="62">
        <f t="shared" si="63"/>
        <v>15509.42</v>
      </c>
      <c r="K66" s="62">
        <f t="shared" si="64"/>
        <v>108565.94</v>
      </c>
      <c r="L66" s="62">
        <f t="shared" si="65"/>
        <v>31018.84</v>
      </c>
      <c r="M66" s="27">
        <f>160000</f>
        <v>160000</v>
      </c>
      <c r="N66" s="27"/>
      <c r="O66" s="62">
        <f t="shared" si="66"/>
        <v>3101.884</v>
      </c>
      <c r="P66" s="62">
        <v>20000</v>
      </c>
      <c r="Q66" s="63">
        <v>0</v>
      </c>
      <c r="R66" s="36">
        <f t="shared" si="67"/>
        <v>504720.04700000002</v>
      </c>
      <c r="S66" s="36"/>
      <c r="T66" s="36">
        <f>100000</f>
        <v>100000</v>
      </c>
      <c r="U66" s="36">
        <f>131250</f>
        <v>131250</v>
      </c>
      <c r="V66" s="36">
        <v>0</v>
      </c>
      <c r="W66" s="62">
        <f>15548.33</f>
        <v>15548.33</v>
      </c>
      <c r="X66" s="26">
        <f t="shared" ref="X66:X78" si="69">W66+V66+U66+T66+S66</f>
        <v>246798.33</v>
      </c>
      <c r="Y66" s="36">
        <v>257921.71700000003</v>
      </c>
      <c r="Z66" s="36">
        <f>R66-X66</f>
        <v>257921.71700000003</v>
      </c>
    </row>
    <row r="67" spans="1:27" ht="20.100000000000001" customHeight="1">
      <c r="A67" s="3">
        <v>3</v>
      </c>
      <c r="B67" s="225" t="s">
        <v>154</v>
      </c>
      <c r="C67" s="20" t="s">
        <v>140</v>
      </c>
      <c r="D67" s="29" t="s">
        <v>73</v>
      </c>
      <c r="E67" s="26">
        <v>26339.3</v>
      </c>
      <c r="F67" s="26"/>
      <c r="G67" s="26">
        <f t="shared" si="61"/>
        <v>79017.899999999994</v>
      </c>
      <c r="H67" s="26">
        <f t="shared" si="62"/>
        <v>1975.4474999999998</v>
      </c>
      <c r="I67" s="26"/>
      <c r="J67" s="26">
        <f t="shared" si="63"/>
        <v>13169.65</v>
      </c>
      <c r="K67" s="26">
        <f t="shared" si="64"/>
        <v>92187.55</v>
      </c>
      <c r="L67" s="26">
        <f t="shared" si="65"/>
        <v>26339.3</v>
      </c>
      <c r="M67" s="27">
        <f t="shared" ref="M67:M69" si="70">120000</f>
        <v>120000</v>
      </c>
      <c r="N67" s="27"/>
      <c r="O67" s="26">
        <f t="shared" si="66"/>
        <v>2633.9300000000003</v>
      </c>
      <c r="P67" s="26">
        <v>15000</v>
      </c>
      <c r="Q67" s="26"/>
      <c r="R67" s="36"/>
      <c r="S67" s="36"/>
      <c r="T67" s="24"/>
      <c r="U67" s="24"/>
      <c r="V67" s="24"/>
      <c r="W67" s="26"/>
      <c r="X67" s="26">
        <f t="shared" si="69"/>
        <v>0</v>
      </c>
      <c r="Y67" s="36">
        <v>70790.748870967713</v>
      </c>
      <c r="Z67" s="36">
        <f t="shared" si="68"/>
        <v>0</v>
      </c>
    </row>
    <row r="68" spans="1:27" ht="20.100000000000001" customHeight="1">
      <c r="A68" s="3">
        <v>4</v>
      </c>
      <c r="B68" s="225" t="s">
        <v>155</v>
      </c>
      <c r="C68" s="33" t="s">
        <v>137</v>
      </c>
      <c r="D68" s="29" t="s">
        <v>98</v>
      </c>
      <c r="E68" s="26">
        <v>24741.26</v>
      </c>
      <c r="F68" s="26"/>
      <c r="G68" s="26">
        <f t="shared" si="61"/>
        <v>74223.78</v>
      </c>
      <c r="H68" s="26">
        <f t="shared" si="62"/>
        <v>1855.5944999999997</v>
      </c>
      <c r="I68" s="26"/>
      <c r="J68" s="26">
        <f t="shared" si="63"/>
        <v>12370.63</v>
      </c>
      <c r="K68" s="26">
        <f t="shared" si="64"/>
        <v>86594.409999999989</v>
      </c>
      <c r="L68" s="26">
        <f t="shared" si="65"/>
        <v>24741.26</v>
      </c>
      <c r="M68" s="27">
        <f t="shared" si="70"/>
        <v>120000</v>
      </c>
      <c r="N68" s="27"/>
      <c r="O68" s="26">
        <f t="shared" si="66"/>
        <v>2474.1260000000002</v>
      </c>
      <c r="P68" s="26">
        <v>15000</v>
      </c>
      <c r="Q68" s="26"/>
      <c r="R68" s="26">
        <f t="shared" si="67"/>
        <v>362001.06049999996</v>
      </c>
      <c r="S68" s="26"/>
      <c r="T68" s="26">
        <f>110000</f>
        <v>110000</v>
      </c>
      <c r="U68" s="26"/>
      <c r="V68" s="26"/>
      <c r="W68" s="26">
        <f>7709.76</f>
        <v>7709.76</v>
      </c>
      <c r="X68" s="26">
        <f t="shared" si="69"/>
        <v>117709.75999999999</v>
      </c>
      <c r="Y68" s="26">
        <v>244291.30049999995</v>
      </c>
      <c r="Z68" s="26">
        <f t="shared" si="68"/>
        <v>244291.30049999995</v>
      </c>
    </row>
    <row r="69" spans="1:27" ht="20.100000000000001" customHeight="1">
      <c r="A69" s="3">
        <v>5</v>
      </c>
      <c r="B69" s="215" t="s">
        <v>156</v>
      </c>
      <c r="C69" s="47" t="s">
        <v>137</v>
      </c>
      <c r="D69" s="66" t="s">
        <v>79</v>
      </c>
      <c r="E69" s="62">
        <v>23891.119999999999</v>
      </c>
      <c r="F69" s="62"/>
      <c r="G69" s="62">
        <f t="shared" si="61"/>
        <v>71673.36</v>
      </c>
      <c r="H69" s="62">
        <f t="shared" si="62"/>
        <v>1791.8339999999998</v>
      </c>
      <c r="I69" s="62">
        <v>0</v>
      </c>
      <c r="J69" s="62">
        <f t="shared" si="63"/>
        <v>11945.56</v>
      </c>
      <c r="K69" s="36">
        <f t="shared" si="64"/>
        <v>83618.92</v>
      </c>
      <c r="L69" s="62">
        <f t="shared" si="65"/>
        <v>23891.119999999999</v>
      </c>
      <c r="M69" s="27">
        <f t="shared" si="70"/>
        <v>120000</v>
      </c>
      <c r="N69" s="27"/>
      <c r="O69" s="62">
        <f t="shared" si="66"/>
        <v>2389.1120000000001</v>
      </c>
      <c r="P69" s="62">
        <v>15000</v>
      </c>
      <c r="Q69" s="62">
        <v>0</v>
      </c>
      <c r="R69" s="36">
        <f t="shared" si="67"/>
        <v>354201.02600000001</v>
      </c>
      <c r="S69" s="36"/>
      <c r="T69" s="36">
        <f>20000</f>
        <v>20000</v>
      </c>
      <c r="U69" s="36">
        <f>119444.44</f>
        <v>119444.44</v>
      </c>
      <c r="V69" s="36">
        <f>0</f>
        <v>0</v>
      </c>
      <c r="W69" s="62">
        <v>7709.76</v>
      </c>
      <c r="X69" s="26">
        <f t="shared" si="69"/>
        <v>147154.20000000001</v>
      </c>
      <c r="Y69" s="36">
        <v>207046.826</v>
      </c>
      <c r="Z69" s="36">
        <f t="shared" si="68"/>
        <v>207046.826</v>
      </c>
    </row>
    <row r="70" spans="1:27" ht="20.100000000000001" customHeight="1">
      <c r="A70" s="3">
        <v>6</v>
      </c>
      <c r="B70" s="224" t="s">
        <v>157</v>
      </c>
      <c r="C70" s="47" t="s">
        <v>135</v>
      </c>
      <c r="D70" s="66" t="s">
        <v>66</v>
      </c>
      <c r="E70" s="62">
        <v>26732.65</v>
      </c>
      <c r="F70" s="62"/>
      <c r="G70" s="62">
        <f>E70*300%</f>
        <v>80197.950000000012</v>
      </c>
      <c r="H70" s="62">
        <f>E70*7.5%</f>
        <v>2004.94875</v>
      </c>
      <c r="I70" s="62"/>
      <c r="J70" s="62">
        <f>E70*50%</f>
        <v>13366.325000000001</v>
      </c>
      <c r="K70" s="36">
        <f>E70*350%</f>
        <v>93564.275000000009</v>
      </c>
      <c r="L70" s="62">
        <f>E70*100%</f>
        <v>26732.65</v>
      </c>
      <c r="M70" s="27">
        <f>140000</f>
        <v>140000</v>
      </c>
      <c r="N70" s="27"/>
      <c r="O70" s="62">
        <f>E70*10%</f>
        <v>2673.2650000000003</v>
      </c>
      <c r="P70" s="62">
        <v>20000</v>
      </c>
      <c r="Q70" s="62"/>
      <c r="R70" s="36">
        <f>SUM(E70:Q70)</f>
        <v>405272.06374999997</v>
      </c>
      <c r="S70" s="36"/>
      <c r="T70" s="36">
        <f>10000</f>
        <v>10000</v>
      </c>
      <c r="U70" s="36">
        <f>54585.66</f>
        <v>54585.66</v>
      </c>
      <c r="V70" s="36"/>
      <c r="W70" s="36">
        <f>7709.76</f>
        <v>7709.76</v>
      </c>
      <c r="X70" s="26">
        <f t="shared" si="69"/>
        <v>72295.420000000013</v>
      </c>
      <c r="Y70" s="36">
        <v>332976.64374999993</v>
      </c>
      <c r="Z70" s="36">
        <f>R70-X70</f>
        <v>332976.64374999993</v>
      </c>
    </row>
    <row r="71" spans="1:27" ht="20.100000000000001" customHeight="1">
      <c r="A71" s="3">
        <v>7</v>
      </c>
      <c r="B71" s="225" t="s">
        <v>158</v>
      </c>
      <c r="C71" s="20" t="s">
        <v>142</v>
      </c>
      <c r="D71" s="29" t="s">
        <v>159</v>
      </c>
      <c r="E71" s="26">
        <v>19774.62</v>
      </c>
      <c r="F71" s="26"/>
      <c r="G71" s="26">
        <f t="shared" si="61"/>
        <v>59323.86</v>
      </c>
      <c r="H71" s="26">
        <f t="shared" si="62"/>
        <v>1483.0964999999999</v>
      </c>
      <c r="I71" s="26">
        <v>0</v>
      </c>
      <c r="J71" s="26">
        <f t="shared" si="63"/>
        <v>9887.31</v>
      </c>
      <c r="K71" s="26">
        <f t="shared" si="64"/>
        <v>69211.17</v>
      </c>
      <c r="L71" s="26">
        <f t="shared" si="65"/>
        <v>19774.62</v>
      </c>
      <c r="M71" s="27">
        <f>100000</f>
        <v>100000</v>
      </c>
      <c r="N71" s="27"/>
      <c r="O71" s="26">
        <f t="shared" si="66"/>
        <v>1977.462</v>
      </c>
      <c r="P71" s="26">
        <v>10000</v>
      </c>
      <c r="Q71" s="26">
        <v>0</v>
      </c>
      <c r="R71" s="36">
        <f t="shared" si="67"/>
        <v>291432.1385</v>
      </c>
      <c r="S71" s="36"/>
      <c r="T71" s="24">
        <f>10000</f>
        <v>10000</v>
      </c>
      <c r="U71" s="24">
        <f>131771.66</f>
        <v>131771.66</v>
      </c>
      <c r="V71" s="24"/>
      <c r="W71" s="26">
        <v>3369.51</v>
      </c>
      <c r="X71" s="26">
        <f t="shared" si="69"/>
        <v>145141.17000000001</v>
      </c>
      <c r="Y71" s="36">
        <v>146290.96849999999</v>
      </c>
      <c r="Z71" s="36">
        <f t="shared" si="68"/>
        <v>146290.96849999999</v>
      </c>
    </row>
    <row r="72" spans="1:27" ht="20.100000000000001" customHeight="1">
      <c r="A72" s="3">
        <v>8</v>
      </c>
      <c r="B72" s="226" t="s">
        <v>160</v>
      </c>
      <c r="C72" s="47" t="s">
        <v>161</v>
      </c>
      <c r="D72" s="66" t="s">
        <v>85</v>
      </c>
      <c r="E72" s="62">
        <f>21520.88</f>
        <v>21520.880000000001</v>
      </c>
      <c r="F72" s="62"/>
      <c r="G72" s="62">
        <f t="shared" si="61"/>
        <v>64562.64</v>
      </c>
      <c r="H72" s="62">
        <f t="shared" si="62"/>
        <v>1614.066</v>
      </c>
      <c r="I72" s="62">
        <v>0</v>
      </c>
      <c r="J72" s="62">
        <f t="shared" si="63"/>
        <v>10760.44</v>
      </c>
      <c r="K72" s="36">
        <f t="shared" si="64"/>
        <v>75323.08</v>
      </c>
      <c r="L72" s="62">
        <f t="shared" si="65"/>
        <v>21520.880000000001</v>
      </c>
      <c r="M72" s="27">
        <f>110000</f>
        <v>110000</v>
      </c>
      <c r="N72" s="27"/>
      <c r="O72" s="62">
        <f t="shared" si="66"/>
        <v>2152.0880000000002</v>
      </c>
      <c r="P72" s="62">
        <v>15000</v>
      </c>
      <c r="Q72" s="62">
        <v>0</v>
      </c>
      <c r="R72" s="36">
        <f t="shared" si="67"/>
        <v>322454.07400000002</v>
      </c>
      <c r="S72" s="36"/>
      <c r="T72" s="36">
        <f>10000+20000</f>
        <v>30000</v>
      </c>
      <c r="U72" s="36">
        <f>130000</f>
        <v>130000</v>
      </c>
      <c r="V72" s="36">
        <f>'[2]April 2022'!$H$41</f>
        <v>538.02200000000005</v>
      </c>
      <c r="W72" s="62">
        <f>3369.51</f>
        <v>3369.51</v>
      </c>
      <c r="X72" s="26">
        <f t="shared" si="69"/>
        <v>163907.53200000001</v>
      </c>
      <c r="Y72" s="36">
        <v>158602.64025000003</v>
      </c>
      <c r="Z72" s="36">
        <f t="shared" si="68"/>
        <v>158546.54200000002</v>
      </c>
    </row>
    <row r="73" spans="1:27" ht="20.100000000000001" customHeight="1">
      <c r="A73" s="3">
        <v>9</v>
      </c>
      <c r="B73" s="223" t="s">
        <v>162</v>
      </c>
      <c r="C73" s="47" t="s">
        <v>161</v>
      </c>
      <c r="D73" s="66" t="s">
        <v>163</v>
      </c>
      <c r="E73" s="62">
        <f>20749</f>
        <v>20749</v>
      </c>
      <c r="F73" s="62"/>
      <c r="G73" s="62">
        <f t="shared" si="61"/>
        <v>62247</v>
      </c>
      <c r="H73" s="62">
        <f t="shared" si="62"/>
        <v>1556.175</v>
      </c>
      <c r="I73" s="62">
        <v>0</v>
      </c>
      <c r="J73" s="62">
        <f t="shared" si="63"/>
        <v>10374.5</v>
      </c>
      <c r="K73" s="36">
        <f t="shared" si="64"/>
        <v>72621.5</v>
      </c>
      <c r="L73" s="62">
        <f t="shared" si="65"/>
        <v>20749</v>
      </c>
      <c r="M73" s="27">
        <f t="shared" ref="M73:M74" si="71">110000</f>
        <v>110000</v>
      </c>
      <c r="N73" s="27"/>
      <c r="O73" s="62">
        <f t="shared" si="66"/>
        <v>2074.9</v>
      </c>
      <c r="P73" s="62">
        <v>15000</v>
      </c>
      <c r="Q73" s="62">
        <v>0</v>
      </c>
      <c r="R73" s="36">
        <f>SUM(E73:Q73)*12/30</f>
        <v>126148.83000000002</v>
      </c>
      <c r="S73" s="36"/>
      <c r="T73" s="36"/>
      <c r="U73" s="36"/>
      <c r="V73" s="36"/>
      <c r="W73" s="62">
        <f t="shared" ref="W73:W74" si="72">3369.51</f>
        <v>3369.51</v>
      </c>
      <c r="X73" s="26">
        <f t="shared" si="69"/>
        <v>3369.51</v>
      </c>
      <c r="Y73" s="36"/>
      <c r="Z73" s="36">
        <f t="shared" si="68"/>
        <v>122779.32000000002</v>
      </c>
    </row>
    <row r="74" spans="1:27" ht="20.100000000000001" customHeight="1">
      <c r="A74" s="3">
        <v>10</v>
      </c>
      <c r="B74" s="223" t="s">
        <v>164</v>
      </c>
      <c r="C74" s="47" t="s">
        <v>161</v>
      </c>
      <c r="D74" s="66" t="s">
        <v>163</v>
      </c>
      <c r="E74" s="62">
        <f>20749</f>
        <v>20749</v>
      </c>
      <c r="F74" s="62"/>
      <c r="G74" s="62">
        <f t="shared" si="61"/>
        <v>62247</v>
      </c>
      <c r="H74" s="62">
        <f t="shared" si="62"/>
        <v>1556.175</v>
      </c>
      <c r="I74" s="62">
        <v>0</v>
      </c>
      <c r="J74" s="62">
        <f t="shared" si="63"/>
        <v>10374.5</v>
      </c>
      <c r="K74" s="36">
        <f t="shared" si="64"/>
        <v>72621.5</v>
      </c>
      <c r="L74" s="62">
        <f t="shared" si="65"/>
        <v>20749</v>
      </c>
      <c r="M74" s="27">
        <f t="shared" si="71"/>
        <v>110000</v>
      </c>
      <c r="N74" s="27"/>
      <c r="O74" s="62">
        <f t="shared" si="66"/>
        <v>2074.9</v>
      </c>
      <c r="P74" s="62">
        <v>15000</v>
      </c>
      <c r="Q74" s="62">
        <v>0</v>
      </c>
      <c r="R74" s="36">
        <f>SUM(E74:Q74)*12/30</f>
        <v>126148.83000000002</v>
      </c>
      <c r="S74" s="36"/>
      <c r="T74" s="36"/>
      <c r="U74" s="36"/>
      <c r="V74" s="36"/>
      <c r="W74" s="62">
        <f t="shared" si="72"/>
        <v>3369.51</v>
      </c>
      <c r="X74" s="26">
        <f t="shared" si="69"/>
        <v>3369.51</v>
      </c>
      <c r="Y74" s="36"/>
      <c r="Z74" s="36">
        <f t="shared" si="68"/>
        <v>122779.32000000002</v>
      </c>
    </row>
    <row r="75" spans="1:27" ht="20.100000000000001" customHeight="1">
      <c r="A75" s="3">
        <v>11</v>
      </c>
      <c r="B75" s="223" t="s">
        <v>165</v>
      </c>
      <c r="C75" s="33" t="s">
        <v>166</v>
      </c>
      <c r="D75" s="3" t="s">
        <v>82</v>
      </c>
      <c r="E75" s="62">
        <v>18779.3</v>
      </c>
      <c r="F75" s="62"/>
      <c r="G75" s="62">
        <f t="shared" si="61"/>
        <v>56337.899999999994</v>
      </c>
      <c r="H75" s="62">
        <f t="shared" si="62"/>
        <v>1408.4475</v>
      </c>
      <c r="I75" s="62"/>
      <c r="J75" s="62">
        <f t="shared" si="63"/>
        <v>9389.65</v>
      </c>
      <c r="K75" s="62">
        <f t="shared" si="64"/>
        <v>65727.55</v>
      </c>
      <c r="L75" s="62">
        <f t="shared" si="65"/>
        <v>18779.3</v>
      </c>
      <c r="M75" s="27">
        <f t="shared" ref="M75:M78" si="73">100000</f>
        <v>100000</v>
      </c>
      <c r="N75" s="27"/>
      <c r="O75" s="62">
        <f t="shared" si="66"/>
        <v>1877.93</v>
      </c>
      <c r="P75" s="62">
        <v>10000</v>
      </c>
      <c r="Q75" s="62"/>
      <c r="R75" s="36">
        <f t="shared" si="67"/>
        <v>282300.07749999996</v>
      </c>
      <c r="S75" s="36"/>
      <c r="T75" s="36">
        <f>70000+20000</f>
        <v>90000</v>
      </c>
      <c r="U75" s="36"/>
      <c r="V75" s="36"/>
      <c r="W75" s="62">
        <v>3369.51</v>
      </c>
      <c r="X75" s="26">
        <f t="shared" si="69"/>
        <v>93369.51</v>
      </c>
      <c r="Y75" s="36">
        <v>188930.56749999995</v>
      </c>
      <c r="Z75" s="36">
        <f t="shared" si="68"/>
        <v>188930.56749999995</v>
      </c>
    </row>
    <row r="76" spans="1:27" ht="20.100000000000001" customHeight="1">
      <c r="A76" s="3">
        <v>12</v>
      </c>
      <c r="B76" s="225" t="s">
        <v>167</v>
      </c>
      <c r="C76" s="47" t="s">
        <v>142</v>
      </c>
      <c r="D76" s="3" t="s">
        <v>168</v>
      </c>
      <c r="E76" s="62">
        <v>17286.330000000002</v>
      </c>
      <c r="F76" s="62"/>
      <c r="G76" s="62">
        <f t="shared" si="61"/>
        <v>51858.990000000005</v>
      </c>
      <c r="H76" s="62">
        <f t="shared" si="62"/>
        <v>1296.4747500000001</v>
      </c>
      <c r="I76" s="62"/>
      <c r="J76" s="62">
        <f t="shared" si="63"/>
        <v>8643.1650000000009</v>
      </c>
      <c r="K76" s="62">
        <f t="shared" si="64"/>
        <v>60502.155000000006</v>
      </c>
      <c r="L76" s="62">
        <f t="shared" si="65"/>
        <v>17286.330000000002</v>
      </c>
      <c r="M76" s="27">
        <f t="shared" si="73"/>
        <v>100000</v>
      </c>
      <c r="N76" s="27"/>
      <c r="O76" s="62">
        <f t="shared" si="66"/>
        <v>1728.6330000000003</v>
      </c>
      <c r="P76" s="62">
        <v>10000</v>
      </c>
      <c r="Q76" s="62"/>
      <c r="R76" s="36">
        <f t="shared" si="67"/>
        <v>268602.07775000005</v>
      </c>
      <c r="S76" s="36"/>
      <c r="T76" s="36">
        <f>50000</f>
        <v>50000</v>
      </c>
      <c r="U76" s="36">
        <v>0</v>
      </c>
      <c r="V76" s="36"/>
      <c r="W76" s="62">
        <v>3369.51</v>
      </c>
      <c r="X76" s="26">
        <f t="shared" si="69"/>
        <v>53369.51</v>
      </c>
      <c r="Y76" s="36">
        <v>215232.56775000005</v>
      </c>
      <c r="Z76" s="36">
        <f t="shared" si="68"/>
        <v>215232.56775000005</v>
      </c>
    </row>
    <row r="77" spans="1:27" ht="20.100000000000001" customHeight="1">
      <c r="A77" s="3">
        <v>13</v>
      </c>
      <c r="B77" s="225" t="s">
        <v>169</v>
      </c>
      <c r="C77" s="47" t="s">
        <v>170</v>
      </c>
      <c r="D77" s="3" t="s">
        <v>143</v>
      </c>
      <c r="E77" s="62">
        <f>14736.14</f>
        <v>14736.14</v>
      </c>
      <c r="F77" s="62">
        <f>21875*2</f>
        <v>43750</v>
      </c>
      <c r="G77" s="62">
        <f t="shared" si="61"/>
        <v>44208.42</v>
      </c>
      <c r="H77" s="62">
        <f t="shared" si="62"/>
        <v>1105.2104999999999</v>
      </c>
      <c r="I77" s="62"/>
      <c r="J77" s="62">
        <f t="shared" si="63"/>
        <v>7368.07</v>
      </c>
      <c r="K77" s="62">
        <f t="shared" si="64"/>
        <v>51576.49</v>
      </c>
      <c r="L77" s="62">
        <f t="shared" si="65"/>
        <v>14736.14</v>
      </c>
      <c r="M77" s="27">
        <f t="shared" si="73"/>
        <v>100000</v>
      </c>
      <c r="N77" s="27"/>
      <c r="O77" s="62">
        <f t="shared" si="66"/>
        <v>1473.614</v>
      </c>
      <c r="P77" s="62">
        <v>10000</v>
      </c>
      <c r="Q77" s="62"/>
      <c r="R77" s="36">
        <f t="shared" si="67"/>
        <v>288954.0845</v>
      </c>
      <c r="S77" s="36"/>
      <c r="T77" s="36">
        <f>10000</f>
        <v>10000</v>
      </c>
      <c r="U77" s="36">
        <f>95833.33</f>
        <v>95833.33</v>
      </c>
      <c r="V77" s="36"/>
      <c r="W77" s="62">
        <v>1484.37</v>
      </c>
      <c r="X77" s="26">
        <f t="shared" si="69"/>
        <v>107317.7</v>
      </c>
      <c r="Y77" s="36">
        <v>116011.3495</v>
      </c>
      <c r="Z77" s="36">
        <f t="shared" si="68"/>
        <v>181636.38449999999</v>
      </c>
    </row>
    <row r="78" spans="1:27" ht="20.100000000000001" customHeight="1">
      <c r="A78" s="3">
        <v>14</v>
      </c>
      <c r="B78" s="224" t="s">
        <v>171</v>
      </c>
      <c r="C78" s="47" t="s">
        <v>170</v>
      </c>
      <c r="D78" s="3" t="s">
        <v>93</v>
      </c>
      <c r="E78" s="62">
        <v>12351.94</v>
      </c>
      <c r="F78" s="62"/>
      <c r="G78" s="62">
        <f t="shared" si="61"/>
        <v>37055.82</v>
      </c>
      <c r="H78" s="62">
        <f t="shared" si="62"/>
        <v>926.39549999999997</v>
      </c>
      <c r="I78" s="62"/>
      <c r="J78" s="62">
        <f t="shared" si="63"/>
        <v>6175.97</v>
      </c>
      <c r="K78" s="62">
        <f t="shared" si="64"/>
        <v>43231.79</v>
      </c>
      <c r="L78" s="62">
        <f t="shared" si="65"/>
        <v>12351.94</v>
      </c>
      <c r="M78" s="27">
        <f t="shared" si="73"/>
        <v>100000</v>
      </c>
      <c r="N78" s="27"/>
      <c r="O78" s="62">
        <f t="shared" si="66"/>
        <v>1235.1940000000002</v>
      </c>
      <c r="P78" s="62">
        <v>10000</v>
      </c>
      <c r="Q78" s="62"/>
      <c r="R78" s="36">
        <f t="shared" si="67"/>
        <v>223329.04949999999</v>
      </c>
      <c r="S78" s="36"/>
      <c r="T78" s="36"/>
      <c r="U78" s="36"/>
      <c r="V78" s="36"/>
      <c r="W78" s="62">
        <v>1484.37</v>
      </c>
      <c r="X78" s="26">
        <f t="shared" si="69"/>
        <v>1484.37</v>
      </c>
      <c r="Y78" s="36">
        <v>221844.6795</v>
      </c>
      <c r="Z78" s="36">
        <f t="shared" si="68"/>
        <v>221844.6795</v>
      </c>
    </row>
    <row r="79" spans="1:27" ht="20.100000000000001" customHeight="1">
      <c r="A79" s="3"/>
      <c r="B79" s="231" t="s">
        <v>34</v>
      </c>
      <c r="C79" s="30">
        <v>14</v>
      </c>
      <c r="D79" s="30"/>
      <c r="E79" s="92">
        <f t="shared" ref="E79:M79" si="74">SUM(E65:E78)</f>
        <v>360410.4</v>
      </c>
      <c r="F79" s="92">
        <f t="shared" si="74"/>
        <v>43750</v>
      </c>
      <c r="G79" s="92">
        <f t="shared" si="74"/>
        <v>1081231.2000000002</v>
      </c>
      <c r="H79" s="92">
        <f t="shared" si="74"/>
        <v>27030.779999999995</v>
      </c>
      <c r="I79" s="92">
        <f t="shared" si="74"/>
        <v>120366.57</v>
      </c>
      <c r="J79" s="92">
        <f t="shared" si="74"/>
        <v>180205.2</v>
      </c>
      <c r="K79" s="92">
        <f t="shared" si="74"/>
        <v>1261436.4000000001</v>
      </c>
      <c r="L79" s="92">
        <f t="shared" si="74"/>
        <v>360410.4</v>
      </c>
      <c r="M79" s="134">
        <f t="shared" si="74"/>
        <v>1690000</v>
      </c>
      <c r="N79" s="134"/>
      <c r="O79" s="92">
        <f>SUM(O65:O78)</f>
        <v>36041.040000000008</v>
      </c>
      <c r="P79" s="92">
        <f>SUM(P65:P78)</f>
        <v>200000</v>
      </c>
      <c r="Q79" s="92">
        <f>SUM(Q65:Q78)</f>
        <v>0</v>
      </c>
      <c r="R79" s="92">
        <f>SUM(R65:R78)</f>
        <v>4605772.4225000003</v>
      </c>
      <c r="S79" s="92"/>
      <c r="T79" s="92">
        <f t="shared" ref="T79:Z79" si="75">SUM(T65:T78)</f>
        <v>630000</v>
      </c>
      <c r="U79" s="92">
        <f t="shared" si="75"/>
        <v>662885.09</v>
      </c>
      <c r="V79" s="92">
        <f t="shared" si="75"/>
        <v>538.02200000000005</v>
      </c>
      <c r="W79" s="92">
        <f t="shared" si="75"/>
        <v>114640.03999999994</v>
      </c>
      <c r="X79" s="92">
        <f t="shared" si="75"/>
        <v>1408063.152</v>
      </c>
      <c r="Y79" s="92">
        <f t="shared" si="75"/>
        <v>2957372.4426209675</v>
      </c>
      <c r="Z79" s="92">
        <f t="shared" si="75"/>
        <v>3197709.2704999996</v>
      </c>
      <c r="AA79" s="107"/>
    </row>
    <row r="80" spans="1:27" ht="20.100000000000001" customHeight="1">
      <c r="A80" s="3"/>
      <c r="B80" s="219"/>
      <c r="C80" s="30"/>
      <c r="D80" s="30"/>
      <c r="E80" s="31"/>
      <c r="F80" s="31"/>
      <c r="G80" s="31"/>
      <c r="H80" s="31"/>
      <c r="I80" s="31"/>
      <c r="J80" s="31"/>
      <c r="K80" s="31"/>
      <c r="L80" s="31"/>
      <c r="M80" s="27"/>
      <c r="N80" s="27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7" ht="20.100000000000001" customHeight="1">
      <c r="A81" s="3"/>
      <c r="B81" s="231" t="s">
        <v>172</v>
      </c>
      <c r="C81" s="30"/>
      <c r="D81" s="30"/>
      <c r="E81" s="31"/>
      <c r="F81" s="31"/>
      <c r="G81" s="31"/>
      <c r="H81" s="31"/>
      <c r="I81" s="31"/>
      <c r="J81" s="31"/>
      <c r="K81" s="31"/>
      <c r="L81" s="31"/>
      <c r="M81" s="27"/>
      <c r="N81" s="27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7" ht="20.100000000000001" customHeight="1">
      <c r="A82" s="3">
        <v>1</v>
      </c>
      <c r="B82" s="223" t="s">
        <v>173</v>
      </c>
      <c r="C82" s="33" t="s">
        <v>174</v>
      </c>
      <c r="D82" s="3" t="s">
        <v>43</v>
      </c>
      <c r="E82" s="62">
        <v>81740.02</v>
      </c>
      <c r="F82" s="62"/>
      <c r="G82" s="62">
        <f t="shared" ref="G82:G88" si="76">E82*300%</f>
        <v>245220.06</v>
      </c>
      <c r="H82" s="62">
        <f t="shared" ref="H82:H88" si="77">E82*7.5%</f>
        <v>6130.5015000000003</v>
      </c>
      <c r="I82" s="62">
        <v>80244.38</v>
      </c>
      <c r="J82" s="62">
        <f>E82*50%</f>
        <v>40870.01</v>
      </c>
      <c r="K82" s="62">
        <f t="shared" ref="K82:K88" si="78">E82*350%</f>
        <v>286090.07</v>
      </c>
      <c r="L82" s="62">
        <f>E82*100%</f>
        <v>81740.02</v>
      </c>
      <c r="M82" s="27">
        <f>200000</f>
        <v>200000</v>
      </c>
      <c r="N82" s="27"/>
      <c r="O82" s="62">
        <f>E82*10%</f>
        <v>8174.0020000000004</v>
      </c>
      <c r="P82" s="62">
        <v>20000</v>
      </c>
      <c r="Q82" s="62">
        <v>0</v>
      </c>
      <c r="R82" s="36">
        <f>SUM(E82:Q82)</f>
        <v>1050209.0635000002</v>
      </c>
      <c r="S82" s="36"/>
      <c r="T82" s="36">
        <v>250000</v>
      </c>
      <c r="U82" s="36">
        <f>0</f>
        <v>0</v>
      </c>
      <c r="V82" s="36">
        <v>0</v>
      </c>
      <c r="W82" s="62">
        <v>52776.63</v>
      </c>
      <c r="X82" s="36">
        <f>W82+V82+U82+T82+S82</f>
        <v>302776.63</v>
      </c>
      <c r="Y82" s="36">
        <v>747432.43350000016</v>
      </c>
      <c r="Z82" s="36">
        <f>R82-X82</f>
        <v>747432.43350000016</v>
      </c>
    </row>
    <row r="83" spans="1:27" ht="20.100000000000001" customHeight="1">
      <c r="A83" s="3">
        <v>2</v>
      </c>
      <c r="B83" s="220" t="s">
        <v>175</v>
      </c>
      <c r="C83" s="1" t="s">
        <v>176</v>
      </c>
      <c r="D83" s="66" t="s">
        <v>63</v>
      </c>
      <c r="E83" s="36">
        <v>31018.84</v>
      </c>
      <c r="F83" s="62"/>
      <c r="G83" s="62">
        <f t="shared" si="76"/>
        <v>93056.52</v>
      </c>
      <c r="H83" s="62">
        <f t="shared" si="77"/>
        <v>2326.413</v>
      </c>
      <c r="I83" s="62">
        <v>40122.19</v>
      </c>
      <c r="J83" s="62">
        <f t="shared" ref="J83:J84" si="79">E83*50%</f>
        <v>15509.42</v>
      </c>
      <c r="K83" s="62">
        <f t="shared" si="78"/>
        <v>108565.94</v>
      </c>
      <c r="L83" s="62">
        <f t="shared" ref="L83:L84" si="80">E83*100%</f>
        <v>31018.84</v>
      </c>
      <c r="M83" s="27">
        <f>160000</f>
        <v>160000</v>
      </c>
      <c r="N83" s="27"/>
      <c r="O83" s="62">
        <f t="shared" ref="O83:O84" si="81">E83*10%</f>
        <v>3101.884</v>
      </c>
      <c r="P83" s="62">
        <v>20000</v>
      </c>
      <c r="Q83" s="63">
        <v>0</v>
      </c>
      <c r="R83" s="36">
        <f t="shared" ref="R83:R84" si="82">SUM(E83:Q83)</f>
        <v>504720.04700000002</v>
      </c>
      <c r="S83" s="36"/>
      <c r="T83" s="36"/>
      <c r="U83" s="36"/>
      <c r="V83" s="36">
        <v>0</v>
      </c>
      <c r="W83" s="62">
        <f t="shared" ref="W83:W84" si="83">15548.33</f>
        <v>15548.33</v>
      </c>
      <c r="X83" s="36">
        <f t="shared" ref="X83:X88" si="84">W83+V83+U83+T83+S83</f>
        <v>15548.33</v>
      </c>
      <c r="Y83" s="36">
        <v>489171.717</v>
      </c>
      <c r="Z83" s="36">
        <f t="shared" ref="Z83:Z84" si="85">R83-X83</f>
        <v>489171.717</v>
      </c>
    </row>
    <row r="84" spans="1:27" ht="20.100000000000001" customHeight="1">
      <c r="A84" s="3">
        <v>3</v>
      </c>
      <c r="B84" s="220" t="s">
        <v>177</v>
      </c>
      <c r="C84" s="1" t="s">
        <v>178</v>
      </c>
      <c r="D84" s="66" t="s">
        <v>63</v>
      </c>
      <c r="E84" s="36">
        <v>31018.84</v>
      </c>
      <c r="F84" s="62"/>
      <c r="G84" s="62">
        <f t="shared" si="76"/>
        <v>93056.52</v>
      </c>
      <c r="H84" s="62">
        <f t="shared" si="77"/>
        <v>2326.413</v>
      </c>
      <c r="I84" s="62">
        <v>40122.19</v>
      </c>
      <c r="J84" s="62">
        <f t="shared" si="79"/>
        <v>15509.42</v>
      </c>
      <c r="K84" s="62">
        <f t="shared" si="78"/>
        <v>108565.94</v>
      </c>
      <c r="L84" s="62">
        <f t="shared" si="80"/>
        <v>31018.84</v>
      </c>
      <c r="M84" s="27">
        <f>160000</f>
        <v>160000</v>
      </c>
      <c r="N84" s="27"/>
      <c r="O84" s="62">
        <f t="shared" si="81"/>
        <v>3101.884</v>
      </c>
      <c r="P84" s="62">
        <v>20000</v>
      </c>
      <c r="Q84" s="63">
        <v>0</v>
      </c>
      <c r="R84" s="36">
        <f t="shared" si="82"/>
        <v>504720.04700000002</v>
      </c>
      <c r="S84" s="36"/>
      <c r="T84" s="36"/>
      <c r="U84" s="36"/>
      <c r="V84" s="36">
        <v>0</v>
      </c>
      <c r="W84" s="62">
        <f t="shared" si="83"/>
        <v>15548.33</v>
      </c>
      <c r="X84" s="36">
        <f t="shared" si="84"/>
        <v>15548.33</v>
      </c>
      <c r="Y84" s="36">
        <v>489171.717</v>
      </c>
      <c r="Z84" s="36">
        <f t="shared" si="85"/>
        <v>489171.717</v>
      </c>
    </row>
    <row r="85" spans="1:27" ht="20.100000000000001" customHeight="1">
      <c r="A85" s="3">
        <v>4</v>
      </c>
      <c r="B85" s="223" t="s">
        <v>179</v>
      </c>
      <c r="C85" s="33" t="s">
        <v>140</v>
      </c>
      <c r="D85" s="66" t="s">
        <v>98</v>
      </c>
      <c r="E85" s="62">
        <v>24741.26</v>
      </c>
      <c r="F85" s="62"/>
      <c r="G85" s="62">
        <f t="shared" si="76"/>
        <v>74223.78</v>
      </c>
      <c r="H85" s="62">
        <f t="shared" si="77"/>
        <v>1855.5944999999997</v>
      </c>
      <c r="I85" s="36">
        <v>0</v>
      </c>
      <c r="J85" s="62">
        <f>E85*50%</f>
        <v>12370.63</v>
      </c>
      <c r="K85" s="36">
        <f t="shared" si="78"/>
        <v>86594.409999999989</v>
      </c>
      <c r="L85" s="62">
        <f>E85*100%</f>
        <v>24741.26</v>
      </c>
      <c r="M85" s="27">
        <f>120000</f>
        <v>120000</v>
      </c>
      <c r="N85" s="27"/>
      <c r="O85" s="62">
        <f>E85*10%</f>
        <v>2474.1260000000002</v>
      </c>
      <c r="P85" s="62">
        <v>15000</v>
      </c>
      <c r="Q85" s="62">
        <v>0</v>
      </c>
      <c r="R85" s="36">
        <f>SUM(E85:Q85)</f>
        <v>362001.06049999996</v>
      </c>
      <c r="S85" s="36"/>
      <c r="T85" s="36">
        <f>0</f>
        <v>0</v>
      </c>
      <c r="U85" s="36">
        <f>0</f>
        <v>0</v>
      </c>
      <c r="V85" s="36">
        <f>'[2]April 2022'!$H$42</f>
        <v>618.53150000000005</v>
      </c>
      <c r="W85" s="62">
        <f>7709.76</f>
        <v>7709.76</v>
      </c>
      <c r="X85" s="36">
        <f t="shared" si="84"/>
        <v>8328.2914999999994</v>
      </c>
      <c r="Y85" s="36">
        <v>353694.02249999996</v>
      </c>
      <c r="Z85" s="36">
        <f>R85-X85</f>
        <v>353672.76899999997</v>
      </c>
    </row>
    <row r="86" spans="1:27" ht="20.100000000000001" customHeight="1">
      <c r="A86" s="3">
        <v>5</v>
      </c>
      <c r="B86" s="223" t="s">
        <v>180</v>
      </c>
      <c r="C86" s="33" t="s">
        <v>166</v>
      </c>
      <c r="D86" s="3" t="s">
        <v>168</v>
      </c>
      <c r="E86" s="62">
        <v>17286.330000000002</v>
      </c>
      <c r="F86" s="62"/>
      <c r="G86" s="62">
        <f t="shared" si="76"/>
        <v>51858.990000000005</v>
      </c>
      <c r="H86" s="62">
        <f t="shared" si="77"/>
        <v>1296.4747500000001</v>
      </c>
      <c r="I86" s="62"/>
      <c r="J86" s="62">
        <f t="shared" ref="J86:J88" si="86">E86*50%</f>
        <v>8643.1650000000009</v>
      </c>
      <c r="K86" s="62">
        <f t="shared" si="78"/>
        <v>60502.155000000006</v>
      </c>
      <c r="L86" s="62">
        <f t="shared" ref="L86:L88" si="87">E86*100%</f>
        <v>17286.330000000002</v>
      </c>
      <c r="M86" s="27">
        <f>100000</f>
        <v>100000</v>
      </c>
      <c r="N86" s="27"/>
      <c r="O86" s="62">
        <f t="shared" ref="O86:O88" si="88">E86*10%</f>
        <v>1728.6330000000003</v>
      </c>
      <c r="P86" s="62">
        <v>10000</v>
      </c>
      <c r="Q86" s="62"/>
      <c r="R86" s="36">
        <f t="shared" ref="R86:R88" si="89">SUM(E86:Q86)</f>
        <v>268602.07775000005</v>
      </c>
      <c r="S86" s="36"/>
      <c r="T86" s="36">
        <f>50000</f>
        <v>50000</v>
      </c>
      <c r="U86" s="36">
        <f>50000</f>
        <v>50000</v>
      </c>
      <c r="V86" s="36"/>
      <c r="W86" s="62">
        <v>3369.51</v>
      </c>
      <c r="X86" s="36">
        <f t="shared" si="84"/>
        <v>103369.51000000001</v>
      </c>
      <c r="Y86" s="36">
        <v>165232.56775000005</v>
      </c>
      <c r="Z86" s="36">
        <f t="shared" ref="Z86:Z88" si="90">R86-X86</f>
        <v>165232.56775000005</v>
      </c>
    </row>
    <row r="87" spans="1:27" ht="20.100000000000001" customHeight="1">
      <c r="A87" s="3">
        <v>6</v>
      </c>
      <c r="B87" s="214" t="s">
        <v>181</v>
      </c>
      <c r="C87" s="33" t="s">
        <v>182</v>
      </c>
      <c r="D87" s="3" t="s">
        <v>111</v>
      </c>
      <c r="E87" s="62">
        <v>13112.16</v>
      </c>
      <c r="F87" s="62"/>
      <c r="G87" s="62">
        <f t="shared" si="76"/>
        <v>39336.479999999996</v>
      </c>
      <c r="H87" s="62">
        <f t="shared" si="77"/>
        <v>983.41199999999992</v>
      </c>
      <c r="I87" s="62"/>
      <c r="J87" s="62">
        <f t="shared" si="86"/>
        <v>6556.08</v>
      </c>
      <c r="K87" s="62">
        <f t="shared" si="78"/>
        <v>45892.56</v>
      </c>
      <c r="L87" s="62">
        <f t="shared" si="87"/>
        <v>13112.16</v>
      </c>
      <c r="M87" s="27">
        <f t="shared" ref="M87:M88" si="91">100000</f>
        <v>100000</v>
      </c>
      <c r="N87" s="27"/>
      <c r="O87" s="62">
        <f t="shared" si="88"/>
        <v>1311.2160000000001</v>
      </c>
      <c r="P87" s="62">
        <v>10000</v>
      </c>
      <c r="Q87" s="62"/>
      <c r="R87" s="36">
        <f t="shared" si="89"/>
        <v>230304.068</v>
      </c>
      <c r="S87" s="36"/>
      <c r="T87" s="36">
        <f>30000+20000</f>
        <v>50000</v>
      </c>
      <c r="U87" s="36">
        <v>0</v>
      </c>
      <c r="V87" s="36"/>
      <c r="W87" s="62">
        <v>1484.37</v>
      </c>
      <c r="X87" s="36">
        <f t="shared" si="84"/>
        <v>51484.37</v>
      </c>
      <c r="Y87" s="36">
        <v>178819.698</v>
      </c>
      <c r="Z87" s="36">
        <f t="shared" si="90"/>
        <v>178819.698</v>
      </c>
    </row>
    <row r="88" spans="1:27" ht="20.100000000000001" customHeight="1">
      <c r="A88" s="3">
        <v>7</v>
      </c>
      <c r="B88" s="214" t="s">
        <v>183</v>
      </c>
      <c r="C88" s="33" t="s">
        <v>184</v>
      </c>
      <c r="D88" s="3" t="s">
        <v>93</v>
      </c>
      <c r="E88" s="62">
        <v>12351.94</v>
      </c>
      <c r="F88" s="62"/>
      <c r="G88" s="62">
        <f t="shared" si="76"/>
        <v>37055.82</v>
      </c>
      <c r="H88" s="62">
        <f t="shared" si="77"/>
        <v>926.39549999999997</v>
      </c>
      <c r="I88" s="62"/>
      <c r="J88" s="62">
        <f t="shared" si="86"/>
        <v>6175.97</v>
      </c>
      <c r="K88" s="62">
        <f t="shared" si="78"/>
        <v>43231.79</v>
      </c>
      <c r="L88" s="62">
        <f t="shared" si="87"/>
        <v>12351.94</v>
      </c>
      <c r="M88" s="27">
        <f t="shared" si="91"/>
        <v>100000</v>
      </c>
      <c r="N88" s="27"/>
      <c r="O88" s="62">
        <f t="shared" si="88"/>
        <v>1235.1940000000002</v>
      </c>
      <c r="P88" s="62">
        <v>10000</v>
      </c>
      <c r="Q88" s="62"/>
      <c r="R88" s="36">
        <f t="shared" si="89"/>
        <v>223329.04949999999</v>
      </c>
      <c r="S88" s="36"/>
      <c r="T88" s="36">
        <f>0</f>
        <v>0</v>
      </c>
      <c r="U88" s="36">
        <f>26666.67</f>
        <v>26666.67</v>
      </c>
      <c r="V88" s="36"/>
      <c r="W88" s="62">
        <v>1484.37</v>
      </c>
      <c r="X88" s="36">
        <f t="shared" si="84"/>
        <v>28151.039999999997</v>
      </c>
      <c r="Y88" s="36">
        <v>195178.00949999999</v>
      </c>
      <c r="Z88" s="36">
        <f t="shared" si="90"/>
        <v>195178.00949999999</v>
      </c>
    </row>
    <row r="89" spans="1:27" ht="20.100000000000001" customHeight="1">
      <c r="A89" s="3"/>
      <c r="B89" s="231" t="s">
        <v>34</v>
      </c>
      <c r="C89" s="30">
        <v>7</v>
      </c>
      <c r="D89" s="30"/>
      <c r="E89" s="92">
        <f>SUM(E82:E88)</f>
        <v>211269.39000000004</v>
      </c>
      <c r="F89" s="92"/>
      <c r="G89" s="92">
        <f t="shared" ref="G89:M89" si="92">SUM(G82:G88)</f>
        <v>633808.16999999993</v>
      </c>
      <c r="H89" s="92">
        <f t="shared" si="92"/>
        <v>15845.204250000001</v>
      </c>
      <c r="I89" s="92">
        <f t="shared" si="92"/>
        <v>160488.76</v>
      </c>
      <c r="J89" s="92">
        <f t="shared" si="92"/>
        <v>105634.69500000002</v>
      </c>
      <c r="K89" s="92">
        <f t="shared" si="92"/>
        <v>739442.86499999999</v>
      </c>
      <c r="L89" s="92">
        <f t="shared" si="92"/>
        <v>211269.39000000004</v>
      </c>
      <c r="M89" s="134">
        <f t="shared" si="92"/>
        <v>940000</v>
      </c>
      <c r="N89" s="134"/>
      <c r="O89" s="92">
        <f>SUM(O82:O88)</f>
        <v>21126.939000000002</v>
      </c>
      <c r="P89" s="92">
        <f>SUM(P82:P88)</f>
        <v>105000</v>
      </c>
      <c r="Q89" s="92">
        <f>SUM(Q82:Q88)</f>
        <v>0</v>
      </c>
      <c r="R89" s="92">
        <f>SUM(R82:R88)</f>
        <v>3143885.4132500007</v>
      </c>
      <c r="S89" s="92"/>
      <c r="T89" s="92">
        <f t="shared" ref="T89:Z89" si="93">SUM(T82:T88)</f>
        <v>350000</v>
      </c>
      <c r="U89" s="92">
        <f t="shared" si="93"/>
        <v>76666.67</v>
      </c>
      <c r="V89" s="92">
        <f t="shared" si="93"/>
        <v>618.53150000000005</v>
      </c>
      <c r="W89" s="92">
        <f t="shared" si="93"/>
        <v>97921.299999999974</v>
      </c>
      <c r="X89" s="92">
        <f t="shared" si="93"/>
        <v>525206.50150000001</v>
      </c>
      <c r="Y89" s="92">
        <f t="shared" si="93"/>
        <v>2618700.1652500001</v>
      </c>
      <c r="Z89" s="92">
        <f t="shared" si="93"/>
        <v>2618678.91175</v>
      </c>
      <c r="AA89" s="107"/>
    </row>
    <row r="90" spans="1:27" ht="20.100000000000001" customHeight="1">
      <c r="A90" s="3"/>
      <c r="B90" s="232"/>
      <c r="C90" s="7"/>
      <c r="D90" s="7"/>
      <c r="E90" s="39"/>
      <c r="F90" s="39"/>
      <c r="G90" s="39"/>
      <c r="H90" s="39"/>
      <c r="I90" s="39"/>
      <c r="J90" s="39"/>
      <c r="K90" s="39"/>
      <c r="L90" s="39"/>
      <c r="M90" s="27"/>
      <c r="N90" s="27"/>
      <c r="O90" s="39"/>
      <c r="P90" s="39"/>
      <c r="Q90" s="39"/>
      <c r="R90" s="63"/>
      <c r="S90" s="63"/>
      <c r="T90" s="63"/>
      <c r="U90" s="63"/>
      <c r="V90" s="63"/>
      <c r="W90" s="39"/>
      <c r="X90" s="36"/>
      <c r="Y90" s="36"/>
      <c r="Z90" s="36"/>
    </row>
    <row r="91" spans="1:27" ht="20.100000000000001" customHeight="1">
      <c r="A91" s="3"/>
      <c r="B91" s="232" t="s">
        <v>185</v>
      </c>
      <c r="C91" s="69"/>
      <c r="D91" s="7"/>
      <c r="E91" s="39"/>
      <c r="F91" s="39"/>
      <c r="G91" s="39"/>
      <c r="H91" s="39"/>
      <c r="I91" s="39"/>
      <c r="J91" s="39"/>
      <c r="K91" s="39"/>
      <c r="L91" s="39"/>
      <c r="M91" s="27"/>
      <c r="N91" s="27"/>
      <c r="O91" s="39"/>
      <c r="P91" s="39"/>
      <c r="Q91" s="39"/>
      <c r="R91" s="63"/>
      <c r="S91" s="63"/>
      <c r="T91" s="63"/>
      <c r="U91" s="63"/>
      <c r="V91" s="63"/>
      <c r="W91" s="39"/>
      <c r="X91" s="36"/>
      <c r="Y91" s="36"/>
      <c r="Z91" s="36"/>
    </row>
    <row r="92" spans="1:27" ht="20.100000000000001" customHeight="1">
      <c r="A92" s="3">
        <v>1</v>
      </c>
      <c r="B92" s="223" t="s">
        <v>186</v>
      </c>
      <c r="C92" s="33" t="s">
        <v>187</v>
      </c>
      <c r="D92" s="3" t="s">
        <v>46</v>
      </c>
      <c r="E92" s="62">
        <v>41157.69</v>
      </c>
      <c r="F92" s="62"/>
      <c r="G92" s="62">
        <f t="shared" ref="G92:G101" si="94">E92*300%</f>
        <v>123473.07</v>
      </c>
      <c r="H92" s="62">
        <f t="shared" ref="H92:H101" si="95">E92*7.5%</f>
        <v>3086.8267500000002</v>
      </c>
      <c r="I92" s="62">
        <v>40122.19</v>
      </c>
      <c r="J92" s="62">
        <f t="shared" ref="J92:J101" si="96">E92*50%</f>
        <v>20578.845000000001</v>
      </c>
      <c r="K92" s="62">
        <f t="shared" ref="K92:K101" si="97">E92*350%</f>
        <v>144051.91500000001</v>
      </c>
      <c r="L92" s="62">
        <f t="shared" ref="L92:L101" si="98">E92*100%</f>
        <v>41157.69</v>
      </c>
      <c r="M92" s="27">
        <f>180000</f>
        <v>180000</v>
      </c>
      <c r="N92" s="27"/>
      <c r="O92" s="62">
        <f t="shared" ref="O92:O101" si="99">E92*10%</f>
        <v>4115.7690000000002</v>
      </c>
      <c r="P92" s="62">
        <v>20000</v>
      </c>
      <c r="Q92" s="62"/>
      <c r="R92" s="36">
        <f t="shared" ref="R92:R100" si="100">SUM(E92:Q92)</f>
        <v>617743.99575</v>
      </c>
      <c r="S92" s="36"/>
      <c r="T92" s="36"/>
      <c r="U92" s="36"/>
      <c r="V92" s="36"/>
      <c r="W92" s="62">
        <f>21618.09</f>
        <v>21618.09</v>
      </c>
      <c r="X92" s="36">
        <f>W92+V92+U92+T92+S92</f>
        <v>21618.09</v>
      </c>
      <c r="Y92" s="36">
        <v>596125.90575000003</v>
      </c>
      <c r="Z92" s="36">
        <f t="shared" ref="Z92:Z101" si="101">R92-X92</f>
        <v>596125.90575000003</v>
      </c>
    </row>
    <row r="93" spans="1:27" ht="20.100000000000001" customHeight="1">
      <c r="A93" s="3">
        <v>2</v>
      </c>
      <c r="B93" s="223" t="s">
        <v>188</v>
      </c>
      <c r="C93" s="33" t="s">
        <v>127</v>
      </c>
      <c r="D93" s="3" t="s">
        <v>54</v>
      </c>
      <c r="E93" s="62">
        <v>33507.5</v>
      </c>
      <c r="F93" s="62"/>
      <c r="G93" s="62">
        <f t="shared" si="94"/>
        <v>100522.5</v>
      </c>
      <c r="H93" s="62">
        <f t="shared" si="95"/>
        <v>2513.0625</v>
      </c>
      <c r="I93" s="62">
        <f>40122.19</f>
        <v>40122.19</v>
      </c>
      <c r="J93" s="62">
        <f t="shared" si="96"/>
        <v>16753.75</v>
      </c>
      <c r="K93" s="62">
        <f t="shared" si="97"/>
        <v>117276.25</v>
      </c>
      <c r="L93" s="62">
        <f t="shared" si="98"/>
        <v>33507.5</v>
      </c>
      <c r="M93" s="27">
        <f>160000</f>
        <v>160000</v>
      </c>
      <c r="N93" s="27"/>
      <c r="O93" s="62">
        <f t="shared" si="99"/>
        <v>3350.75</v>
      </c>
      <c r="P93" s="62">
        <v>20000</v>
      </c>
      <c r="Q93" s="62"/>
      <c r="R93" s="36">
        <f t="shared" si="100"/>
        <v>527553.50249999994</v>
      </c>
      <c r="S93" s="36"/>
      <c r="T93" s="36"/>
      <c r="U93" s="36"/>
      <c r="V93" s="36"/>
      <c r="W93" s="62">
        <f>15548.33</f>
        <v>15548.33</v>
      </c>
      <c r="X93" s="36">
        <f t="shared" ref="X93:X101" si="102">W93+V93+U93+T93+S93</f>
        <v>15548.33</v>
      </c>
      <c r="Y93" s="36">
        <v>512005.17249999993</v>
      </c>
      <c r="Z93" s="36">
        <f t="shared" si="101"/>
        <v>512005.17249999993</v>
      </c>
    </row>
    <row r="94" spans="1:27" ht="20.100000000000001" customHeight="1">
      <c r="A94" s="3">
        <v>3</v>
      </c>
      <c r="B94" s="223" t="s">
        <v>189</v>
      </c>
      <c r="C94" s="33" t="s">
        <v>127</v>
      </c>
      <c r="D94" s="3" t="s">
        <v>54</v>
      </c>
      <c r="E94" s="62">
        <v>33507.5</v>
      </c>
      <c r="F94" s="62"/>
      <c r="G94" s="62">
        <f>E94*300%</f>
        <v>100522.5</v>
      </c>
      <c r="H94" s="62">
        <f>E94*7.5%</f>
        <v>2513.0625</v>
      </c>
      <c r="I94" s="62">
        <f>40122.19</f>
        <v>40122.19</v>
      </c>
      <c r="J94" s="62">
        <f>E94*50%</f>
        <v>16753.75</v>
      </c>
      <c r="K94" s="62">
        <f>E94*350%</f>
        <v>117276.25</v>
      </c>
      <c r="L94" s="62">
        <f>E94*100%</f>
        <v>33507.5</v>
      </c>
      <c r="M94" s="27">
        <f>160000</f>
        <v>160000</v>
      </c>
      <c r="N94" s="27"/>
      <c r="O94" s="62">
        <f>E94*10%</f>
        <v>3350.75</v>
      </c>
      <c r="P94" s="62">
        <v>20000</v>
      </c>
      <c r="Q94" s="62"/>
      <c r="R94" s="36">
        <f>SUM(E94:Q94)</f>
        <v>527553.50249999994</v>
      </c>
      <c r="S94" s="36"/>
      <c r="T94" s="36">
        <f>30000</f>
        <v>30000</v>
      </c>
      <c r="U94" s="36">
        <f>98750</f>
        <v>98750</v>
      </c>
      <c r="V94" s="36">
        <f>'[2]April 2022'!$H$37</f>
        <v>837.6875</v>
      </c>
      <c r="W94" s="62">
        <f>15548.33</f>
        <v>15548.33</v>
      </c>
      <c r="X94" s="36">
        <f t="shared" si="102"/>
        <v>145136.01750000002</v>
      </c>
      <c r="Y94" s="36">
        <v>382448.59249999991</v>
      </c>
      <c r="Z94" s="36">
        <f>R94-X94</f>
        <v>382417.48499999993</v>
      </c>
    </row>
    <row r="95" spans="1:27" ht="20.100000000000001" customHeight="1">
      <c r="A95" s="3">
        <v>4</v>
      </c>
      <c r="B95" s="224" t="s">
        <v>190</v>
      </c>
      <c r="C95" s="33" t="s">
        <v>135</v>
      </c>
      <c r="D95" s="3" t="s">
        <v>191</v>
      </c>
      <c r="E95" s="62">
        <v>27611.23</v>
      </c>
      <c r="F95" s="62"/>
      <c r="G95" s="62">
        <f>E95*300%</f>
        <v>82833.69</v>
      </c>
      <c r="H95" s="62">
        <f>E95*7.5%</f>
        <v>2070.8422499999997</v>
      </c>
      <c r="I95" s="62"/>
      <c r="J95" s="62">
        <f>E95*50%</f>
        <v>13805.615</v>
      </c>
      <c r="K95" s="36">
        <f>E95*350%</f>
        <v>96639.304999999993</v>
      </c>
      <c r="L95" s="62">
        <f>E95*100%</f>
        <v>27611.23</v>
      </c>
      <c r="M95" s="27">
        <v>140000</v>
      </c>
      <c r="N95" s="27"/>
      <c r="O95" s="62">
        <f>E95*10%</f>
        <v>2761.123</v>
      </c>
      <c r="P95" s="62">
        <v>20000</v>
      </c>
      <c r="Q95" s="62">
        <v>0</v>
      </c>
      <c r="R95" s="26">
        <f>SUM(E95:Q95)</f>
        <v>413333.03525000007</v>
      </c>
      <c r="S95" s="26"/>
      <c r="T95" s="36">
        <f>20000</f>
        <v>20000</v>
      </c>
      <c r="U95" s="36">
        <f>163103.59</f>
        <v>163103.59</v>
      </c>
      <c r="V95" s="36">
        <f>'[2]April 2022'!$H$44</f>
        <v>690.28075000000001</v>
      </c>
      <c r="W95" s="36">
        <f>7709.76</f>
        <v>7709.76</v>
      </c>
      <c r="X95" s="36">
        <f t="shared" si="102"/>
        <v>191503.63075000001</v>
      </c>
      <c r="Y95" s="26">
        <v>221851.36900000006</v>
      </c>
      <c r="Z95" s="26">
        <f>R95-X95</f>
        <v>221829.40450000006</v>
      </c>
    </row>
    <row r="96" spans="1:27" ht="20.100000000000001" customHeight="1">
      <c r="A96" s="3">
        <v>5</v>
      </c>
      <c r="B96" s="225" t="s">
        <v>192</v>
      </c>
      <c r="C96" s="33" t="s">
        <v>131</v>
      </c>
      <c r="D96" s="3" t="s">
        <v>66</v>
      </c>
      <c r="E96" s="26">
        <v>26732.65</v>
      </c>
      <c r="F96" s="62"/>
      <c r="G96" s="26">
        <f t="shared" si="94"/>
        <v>80197.950000000012</v>
      </c>
      <c r="H96" s="26">
        <f t="shared" si="95"/>
        <v>2004.94875</v>
      </c>
      <c r="I96" s="26"/>
      <c r="J96" s="26">
        <f t="shared" si="96"/>
        <v>13366.325000000001</v>
      </c>
      <c r="K96" s="26">
        <f t="shared" si="97"/>
        <v>93564.275000000009</v>
      </c>
      <c r="L96" s="26">
        <f t="shared" si="98"/>
        <v>26732.65</v>
      </c>
      <c r="M96" s="27">
        <v>140000</v>
      </c>
      <c r="N96" s="27"/>
      <c r="O96" s="26">
        <f t="shared" si="99"/>
        <v>2673.2650000000003</v>
      </c>
      <c r="P96" s="26">
        <v>20000</v>
      </c>
      <c r="Q96" s="26"/>
      <c r="R96" s="36">
        <f t="shared" si="100"/>
        <v>405272.06374999997</v>
      </c>
      <c r="S96" s="36"/>
      <c r="T96" s="24">
        <f>50000</f>
        <v>50000</v>
      </c>
      <c r="U96" s="42">
        <f>79861.11</f>
        <v>79861.11</v>
      </c>
      <c r="V96" s="24"/>
      <c r="W96" s="36">
        <f t="shared" si="18"/>
        <v>7709.76</v>
      </c>
      <c r="X96" s="36">
        <f t="shared" si="102"/>
        <v>137570.87</v>
      </c>
      <c r="Y96" s="36">
        <v>267701.19374999998</v>
      </c>
      <c r="Z96" s="36">
        <f t="shared" si="101"/>
        <v>267701.19374999998</v>
      </c>
    </row>
    <row r="97" spans="1:27" ht="20.100000000000001" customHeight="1">
      <c r="A97" s="3">
        <v>6</v>
      </c>
      <c r="B97" s="225" t="s">
        <v>193</v>
      </c>
      <c r="C97" s="33" t="s">
        <v>131</v>
      </c>
      <c r="D97" s="3" t="s">
        <v>194</v>
      </c>
      <c r="E97" s="26">
        <f>24975.81</f>
        <v>24975.81</v>
      </c>
      <c r="F97" s="62"/>
      <c r="G97" s="26">
        <f t="shared" si="94"/>
        <v>74927.430000000008</v>
      </c>
      <c r="H97" s="26">
        <f t="shared" si="95"/>
        <v>1873.1857500000001</v>
      </c>
      <c r="I97" s="26"/>
      <c r="J97" s="26">
        <f t="shared" si="96"/>
        <v>12487.905000000001</v>
      </c>
      <c r="K97" s="26">
        <f t="shared" si="97"/>
        <v>87415.335000000006</v>
      </c>
      <c r="L97" s="26">
        <f t="shared" si="98"/>
        <v>24975.81</v>
      </c>
      <c r="M97" s="27">
        <v>140000</v>
      </c>
      <c r="N97" s="27"/>
      <c r="O97" s="26">
        <f t="shared" si="99"/>
        <v>2497.5810000000001</v>
      </c>
      <c r="P97" s="26">
        <v>20000</v>
      </c>
      <c r="Q97" s="26"/>
      <c r="R97" s="36">
        <f>SUM(E97:Q97)*12/30</f>
        <v>155661.22269999998</v>
      </c>
      <c r="S97" s="36"/>
      <c r="T97" s="24"/>
      <c r="U97" s="42"/>
      <c r="V97" s="24"/>
      <c r="W97" s="36">
        <f t="shared" si="18"/>
        <v>7709.76</v>
      </c>
      <c r="X97" s="36">
        <f t="shared" si="102"/>
        <v>7709.76</v>
      </c>
      <c r="Y97" s="36"/>
      <c r="Z97" s="36">
        <f t="shared" si="101"/>
        <v>147951.46269999997</v>
      </c>
    </row>
    <row r="98" spans="1:27" ht="21.6" customHeight="1">
      <c r="A98" s="3">
        <v>7</v>
      </c>
      <c r="B98" s="226" t="s">
        <v>195</v>
      </c>
      <c r="C98" s="33" t="s">
        <v>140</v>
      </c>
      <c r="D98" s="66" t="s">
        <v>98</v>
      </c>
      <c r="E98" s="62">
        <v>24741.26</v>
      </c>
      <c r="F98" s="62"/>
      <c r="G98" s="62">
        <f t="shared" si="94"/>
        <v>74223.78</v>
      </c>
      <c r="H98" s="62">
        <f t="shared" si="95"/>
        <v>1855.5944999999997</v>
      </c>
      <c r="I98" s="62">
        <v>0</v>
      </c>
      <c r="J98" s="62">
        <f t="shared" si="96"/>
        <v>12370.63</v>
      </c>
      <c r="K98" s="36">
        <f t="shared" si="97"/>
        <v>86594.409999999989</v>
      </c>
      <c r="L98" s="62">
        <f t="shared" si="98"/>
        <v>24741.26</v>
      </c>
      <c r="M98" s="27">
        <f>120000</f>
        <v>120000</v>
      </c>
      <c r="N98" s="27"/>
      <c r="O98" s="62">
        <f t="shared" si="99"/>
        <v>2474.1260000000002</v>
      </c>
      <c r="P98" s="62">
        <v>15000</v>
      </c>
      <c r="Q98" s="62">
        <v>0</v>
      </c>
      <c r="R98" s="36">
        <f t="shared" si="100"/>
        <v>362001.06049999996</v>
      </c>
      <c r="S98" s="36"/>
      <c r="T98" s="36">
        <f>50000</f>
        <v>50000</v>
      </c>
      <c r="U98" s="36"/>
      <c r="V98" s="36"/>
      <c r="W98" s="62">
        <f>7709.76</f>
        <v>7709.76</v>
      </c>
      <c r="X98" s="36">
        <f t="shared" si="102"/>
        <v>57709.760000000002</v>
      </c>
      <c r="Y98" s="36">
        <v>257624.65049999999</v>
      </c>
      <c r="Z98" s="36">
        <f t="shared" si="101"/>
        <v>304291.30049999995</v>
      </c>
    </row>
    <row r="99" spans="1:27" ht="21.6" customHeight="1">
      <c r="A99" s="3">
        <v>8</v>
      </c>
      <c r="B99" s="223" t="s">
        <v>196</v>
      </c>
      <c r="C99" s="61" t="s">
        <v>137</v>
      </c>
      <c r="D99" s="66" t="s">
        <v>79</v>
      </c>
      <c r="E99" s="62">
        <v>23891.119999999999</v>
      </c>
      <c r="F99" s="62"/>
      <c r="G99" s="62">
        <f t="shared" si="94"/>
        <v>71673.36</v>
      </c>
      <c r="H99" s="62">
        <f t="shared" si="95"/>
        <v>1791.8339999999998</v>
      </c>
      <c r="I99" s="62">
        <v>0</v>
      </c>
      <c r="J99" s="62">
        <f t="shared" si="96"/>
        <v>11945.56</v>
      </c>
      <c r="K99" s="36">
        <f t="shared" si="97"/>
        <v>83618.92</v>
      </c>
      <c r="L99" s="62">
        <f t="shared" si="98"/>
        <v>23891.119999999999</v>
      </c>
      <c r="M99" s="27">
        <f t="shared" ref="M99:M100" si="103">120000</f>
        <v>120000</v>
      </c>
      <c r="N99" s="27"/>
      <c r="O99" s="62">
        <f t="shared" si="99"/>
        <v>2389.1120000000001</v>
      </c>
      <c r="P99" s="62">
        <v>15000</v>
      </c>
      <c r="Q99" s="62">
        <v>0</v>
      </c>
      <c r="R99" s="36">
        <f t="shared" si="100"/>
        <v>354201.02600000001</v>
      </c>
      <c r="S99" s="36"/>
      <c r="T99" s="36"/>
      <c r="U99" s="36"/>
      <c r="V99" s="36"/>
      <c r="W99" s="62">
        <f t="shared" si="19"/>
        <v>7709.76</v>
      </c>
      <c r="X99" s="36">
        <f t="shared" si="102"/>
        <v>7709.76</v>
      </c>
      <c r="Y99" s="36">
        <v>227229.11600000004</v>
      </c>
      <c r="Z99" s="36">
        <f t="shared" si="101"/>
        <v>346491.266</v>
      </c>
    </row>
    <row r="100" spans="1:27" ht="21.6" customHeight="1">
      <c r="A100" s="3">
        <v>9</v>
      </c>
      <c r="B100" s="223" t="s">
        <v>197</v>
      </c>
      <c r="C100" s="61" t="s">
        <v>137</v>
      </c>
      <c r="D100" s="66" t="s">
        <v>79</v>
      </c>
      <c r="E100" s="62">
        <v>23891.119999999999</v>
      </c>
      <c r="F100" s="62"/>
      <c r="G100" s="62">
        <f t="shared" si="94"/>
        <v>71673.36</v>
      </c>
      <c r="H100" s="62">
        <f t="shared" si="95"/>
        <v>1791.8339999999998</v>
      </c>
      <c r="I100" s="62">
        <v>0</v>
      </c>
      <c r="J100" s="62">
        <f t="shared" si="96"/>
        <v>11945.56</v>
      </c>
      <c r="K100" s="36">
        <f t="shared" si="97"/>
        <v>83618.92</v>
      </c>
      <c r="L100" s="62">
        <f t="shared" si="98"/>
        <v>23891.119999999999</v>
      </c>
      <c r="M100" s="27">
        <f t="shared" si="103"/>
        <v>120000</v>
      </c>
      <c r="N100" s="27"/>
      <c r="O100" s="62">
        <f t="shared" si="99"/>
        <v>2389.1120000000001</v>
      </c>
      <c r="P100" s="62">
        <v>15000</v>
      </c>
      <c r="Q100" s="62">
        <v>0</v>
      </c>
      <c r="R100" s="36">
        <f t="shared" si="100"/>
        <v>354201.02600000001</v>
      </c>
      <c r="S100" s="36"/>
      <c r="T100" s="36">
        <f>100000</f>
        <v>100000</v>
      </c>
      <c r="U100" s="36"/>
      <c r="V100" s="36"/>
      <c r="W100" s="62">
        <f t="shared" si="19"/>
        <v>7709.76</v>
      </c>
      <c r="X100" s="36">
        <f t="shared" si="102"/>
        <v>107709.75999999999</v>
      </c>
      <c r="Y100" s="36">
        <v>246491.266</v>
      </c>
      <c r="Z100" s="36">
        <f t="shared" si="101"/>
        <v>246491.266</v>
      </c>
    </row>
    <row r="101" spans="1:27" ht="21.6" customHeight="1">
      <c r="A101" s="3">
        <v>10</v>
      </c>
      <c r="B101" s="223" t="s">
        <v>198</v>
      </c>
      <c r="C101" s="47" t="s">
        <v>161</v>
      </c>
      <c r="D101" s="66" t="s">
        <v>163</v>
      </c>
      <c r="E101" s="62">
        <f>20749</f>
        <v>20749</v>
      </c>
      <c r="F101" s="62"/>
      <c r="G101" s="62">
        <f t="shared" si="94"/>
        <v>62247</v>
      </c>
      <c r="H101" s="62">
        <f t="shared" si="95"/>
        <v>1556.175</v>
      </c>
      <c r="I101" s="62">
        <v>0</v>
      </c>
      <c r="J101" s="62">
        <f t="shared" si="96"/>
        <v>10374.5</v>
      </c>
      <c r="K101" s="36">
        <f t="shared" si="97"/>
        <v>72621.5</v>
      </c>
      <c r="L101" s="62">
        <f t="shared" si="98"/>
        <v>20749</v>
      </c>
      <c r="M101" s="27">
        <f t="shared" ref="M101" si="104">110000</f>
        <v>110000</v>
      </c>
      <c r="N101" s="27"/>
      <c r="O101" s="62">
        <f t="shared" si="99"/>
        <v>2074.9</v>
      </c>
      <c r="P101" s="62">
        <v>15000</v>
      </c>
      <c r="Q101" s="62">
        <v>0</v>
      </c>
      <c r="R101" s="36">
        <f>SUM(E101:Q101)*9/30</f>
        <v>94611.622500000012</v>
      </c>
      <c r="S101" s="36"/>
      <c r="T101" s="36"/>
      <c r="U101" s="36"/>
      <c r="V101" s="36"/>
      <c r="W101" s="62">
        <f t="shared" ref="W101" si="105">3369.51</f>
        <v>3369.51</v>
      </c>
      <c r="X101" s="26">
        <f t="shared" si="102"/>
        <v>3369.51</v>
      </c>
      <c r="Y101" s="36"/>
      <c r="Z101" s="36">
        <f t="shared" si="101"/>
        <v>91242.112500000017</v>
      </c>
    </row>
    <row r="102" spans="1:27" ht="20.100000000000001" customHeight="1">
      <c r="A102" s="3"/>
      <c r="B102" s="228" t="s">
        <v>34</v>
      </c>
      <c r="C102" s="7">
        <v>10</v>
      </c>
      <c r="D102" s="7"/>
      <c r="E102" s="95">
        <f>SUM(E92:E101)</f>
        <v>280764.88</v>
      </c>
      <c r="F102" s="95"/>
      <c r="G102" s="95">
        <f t="shared" ref="G102:M102" si="106">SUM(G92:G101)</f>
        <v>842294.64</v>
      </c>
      <c r="H102" s="95">
        <f t="shared" si="106"/>
        <v>21057.365999999998</v>
      </c>
      <c r="I102" s="95">
        <f t="shared" si="106"/>
        <v>120366.57</v>
      </c>
      <c r="J102" s="95">
        <f t="shared" si="106"/>
        <v>140382.44</v>
      </c>
      <c r="K102" s="95">
        <f t="shared" si="106"/>
        <v>982677.08000000007</v>
      </c>
      <c r="L102" s="95">
        <f t="shared" si="106"/>
        <v>280764.88</v>
      </c>
      <c r="M102" s="134">
        <f t="shared" si="106"/>
        <v>1390000</v>
      </c>
      <c r="N102" s="134"/>
      <c r="O102" s="95">
        <f>SUM(O92:O101)</f>
        <v>28076.488000000001</v>
      </c>
      <c r="P102" s="95">
        <f>SUM(P92:P101)</f>
        <v>180000</v>
      </c>
      <c r="Q102" s="95">
        <f>SUM(Q92:Q101)</f>
        <v>0</v>
      </c>
      <c r="R102" s="95">
        <f>SUM(R92:R101)</f>
        <v>3812132.0574500002</v>
      </c>
      <c r="S102" s="95"/>
      <c r="T102" s="95">
        <f t="shared" ref="T102:Z102" si="107">SUM(T92:T101)</f>
        <v>250000</v>
      </c>
      <c r="U102" s="95">
        <f t="shared" si="107"/>
        <v>341714.7</v>
      </c>
      <c r="V102" s="95">
        <f t="shared" si="107"/>
        <v>1527.9682499999999</v>
      </c>
      <c r="W102" s="95">
        <f t="shared" si="107"/>
        <v>102342.81999999998</v>
      </c>
      <c r="X102" s="95">
        <f t="shared" si="107"/>
        <v>695585.48825000005</v>
      </c>
      <c r="Y102" s="95">
        <f t="shared" si="107"/>
        <v>2711477.2659999998</v>
      </c>
      <c r="Z102" s="95">
        <f t="shared" si="107"/>
        <v>3116546.5691999993</v>
      </c>
      <c r="AA102" s="107"/>
    </row>
    <row r="103" spans="1:27" ht="20.100000000000001" customHeight="1">
      <c r="A103" s="3"/>
      <c r="B103" s="216"/>
      <c r="C103" s="7"/>
      <c r="D103" s="7"/>
      <c r="E103" s="39"/>
      <c r="F103" s="39"/>
      <c r="G103" s="39"/>
      <c r="H103" s="39"/>
      <c r="I103" s="39"/>
      <c r="J103" s="39"/>
      <c r="K103" s="39"/>
      <c r="L103" s="39"/>
      <c r="M103" s="27"/>
      <c r="N103" s="27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7" ht="20.100000000000001" customHeight="1">
      <c r="A104" s="3"/>
      <c r="B104" s="228" t="s">
        <v>199</v>
      </c>
      <c r="C104" s="7"/>
      <c r="D104" s="7"/>
      <c r="E104" s="39"/>
      <c r="F104" s="39"/>
      <c r="G104" s="39"/>
      <c r="H104" s="39"/>
      <c r="I104" s="39"/>
      <c r="J104" s="39"/>
      <c r="K104" s="39"/>
      <c r="L104" s="39"/>
      <c r="M104" s="27"/>
      <c r="N104" s="27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7" ht="20.100000000000001" customHeight="1">
      <c r="A105" s="3">
        <v>1</v>
      </c>
      <c r="B105" s="214" t="s">
        <v>200</v>
      </c>
      <c r="C105" s="3" t="s">
        <v>201</v>
      </c>
      <c r="D105" s="66" t="s">
        <v>46</v>
      </c>
      <c r="E105" s="62">
        <v>41157.69</v>
      </c>
      <c r="F105" s="62"/>
      <c r="G105" s="62">
        <f t="shared" ref="G105" si="108">E105*300%</f>
        <v>123473.07</v>
      </c>
      <c r="H105" s="62">
        <f t="shared" ref="H105" si="109">E105*7.5%</f>
        <v>3086.8267500000002</v>
      </c>
      <c r="I105" s="62">
        <v>40122.19</v>
      </c>
      <c r="J105" s="62">
        <f t="shared" ref="J105" si="110">E105*50%</f>
        <v>20578.845000000001</v>
      </c>
      <c r="K105" s="62">
        <f t="shared" ref="K105" si="111">E105*350%</f>
        <v>144051.91500000001</v>
      </c>
      <c r="L105" s="62">
        <f t="shared" ref="L105" si="112">E105*100%</f>
        <v>41157.69</v>
      </c>
      <c r="M105" s="27"/>
      <c r="N105" s="27">
        <f>90000</f>
        <v>90000</v>
      </c>
      <c r="O105" s="62">
        <f t="shared" ref="O105" si="113">E105*10%</f>
        <v>4115.7690000000002</v>
      </c>
      <c r="P105" s="62">
        <v>20000</v>
      </c>
      <c r="Q105" s="62"/>
      <c r="R105" s="36">
        <f>SUM(E105:Q105)</f>
        <v>527743.99575</v>
      </c>
      <c r="S105" s="36"/>
      <c r="T105" s="36"/>
      <c r="U105" s="36">
        <f>0</f>
        <v>0</v>
      </c>
      <c r="V105" s="36"/>
      <c r="W105" s="62">
        <f>21618.09</f>
        <v>21618.09</v>
      </c>
      <c r="X105" s="36">
        <f t="shared" ref="X105" si="114">W105+V105+U105+T105+S105</f>
        <v>21618.09</v>
      </c>
      <c r="Y105" s="36">
        <v>506125.90574999998</v>
      </c>
      <c r="Z105" s="36">
        <f t="shared" ref="Z105" si="115">R105-X105</f>
        <v>506125.90574999998</v>
      </c>
    </row>
    <row r="106" spans="1:27" ht="20.100000000000001" customHeight="1">
      <c r="A106" s="3">
        <v>2</v>
      </c>
      <c r="B106" s="225" t="s">
        <v>202</v>
      </c>
      <c r="C106" s="20" t="s">
        <v>203</v>
      </c>
      <c r="D106" s="29" t="s">
        <v>66</v>
      </c>
      <c r="E106" s="26">
        <v>26732.65</v>
      </c>
      <c r="F106" s="62"/>
      <c r="G106" s="26">
        <f>E106*300%</f>
        <v>80197.950000000012</v>
      </c>
      <c r="H106" s="26">
        <f>E106*7.5%</f>
        <v>2004.94875</v>
      </c>
      <c r="I106" s="26"/>
      <c r="J106" s="26">
        <f>E106*50%</f>
        <v>13366.325000000001</v>
      </c>
      <c r="K106" s="26">
        <f>E106*350%</f>
        <v>93564.275000000009</v>
      </c>
      <c r="L106" s="26">
        <f>E106*100%</f>
        <v>26732.65</v>
      </c>
      <c r="M106" s="27"/>
      <c r="N106" s="27">
        <f>70000</f>
        <v>70000</v>
      </c>
      <c r="O106" s="26">
        <f>E106*10%</f>
        <v>2673.2650000000003</v>
      </c>
      <c r="P106" s="26">
        <v>20000</v>
      </c>
      <c r="Q106" s="26"/>
      <c r="R106" s="36">
        <f>SUM(E106:Q106)</f>
        <v>335272.06374999997</v>
      </c>
      <c r="S106" s="36"/>
      <c r="T106" s="24"/>
      <c r="U106" s="24"/>
      <c r="V106" s="24">
        <f>'[2]April 2022'!$H$54</f>
        <v>668.31625000000008</v>
      </c>
      <c r="W106" s="36">
        <f t="shared" si="18"/>
        <v>7709.76</v>
      </c>
      <c r="X106" s="36">
        <f>W106+V106+U106+T106+S106</f>
        <v>8378.0762500000001</v>
      </c>
      <c r="Y106" s="36">
        <v>326915.95374999999</v>
      </c>
      <c r="Z106" s="36">
        <f>R106-X106</f>
        <v>326893.98749999999</v>
      </c>
      <c r="AA106" s="34"/>
    </row>
    <row r="107" spans="1:27" ht="20.100000000000001" customHeight="1">
      <c r="A107" s="3">
        <v>3</v>
      </c>
      <c r="B107" s="215" t="s">
        <v>204</v>
      </c>
      <c r="C107" s="20" t="s">
        <v>205</v>
      </c>
      <c r="D107" s="66" t="s">
        <v>79</v>
      </c>
      <c r="E107" s="62">
        <v>23891.119999999999</v>
      </c>
      <c r="F107" s="62"/>
      <c r="G107" s="62">
        <f t="shared" ref="G107" si="116">E107*300%</f>
        <v>71673.36</v>
      </c>
      <c r="H107" s="62">
        <f t="shared" ref="H107" si="117">E107*7.5%</f>
        <v>1791.8339999999998</v>
      </c>
      <c r="I107" s="36">
        <v>0</v>
      </c>
      <c r="J107" s="62">
        <f t="shared" ref="J107" si="118">E107*50%</f>
        <v>11945.56</v>
      </c>
      <c r="K107" s="36">
        <f t="shared" ref="K107" si="119">E107*350%</f>
        <v>83618.92</v>
      </c>
      <c r="L107" s="62">
        <f t="shared" ref="L107" si="120">E107*100%</f>
        <v>23891.119999999999</v>
      </c>
      <c r="M107" s="27"/>
      <c r="N107" s="27">
        <v>70000</v>
      </c>
      <c r="O107" s="62">
        <f t="shared" ref="O107" si="121">E107*10%</f>
        <v>2389.1120000000001</v>
      </c>
      <c r="P107" s="62">
        <v>15000</v>
      </c>
      <c r="Q107" s="62">
        <v>0</v>
      </c>
      <c r="R107" s="36">
        <f t="shared" ref="R107" si="122">SUM(E107:Q107)</f>
        <v>304201.02600000001</v>
      </c>
      <c r="S107" s="36"/>
      <c r="T107" s="36"/>
      <c r="U107" s="36"/>
      <c r="V107" s="36"/>
      <c r="W107" s="62">
        <f>7709.76</f>
        <v>7709.76</v>
      </c>
      <c r="X107" s="36">
        <f t="shared" ref="X107" si="123">W107+V107+U107+T107+S107</f>
        <v>7709.76</v>
      </c>
      <c r="Y107" s="36">
        <v>296491.266</v>
      </c>
      <c r="Z107" s="36">
        <f t="shared" ref="Z107" si="124">R107-X107</f>
        <v>296491.266</v>
      </c>
      <c r="AA107" s="34"/>
    </row>
    <row r="108" spans="1:27" ht="20.100000000000001" customHeight="1">
      <c r="A108" s="3">
        <v>4</v>
      </c>
      <c r="B108" s="223" t="s">
        <v>206</v>
      </c>
      <c r="C108" s="33" t="s">
        <v>207</v>
      </c>
      <c r="D108" s="66" t="s">
        <v>208</v>
      </c>
      <c r="E108" s="26">
        <v>19276.95</v>
      </c>
      <c r="F108" s="62"/>
      <c r="G108" s="62">
        <f>E108*300%</f>
        <v>57830.850000000006</v>
      </c>
      <c r="H108" s="62">
        <f>E108*7.5%</f>
        <v>1445.77125</v>
      </c>
      <c r="I108" s="62"/>
      <c r="J108" s="62">
        <f>E108*50%</f>
        <v>9638.4750000000004</v>
      </c>
      <c r="K108" s="36">
        <f>E108*350%</f>
        <v>67469.324999999997</v>
      </c>
      <c r="L108" s="26">
        <f>E108*100%</f>
        <v>19276.95</v>
      </c>
      <c r="M108" s="27"/>
      <c r="N108" s="27">
        <f>60000</f>
        <v>60000</v>
      </c>
      <c r="O108" s="62">
        <f>E108*10%</f>
        <v>1927.6950000000002</v>
      </c>
      <c r="P108" s="62">
        <v>10000</v>
      </c>
      <c r="Q108" s="62"/>
      <c r="R108" s="36">
        <f>SUM(E108:Q108)</f>
        <v>246866.01625000004</v>
      </c>
      <c r="S108" s="36"/>
      <c r="T108" s="36">
        <f>5000</f>
        <v>5000</v>
      </c>
      <c r="U108" s="36">
        <f>64806.29</f>
        <v>64806.29</v>
      </c>
      <c r="V108" s="36"/>
      <c r="W108" s="62">
        <v>3369.51</v>
      </c>
      <c r="X108" s="36">
        <f>W108+V108+U108+T108+S108</f>
        <v>73175.8</v>
      </c>
      <c r="Y108" s="36">
        <v>173690.21625000006</v>
      </c>
      <c r="Z108" s="36">
        <f>R108-X108</f>
        <v>173690.21625000006</v>
      </c>
      <c r="AA108" s="34"/>
    </row>
    <row r="109" spans="1:27" ht="20.100000000000001" customHeight="1">
      <c r="A109" s="33"/>
      <c r="B109" s="228" t="s">
        <v>34</v>
      </c>
      <c r="C109" s="7">
        <v>4</v>
      </c>
      <c r="D109" s="91"/>
      <c r="E109" s="92">
        <v>111058.40999999999</v>
      </c>
      <c r="F109" s="92"/>
      <c r="G109" s="92">
        <f t="shared" ref="G109:L109" si="125">SUM(G105:G108)</f>
        <v>333175.23</v>
      </c>
      <c r="H109" s="92">
        <f t="shared" si="125"/>
        <v>8329.3807500000003</v>
      </c>
      <c r="I109" s="92">
        <f t="shared" si="125"/>
        <v>40122.19</v>
      </c>
      <c r="J109" s="92">
        <f t="shared" si="125"/>
        <v>55529.204999999994</v>
      </c>
      <c r="K109" s="92">
        <f t="shared" si="125"/>
        <v>388704.435</v>
      </c>
      <c r="L109" s="92">
        <f t="shared" si="125"/>
        <v>111058.40999999999</v>
      </c>
      <c r="M109" s="134"/>
      <c r="N109" s="134">
        <f>SUM(N105:N108)</f>
        <v>290000</v>
      </c>
      <c r="O109" s="92">
        <f>SUM(O105:O108)</f>
        <v>11105.841</v>
      </c>
      <c r="P109" s="92">
        <f>SUM(P105:P108)</f>
        <v>65000</v>
      </c>
      <c r="Q109" s="92">
        <f>SUM(Q105:Q108)</f>
        <v>0</v>
      </c>
      <c r="R109" s="92">
        <f>SUM(R105:R108)</f>
        <v>1414083.1017500001</v>
      </c>
      <c r="S109" s="92"/>
      <c r="T109" s="92">
        <f t="shared" ref="T109:Z109" si="126">SUM(T105:T108)</f>
        <v>5000</v>
      </c>
      <c r="U109" s="92">
        <f t="shared" si="126"/>
        <v>64806.29</v>
      </c>
      <c r="V109" s="92">
        <f t="shared" si="126"/>
        <v>668.31625000000008</v>
      </c>
      <c r="W109" s="92">
        <f t="shared" si="126"/>
        <v>40407.120000000003</v>
      </c>
      <c r="X109" s="92">
        <f t="shared" si="126"/>
        <v>110881.72625000001</v>
      </c>
      <c r="Y109" s="92">
        <v>1303223.3417500001</v>
      </c>
      <c r="Z109" s="92">
        <f t="shared" si="126"/>
        <v>1303201.3755000001</v>
      </c>
      <c r="AA109" s="34"/>
    </row>
    <row r="110" spans="1:27" ht="20.100000000000001" customHeight="1">
      <c r="A110" s="33"/>
      <c r="B110" s="216"/>
      <c r="C110" s="7"/>
      <c r="D110" s="91"/>
      <c r="E110" s="31"/>
      <c r="F110" s="31"/>
      <c r="G110" s="31"/>
      <c r="H110" s="31"/>
      <c r="I110" s="31"/>
      <c r="J110" s="31"/>
      <c r="K110" s="31"/>
      <c r="L110" s="31"/>
      <c r="M110" s="27"/>
      <c r="N110" s="27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7" ht="20.100000000000001" customHeight="1">
      <c r="A111" s="33"/>
      <c r="B111" s="228" t="s">
        <v>209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27"/>
      <c r="N111" s="27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7" ht="20.100000000000001" customHeight="1">
      <c r="A112" s="33">
        <v>1</v>
      </c>
      <c r="B112" s="223" t="s">
        <v>210</v>
      </c>
      <c r="C112" s="61" t="s">
        <v>211</v>
      </c>
      <c r="D112" s="66" t="s">
        <v>43</v>
      </c>
      <c r="E112" s="62">
        <v>81740.02</v>
      </c>
      <c r="F112" s="62"/>
      <c r="G112" s="62">
        <f>E112*300%</f>
        <v>245220.06</v>
      </c>
      <c r="H112" s="62">
        <f>E112*7.5%</f>
        <v>6130.5015000000003</v>
      </c>
      <c r="I112" s="62">
        <v>80244.38</v>
      </c>
      <c r="J112" s="62">
        <f>E112*50%</f>
        <v>40870.01</v>
      </c>
      <c r="K112" s="62">
        <f>E112*350%</f>
        <v>286090.07</v>
      </c>
      <c r="L112" s="62">
        <f>E112*100%</f>
        <v>81740.02</v>
      </c>
      <c r="M112" s="27">
        <f>200000</f>
        <v>200000</v>
      </c>
      <c r="N112" s="27"/>
      <c r="O112" s="62">
        <f>E112*10%</f>
        <v>8174.0020000000004</v>
      </c>
      <c r="P112" s="62">
        <v>20000</v>
      </c>
      <c r="Q112" s="62">
        <v>0</v>
      </c>
      <c r="R112" s="36">
        <f>SUM(E112:Q112)</f>
        <v>1050209.0635000002</v>
      </c>
      <c r="S112" s="36"/>
      <c r="T112" s="36">
        <f>100000</f>
        <v>100000</v>
      </c>
      <c r="U112" s="36">
        <v>0</v>
      </c>
      <c r="V112" s="36">
        <v>0</v>
      </c>
      <c r="W112" s="62">
        <f>52776.63</f>
        <v>52776.63</v>
      </c>
      <c r="X112" s="36">
        <f>W112+V112+U112+T112+S112</f>
        <v>152776.63</v>
      </c>
      <c r="Y112" s="36">
        <v>897432.43350000016</v>
      </c>
      <c r="Z112" s="36">
        <f>R112-X112</f>
        <v>897432.43350000016</v>
      </c>
    </row>
    <row r="113" spans="1:27" ht="20.100000000000001" customHeight="1">
      <c r="A113" s="33">
        <v>2</v>
      </c>
      <c r="B113" s="223" t="s">
        <v>212</v>
      </c>
      <c r="C113" s="33" t="s">
        <v>213</v>
      </c>
      <c r="D113" s="3" t="s">
        <v>54</v>
      </c>
      <c r="E113" s="62">
        <v>33507.5</v>
      </c>
      <c r="F113" s="62"/>
      <c r="G113" s="62">
        <f>E113*300%</f>
        <v>100522.5</v>
      </c>
      <c r="H113" s="62">
        <f>E113*7.5%</f>
        <v>2513.0625</v>
      </c>
      <c r="I113" s="62">
        <v>40122.19</v>
      </c>
      <c r="J113" s="62">
        <f>E113*50%</f>
        <v>16753.75</v>
      </c>
      <c r="K113" s="62">
        <f>E113*350%</f>
        <v>117276.25</v>
      </c>
      <c r="L113" s="62">
        <f>E113*100%</f>
        <v>33507.5</v>
      </c>
      <c r="M113" s="27">
        <f>160000</f>
        <v>160000</v>
      </c>
      <c r="N113" s="27"/>
      <c r="O113" s="62">
        <f>E113*10%</f>
        <v>3350.75</v>
      </c>
      <c r="P113" s="62">
        <v>20000</v>
      </c>
      <c r="Q113" s="62">
        <v>0</v>
      </c>
      <c r="R113" s="36">
        <f>SUM(E113:Q113)</f>
        <v>527553.50249999994</v>
      </c>
      <c r="S113" s="36"/>
      <c r="T113" s="36">
        <v>40000</v>
      </c>
      <c r="U113" s="36">
        <f>238888.89</f>
        <v>238888.89</v>
      </c>
      <c r="V113" s="36">
        <f>'[2]April 2022'!$H$32</f>
        <v>837.6875</v>
      </c>
      <c r="W113" s="62">
        <v>15548.33</v>
      </c>
      <c r="X113" s="36">
        <f>SUM(S113:W113)</f>
        <v>295274.90750000003</v>
      </c>
      <c r="Y113" s="36">
        <v>339917.48249999993</v>
      </c>
      <c r="Z113" s="36">
        <f>R113-X113</f>
        <v>232278.59499999991</v>
      </c>
    </row>
    <row r="114" spans="1:27" ht="20.100000000000001" customHeight="1">
      <c r="A114" s="33">
        <v>3</v>
      </c>
      <c r="B114" s="223" t="s">
        <v>214</v>
      </c>
      <c r="C114" s="33" t="s">
        <v>215</v>
      </c>
      <c r="D114" s="3" t="s">
        <v>73</v>
      </c>
      <c r="E114" s="62">
        <v>26339.3</v>
      </c>
      <c r="F114" s="62"/>
      <c r="G114" s="62">
        <f>E114*300%</f>
        <v>79017.899999999994</v>
      </c>
      <c r="H114" s="62">
        <f>E114*7.5%</f>
        <v>1975.4474999999998</v>
      </c>
      <c r="I114" s="62">
        <v>0</v>
      </c>
      <c r="J114" s="62">
        <f>E114*50%</f>
        <v>13169.65</v>
      </c>
      <c r="K114" s="62">
        <f>E114*350%</f>
        <v>92187.55</v>
      </c>
      <c r="L114" s="62">
        <f>E114*100%</f>
        <v>26339.3</v>
      </c>
      <c r="M114" s="27">
        <f>120000</f>
        <v>120000</v>
      </c>
      <c r="N114" s="27"/>
      <c r="O114" s="62">
        <f>E114*10%</f>
        <v>2633.9300000000003</v>
      </c>
      <c r="P114" s="62">
        <v>15000</v>
      </c>
      <c r="Q114" s="62">
        <f>Library!AB4</f>
        <v>41432.938524999998</v>
      </c>
      <c r="R114" s="36">
        <f>SUM(E114:Q114)</f>
        <v>418096.01602499996</v>
      </c>
      <c r="S114" s="36"/>
      <c r="T114" s="36">
        <v>30000</v>
      </c>
      <c r="U114" s="36">
        <f>61111.11</f>
        <v>61111.11</v>
      </c>
      <c r="V114" s="36">
        <f>'[2]April 2022'!$H$35</f>
        <v>658.48250000000007</v>
      </c>
      <c r="W114" s="36">
        <f>7709.76</f>
        <v>7709.76</v>
      </c>
      <c r="X114" s="36">
        <f t="shared" ref="X114:X119" si="127">W114+V114+U114+T114+S114</f>
        <v>99479.352500000008</v>
      </c>
      <c r="Y114" s="36">
        <v>318616.66352499998</v>
      </c>
      <c r="Z114" s="36">
        <f>R114-X114</f>
        <v>318616.66352499998</v>
      </c>
    </row>
    <row r="115" spans="1:27" ht="20.100000000000001" customHeight="1">
      <c r="A115" s="33">
        <v>4</v>
      </c>
      <c r="B115" s="225" t="s">
        <v>216</v>
      </c>
      <c r="C115" s="33" t="s">
        <v>215</v>
      </c>
      <c r="D115" s="29" t="s">
        <v>138</v>
      </c>
      <c r="E115" s="26">
        <v>25523.45</v>
      </c>
      <c r="F115" s="26"/>
      <c r="G115" s="26">
        <f>E115*300%</f>
        <v>76570.350000000006</v>
      </c>
      <c r="H115" s="26">
        <f>E115*7.5%</f>
        <v>1914.25875</v>
      </c>
      <c r="I115" s="26">
        <v>0</v>
      </c>
      <c r="J115" s="26">
        <f>E115*50%</f>
        <v>12761.725</v>
      </c>
      <c r="K115" s="26">
        <f>E115*350%</f>
        <v>89332.074999999997</v>
      </c>
      <c r="L115" s="26">
        <f>E115*100%</f>
        <v>25523.45</v>
      </c>
      <c r="M115" s="27">
        <f>120000</f>
        <v>120000</v>
      </c>
      <c r="N115" s="27"/>
      <c r="O115" s="26">
        <f>E115*10%</f>
        <v>2552.3450000000003</v>
      </c>
      <c r="P115" s="26">
        <v>15000</v>
      </c>
      <c r="Q115" s="26">
        <f>Library!AB5</f>
        <v>39820.116654999998</v>
      </c>
      <c r="R115" s="36">
        <f>SUM(E115:Q115)</f>
        <v>408997.77040500002</v>
      </c>
      <c r="S115" s="36"/>
      <c r="T115" s="24">
        <f>50000</f>
        <v>50000</v>
      </c>
      <c r="U115" s="24">
        <f>68750+45833.33</f>
        <v>114583.33</v>
      </c>
      <c r="V115" s="24"/>
      <c r="W115" s="24">
        <f>7709.76</f>
        <v>7709.76</v>
      </c>
      <c r="X115" s="36">
        <f t="shared" si="127"/>
        <v>172293.09</v>
      </c>
      <c r="Y115" s="36">
        <v>236704.68040500002</v>
      </c>
      <c r="Z115" s="36">
        <f>R115-X115</f>
        <v>236704.68040500002</v>
      </c>
    </row>
    <row r="116" spans="1:27" ht="20.100000000000001" customHeight="1">
      <c r="A116" s="33">
        <v>5</v>
      </c>
      <c r="B116" s="223" t="s">
        <v>217</v>
      </c>
      <c r="C116" s="1" t="s">
        <v>218</v>
      </c>
      <c r="D116" s="66" t="s">
        <v>106</v>
      </c>
      <c r="E116" s="67">
        <v>13492.21</v>
      </c>
      <c r="F116" s="62"/>
      <c r="G116" s="62">
        <f>E116*300%</f>
        <v>40476.629999999997</v>
      </c>
      <c r="H116" s="62">
        <f>E116*7.5%</f>
        <v>1011.9157499999999</v>
      </c>
      <c r="I116" s="62"/>
      <c r="J116" s="62">
        <f>E116*50%</f>
        <v>6746.1049999999996</v>
      </c>
      <c r="K116" s="36">
        <f>E116*350%</f>
        <v>47222.735000000001</v>
      </c>
      <c r="L116" s="62">
        <f>E116*100%</f>
        <v>13492.21</v>
      </c>
      <c r="M116" s="27">
        <f>100000</f>
        <v>100000</v>
      </c>
      <c r="N116" s="27"/>
      <c r="O116" s="62">
        <f>E116*10%</f>
        <v>1349.221</v>
      </c>
      <c r="P116" s="62">
        <v>10000</v>
      </c>
      <c r="Q116" s="62">
        <f>Library!AB6</f>
        <v>25333.447479999999</v>
      </c>
      <c r="R116" s="36">
        <f>SUM(E116:Q116)</f>
        <v>259124.47422999999</v>
      </c>
      <c r="S116" s="36"/>
      <c r="T116" s="36">
        <v>20000</v>
      </c>
      <c r="U116" s="36">
        <f>50000</f>
        <v>50000</v>
      </c>
      <c r="V116" s="36"/>
      <c r="W116" s="62">
        <v>1484.37</v>
      </c>
      <c r="X116" s="36">
        <f>W116+V116+U116+T116+S116</f>
        <v>71484.37</v>
      </c>
      <c r="Y116" s="36">
        <v>187640.10423</v>
      </c>
      <c r="Z116" s="36">
        <f>R116-X116</f>
        <v>187640.10423</v>
      </c>
    </row>
    <row r="117" spans="1:27" ht="20.100000000000001" customHeight="1">
      <c r="A117" s="33">
        <v>6</v>
      </c>
      <c r="B117" s="215" t="s">
        <v>219</v>
      </c>
      <c r="C117" s="1" t="s">
        <v>218</v>
      </c>
      <c r="D117" s="3" t="s">
        <v>111</v>
      </c>
      <c r="E117" s="62">
        <v>13112.16</v>
      </c>
      <c r="F117" s="62"/>
      <c r="G117" s="62">
        <f t="shared" ref="G117:G119" si="128">E117*300%</f>
        <v>39336.479999999996</v>
      </c>
      <c r="H117" s="62">
        <f t="shared" ref="H117:H119" si="129">E117*7.5%</f>
        <v>983.41199999999992</v>
      </c>
      <c r="I117" s="62"/>
      <c r="J117" s="62">
        <f t="shared" ref="J117:J119" si="130">E117*50%</f>
        <v>6556.08</v>
      </c>
      <c r="K117" s="62">
        <f t="shared" ref="K117:K119" si="131">E117*350%</f>
        <v>45892.56</v>
      </c>
      <c r="L117" s="62">
        <f t="shared" ref="L117:L119" si="132">E117*100%</f>
        <v>13112.16</v>
      </c>
      <c r="M117" s="27">
        <f>100000</f>
        <v>100000</v>
      </c>
      <c r="N117" s="27"/>
      <c r="O117" s="62">
        <f t="shared" ref="O117:O119" si="133">E117*10%</f>
        <v>1311.2160000000001</v>
      </c>
      <c r="P117" s="62">
        <v>10000</v>
      </c>
      <c r="Q117" s="62">
        <f>Library!AB7</f>
        <v>24949.771000000001</v>
      </c>
      <c r="R117" s="36">
        <f t="shared" ref="R117:R119" si="134">SUM(E117:Q117)</f>
        <v>255253.83900000001</v>
      </c>
      <c r="S117" s="36"/>
      <c r="T117" s="36">
        <f>25000</f>
        <v>25000</v>
      </c>
      <c r="U117" s="36">
        <f>68666.67</f>
        <v>68666.67</v>
      </c>
      <c r="V117" s="36"/>
      <c r="W117" s="62">
        <v>1484.37</v>
      </c>
      <c r="X117" s="36">
        <f t="shared" si="127"/>
        <v>95151.039999999994</v>
      </c>
      <c r="Y117" s="36">
        <v>160102.799</v>
      </c>
      <c r="Z117" s="36">
        <f t="shared" ref="Z117:Z119" si="135">R117-X117</f>
        <v>160102.799</v>
      </c>
    </row>
    <row r="118" spans="1:27" ht="20.100000000000001" customHeight="1">
      <c r="A118" s="33">
        <v>7</v>
      </c>
      <c r="B118" s="214" t="s">
        <v>220</v>
      </c>
      <c r="C118" s="1" t="s">
        <v>218</v>
      </c>
      <c r="D118" s="66" t="s">
        <v>93</v>
      </c>
      <c r="E118" s="67">
        <v>12351.94</v>
      </c>
      <c r="F118" s="62"/>
      <c r="G118" s="62">
        <f t="shared" si="128"/>
        <v>37055.82</v>
      </c>
      <c r="H118" s="62">
        <f t="shared" si="129"/>
        <v>926.39549999999997</v>
      </c>
      <c r="I118" s="62"/>
      <c r="J118" s="62">
        <f t="shared" si="130"/>
        <v>6175.97</v>
      </c>
      <c r="K118" s="36">
        <f t="shared" si="131"/>
        <v>43231.79</v>
      </c>
      <c r="L118" s="62">
        <f t="shared" si="132"/>
        <v>12351.94</v>
      </c>
      <c r="M118" s="27">
        <f t="shared" ref="M118:M119" si="136">100000</f>
        <v>100000</v>
      </c>
      <c r="N118" s="27"/>
      <c r="O118" s="62">
        <f t="shared" si="133"/>
        <v>1235.1940000000002</v>
      </c>
      <c r="P118" s="62">
        <v>10000</v>
      </c>
      <c r="Q118" s="62">
        <f>Library!AB8</f>
        <v>24566.195445000001</v>
      </c>
      <c r="R118" s="36">
        <f t="shared" si="134"/>
        <v>247895.24494499998</v>
      </c>
      <c r="S118" s="36"/>
      <c r="T118" s="36">
        <f>30000</f>
        <v>30000</v>
      </c>
      <c r="U118" s="36"/>
      <c r="V118" s="36"/>
      <c r="W118" s="62">
        <v>1484.37</v>
      </c>
      <c r="X118" s="36">
        <f t="shared" si="127"/>
        <v>31484.37</v>
      </c>
      <c r="Y118" s="36">
        <v>216410.87494499999</v>
      </c>
      <c r="Z118" s="36">
        <f t="shared" si="135"/>
        <v>216410.87494499999</v>
      </c>
    </row>
    <row r="119" spans="1:27" ht="20.100000000000001" customHeight="1">
      <c r="A119" s="33">
        <v>8</v>
      </c>
      <c r="B119" s="214" t="s">
        <v>221</v>
      </c>
      <c r="C119" s="1" t="s">
        <v>218</v>
      </c>
      <c r="D119" s="66" t="s">
        <v>93</v>
      </c>
      <c r="E119" s="67">
        <v>12351.94</v>
      </c>
      <c r="F119" s="62"/>
      <c r="G119" s="62">
        <f t="shared" si="128"/>
        <v>37055.82</v>
      </c>
      <c r="H119" s="62">
        <f t="shared" si="129"/>
        <v>926.39549999999997</v>
      </c>
      <c r="I119" s="62"/>
      <c r="J119" s="62">
        <f t="shared" si="130"/>
        <v>6175.97</v>
      </c>
      <c r="K119" s="36">
        <f t="shared" si="131"/>
        <v>43231.79</v>
      </c>
      <c r="L119" s="62">
        <f t="shared" si="132"/>
        <v>12351.94</v>
      </c>
      <c r="M119" s="27">
        <f t="shared" si="136"/>
        <v>100000</v>
      </c>
      <c r="N119" s="27"/>
      <c r="O119" s="62">
        <f t="shared" si="133"/>
        <v>1235.1940000000002</v>
      </c>
      <c r="P119" s="62">
        <v>10000</v>
      </c>
      <c r="Q119" s="62">
        <f>Library!AB9</f>
        <v>24566.195445000001</v>
      </c>
      <c r="R119" s="36">
        <f t="shared" si="134"/>
        <v>247895.24494499998</v>
      </c>
      <c r="S119" s="36"/>
      <c r="T119" s="36">
        <f>20000</f>
        <v>20000</v>
      </c>
      <c r="U119" s="36"/>
      <c r="V119" s="36"/>
      <c r="W119" s="62">
        <v>1484.37</v>
      </c>
      <c r="X119" s="36">
        <f t="shared" si="127"/>
        <v>21484.37</v>
      </c>
      <c r="Y119" s="36">
        <v>226410.87494499999</v>
      </c>
      <c r="Z119" s="36">
        <f t="shared" si="135"/>
        <v>226410.87494499999</v>
      </c>
    </row>
    <row r="120" spans="1:27" ht="20.100000000000001" customHeight="1">
      <c r="A120" s="33"/>
      <c r="B120" s="228" t="s">
        <v>34</v>
      </c>
      <c r="C120" s="3">
        <v>8</v>
      </c>
      <c r="D120" s="33"/>
      <c r="E120" s="93">
        <v>218418.52000000002</v>
      </c>
      <c r="F120" s="93"/>
      <c r="G120" s="93">
        <f t="shared" ref="G120:M120" si="137">SUM(G112:G119)</f>
        <v>655255.55999999982</v>
      </c>
      <c r="H120" s="93">
        <f t="shared" si="137"/>
        <v>16381.389000000003</v>
      </c>
      <c r="I120" s="93">
        <f t="shared" si="137"/>
        <v>120366.57</v>
      </c>
      <c r="J120" s="93">
        <f t="shared" si="137"/>
        <v>109209.26000000001</v>
      </c>
      <c r="K120" s="93">
        <f t="shared" si="137"/>
        <v>764464.82000000007</v>
      </c>
      <c r="L120" s="93">
        <f t="shared" si="137"/>
        <v>218418.52000000002</v>
      </c>
      <c r="M120" s="134">
        <f t="shared" si="137"/>
        <v>1000000</v>
      </c>
      <c r="N120" s="134"/>
      <c r="O120" s="93">
        <f>SUM(O112:O119)</f>
        <v>21841.852000000003</v>
      </c>
      <c r="P120" s="93">
        <f>SUM(P112:P119)</f>
        <v>110000</v>
      </c>
      <c r="Q120" s="93">
        <f>SUM(Q112:Q119)</f>
        <v>180668.66454999999</v>
      </c>
      <c r="R120" s="93">
        <f>SUM(R112:R119)</f>
        <v>3415025.1555499998</v>
      </c>
      <c r="S120" s="93"/>
      <c r="T120" s="93">
        <f t="shared" ref="T120:Z120" si="138">SUM(T112:T119)</f>
        <v>315000</v>
      </c>
      <c r="U120" s="93">
        <f t="shared" si="138"/>
        <v>533250</v>
      </c>
      <c r="V120" s="93">
        <f t="shared" si="138"/>
        <v>1496.17</v>
      </c>
      <c r="W120" s="93">
        <f t="shared" si="138"/>
        <v>89681.959999999963</v>
      </c>
      <c r="X120" s="93">
        <f t="shared" si="138"/>
        <v>939428.13</v>
      </c>
      <c r="Y120" s="93">
        <v>2583235.9130499996</v>
      </c>
      <c r="Z120" s="93">
        <f t="shared" si="138"/>
        <v>2475597.0255499994</v>
      </c>
      <c r="AA120" s="107"/>
    </row>
    <row r="121" spans="1:27" ht="20.100000000000001" customHeight="1">
      <c r="A121" s="33"/>
      <c r="B121" s="216"/>
      <c r="C121" s="3"/>
      <c r="D121" s="33"/>
      <c r="E121" s="13"/>
      <c r="F121" s="21"/>
      <c r="G121" s="13"/>
      <c r="H121" s="13"/>
      <c r="I121" s="13"/>
      <c r="J121" s="13"/>
      <c r="K121" s="13"/>
      <c r="L121" s="13"/>
      <c r="M121" s="27"/>
      <c r="N121" s="27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7" ht="20.100000000000001" customHeight="1">
      <c r="A122" s="33"/>
      <c r="B122" s="228" t="s">
        <v>222</v>
      </c>
      <c r="C122" s="7"/>
      <c r="D122" s="7"/>
      <c r="E122" s="39"/>
      <c r="F122" s="39"/>
      <c r="G122" s="39"/>
      <c r="H122" s="39"/>
      <c r="I122" s="39"/>
      <c r="J122" s="39"/>
      <c r="K122" s="39"/>
      <c r="L122" s="39"/>
      <c r="M122" s="27"/>
      <c r="N122" s="27"/>
      <c r="O122" s="39"/>
      <c r="P122" s="39"/>
      <c r="Q122" s="39"/>
      <c r="R122" s="63"/>
      <c r="S122" s="63"/>
      <c r="T122" s="63"/>
      <c r="U122" s="63"/>
      <c r="V122" s="63"/>
      <c r="W122" s="39"/>
      <c r="X122" s="36"/>
      <c r="Y122" s="36"/>
      <c r="Z122" s="36"/>
    </row>
    <row r="123" spans="1:27" ht="20.100000000000001" customHeight="1">
      <c r="A123" s="33">
        <v>1</v>
      </c>
      <c r="B123" s="226" t="s">
        <v>223</v>
      </c>
      <c r="C123" s="61" t="s">
        <v>224</v>
      </c>
      <c r="D123" s="66" t="s">
        <v>43</v>
      </c>
      <c r="E123" s="62">
        <v>81740.02</v>
      </c>
      <c r="F123" s="62"/>
      <c r="G123" s="62">
        <f t="shared" ref="G123:G131" si="139">E123*300%</f>
        <v>245220.06</v>
      </c>
      <c r="H123" s="62">
        <f t="shared" ref="H123:H131" si="140">E123*7.5%</f>
        <v>6130.5015000000003</v>
      </c>
      <c r="I123" s="62">
        <f>80244.38</f>
        <v>80244.38</v>
      </c>
      <c r="J123" s="62">
        <f t="shared" ref="J123:J131" si="141">E123*50%</f>
        <v>40870.01</v>
      </c>
      <c r="K123" s="62">
        <f t="shared" ref="K123:K131" si="142">E123*350%</f>
        <v>286090.07</v>
      </c>
      <c r="L123" s="62">
        <f t="shared" ref="L123:L131" si="143">E123*100%</f>
        <v>81740.02</v>
      </c>
      <c r="M123" s="27"/>
      <c r="N123" s="27">
        <f>100000</f>
        <v>100000</v>
      </c>
      <c r="O123" s="62">
        <f t="shared" ref="O123:O131" si="144">E123*10%</f>
        <v>8174.0020000000004</v>
      </c>
      <c r="P123" s="62">
        <v>20000</v>
      </c>
      <c r="Q123" s="62">
        <v>100000</v>
      </c>
      <c r="R123" s="36">
        <f t="shared" ref="R123:R131" si="145">SUM(E123:Q123)</f>
        <v>1050209.0635000002</v>
      </c>
      <c r="S123" s="36"/>
      <c r="T123" s="36">
        <f>300000</f>
        <v>300000</v>
      </c>
      <c r="U123" s="36">
        <f>227777.78</f>
        <v>227777.78</v>
      </c>
      <c r="V123" s="36">
        <f>'[2]April 2022'!$H$21</f>
        <v>2043.5005000000001</v>
      </c>
      <c r="W123" s="62">
        <f>52776.63</f>
        <v>52776.63</v>
      </c>
      <c r="X123" s="36">
        <f>W123+V123+U123+T123+S123</f>
        <v>582597.9105</v>
      </c>
      <c r="Y123" s="36">
        <v>467611.15300000017</v>
      </c>
      <c r="Z123" s="36">
        <f t="shared" ref="Z123:Z131" si="146">R123-X123</f>
        <v>467611.15300000017</v>
      </c>
    </row>
    <row r="124" spans="1:27" ht="20.100000000000001" customHeight="1">
      <c r="A124" s="33">
        <v>2</v>
      </c>
      <c r="B124" s="226" t="s">
        <v>225</v>
      </c>
      <c r="C124" s="61" t="s">
        <v>226</v>
      </c>
      <c r="D124" s="66" t="s">
        <v>227</v>
      </c>
      <c r="E124" s="62">
        <v>42653.17</v>
      </c>
      <c r="F124" s="62"/>
      <c r="G124" s="62">
        <f t="shared" si="139"/>
        <v>127959.51</v>
      </c>
      <c r="H124" s="62">
        <f t="shared" si="140"/>
        <v>3198.9877499999998</v>
      </c>
      <c r="I124" s="62">
        <v>40122.19</v>
      </c>
      <c r="J124" s="62">
        <f t="shared" si="141"/>
        <v>21326.584999999999</v>
      </c>
      <c r="K124" s="62">
        <f t="shared" si="142"/>
        <v>149286.095</v>
      </c>
      <c r="L124" s="62">
        <f t="shared" si="143"/>
        <v>42653.17</v>
      </c>
      <c r="M124" s="27"/>
      <c r="N124" s="27">
        <f>90000</f>
        <v>90000</v>
      </c>
      <c r="O124" s="62">
        <f t="shared" si="144"/>
        <v>4265.317</v>
      </c>
      <c r="P124" s="62">
        <v>20000</v>
      </c>
      <c r="Q124" s="62">
        <f>100000</f>
        <v>100000</v>
      </c>
      <c r="R124" s="36">
        <f t="shared" si="145"/>
        <v>641465.02474999998</v>
      </c>
      <c r="S124" s="36"/>
      <c r="T124" s="36">
        <f>100000</f>
        <v>100000</v>
      </c>
      <c r="U124" s="36">
        <f>0</f>
        <v>0</v>
      </c>
      <c r="V124" s="36"/>
      <c r="W124" s="62">
        <f>21618.09</f>
        <v>21618.09</v>
      </c>
      <c r="X124" s="36">
        <f t="shared" ref="X124:X131" si="147">W124+V124+U124+T124+S124</f>
        <v>121618.09</v>
      </c>
      <c r="Y124" s="36">
        <v>519846.93475000001</v>
      </c>
      <c r="Z124" s="36">
        <f t="shared" si="146"/>
        <v>519846.93475000001</v>
      </c>
    </row>
    <row r="125" spans="1:27" ht="20.100000000000001" customHeight="1">
      <c r="A125" s="33">
        <v>3</v>
      </c>
      <c r="B125" s="226" t="s">
        <v>228</v>
      </c>
      <c r="C125" s="61" t="s">
        <v>229</v>
      </c>
      <c r="D125" s="66" t="s">
        <v>54</v>
      </c>
      <c r="E125" s="26">
        <v>33507.5</v>
      </c>
      <c r="F125" s="62"/>
      <c r="G125" s="62">
        <f t="shared" si="139"/>
        <v>100522.5</v>
      </c>
      <c r="H125" s="62">
        <f t="shared" si="140"/>
        <v>2513.0625</v>
      </c>
      <c r="I125" s="62">
        <v>40122.19</v>
      </c>
      <c r="J125" s="62">
        <f t="shared" si="141"/>
        <v>16753.75</v>
      </c>
      <c r="K125" s="36">
        <f t="shared" si="142"/>
        <v>117276.25</v>
      </c>
      <c r="L125" s="62">
        <f t="shared" si="143"/>
        <v>33507.5</v>
      </c>
      <c r="M125" s="27"/>
      <c r="N125" s="27">
        <f>80000</f>
        <v>80000</v>
      </c>
      <c r="O125" s="62">
        <f t="shared" si="144"/>
        <v>3350.75</v>
      </c>
      <c r="P125" s="62">
        <v>20000</v>
      </c>
      <c r="Q125" s="62">
        <v>0</v>
      </c>
      <c r="R125" s="36">
        <f t="shared" si="145"/>
        <v>447553.5025</v>
      </c>
      <c r="S125" s="36"/>
      <c r="T125" s="36">
        <f>10000</f>
        <v>10000</v>
      </c>
      <c r="U125" s="36">
        <f>129166.67</f>
        <v>129166.67</v>
      </c>
      <c r="V125" s="36">
        <f>'[2]April 2022'!$H$20</f>
        <v>837.6875</v>
      </c>
      <c r="W125" s="62">
        <v>15548.33</v>
      </c>
      <c r="X125" s="36">
        <f t="shared" si="147"/>
        <v>155552.6875</v>
      </c>
      <c r="Y125" s="36">
        <v>292000.815</v>
      </c>
      <c r="Z125" s="36">
        <f t="shared" si="146"/>
        <v>292000.815</v>
      </c>
    </row>
    <row r="126" spans="1:27" ht="20.100000000000001" customHeight="1">
      <c r="A126" s="33">
        <v>4</v>
      </c>
      <c r="B126" s="217" t="s">
        <v>230</v>
      </c>
      <c r="C126" s="61" t="s">
        <v>229</v>
      </c>
      <c r="D126" s="66" t="s">
        <v>54</v>
      </c>
      <c r="E126" s="62">
        <v>33507.5</v>
      </c>
      <c r="F126" s="62"/>
      <c r="G126" s="62">
        <f>E126*300%</f>
        <v>100522.5</v>
      </c>
      <c r="H126" s="62">
        <f>E126*7.5%</f>
        <v>2513.0625</v>
      </c>
      <c r="I126" s="62">
        <f>40122.19</f>
        <v>40122.19</v>
      </c>
      <c r="J126" s="62">
        <f>E126*50%</f>
        <v>16753.75</v>
      </c>
      <c r="K126" s="36">
        <f>E126*350%</f>
        <v>117276.25</v>
      </c>
      <c r="L126" s="62">
        <f>E126*100%</f>
        <v>33507.5</v>
      </c>
      <c r="M126" s="27"/>
      <c r="N126" s="27">
        <f t="shared" si="9"/>
        <v>80000</v>
      </c>
      <c r="O126" s="62">
        <f>E126*10%</f>
        <v>3350.75</v>
      </c>
      <c r="P126" s="62">
        <v>20000</v>
      </c>
      <c r="Q126" s="62">
        <f>100000</f>
        <v>100000</v>
      </c>
      <c r="R126" s="36">
        <f>SUM(E126:Q126)</f>
        <v>547553.50249999994</v>
      </c>
      <c r="S126" s="36"/>
      <c r="T126" s="36">
        <f>180000</f>
        <v>180000</v>
      </c>
      <c r="U126" s="36"/>
      <c r="V126" s="36">
        <f>'[2]April 2022'!$H$22</f>
        <v>837.6875</v>
      </c>
      <c r="W126" s="36">
        <f>15548.33</f>
        <v>15548.33</v>
      </c>
      <c r="X126" s="36">
        <f>W126+V126+U126+T126+S126</f>
        <v>196386.01750000002</v>
      </c>
      <c r="Y126" s="36">
        <v>351198.59249999991</v>
      </c>
      <c r="Z126" s="36">
        <f>R126-X126</f>
        <v>351167.48499999993</v>
      </c>
    </row>
    <row r="127" spans="1:27" ht="20.100000000000001" customHeight="1">
      <c r="A127" s="33">
        <v>5</v>
      </c>
      <c r="B127" s="220" t="s">
        <v>231</v>
      </c>
      <c r="C127" s="61" t="s">
        <v>229</v>
      </c>
      <c r="D127" s="66" t="s">
        <v>232</v>
      </c>
      <c r="E127" s="26">
        <v>31018.84</v>
      </c>
      <c r="F127" s="62"/>
      <c r="G127" s="62">
        <f t="shared" ref="G127" si="148">E127*300%</f>
        <v>93056.52</v>
      </c>
      <c r="H127" s="62">
        <f t="shared" ref="H127" si="149">E127*7.5%</f>
        <v>2326.413</v>
      </c>
      <c r="I127" s="62">
        <v>40122.19</v>
      </c>
      <c r="J127" s="62">
        <f t="shared" ref="J127" si="150">E127*50%</f>
        <v>15509.42</v>
      </c>
      <c r="K127" s="36">
        <f t="shared" ref="K127" si="151">E127*350%</f>
        <v>108565.94</v>
      </c>
      <c r="L127" s="62">
        <f t="shared" ref="L127" si="152">E127*100%</f>
        <v>31018.84</v>
      </c>
      <c r="M127" s="27"/>
      <c r="N127" s="27">
        <f>80000</f>
        <v>80000</v>
      </c>
      <c r="O127" s="62">
        <f t="shared" ref="O127" si="153">E127*10%</f>
        <v>3101.884</v>
      </c>
      <c r="P127" s="62">
        <v>20000</v>
      </c>
      <c r="Q127" s="62">
        <v>0</v>
      </c>
      <c r="R127" s="36">
        <f>SUM(E127:Q127)</f>
        <v>424720.04700000002</v>
      </c>
      <c r="S127" s="36"/>
      <c r="T127" s="36">
        <f>100000</f>
        <v>100000</v>
      </c>
      <c r="U127" s="36"/>
      <c r="V127" s="36"/>
      <c r="W127" s="62">
        <f>(15548.33)</f>
        <v>15548.33</v>
      </c>
      <c r="X127" s="36">
        <f t="shared" ref="X127" si="154">W127+V127+U127+T127+S127</f>
        <v>115548.33</v>
      </c>
      <c r="Y127" s="36">
        <v>309171.717</v>
      </c>
      <c r="Z127" s="36">
        <f t="shared" ref="Z127" si="155">R127-X127</f>
        <v>309171.717</v>
      </c>
    </row>
    <row r="128" spans="1:27" ht="20.100000000000001" customHeight="1">
      <c r="A128" s="33">
        <v>6</v>
      </c>
      <c r="B128" s="226" t="s">
        <v>233</v>
      </c>
      <c r="C128" s="61" t="s">
        <v>234</v>
      </c>
      <c r="D128" s="66" t="s">
        <v>138</v>
      </c>
      <c r="E128" s="62">
        <v>25523.45</v>
      </c>
      <c r="F128" s="62"/>
      <c r="G128" s="62">
        <f t="shared" si="139"/>
        <v>76570.350000000006</v>
      </c>
      <c r="H128" s="62">
        <f t="shared" si="140"/>
        <v>1914.25875</v>
      </c>
      <c r="I128" s="62">
        <v>0</v>
      </c>
      <c r="J128" s="62">
        <f t="shared" si="141"/>
        <v>12761.725</v>
      </c>
      <c r="K128" s="36">
        <f t="shared" si="142"/>
        <v>89332.074999999997</v>
      </c>
      <c r="L128" s="62">
        <f t="shared" si="143"/>
        <v>25523.45</v>
      </c>
      <c r="M128" s="27"/>
      <c r="N128" s="27">
        <f>70000</f>
        <v>70000</v>
      </c>
      <c r="O128" s="62">
        <f t="shared" si="144"/>
        <v>2552.3450000000003</v>
      </c>
      <c r="P128" s="62">
        <v>15000</v>
      </c>
      <c r="Q128" s="62">
        <v>0</v>
      </c>
      <c r="R128" s="36">
        <f t="shared" si="145"/>
        <v>319177.65375</v>
      </c>
      <c r="S128" s="36"/>
      <c r="T128" s="36">
        <f>35000</f>
        <v>35000</v>
      </c>
      <c r="U128" s="36">
        <f>50000</f>
        <v>50000</v>
      </c>
      <c r="V128" s="36"/>
      <c r="W128" s="62">
        <f>7709.76</f>
        <v>7709.76</v>
      </c>
      <c r="X128" s="36">
        <f t="shared" si="147"/>
        <v>92709.760000000009</v>
      </c>
      <c r="Y128" s="36">
        <v>226467.89374999999</v>
      </c>
      <c r="Z128" s="36">
        <f t="shared" si="146"/>
        <v>226467.89374999999</v>
      </c>
    </row>
    <row r="129" spans="1:27" ht="20.100000000000001" customHeight="1">
      <c r="A129" s="33">
        <v>7</v>
      </c>
      <c r="B129" s="226" t="s">
        <v>235</v>
      </c>
      <c r="C129" s="61" t="s">
        <v>236</v>
      </c>
      <c r="D129" s="66" t="s">
        <v>98</v>
      </c>
      <c r="E129" s="62">
        <v>24741.26</v>
      </c>
      <c r="F129" s="62"/>
      <c r="G129" s="62">
        <f t="shared" si="139"/>
        <v>74223.78</v>
      </c>
      <c r="H129" s="62">
        <f t="shared" si="140"/>
        <v>1855.5944999999997</v>
      </c>
      <c r="I129" s="62"/>
      <c r="J129" s="62">
        <f t="shared" si="141"/>
        <v>12370.63</v>
      </c>
      <c r="K129" s="36">
        <f t="shared" si="142"/>
        <v>86594.409999999989</v>
      </c>
      <c r="L129" s="62">
        <f t="shared" si="143"/>
        <v>24741.26</v>
      </c>
      <c r="M129" s="27"/>
      <c r="N129" s="27">
        <f t="shared" ref="N129:N131" si="156">70000</f>
        <v>70000</v>
      </c>
      <c r="O129" s="62">
        <f t="shared" si="144"/>
        <v>2474.1260000000002</v>
      </c>
      <c r="P129" s="62">
        <v>15000</v>
      </c>
      <c r="Q129" s="62">
        <f>30000</f>
        <v>30000</v>
      </c>
      <c r="R129" s="36">
        <f t="shared" si="145"/>
        <v>342001.06049999996</v>
      </c>
      <c r="S129" s="36"/>
      <c r="T129" s="36">
        <f>50000</f>
        <v>50000</v>
      </c>
      <c r="U129" s="36">
        <f>45833.33</f>
        <v>45833.33</v>
      </c>
      <c r="V129" s="36">
        <f>'[2]April 2022'!$H$48</f>
        <v>618.53150000000005</v>
      </c>
      <c r="W129" s="62">
        <f>7709.76</f>
        <v>7709.76</v>
      </c>
      <c r="X129" s="36">
        <f t="shared" si="147"/>
        <v>104161.62150000001</v>
      </c>
      <c r="Y129" s="36">
        <v>237860.69249999995</v>
      </c>
      <c r="Z129" s="36">
        <f t="shared" si="146"/>
        <v>237839.43899999995</v>
      </c>
    </row>
    <row r="130" spans="1:27" ht="20.100000000000001" customHeight="1">
      <c r="A130" s="33">
        <v>8</v>
      </c>
      <c r="B130" s="226" t="s">
        <v>237</v>
      </c>
      <c r="C130" s="61" t="s">
        <v>238</v>
      </c>
      <c r="D130" s="66" t="s">
        <v>98</v>
      </c>
      <c r="E130" s="62">
        <v>24741.26</v>
      </c>
      <c r="F130" s="62"/>
      <c r="G130" s="62">
        <f t="shared" si="139"/>
        <v>74223.78</v>
      </c>
      <c r="H130" s="62">
        <f t="shared" si="140"/>
        <v>1855.5944999999997</v>
      </c>
      <c r="I130" s="62"/>
      <c r="J130" s="62">
        <f t="shared" si="141"/>
        <v>12370.63</v>
      </c>
      <c r="K130" s="36">
        <f t="shared" si="142"/>
        <v>86594.409999999989</v>
      </c>
      <c r="L130" s="62">
        <f t="shared" si="143"/>
        <v>24741.26</v>
      </c>
      <c r="M130" s="27"/>
      <c r="N130" s="27">
        <f t="shared" si="156"/>
        <v>70000</v>
      </c>
      <c r="O130" s="62">
        <f t="shared" si="144"/>
        <v>2474.1260000000002</v>
      </c>
      <c r="P130" s="62">
        <v>15000</v>
      </c>
      <c r="Q130" s="62"/>
      <c r="R130" s="36">
        <f t="shared" si="145"/>
        <v>312001.06049999996</v>
      </c>
      <c r="S130" s="36"/>
      <c r="T130" s="36">
        <f>30000+20000</f>
        <v>50000</v>
      </c>
      <c r="U130" s="36">
        <f>65555.56</f>
        <v>65555.56</v>
      </c>
      <c r="V130" s="36">
        <f>'[2]April 2022'!$H$24</f>
        <v>618.53150000000005</v>
      </c>
      <c r="W130" s="62">
        <f>7709.76</f>
        <v>7709.76</v>
      </c>
      <c r="X130" s="36">
        <f t="shared" si="147"/>
        <v>123883.85149999999</v>
      </c>
      <c r="Y130" s="36">
        <v>188138.46249999997</v>
      </c>
      <c r="Z130" s="36">
        <f t="shared" si="146"/>
        <v>188117.20899999997</v>
      </c>
    </row>
    <row r="131" spans="1:27" ht="20.100000000000001" customHeight="1">
      <c r="A131" s="33">
        <v>9</v>
      </c>
      <c r="B131" s="214" t="s">
        <v>239</v>
      </c>
      <c r="C131" s="61" t="s">
        <v>234</v>
      </c>
      <c r="D131" s="66" t="s">
        <v>240</v>
      </c>
      <c r="E131" s="62">
        <v>23891.119999999999</v>
      </c>
      <c r="F131" s="62"/>
      <c r="G131" s="62">
        <f t="shared" si="139"/>
        <v>71673.36</v>
      </c>
      <c r="H131" s="62">
        <f t="shared" si="140"/>
        <v>1791.8339999999998</v>
      </c>
      <c r="I131" s="62"/>
      <c r="J131" s="62">
        <f t="shared" si="141"/>
        <v>11945.56</v>
      </c>
      <c r="K131" s="36">
        <f t="shared" si="142"/>
        <v>83618.92</v>
      </c>
      <c r="L131" s="62">
        <f t="shared" si="143"/>
        <v>23891.119999999999</v>
      </c>
      <c r="M131" s="27"/>
      <c r="N131" s="27">
        <f t="shared" si="156"/>
        <v>70000</v>
      </c>
      <c r="O131" s="62">
        <f t="shared" si="144"/>
        <v>2389.1120000000001</v>
      </c>
      <c r="P131" s="62">
        <v>15000</v>
      </c>
      <c r="Q131" s="62"/>
      <c r="R131" s="36">
        <f t="shared" si="145"/>
        <v>304201.02600000001</v>
      </c>
      <c r="S131" s="36"/>
      <c r="T131" s="36">
        <f>200000</f>
        <v>200000</v>
      </c>
      <c r="U131" s="36"/>
      <c r="V131" s="36"/>
      <c r="W131" s="62">
        <f>7709.76</f>
        <v>7709.76</v>
      </c>
      <c r="X131" s="36">
        <f t="shared" si="147"/>
        <v>207709.76</v>
      </c>
      <c r="Y131" s="36">
        <v>96491.266000000003</v>
      </c>
      <c r="Z131" s="36">
        <f t="shared" si="146"/>
        <v>96491.266000000003</v>
      </c>
    </row>
    <row r="132" spans="1:27" ht="20.100000000000001" customHeight="1">
      <c r="A132" s="33"/>
      <c r="B132" s="228" t="s">
        <v>34</v>
      </c>
      <c r="C132" s="91" t="s">
        <v>241</v>
      </c>
      <c r="D132" s="66"/>
      <c r="E132" s="39">
        <v>321324.12</v>
      </c>
      <c r="F132" s="39"/>
      <c r="G132" s="39">
        <f t="shared" ref="G132:L132" si="157">SUM(G123:G131)</f>
        <v>963972.3600000001</v>
      </c>
      <c r="H132" s="39">
        <f t="shared" si="157"/>
        <v>24099.308999999997</v>
      </c>
      <c r="I132" s="39">
        <f t="shared" si="157"/>
        <v>240733.14</v>
      </c>
      <c r="J132" s="39">
        <f t="shared" si="157"/>
        <v>160662.06</v>
      </c>
      <c r="K132" s="63">
        <f t="shared" si="157"/>
        <v>1124634.42</v>
      </c>
      <c r="L132" s="39">
        <f t="shared" si="157"/>
        <v>321324.12</v>
      </c>
      <c r="M132" s="134"/>
      <c r="N132" s="134">
        <f>SUM(N123:N131)</f>
        <v>710000</v>
      </c>
      <c r="O132" s="39">
        <f>SUM(O123:O131)</f>
        <v>32132.412000000004</v>
      </c>
      <c r="P132" s="39">
        <f>SUM(P123:P131)</f>
        <v>160000</v>
      </c>
      <c r="Q132" s="39">
        <f>SUM(Q123:Q131)</f>
        <v>330000</v>
      </c>
      <c r="R132" s="63">
        <f>SUM(R123:R131)</f>
        <v>4388881.9410000006</v>
      </c>
      <c r="S132" s="63"/>
      <c r="T132" s="63">
        <f t="shared" ref="T132:Z132" si="158">SUM(T123:T131)</f>
        <v>1025000</v>
      </c>
      <c r="U132" s="63">
        <f t="shared" si="158"/>
        <v>518333.34</v>
      </c>
      <c r="V132" s="63">
        <f t="shared" si="158"/>
        <v>4955.9385000000002</v>
      </c>
      <c r="W132" s="39">
        <f t="shared" si="158"/>
        <v>151878.75000000003</v>
      </c>
      <c r="X132" s="63">
        <f t="shared" si="158"/>
        <v>1700168.0284999998</v>
      </c>
      <c r="Y132" s="63">
        <v>2688787.5269999998</v>
      </c>
      <c r="Z132" s="63">
        <f t="shared" si="158"/>
        <v>2688713.9124999992</v>
      </c>
      <c r="AA132" s="107"/>
    </row>
    <row r="133" spans="1:27" ht="20.100000000000001" customHeight="1">
      <c r="A133" s="33"/>
      <c r="B133" s="216"/>
      <c r="C133" s="91"/>
      <c r="D133" s="66"/>
      <c r="E133" s="39"/>
      <c r="F133" s="39"/>
      <c r="G133" s="39"/>
      <c r="H133" s="39"/>
      <c r="I133" s="39"/>
      <c r="J133" s="39"/>
      <c r="K133" s="63"/>
      <c r="L133" s="39"/>
      <c r="M133" s="27"/>
      <c r="N133" s="27"/>
      <c r="O133" s="39"/>
      <c r="P133" s="39"/>
      <c r="Q133" s="39"/>
      <c r="R133" s="63"/>
      <c r="S133" s="63"/>
      <c r="T133" s="63"/>
      <c r="U133" s="63"/>
      <c r="V133" s="63"/>
      <c r="W133" s="39"/>
      <c r="X133" s="63"/>
      <c r="Y133" s="63"/>
      <c r="Z133" s="63"/>
    </row>
    <row r="134" spans="1:27" ht="20.100000000000001" customHeight="1">
      <c r="A134" s="33"/>
      <c r="B134" s="228" t="s">
        <v>242</v>
      </c>
      <c r="C134" s="61"/>
      <c r="D134" s="66"/>
      <c r="E134" s="62"/>
      <c r="F134" s="62"/>
      <c r="G134" s="62"/>
      <c r="H134" s="62"/>
      <c r="I134" s="62"/>
      <c r="J134" s="62"/>
      <c r="K134" s="36"/>
      <c r="L134" s="62"/>
      <c r="M134" s="27"/>
      <c r="N134" s="27"/>
      <c r="O134" s="62"/>
      <c r="P134" s="62"/>
      <c r="Q134" s="62"/>
      <c r="R134" s="36"/>
      <c r="S134" s="36"/>
      <c r="T134" s="36"/>
      <c r="U134" s="36"/>
      <c r="V134" s="36"/>
      <c r="W134" s="62"/>
      <c r="X134" s="36"/>
      <c r="Y134" s="36"/>
      <c r="Z134" s="36"/>
    </row>
    <row r="135" spans="1:27" ht="20.100000000000001" customHeight="1">
      <c r="A135" s="33">
        <v>1</v>
      </c>
      <c r="B135" s="226" t="s">
        <v>243</v>
      </c>
      <c r="C135" s="61" t="s">
        <v>244</v>
      </c>
      <c r="D135" s="66" t="s">
        <v>43</v>
      </c>
      <c r="E135" s="62">
        <v>81740.02</v>
      </c>
      <c r="F135" s="62"/>
      <c r="G135" s="62">
        <f>E135*300%</f>
        <v>245220.06</v>
      </c>
      <c r="H135" s="62">
        <f>E135*7.5%</f>
        <v>6130.5015000000003</v>
      </c>
      <c r="I135" s="62">
        <v>80244.38</v>
      </c>
      <c r="J135" s="62">
        <f>E135*50%</f>
        <v>40870.01</v>
      </c>
      <c r="K135" s="62">
        <f>E135*350%</f>
        <v>286090.07</v>
      </c>
      <c r="L135" s="62">
        <f>E135*100%</f>
        <v>81740.02</v>
      </c>
      <c r="M135" s="27"/>
      <c r="N135" s="27">
        <f>100000</f>
        <v>100000</v>
      </c>
      <c r="O135" s="62">
        <f>E135*10%</f>
        <v>8174.0020000000004</v>
      </c>
      <c r="P135" s="62">
        <v>20000</v>
      </c>
      <c r="Q135" s="62">
        <v>0</v>
      </c>
      <c r="R135" s="36">
        <f>SUM(E135:Q135)</f>
        <v>950209.06350000005</v>
      </c>
      <c r="S135" s="36"/>
      <c r="T135" s="36">
        <v>50000</v>
      </c>
      <c r="U135" s="36">
        <f>320000</f>
        <v>320000</v>
      </c>
      <c r="V135" s="36">
        <f>'[2]April 2022'!$H$29</f>
        <v>2043.5005000000001</v>
      </c>
      <c r="W135" s="62">
        <v>52776.63</v>
      </c>
      <c r="X135" s="36">
        <f>W135+V135+U135+T135+S135</f>
        <v>424820.13049999997</v>
      </c>
      <c r="Y135" s="36">
        <v>525388.93350000004</v>
      </c>
      <c r="Z135" s="36">
        <f t="shared" ref="Z135:Z187" si="159">R135-X135</f>
        <v>525388.93300000008</v>
      </c>
    </row>
    <row r="136" spans="1:27" ht="20.100000000000001" customHeight="1">
      <c r="A136" s="33">
        <v>2</v>
      </c>
      <c r="B136" s="226" t="s">
        <v>245</v>
      </c>
      <c r="C136" s="61" t="s">
        <v>246</v>
      </c>
      <c r="D136" s="66" t="s">
        <v>43</v>
      </c>
      <c r="E136" s="62">
        <v>81740.02</v>
      </c>
      <c r="F136" s="62"/>
      <c r="G136" s="62">
        <f>E136*300%</f>
        <v>245220.06</v>
      </c>
      <c r="H136" s="62">
        <f>E136*7.5%</f>
        <v>6130.5015000000003</v>
      </c>
      <c r="I136" s="62">
        <f>80244.38</f>
        <v>80244.38</v>
      </c>
      <c r="J136" s="62">
        <f>E136*50%</f>
        <v>40870.01</v>
      </c>
      <c r="K136" s="62">
        <f>E136*350%</f>
        <v>286090.07</v>
      </c>
      <c r="L136" s="62">
        <f>E136*100%</f>
        <v>81740.02</v>
      </c>
      <c r="M136" s="27"/>
      <c r="N136" s="27">
        <f>100000</f>
        <v>100000</v>
      </c>
      <c r="O136" s="62">
        <f>E136*10%</f>
        <v>8174.0020000000004</v>
      </c>
      <c r="P136" s="62">
        <v>20000</v>
      </c>
      <c r="Q136" s="62">
        <v>0</v>
      </c>
      <c r="R136" s="36">
        <f>SUM(E136:Q136)</f>
        <v>950209.06350000005</v>
      </c>
      <c r="S136" s="36"/>
      <c r="T136" s="36">
        <f>100000</f>
        <v>100000</v>
      </c>
      <c r="U136" s="36">
        <f>208526.24</f>
        <v>208526.24</v>
      </c>
      <c r="V136" s="36"/>
      <c r="W136" s="62">
        <f>52776.63</f>
        <v>52776.63</v>
      </c>
      <c r="X136" s="36">
        <f t="shared" ref="X136:X190" si="160">W136+V136+U136+T136+S136</f>
        <v>361302.87</v>
      </c>
      <c r="Y136" s="36">
        <v>588906.19350000005</v>
      </c>
      <c r="Z136" s="36">
        <f t="shared" si="159"/>
        <v>588906.19350000005</v>
      </c>
    </row>
    <row r="137" spans="1:27" ht="20.100000000000001" customHeight="1">
      <c r="A137" s="33">
        <v>3</v>
      </c>
      <c r="B137" s="226" t="s">
        <v>247</v>
      </c>
      <c r="C137" s="61" t="s">
        <v>248</v>
      </c>
      <c r="D137" s="66" t="s">
        <v>227</v>
      </c>
      <c r="E137" s="62">
        <v>42653.17</v>
      </c>
      <c r="F137" s="62"/>
      <c r="G137" s="62">
        <f t="shared" ref="G137:G190" si="161">E137*300%</f>
        <v>127959.51</v>
      </c>
      <c r="H137" s="62">
        <f t="shared" ref="H137:H190" si="162">E137*7.5%</f>
        <v>3198.9877499999998</v>
      </c>
      <c r="I137" s="62">
        <v>40122.19</v>
      </c>
      <c r="J137" s="62">
        <f t="shared" ref="J137:J190" si="163">E137*50%</f>
        <v>21326.584999999999</v>
      </c>
      <c r="K137" s="62">
        <f t="shared" ref="K137:K190" si="164">E137*350%</f>
        <v>149286.095</v>
      </c>
      <c r="L137" s="62">
        <f t="shared" ref="L137:L155" si="165">E137*100%</f>
        <v>42653.17</v>
      </c>
      <c r="M137" s="27"/>
      <c r="N137" s="27">
        <f>90000</f>
        <v>90000</v>
      </c>
      <c r="O137" s="62">
        <f t="shared" ref="O137:O155" si="166">E137*10%</f>
        <v>4265.317</v>
      </c>
      <c r="P137" s="62">
        <v>20000</v>
      </c>
      <c r="Q137" s="62">
        <v>0</v>
      </c>
      <c r="R137" s="36">
        <f t="shared" ref="R137:R157" si="167">SUM(E137:Q137)</f>
        <v>541465.02474999998</v>
      </c>
      <c r="S137" s="36"/>
      <c r="T137" s="36">
        <f>25000</f>
        <v>25000</v>
      </c>
      <c r="U137" s="36">
        <f>200000</f>
        <v>200000</v>
      </c>
      <c r="V137" s="36"/>
      <c r="W137" s="62">
        <f>21618.09</f>
        <v>21618.09</v>
      </c>
      <c r="X137" s="36">
        <f t="shared" si="160"/>
        <v>246618.09</v>
      </c>
      <c r="Y137" s="36">
        <v>294846.93475000001</v>
      </c>
      <c r="Z137" s="36">
        <f t="shared" si="159"/>
        <v>294846.93475000001</v>
      </c>
    </row>
    <row r="138" spans="1:27" ht="20.100000000000001" customHeight="1">
      <c r="A138" s="33">
        <v>4</v>
      </c>
      <c r="B138" s="230" t="s">
        <v>249</v>
      </c>
      <c r="C138" s="20" t="s">
        <v>250</v>
      </c>
      <c r="D138" s="25" t="s">
        <v>54</v>
      </c>
      <c r="E138" s="62">
        <v>33507.5</v>
      </c>
      <c r="F138" s="26"/>
      <c r="G138" s="26">
        <f t="shared" si="161"/>
        <v>100522.5</v>
      </c>
      <c r="H138" s="26">
        <f t="shared" si="162"/>
        <v>2513.0625</v>
      </c>
      <c r="I138" s="26">
        <v>40122.19</v>
      </c>
      <c r="J138" s="26">
        <f t="shared" si="163"/>
        <v>16753.75</v>
      </c>
      <c r="K138" s="26">
        <f t="shared" si="164"/>
        <v>117276.25</v>
      </c>
      <c r="L138" s="26">
        <f t="shared" si="165"/>
        <v>33507.5</v>
      </c>
      <c r="M138" s="27"/>
      <c r="N138" s="27">
        <v>80000</v>
      </c>
      <c r="O138" s="26">
        <f t="shared" si="166"/>
        <v>3350.75</v>
      </c>
      <c r="P138" s="26">
        <v>20000</v>
      </c>
      <c r="Q138" s="26">
        <v>50000</v>
      </c>
      <c r="R138" s="36">
        <f t="shared" si="167"/>
        <v>497553.5025</v>
      </c>
      <c r="S138" s="36"/>
      <c r="T138" s="24">
        <f>37500</f>
        <v>37500</v>
      </c>
      <c r="U138" s="24"/>
      <c r="V138" s="24">
        <f>'[2]April 2022'!$H$49</f>
        <v>837.6875</v>
      </c>
      <c r="W138" s="24">
        <v>15548.33</v>
      </c>
      <c r="X138" s="36">
        <f t="shared" si="160"/>
        <v>53886.017500000002</v>
      </c>
      <c r="Y138" s="36">
        <v>443667.48499999999</v>
      </c>
      <c r="Z138" s="36">
        <f t="shared" si="159"/>
        <v>443667.48499999999</v>
      </c>
    </row>
    <row r="139" spans="1:27" ht="20.100000000000001" customHeight="1">
      <c r="A139" s="33">
        <v>5</v>
      </c>
      <c r="B139" s="230" t="s">
        <v>251</v>
      </c>
      <c r="C139" s="20" t="s">
        <v>252</v>
      </c>
      <c r="D139" s="25" t="s">
        <v>54</v>
      </c>
      <c r="E139" s="62">
        <v>33507.5</v>
      </c>
      <c r="F139" s="26"/>
      <c r="G139" s="26">
        <f t="shared" si="161"/>
        <v>100522.5</v>
      </c>
      <c r="H139" s="26">
        <f t="shared" si="162"/>
        <v>2513.0625</v>
      </c>
      <c r="I139" s="26">
        <v>40122.19</v>
      </c>
      <c r="J139" s="26">
        <f t="shared" si="163"/>
        <v>16753.75</v>
      </c>
      <c r="K139" s="26">
        <f t="shared" si="164"/>
        <v>117276.25</v>
      </c>
      <c r="L139" s="26">
        <f t="shared" si="165"/>
        <v>33507.5</v>
      </c>
      <c r="M139" s="27"/>
      <c r="N139" s="27">
        <v>80000</v>
      </c>
      <c r="O139" s="26">
        <f t="shared" si="166"/>
        <v>3350.75</v>
      </c>
      <c r="P139" s="26">
        <v>20000</v>
      </c>
      <c r="Q139" s="26"/>
      <c r="R139" s="36">
        <f t="shared" si="167"/>
        <v>447553.5025</v>
      </c>
      <c r="S139" s="36"/>
      <c r="T139" s="24"/>
      <c r="U139" s="24"/>
      <c r="V139" s="24"/>
      <c r="W139" s="24">
        <v>15548.33</v>
      </c>
      <c r="X139" s="36">
        <f t="shared" si="160"/>
        <v>15548.33</v>
      </c>
      <c r="Y139" s="36">
        <v>432005.17249999999</v>
      </c>
      <c r="Z139" s="36">
        <f t="shared" si="159"/>
        <v>432005.17249999999</v>
      </c>
    </row>
    <row r="140" spans="1:27" ht="20.100000000000001" customHeight="1">
      <c r="A140" s="33">
        <v>6</v>
      </c>
      <c r="B140" s="226" t="s">
        <v>253</v>
      </c>
      <c r="C140" s="61" t="s">
        <v>254</v>
      </c>
      <c r="D140" s="66" t="s">
        <v>66</v>
      </c>
      <c r="E140" s="62">
        <v>26732.65</v>
      </c>
      <c r="F140" s="62"/>
      <c r="G140" s="62">
        <f t="shared" si="161"/>
        <v>80197.950000000012</v>
      </c>
      <c r="H140" s="62">
        <f t="shared" si="162"/>
        <v>2004.94875</v>
      </c>
      <c r="I140" s="62">
        <v>0</v>
      </c>
      <c r="J140" s="62">
        <f t="shared" si="163"/>
        <v>13366.325000000001</v>
      </c>
      <c r="K140" s="36">
        <f t="shared" si="164"/>
        <v>93564.275000000009</v>
      </c>
      <c r="L140" s="62">
        <f t="shared" si="165"/>
        <v>26732.65</v>
      </c>
      <c r="M140" s="27"/>
      <c r="N140" s="27">
        <v>70000</v>
      </c>
      <c r="O140" s="62">
        <f t="shared" si="166"/>
        <v>2673.2650000000003</v>
      </c>
      <c r="P140" s="26">
        <v>20000</v>
      </c>
      <c r="Q140" s="62"/>
      <c r="R140" s="36">
        <f t="shared" si="167"/>
        <v>335272.06374999997</v>
      </c>
      <c r="S140" s="36"/>
      <c r="T140" s="36">
        <v>30000</v>
      </c>
      <c r="U140" s="36">
        <f>91666.67</f>
        <v>91666.67</v>
      </c>
      <c r="V140" s="36">
        <f>'[2]April 2022'!$H$47</f>
        <v>668.31625000000008</v>
      </c>
      <c r="W140" s="62">
        <v>7709.76</v>
      </c>
      <c r="X140" s="36">
        <f t="shared" si="160"/>
        <v>130044.74625</v>
      </c>
      <c r="Y140" s="36">
        <v>296924.21749999997</v>
      </c>
      <c r="Z140" s="36">
        <f t="shared" si="159"/>
        <v>205227.31749999998</v>
      </c>
    </row>
    <row r="141" spans="1:27" ht="20.100000000000001" customHeight="1">
      <c r="A141" s="33">
        <v>7</v>
      </c>
      <c r="B141" s="226" t="s">
        <v>255</v>
      </c>
      <c r="C141" s="33" t="s">
        <v>256</v>
      </c>
      <c r="D141" s="66" t="s">
        <v>66</v>
      </c>
      <c r="E141" s="62">
        <v>26732.65</v>
      </c>
      <c r="F141" s="62"/>
      <c r="G141" s="62">
        <f t="shared" si="161"/>
        <v>80197.950000000012</v>
      </c>
      <c r="H141" s="62">
        <f t="shared" si="162"/>
        <v>2004.94875</v>
      </c>
      <c r="I141" s="62">
        <v>0</v>
      </c>
      <c r="J141" s="62">
        <f t="shared" si="163"/>
        <v>13366.325000000001</v>
      </c>
      <c r="K141" s="36">
        <f t="shared" si="164"/>
        <v>93564.275000000009</v>
      </c>
      <c r="L141" s="62">
        <f t="shared" si="165"/>
        <v>26732.65</v>
      </c>
      <c r="M141" s="27"/>
      <c r="N141" s="27">
        <v>70000</v>
      </c>
      <c r="O141" s="62">
        <f t="shared" si="166"/>
        <v>2673.2650000000003</v>
      </c>
      <c r="P141" s="26">
        <v>20000</v>
      </c>
      <c r="Q141" s="62">
        <v>0</v>
      </c>
      <c r="R141" s="36">
        <f t="shared" si="167"/>
        <v>335272.06374999997</v>
      </c>
      <c r="S141" s="36"/>
      <c r="T141" s="36">
        <f>0</f>
        <v>0</v>
      </c>
      <c r="U141" s="36">
        <f>133333.33</f>
        <v>133333.32999999999</v>
      </c>
      <c r="V141" s="36">
        <f>'[2]April 2022'!$H$50</f>
        <v>668.31625000000008</v>
      </c>
      <c r="W141" s="62">
        <v>7709.76</v>
      </c>
      <c r="X141" s="36">
        <f t="shared" si="160"/>
        <v>141711.40625</v>
      </c>
      <c r="Y141" s="36">
        <v>193590.88749999998</v>
      </c>
      <c r="Z141" s="36">
        <f t="shared" si="159"/>
        <v>193560.65749999997</v>
      </c>
    </row>
    <row r="142" spans="1:27" ht="20.100000000000001" customHeight="1">
      <c r="A142" s="33">
        <v>8</v>
      </c>
      <c r="B142" s="226" t="s">
        <v>257</v>
      </c>
      <c r="C142" s="33" t="s">
        <v>258</v>
      </c>
      <c r="D142" s="66" t="s">
        <v>98</v>
      </c>
      <c r="E142" s="62">
        <v>24741.26</v>
      </c>
      <c r="F142" s="62"/>
      <c r="G142" s="62">
        <f t="shared" si="161"/>
        <v>74223.78</v>
      </c>
      <c r="H142" s="62">
        <f t="shared" si="162"/>
        <v>1855.5944999999997</v>
      </c>
      <c r="I142" s="36">
        <v>0</v>
      </c>
      <c r="J142" s="62">
        <f t="shared" si="163"/>
        <v>12370.63</v>
      </c>
      <c r="K142" s="36">
        <f t="shared" si="164"/>
        <v>86594.409999999989</v>
      </c>
      <c r="L142" s="62">
        <f t="shared" si="165"/>
        <v>24741.26</v>
      </c>
      <c r="M142" s="27"/>
      <c r="N142" s="27">
        <v>70000</v>
      </c>
      <c r="O142" s="62">
        <f t="shared" si="166"/>
        <v>2474.1260000000002</v>
      </c>
      <c r="P142" s="62">
        <v>15000</v>
      </c>
      <c r="Q142" s="62">
        <v>0</v>
      </c>
      <c r="R142" s="36">
        <f t="shared" si="167"/>
        <v>312001.06049999996</v>
      </c>
      <c r="S142" s="36"/>
      <c r="T142" s="36">
        <f>10000</f>
        <v>10000</v>
      </c>
      <c r="U142" s="36">
        <f>90000</f>
        <v>90000</v>
      </c>
      <c r="V142" s="36"/>
      <c r="W142" s="62">
        <f>7709.76</f>
        <v>7709.76</v>
      </c>
      <c r="X142" s="36">
        <f t="shared" si="160"/>
        <v>107709.75999999999</v>
      </c>
      <c r="Y142" s="36">
        <v>164291.30049999995</v>
      </c>
      <c r="Z142" s="36">
        <f t="shared" si="159"/>
        <v>204291.30049999995</v>
      </c>
    </row>
    <row r="143" spans="1:27" ht="20.100000000000001" customHeight="1">
      <c r="A143" s="33">
        <v>9</v>
      </c>
      <c r="B143" s="223" t="s">
        <v>259</v>
      </c>
      <c r="C143" s="61" t="s">
        <v>260</v>
      </c>
      <c r="D143" s="66" t="s">
        <v>85</v>
      </c>
      <c r="E143" s="62">
        <v>21520.880000000001</v>
      </c>
      <c r="F143" s="62"/>
      <c r="G143" s="62">
        <f>E143*300%</f>
        <v>64562.64</v>
      </c>
      <c r="H143" s="62">
        <f>E143*7.5%</f>
        <v>1614.066</v>
      </c>
      <c r="I143" s="62">
        <v>0</v>
      </c>
      <c r="J143" s="62">
        <f>E143*50%</f>
        <v>10760.44</v>
      </c>
      <c r="K143" s="36">
        <f>E143*350%</f>
        <v>75323.08</v>
      </c>
      <c r="L143" s="62">
        <f>E143*100%</f>
        <v>21520.880000000001</v>
      </c>
      <c r="M143" s="27"/>
      <c r="N143" s="27">
        <f>60000</f>
        <v>60000</v>
      </c>
      <c r="O143" s="62">
        <f>E143*10%</f>
        <v>2152.0880000000002</v>
      </c>
      <c r="P143" s="62">
        <v>15000</v>
      </c>
      <c r="Q143" s="62">
        <v>0</v>
      </c>
      <c r="R143" s="36">
        <f>SUM(E143:Q143)</f>
        <v>272454.07400000002</v>
      </c>
      <c r="S143" s="36"/>
      <c r="T143" s="36">
        <v>10000</v>
      </c>
      <c r="U143" s="36">
        <f>51500</f>
        <v>51500</v>
      </c>
      <c r="V143" s="36">
        <f>'[2]April 2022'!$H$40</f>
        <v>538.02200000000005</v>
      </c>
      <c r="W143" s="62">
        <f>3369.51</f>
        <v>3369.51</v>
      </c>
      <c r="X143" s="36">
        <f t="shared" si="160"/>
        <v>65407.531999999999</v>
      </c>
      <c r="Y143" s="36">
        <v>207102.64025000003</v>
      </c>
      <c r="Z143" s="36">
        <f>R143-X143</f>
        <v>207046.54200000002</v>
      </c>
    </row>
    <row r="144" spans="1:27" ht="20.100000000000001" customHeight="1">
      <c r="A144" s="33">
        <v>10</v>
      </c>
      <c r="B144" s="226" t="s">
        <v>261</v>
      </c>
      <c r="C144" s="61" t="s">
        <v>260</v>
      </c>
      <c r="D144" s="66" t="s">
        <v>85</v>
      </c>
      <c r="E144" s="62">
        <v>21520.880000000001</v>
      </c>
      <c r="F144" s="62"/>
      <c r="G144" s="62">
        <f>E144*300%</f>
        <v>64562.64</v>
      </c>
      <c r="H144" s="62">
        <f>E144*7.5%</f>
        <v>1614.066</v>
      </c>
      <c r="I144" s="62">
        <v>0</v>
      </c>
      <c r="J144" s="62">
        <f>E144*50%</f>
        <v>10760.44</v>
      </c>
      <c r="K144" s="36">
        <f>E144*350%</f>
        <v>75323.08</v>
      </c>
      <c r="L144" s="26">
        <f t="shared" si="165"/>
        <v>21520.880000000001</v>
      </c>
      <c r="M144" s="27"/>
      <c r="N144" s="27">
        <f>60000</f>
        <v>60000</v>
      </c>
      <c r="O144" s="62">
        <f t="shared" si="166"/>
        <v>2152.0880000000002</v>
      </c>
      <c r="P144" s="62">
        <v>15000</v>
      </c>
      <c r="Q144" s="62">
        <v>0</v>
      </c>
      <c r="R144" s="36">
        <f t="shared" si="167"/>
        <v>272454.07400000002</v>
      </c>
      <c r="S144" s="36"/>
      <c r="T144" s="36"/>
      <c r="U144" s="36">
        <f>100000</f>
        <v>100000</v>
      </c>
      <c r="V144" s="36"/>
      <c r="W144" s="62">
        <v>3369.51</v>
      </c>
      <c r="X144" s="36">
        <f t="shared" si="160"/>
        <v>103369.51</v>
      </c>
      <c r="Y144" s="36">
        <v>169084.56400000001</v>
      </c>
      <c r="Z144" s="36">
        <f t="shared" si="159"/>
        <v>169084.56400000001</v>
      </c>
    </row>
    <row r="145" spans="1:26" ht="20.100000000000001" customHeight="1">
      <c r="A145" s="33">
        <v>11</v>
      </c>
      <c r="B145" s="223" t="s">
        <v>262</v>
      </c>
      <c r="C145" s="33" t="s">
        <v>258</v>
      </c>
      <c r="D145" s="66" t="s">
        <v>85</v>
      </c>
      <c r="E145" s="62">
        <v>21520.880000000001</v>
      </c>
      <c r="F145" s="62"/>
      <c r="G145" s="62">
        <f>E145*300%</f>
        <v>64562.64</v>
      </c>
      <c r="H145" s="62">
        <f>E145*7.5%</f>
        <v>1614.066</v>
      </c>
      <c r="I145" s="36"/>
      <c r="J145" s="62">
        <f>E145*50%</f>
        <v>10760.44</v>
      </c>
      <c r="K145" s="36">
        <f>E145*350%</f>
        <v>75323.08</v>
      </c>
      <c r="L145" s="62">
        <f>E145*100%</f>
        <v>21520.880000000001</v>
      </c>
      <c r="M145" s="27"/>
      <c r="N145" s="27">
        <f>60000</f>
        <v>60000</v>
      </c>
      <c r="O145" s="62">
        <f>E145*10%</f>
        <v>2152.0880000000002</v>
      </c>
      <c r="P145" s="62">
        <v>15000</v>
      </c>
      <c r="Q145" s="62"/>
      <c r="R145" s="36">
        <f>SUM(E145:Q145)</f>
        <v>272454.07400000002</v>
      </c>
      <c r="S145" s="36"/>
      <c r="T145" s="36">
        <f>20000+40000</f>
        <v>60000</v>
      </c>
      <c r="U145" s="36">
        <f>45833.33</f>
        <v>45833.33</v>
      </c>
      <c r="V145" s="36"/>
      <c r="W145" s="62">
        <v>3369.51</v>
      </c>
      <c r="X145" s="36">
        <f>W145+V145+U145+T145+S145</f>
        <v>109202.84</v>
      </c>
      <c r="Y145" s="36">
        <v>209084.56400000001</v>
      </c>
      <c r="Z145" s="36">
        <f>R145-X145</f>
        <v>163251.23400000003</v>
      </c>
    </row>
    <row r="146" spans="1:26" ht="20.100000000000001" customHeight="1">
      <c r="A146" s="33">
        <v>12</v>
      </c>
      <c r="B146" s="223" t="s">
        <v>263</v>
      </c>
      <c r="C146" s="33" t="s">
        <v>264</v>
      </c>
      <c r="D146" s="66" t="s">
        <v>82</v>
      </c>
      <c r="E146" s="26">
        <v>18779.3</v>
      </c>
      <c r="F146" s="62"/>
      <c r="G146" s="62">
        <f>E146*300%</f>
        <v>56337.899999999994</v>
      </c>
      <c r="H146" s="62">
        <f>E146*7.5%</f>
        <v>1408.4475</v>
      </c>
      <c r="I146" s="62"/>
      <c r="J146" s="62">
        <f>E146*50%</f>
        <v>9389.65</v>
      </c>
      <c r="K146" s="36">
        <f>E146*350%</f>
        <v>65727.55</v>
      </c>
      <c r="L146" s="26">
        <f t="shared" si="165"/>
        <v>18779.3</v>
      </c>
      <c r="M146" s="27"/>
      <c r="N146" s="27">
        <f>60000</f>
        <v>60000</v>
      </c>
      <c r="O146" s="62">
        <f t="shared" si="166"/>
        <v>1877.93</v>
      </c>
      <c r="P146" s="62">
        <v>10000</v>
      </c>
      <c r="Q146" s="62"/>
      <c r="R146" s="36">
        <f t="shared" si="167"/>
        <v>242300.07749999996</v>
      </c>
      <c r="S146" s="36"/>
      <c r="T146" s="36">
        <f>100000</f>
        <v>100000</v>
      </c>
      <c r="U146" s="36">
        <f>93721.55</f>
        <v>93721.55</v>
      </c>
      <c r="V146" s="36"/>
      <c r="W146" s="62">
        <v>3369.51</v>
      </c>
      <c r="X146" s="36">
        <f t="shared" si="160"/>
        <v>197091.06</v>
      </c>
      <c r="Y146" s="36">
        <v>95209.017499999958</v>
      </c>
      <c r="Z146" s="36">
        <f t="shared" si="159"/>
        <v>45209.017499999958</v>
      </c>
    </row>
    <row r="147" spans="1:26" ht="20.100000000000001" customHeight="1">
      <c r="A147" s="33">
        <v>13</v>
      </c>
      <c r="B147" s="223" t="s">
        <v>265</v>
      </c>
      <c r="C147" s="61" t="s">
        <v>266</v>
      </c>
      <c r="D147" s="66" t="s">
        <v>103</v>
      </c>
      <c r="E147" s="67">
        <v>18281.64</v>
      </c>
      <c r="F147" s="62"/>
      <c r="G147" s="62">
        <f t="shared" si="161"/>
        <v>54844.92</v>
      </c>
      <c r="H147" s="62">
        <f t="shared" si="162"/>
        <v>1371.1229999999998</v>
      </c>
      <c r="I147" s="62"/>
      <c r="J147" s="62">
        <f t="shared" si="163"/>
        <v>9140.82</v>
      </c>
      <c r="K147" s="36">
        <f t="shared" si="164"/>
        <v>63985.74</v>
      </c>
      <c r="L147" s="62">
        <f t="shared" si="165"/>
        <v>18281.64</v>
      </c>
      <c r="M147" s="27"/>
      <c r="N147" s="27">
        <f>60000</f>
        <v>60000</v>
      </c>
      <c r="O147" s="62">
        <f t="shared" si="166"/>
        <v>1828.164</v>
      </c>
      <c r="P147" s="62">
        <v>10000</v>
      </c>
      <c r="Q147" s="62"/>
      <c r="R147" s="36">
        <f t="shared" si="167"/>
        <v>237734.04699999996</v>
      </c>
      <c r="S147" s="36"/>
      <c r="T147" s="36">
        <f>10000</f>
        <v>10000</v>
      </c>
      <c r="U147" s="36">
        <f>50000</f>
        <v>50000</v>
      </c>
      <c r="V147" s="36">
        <f>'[2]April 2022'!$H$43</f>
        <v>457.041</v>
      </c>
      <c r="W147" s="62">
        <f>3369.51</f>
        <v>3369.51</v>
      </c>
      <c r="X147" s="36">
        <f t="shared" si="160"/>
        <v>63826.550999999999</v>
      </c>
      <c r="Y147" s="36">
        <v>173919.93699999998</v>
      </c>
      <c r="Z147" s="36">
        <f t="shared" si="159"/>
        <v>173907.49599999996</v>
      </c>
    </row>
    <row r="148" spans="1:26" ht="20.100000000000001" customHeight="1">
      <c r="A148" s="33">
        <v>14</v>
      </c>
      <c r="B148" s="223" t="s">
        <v>267</v>
      </c>
      <c r="C148" s="61" t="s">
        <v>268</v>
      </c>
      <c r="D148" s="66" t="s">
        <v>82</v>
      </c>
      <c r="E148" s="26">
        <v>18779.3</v>
      </c>
      <c r="F148" s="62"/>
      <c r="G148" s="62">
        <f>E148*300%</f>
        <v>56337.899999999994</v>
      </c>
      <c r="H148" s="62">
        <f>E148*7.5%</f>
        <v>1408.4475</v>
      </c>
      <c r="I148" s="36"/>
      <c r="J148" s="62">
        <f>E148*50%</f>
        <v>9389.65</v>
      </c>
      <c r="K148" s="36">
        <f>E148*350%</f>
        <v>65727.55</v>
      </c>
      <c r="L148" s="62">
        <f>E148*100%</f>
        <v>18779.3</v>
      </c>
      <c r="M148" s="27"/>
      <c r="N148" s="27">
        <f>60000</f>
        <v>60000</v>
      </c>
      <c r="O148" s="62">
        <f>E148*10%</f>
        <v>1877.93</v>
      </c>
      <c r="P148" s="62">
        <v>10000</v>
      </c>
      <c r="Q148" s="62"/>
      <c r="R148" s="36">
        <f>SUM(E148:Q148)</f>
        <v>242300.07749999996</v>
      </c>
      <c r="S148" s="36"/>
      <c r="T148" s="36">
        <v>20000</v>
      </c>
      <c r="U148" s="36">
        <f>68750</f>
        <v>68750</v>
      </c>
      <c r="V148" s="36">
        <f>'[2]April 2022'!$H$30</f>
        <v>469.48250000000002</v>
      </c>
      <c r="W148" s="62">
        <v>3369.51</v>
      </c>
      <c r="X148" s="36">
        <f t="shared" si="160"/>
        <v>92588.992499999993</v>
      </c>
      <c r="Y148" s="36">
        <v>149723.52649999995</v>
      </c>
      <c r="Z148" s="36">
        <f>R148-X148</f>
        <v>149711.08499999996</v>
      </c>
    </row>
    <row r="149" spans="1:26" ht="20.100000000000001" customHeight="1">
      <c r="A149" s="33">
        <v>15</v>
      </c>
      <c r="B149" s="223" t="s">
        <v>269</v>
      </c>
      <c r="C149" s="33" t="s">
        <v>264</v>
      </c>
      <c r="D149" s="66" t="s">
        <v>95</v>
      </c>
      <c r="E149" s="67">
        <v>17784.099999999999</v>
      </c>
      <c r="F149" s="62"/>
      <c r="G149" s="62">
        <f t="shared" si="161"/>
        <v>53352.299999999996</v>
      </c>
      <c r="H149" s="62">
        <f t="shared" si="162"/>
        <v>1333.8074999999999</v>
      </c>
      <c r="I149" s="62"/>
      <c r="J149" s="62">
        <f t="shared" si="163"/>
        <v>8892.0499999999993</v>
      </c>
      <c r="K149" s="36">
        <f t="shared" si="164"/>
        <v>62244.349999999991</v>
      </c>
      <c r="L149" s="62">
        <f t="shared" si="165"/>
        <v>17784.099999999999</v>
      </c>
      <c r="M149" s="27"/>
      <c r="N149" s="27">
        <f>60000</f>
        <v>60000</v>
      </c>
      <c r="O149" s="62">
        <f t="shared" si="166"/>
        <v>1778.4099999999999</v>
      </c>
      <c r="P149" s="62">
        <v>10000</v>
      </c>
      <c r="Q149" s="62"/>
      <c r="R149" s="36">
        <f t="shared" si="167"/>
        <v>233169.11749999999</v>
      </c>
      <c r="S149" s="36"/>
      <c r="T149" s="36">
        <f>10000</f>
        <v>10000</v>
      </c>
      <c r="U149" s="36">
        <f>22916.67</f>
        <v>22916.67</v>
      </c>
      <c r="V149" s="36"/>
      <c r="W149" s="62">
        <v>1484.37</v>
      </c>
      <c r="X149" s="36">
        <f t="shared" si="160"/>
        <v>34401.039999999994</v>
      </c>
      <c r="Y149" s="36">
        <v>198768.07750000001</v>
      </c>
      <c r="Z149" s="36">
        <f t="shared" si="159"/>
        <v>198768.07750000001</v>
      </c>
    </row>
    <row r="150" spans="1:26" ht="20.100000000000001" customHeight="1">
      <c r="A150" s="33">
        <v>16</v>
      </c>
      <c r="B150" s="223" t="s">
        <v>270</v>
      </c>
      <c r="C150" s="33" t="s">
        <v>264</v>
      </c>
      <c r="D150" s="66" t="s">
        <v>95</v>
      </c>
      <c r="E150" s="67">
        <v>17784.099999999999</v>
      </c>
      <c r="F150" s="62"/>
      <c r="G150" s="62">
        <f t="shared" si="161"/>
        <v>53352.299999999996</v>
      </c>
      <c r="H150" s="62">
        <f t="shared" si="162"/>
        <v>1333.8074999999999</v>
      </c>
      <c r="I150" s="62"/>
      <c r="J150" s="62">
        <f t="shared" si="163"/>
        <v>8892.0499999999993</v>
      </c>
      <c r="K150" s="36">
        <f t="shared" si="164"/>
        <v>62244.349999999991</v>
      </c>
      <c r="L150" s="62">
        <f t="shared" si="165"/>
        <v>17784.099999999999</v>
      </c>
      <c r="M150" s="27"/>
      <c r="N150" s="27">
        <f>60000</f>
        <v>60000</v>
      </c>
      <c r="O150" s="62">
        <f t="shared" si="166"/>
        <v>1778.4099999999999</v>
      </c>
      <c r="P150" s="62">
        <v>10000</v>
      </c>
      <c r="Q150" s="62"/>
      <c r="R150" s="36">
        <f t="shared" si="167"/>
        <v>233169.11749999999</v>
      </c>
      <c r="S150" s="36"/>
      <c r="T150" s="36">
        <f>10000</f>
        <v>10000</v>
      </c>
      <c r="U150" s="36">
        <f>58083.33</f>
        <v>58083.33</v>
      </c>
      <c r="V150" s="36">
        <f>'[2]April 2022'!$H$36</f>
        <v>444.60249999999996</v>
      </c>
      <c r="W150" s="62">
        <v>1484.37</v>
      </c>
      <c r="X150" s="36">
        <f t="shared" si="160"/>
        <v>70012.302500000005</v>
      </c>
      <c r="Y150" s="36">
        <v>163264.11225000001</v>
      </c>
      <c r="Z150" s="36">
        <f t="shared" si="159"/>
        <v>163156.815</v>
      </c>
    </row>
    <row r="151" spans="1:26" ht="20.100000000000001" customHeight="1">
      <c r="A151" s="33">
        <v>17</v>
      </c>
      <c r="B151" s="223" t="s">
        <v>271</v>
      </c>
      <c r="C151" s="33" t="s">
        <v>264</v>
      </c>
      <c r="D151" s="66" t="s">
        <v>95</v>
      </c>
      <c r="E151" s="67">
        <v>17784.099999999999</v>
      </c>
      <c r="F151" s="62"/>
      <c r="G151" s="62">
        <f t="shared" si="161"/>
        <v>53352.299999999996</v>
      </c>
      <c r="H151" s="62">
        <f t="shared" si="162"/>
        <v>1333.8074999999999</v>
      </c>
      <c r="I151" s="62"/>
      <c r="J151" s="62">
        <f t="shared" si="163"/>
        <v>8892.0499999999993</v>
      </c>
      <c r="K151" s="36">
        <f t="shared" si="164"/>
        <v>62244.349999999991</v>
      </c>
      <c r="L151" s="62">
        <f t="shared" si="165"/>
        <v>17784.099999999999</v>
      </c>
      <c r="M151" s="27"/>
      <c r="N151" s="27">
        <f>60000</f>
        <v>60000</v>
      </c>
      <c r="O151" s="62">
        <f t="shared" si="166"/>
        <v>1778.4099999999999</v>
      </c>
      <c r="P151" s="62">
        <v>10000</v>
      </c>
      <c r="Q151" s="62"/>
      <c r="R151" s="36">
        <f t="shared" si="167"/>
        <v>233169.11749999999</v>
      </c>
      <c r="S151" s="36"/>
      <c r="T151" s="36"/>
      <c r="U151" s="36"/>
      <c r="V151" s="36"/>
      <c r="W151" s="62">
        <v>1484.37</v>
      </c>
      <c r="X151" s="36">
        <f t="shared" si="160"/>
        <v>1484.37</v>
      </c>
      <c r="Y151" s="36">
        <v>231684.7475</v>
      </c>
      <c r="Z151" s="36">
        <f t="shared" si="159"/>
        <v>231684.7475</v>
      </c>
    </row>
    <row r="152" spans="1:26" ht="20.100000000000001" customHeight="1">
      <c r="A152" s="33">
        <v>18</v>
      </c>
      <c r="B152" s="223" t="s">
        <v>272</v>
      </c>
      <c r="C152" s="61" t="s">
        <v>273</v>
      </c>
      <c r="D152" s="66" t="s">
        <v>168</v>
      </c>
      <c r="E152" s="67">
        <f>17286.33</f>
        <v>17286.330000000002</v>
      </c>
      <c r="F152" s="62"/>
      <c r="G152" s="62">
        <f t="shared" si="161"/>
        <v>51858.990000000005</v>
      </c>
      <c r="H152" s="62">
        <f t="shared" si="162"/>
        <v>1296.4747500000001</v>
      </c>
      <c r="I152" s="62"/>
      <c r="J152" s="62">
        <f t="shared" si="163"/>
        <v>8643.1650000000009</v>
      </c>
      <c r="K152" s="36">
        <f t="shared" si="164"/>
        <v>60502.155000000006</v>
      </c>
      <c r="L152" s="62">
        <f t="shared" si="165"/>
        <v>17286.330000000002</v>
      </c>
      <c r="M152" s="27"/>
      <c r="N152" s="27">
        <f>60000</f>
        <v>60000</v>
      </c>
      <c r="O152" s="62">
        <f t="shared" si="166"/>
        <v>1728.6330000000003</v>
      </c>
      <c r="P152" s="62">
        <v>10000</v>
      </c>
      <c r="Q152" s="62"/>
      <c r="R152" s="36">
        <f>SUM(E152:Q152)*6/30</f>
        <v>45720.415550000005</v>
      </c>
      <c r="S152" s="36"/>
      <c r="T152" s="36"/>
      <c r="U152" s="36"/>
      <c r="V152" s="36"/>
      <c r="W152" s="62">
        <f>3369.51</f>
        <v>3369.51</v>
      </c>
      <c r="X152" s="36">
        <f t="shared" si="160"/>
        <v>3369.51</v>
      </c>
      <c r="Y152" s="36"/>
      <c r="Z152" s="36">
        <f t="shared" si="159"/>
        <v>42350.905550000003</v>
      </c>
    </row>
    <row r="153" spans="1:26" ht="20.100000000000001" customHeight="1">
      <c r="A153" s="33">
        <v>19</v>
      </c>
      <c r="B153" s="223" t="s">
        <v>274</v>
      </c>
      <c r="C153" s="61" t="s">
        <v>268</v>
      </c>
      <c r="D153" s="66" t="s">
        <v>106</v>
      </c>
      <c r="E153" s="67">
        <v>13492.21</v>
      </c>
      <c r="F153" s="62"/>
      <c r="G153" s="62">
        <f t="shared" si="161"/>
        <v>40476.629999999997</v>
      </c>
      <c r="H153" s="62">
        <f t="shared" si="162"/>
        <v>1011.9157499999999</v>
      </c>
      <c r="I153" s="62"/>
      <c r="J153" s="62">
        <f t="shared" si="163"/>
        <v>6746.1049999999996</v>
      </c>
      <c r="K153" s="36">
        <f t="shared" si="164"/>
        <v>47222.735000000001</v>
      </c>
      <c r="L153" s="62">
        <f t="shared" si="165"/>
        <v>13492.21</v>
      </c>
      <c r="M153" s="27"/>
      <c r="N153" s="27">
        <f>50000</f>
        <v>50000</v>
      </c>
      <c r="O153" s="62">
        <f t="shared" si="166"/>
        <v>1349.221</v>
      </c>
      <c r="P153" s="62">
        <v>10000</v>
      </c>
      <c r="Q153" s="62"/>
      <c r="R153" s="36">
        <f t="shared" si="167"/>
        <v>183791.02674999999</v>
      </c>
      <c r="S153" s="36"/>
      <c r="T153" s="36"/>
      <c r="U153" s="36"/>
      <c r="V153" s="36"/>
      <c r="W153" s="62">
        <v>1484.37</v>
      </c>
      <c r="X153" s="36">
        <f t="shared" si="160"/>
        <v>1484.37</v>
      </c>
      <c r="Y153" s="36">
        <v>182306.65674999999</v>
      </c>
      <c r="Z153" s="36">
        <f t="shared" si="159"/>
        <v>182306.65674999999</v>
      </c>
    </row>
    <row r="154" spans="1:26" ht="20.100000000000001" customHeight="1">
      <c r="A154" s="33">
        <v>20</v>
      </c>
      <c r="B154" s="223" t="s">
        <v>275</v>
      </c>
      <c r="C154" s="61" t="s">
        <v>276</v>
      </c>
      <c r="D154" s="66" t="s">
        <v>106</v>
      </c>
      <c r="E154" s="67">
        <v>13492.21</v>
      </c>
      <c r="F154" s="62"/>
      <c r="G154" s="62">
        <f t="shared" si="161"/>
        <v>40476.629999999997</v>
      </c>
      <c r="H154" s="62">
        <f t="shared" si="162"/>
        <v>1011.9157499999999</v>
      </c>
      <c r="I154" s="62"/>
      <c r="J154" s="62">
        <f t="shared" si="163"/>
        <v>6746.1049999999996</v>
      </c>
      <c r="K154" s="36">
        <f t="shared" si="164"/>
        <v>47222.735000000001</v>
      </c>
      <c r="L154" s="62">
        <f t="shared" si="165"/>
        <v>13492.21</v>
      </c>
      <c r="M154" s="27"/>
      <c r="N154" s="27">
        <f>50000</f>
        <v>50000</v>
      </c>
      <c r="O154" s="62">
        <f t="shared" si="166"/>
        <v>1349.221</v>
      </c>
      <c r="P154" s="62">
        <v>10000</v>
      </c>
      <c r="Q154" s="62"/>
      <c r="R154" s="36">
        <f t="shared" si="167"/>
        <v>183791.02674999999</v>
      </c>
      <c r="S154" s="36"/>
      <c r="T154" s="36">
        <f>30000+10000</f>
        <v>40000</v>
      </c>
      <c r="U154" s="36">
        <f>70000</f>
        <v>70000</v>
      </c>
      <c r="V154" s="36"/>
      <c r="W154" s="62">
        <v>1484.37</v>
      </c>
      <c r="X154" s="36">
        <f t="shared" si="160"/>
        <v>111484.37</v>
      </c>
      <c r="Y154" s="36">
        <v>72306.656749999995</v>
      </c>
      <c r="Z154" s="36">
        <f t="shared" si="159"/>
        <v>72306.656749999995</v>
      </c>
    </row>
    <row r="155" spans="1:26" ht="20.100000000000001" customHeight="1">
      <c r="A155" s="33">
        <v>21</v>
      </c>
      <c r="B155" s="223" t="s">
        <v>277</v>
      </c>
      <c r="C155" s="61" t="s">
        <v>268</v>
      </c>
      <c r="D155" s="66" t="s">
        <v>106</v>
      </c>
      <c r="E155" s="67">
        <v>13492.21</v>
      </c>
      <c r="F155" s="62"/>
      <c r="G155" s="62">
        <f t="shared" si="161"/>
        <v>40476.629999999997</v>
      </c>
      <c r="H155" s="62">
        <f t="shared" si="162"/>
        <v>1011.9157499999999</v>
      </c>
      <c r="I155" s="62"/>
      <c r="J155" s="62">
        <f t="shared" si="163"/>
        <v>6746.1049999999996</v>
      </c>
      <c r="K155" s="36">
        <f t="shared" si="164"/>
        <v>47222.735000000001</v>
      </c>
      <c r="L155" s="62">
        <f t="shared" si="165"/>
        <v>13492.21</v>
      </c>
      <c r="M155" s="27"/>
      <c r="N155" s="27">
        <f>50000</f>
        <v>50000</v>
      </c>
      <c r="O155" s="62">
        <f t="shared" si="166"/>
        <v>1349.221</v>
      </c>
      <c r="P155" s="62">
        <v>10000</v>
      </c>
      <c r="Q155" s="62"/>
      <c r="R155" s="36">
        <f t="shared" si="167"/>
        <v>183791.02674999999</v>
      </c>
      <c r="S155" s="36"/>
      <c r="T155" s="36">
        <f>10000</f>
        <v>10000</v>
      </c>
      <c r="U155" s="36">
        <f>34485.28</f>
        <v>34485.279999999999</v>
      </c>
      <c r="V155" s="36">
        <f>'[2]April 2022'!$H$53</f>
        <v>337.30525</v>
      </c>
      <c r="W155" s="62">
        <v>1484.37</v>
      </c>
      <c r="X155" s="36">
        <f t="shared" si="160"/>
        <v>46306.955249999999</v>
      </c>
      <c r="Y155" s="36">
        <v>137493.57274999999</v>
      </c>
      <c r="Z155" s="36">
        <f t="shared" si="159"/>
        <v>137484.07149999999</v>
      </c>
    </row>
    <row r="156" spans="1:26" ht="20.100000000000001" customHeight="1">
      <c r="A156" s="33">
        <v>22</v>
      </c>
      <c r="B156" s="223" t="s">
        <v>278</v>
      </c>
      <c r="C156" s="61" t="s">
        <v>279</v>
      </c>
      <c r="D156" s="66" t="s">
        <v>106</v>
      </c>
      <c r="E156" s="67">
        <v>13492.21</v>
      </c>
      <c r="F156" s="62"/>
      <c r="G156" s="62">
        <f>E156*300%</f>
        <v>40476.629999999997</v>
      </c>
      <c r="H156" s="62">
        <f>E156*7.5%</f>
        <v>1011.9157499999999</v>
      </c>
      <c r="I156" s="62"/>
      <c r="J156" s="62">
        <f>E156*50%</f>
        <v>6746.1049999999996</v>
      </c>
      <c r="K156" s="36">
        <f>E156*350%</f>
        <v>47222.735000000001</v>
      </c>
      <c r="L156" s="62">
        <f>E156*100%</f>
        <v>13492.21</v>
      </c>
      <c r="M156" s="27"/>
      <c r="N156" s="27">
        <f>50000</f>
        <v>50000</v>
      </c>
      <c r="O156" s="62">
        <f>E156*10%</f>
        <v>1349.221</v>
      </c>
      <c r="P156" s="62">
        <v>10000</v>
      </c>
      <c r="Q156" s="62"/>
      <c r="R156" s="36">
        <f>SUM(E156:Q156)</f>
        <v>183791.02674999999</v>
      </c>
      <c r="S156" s="36"/>
      <c r="T156" s="36"/>
      <c r="U156" s="36"/>
      <c r="V156" s="36"/>
      <c r="W156" s="62">
        <v>1484.37</v>
      </c>
      <c r="X156" s="36">
        <f t="shared" si="160"/>
        <v>1484.37</v>
      </c>
      <c r="Y156" s="36">
        <v>182306.65674999999</v>
      </c>
      <c r="Z156" s="36">
        <f>R156-X156</f>
        <v>182306.65674999999</v>
      </c>
    </row>
    <row r="157" spans="1:26" ht="20.100000000000001" customHeight="1">
      <c r="A157" s="33">
        <v>23</v>
      </c>
      <c r="B157" s="214" t="s">
        <v>280</v>
      </c>
      <c r="C157" s="61" t="s">
        <v>281</v>
      </c>
      <c r="D157" s="66" t="s">
        <v>108</v>
      </c>
      <c r="E157" s="67">
        <v>13112.16</v>
      </c>
      <c r="F157" s="62"/>
      <c r="G157" s="62">
        <f t="shared" si="161"/>
        <v>39336.479999999996</v>
      </c>
      <c r="H157" s="62">
        <f t="shared" si="162"/>
        <v>983.41199999999992</v>
      </c>
      <c r="I157" s="62"/>
      <c r="J157" s="62">
        <f t="shared" si="163"/>
        <v>6556.08</v>
      </c>
      <c r="K157" s="36">
        <f t="shared" si="164"/>
        <v>45892.56</v>
      </c>
      <c r="L157" s="62">
        <f>E157*100%</f>
        <v>13112.16</v>
      </c>
      <c r="M157" s="27"/>
      <c r="N157" s="27">
        <f>50000</f>
        <v>50000</v>
      </c>
      <c r="O157" s="62">
        <f>E157*10%</f>
        <v>1311.2160000000001</v>
      </c>
      <c r="P157" s="62">
        <v>10000</v>
      </c>
      <c r="R157" s="62">
        <f t="shared" si="167"/>
        <v>180304.068</v>
      </c>
      <c r="S157" s="62"/>
      <c r="T157" s="36">
        <f>30000</f>
        <v>30000</v>
      </c>
      <c r="U157" s="36">
        <f>25750</f>
        <v>25750</v>
      </c>
      <c r="V157" s="36"/>
      <c r="W157" s="62">
        <f>3369.51</f>
        <v>3369.51</v>
      </c>
      <c r="X157" s="36">
        <f t="shared" si="160"/>
        <v>59119.51</v>
      </c>
      <c r="Y157" s="36">
        <v>121184.55799999999</v>
      </c>
      <c r="Z157" s="36">
        <f t="shared" si="159"/>
        <v>121184.55799999999</v>
      </c>
    </row>
    <row r="158" spans="1:26" ht="20.100000000000001" customHeight="1">
      <c r="A158" s="33">
        <v>24</v>
      </c>
      <c r="B158" s="214" t="s">
        <v>282</v>
      </c>
      <c r="C158" s="61" t="s">
        <v>268</v>
      </c>
      <c r="D158" s="66" t="s">
        <v>93</v>
      </c>
      <c r="E158" s="26">
        <v>12351.94</v>
      </c>
      <c r="F158" s="26"/>
      <c r="G158" s="26">
        <f>E158*300%</f>
        <v>37055.82</v>
      </c>
      <c r="H158" s="26">
        <f>E158*7.5%</f>
        <v>926.39549999999997</v>
      </c>
      <c r="I158" s="26"/>
      <c r="J158" s="26">
        <f>E158*50%</f>
        <v>6175.97</v>
      </c>
      <c r="K158" s="26">
        <f>E158*350%</f>
        <v>43231.79</v>
      </c>
      <c r="L158" s="26">
        <f>E158*100%</f>
        <v>12351.94</v>
      </c>
      <c r="M158" s="27"/>
      <c r="N158" s="27">
        <f>50000</f>
        <v>50000</v>
      </c>
      <c r="O158" s="26">
        <f>E158*10%</f>
        <v>1235.1940000000002</v>
      </c>
      <c r="P158" s="26">
        <v>10000</v>
      </c>
      <c r="Q158" s="26"/>
      <c r="R158" s="36">
        <f t="shared" ref="R158:R160" si="168">Q158+P158+O158+N158+M158+L158+K158+J158+I158+H158+G158+F158+E158</f>
        <v>173329.04949999999</v>
      </c>
      <c r="S158" s="36"/>
      <c r="T158" s="36">
        <f>50000</f>
        <v>50000</v>
      </c>
      <c r="U158" s="36">
        <f>50000</f>
        <v>50000</v>
      </c>
      <c r="V158" s="36">
        <f>0</f>
        <v>0</v>
      </c>
      <c r="W158" s="62">
        <v>1484.37</v>
      </c>
      <c r="X158" s="36">
        <f t="shared" si="160"/>
        <v>101484.37</v>
      </c>
      <c r="Y158" s="36">
        <v>71844.679499999998</v>
      </c>
      <c r="Z158" s="36">
        <f>R158-X158</f>
        <v>71844.679499999998</v>
      </c>
    </row>
    <row r="159" spans="1:26" ht="20.100000000000001" customHeight="1">
      <c r="A159" s="33">
        <v>25</v>
      </c>
      <c r="B159" s="214" t="s">
        <v>283</v>
      </c>
      <c r="C159" s="61" t="s">
        <v>281</v>
      </c>
      <c r="D159" s="66" t="s">
        <v>93</v>
      </c>
      <c r="E159" s="26">
        <v>12351.94</v>
      </c>
      <c r="F159" s="26"/>
      <c r="G159" s="26">
        <f t="shared" ref="G159:G161" si="169">E159*300%</f>
        <v>37055.82</v>
      </c>
      <c r="H159" s="26">
        <f t="shared" ref="H159:H161" si="170">E159*7.5%</f>
        <v>926.39549999999997</v>
      </c>
      <c r="I159" s="26"/>
      <c r="J159" s="26">
        <f t="shared" ref="J159:J161" si="171">E159*50%</f>
        <v>6175.97</v>
      </c>
      <c r="K159" s="26">
        <f t="shared" ref="K159:K161" si="172">E159*350%</f>
        <v>43231.79</v>
      </c>
      <c r="L159" s="26">
        <f t="shared" ref="L159:L171" si="173">E159*100%</f>
        <v>12351.94</v>
      </c>
      <c r="M159" s="27"/>
      <c r="N159" s="27">
        <f>50000</f>
        <v>50000</v>
      </c>
      <c r="O159" s="26">
        <f t="shared" ref="O159:O190" si="174">E159*10%</f>
        <v>1235.1940000000002</v>
      </c>
      <c r="P159" s="26">
        <v>10000</v>
      </c>
      <c r="Q159" s="26"/>
      <c r="R159" s="36">
        <f t="shared" si="168"/>
        <v>173329.04949999999</v>
      </c>
      <c r="S159" s="36"/>
      <c r="T159" s="36">
        <f>50000</f>
        <v>50000</v>
      </c>
      <c r="U159" s="36"/>
      <c r="V159" s="36">
        <f>0</f>
        <v>0</v>
      </c>
      <c r="W159" s="62">
        <v>1484.37</v>
      </c>
      <c r="X159" s="36">
        <f t="shared" si="160"/>
        <v>51484.37</v>
      </c>
      <c r="Y159" s="36">
        <v>121844.6795</v>
      </c>
      <c r="Z159" s="36">
        <f t="shared" ref="Z159:Z161" si="175">R159-X159</f>
        <v>121844.6795</v>
      </c>
    </row>
    <row r="160" spans="1:26" ht="20.100000000000001" customHeight="1">
      <c r="A160" s="33">
        <v>26</v>
      </c>
      <c r="B160" s="214" t="s">
        <v>284</v>
      </c>
      <c r="C160" s="61" t="s">
        <v>268</v>
      </c>
      <c r="D160" s="66" t="s">
        <v>93</v>
      </c>
      <c r="E160" s="26">
        <v>12351.94</v>
      </c>
      <c r="F160" s="26"/>
      <c r="G160" s="26">
        <f t="shared" si="169"/>
        <v>37055.82</v>
      </c>
      <c r="H160" s="26">
        <f t="shared" si="170"/>
        <v>926.39549999999997</v>
      </c>
      <c r="I160" s="26"/>
      <c r="J160" s="26">
        <f t="shared" si="171"/>
        <v>6175.97</v>
      </c>
      <c r="K160" s="26">
        <f t="shared" si="172"/>
        <v>43231.79</v>
      </c>
      <c r="L160" s="26">
        <f t="shared" si="173"/>
        <v>12351.94</v>
      </c>
      <c r="M160" s="27"/>
      <c r="N160" s="27">
        <f>50000</f>
        <v>50000</v>
      </c>
      <c r="O160" s="26">
        <f t="shared" si="174"/>
        <v>1235.1940000000002</v>
      </c>
      <c r="P160" s="26">
        <v>10000</v>
      </c>
      <c r="Q160" s="26"/>
      <c r="R160" s="36">
        <f t="shared" si="168"/>
        <v>173329.04949999999</v>
      </c>
      <c r="S160" s="36"/>
      <c r="T160" s="36">
        <f>20000</f>
        <v>20000</v>
      </c>
      <c r="U160" s="36"/>
      <c r="V160" s="36">
        <f>0</f>
        <v>0</v>
      </c>
      <c r="W160" s="62">
        <v>1484.37</v>
      </c>
      <c r="X160" s="36">
        <f t="shared" si="160"/>
        <v>21484.37</v>
      </c>
      <c r="Y160" s="36">
        <v>151844.6795</v>
      </c>
      <c r="Z160" s="36">
        <f t="shared" si="175"/>
        <v>151844.6795</v>
      </c>
    </row>
    <row r="161" spans="1:26" ht="20.100000000000001" customHeight="1">
      <c r="A161" s="33">
        <v>27</v>
      </c>
      <c r="B161" s="214" t="s">
        <v>285</v>
      </c>
      <c r="C161" s="61" t="s">
        <v>281</v>
      </c>
      <c r="D161" s="66" t="s">
        <v>93</v>
      </c>
      <c r="E161" s="26">
        <v>12351.94</v>
      </c>
      <c r="F161" s="26"/>
      <c r="G161" s="26">
        <f t="shared" si="169"/>
        <v>37055.82</v>
      </c>
      <c r="H161" s="26">
        <f t="shared" si="170"/>
        <v>926.39549999999997</v>
      </c>
      <c r="I161" s="26"/>
      <c r="J161" s="26">
        <f t="shared" si="171"/>
        <v>6175.97</v>
      </c>
      <c r="K161" s="26">
        <f t="shared" si="172"/>
        <v>43231.79</v>
      </c>
      <c r="L161" s="26">
        <f t="shared" si="173"/>
        <v>12351.94</v>
      </c>
      <c r="M161" s="27"/>
      <c r="N161" s="27">
        <f>50000</f>
        <v>50000</v>
      </c>
      <c r="O161" s="26">
        <f t="shared" si="174"/>
        <v>1235.1940000000002</v>
      </c>
      <c r="P161" s="26">
        <v>10000</v>
      </c>
      <c r="Q161" s="26"/>
      <c r="R161" s="36">
        <f>(Q161+P161+O161+N161+M161+L161+K161+J161+I161+H161+G161+F161+E161)*12/30</f>
        <v>69331.6198</v>
      </c>
      <c r="S161" s="36"/>
      <c r="T161" s="36"/>
      <c r="U161" s="36"/>
      <c r="V161" s="36">
        <f>0</f>
        <v>0</v>
      </c>
      <c r="W161" s="62">
        <v>1484.37</v>
      </c>
      <c r="X161" s="36">
        <f t="shared" si="160"/>
        <v>1484.37</v>
      </c>
      <c r="Y161" s="36"/>
      <c r="Z161" s="36">
        <f t="shared" si="175"/>
        <v>67847.249800000005</v>
      </c>
    </row>
    <row r="162" spans="1:26" ht="20.100000000000001" customHeight="1">
      <c r="A162" s="33">
        <v>28</v>
      </c>
      <c r="B162" s="226" t="s">
        <v>286</v>
      </c>
      <c r="C162" s="61" t="s">
        <v>287</v>
      </c>
      <c r="D162" s="66" t="s">
        <v>288</v>
      </c>
      <c r="E162" s="78">
        <v>9050.14</v>
      </c>
      <c r="F162" s="27"/>
      <c r="G162" s="62">
        <f t="shared" si="161"/>
        <v>27150.42</v>
      </c>
      <c r="H162" s="62">
        <f t="shared" si="162"/>
        <v>678.76049999999998</v>
      </c>
      <c r="I162" s="67">
        <v>0</v>
      </c>
      <c r="J162" s="62">
        <f t="shared" si="163"/>
        <v>4525.07</v>
      </c>
      <c r="K162" s="36">
        <f t="shared" si="164"/>
        <v>31675.489999999998</v>
      </c>
      <c r="L162" s="62">
        <f t="shared" si="173"/>
        <v>9050.14</v>
      </c>
      <c r="M162" s="27"/>
      <c r="N162" s="27">
        <f>30000</f>
        <v>30000</v>
      </c>
      <c r="O162" s="62">
        <f t="shared" si="174"/>
        <v>905.01400000000001</v>
      </c>
      <c r="P162" s="67">
        <v>5000</v>
      </c>
      <c r="Q162" s="62">
        <f>4000</f>
        <v>4000</v>
      </c>
      <c r="R162" s="36">
        <f t="shared" ref="R162:R186" si="176">SUM(E162:Q162)</f>
        <v>122035.03449999999</v>
      </c>
      <c r="S162" s="36"/>
      <c r="T162" s="36">
        <f>20000+5000</f>
        <v>25000</v>
      </c>
      <c r="U162" s="36">
        <f>24750</f>
        <v>24750</v>
      </c>
      <c r="V162" s="36">
        <f>'[2]April 2022'!$H$39</f>
        <v>226.2535</v>
      </c>
      <c r="W162" s="36">
        <v>236.04</v>
      </c>
      <c r="X162" s="36">
        <f t="shared" si="160"/>
        <v>50212.2935</v>
      </c>
      <c r="Y162" s="36">
        <v>71830.724749999994</v>
      </c>
      <c r="Z162" s="36">
        <f t="shared" si="159"/>
        <v>71822.740999999995</v>
      </c>
    </row>
    <row r="163" spans="1:26" ht="20.100000000000001" customHeight="1">
      <c r="A163" s="33">
        <v>29</v>
      </c>
      <c r="B163" s="226" t="s">
        <v>289</v>
      </c>
      <c r="C163" s="61" t="s">
        <v>287</v>
      </c>
      <c r="D163" s="66" t="s">
        <v>288</v>
      </c>
      <c r="E163" s="78">
        <v>9050.14</v>
      </c>
      <c r="F163" s="27"/>
      <c r="G163" s="62">
        <f t="shared" si="161"/>
        <v>27150.42</v>
      </c>
      <c r="H163" s="62">
        <f t="shared" si="162"/>
        <v>678.76049999999998</v>
      </c>
      <c r="I163" s="67">
        <v>0</v>
      </c>
      <c r="J163" s="62">
        <f t="shared" si="163"/>
        <v>4525.07</v>
      </c>
      <c r="K163" s="36">
        <f t="shared" si="164"/>
        <v>31675.489999999998</v>
      </c>
      <c r="L163" s="62">
        <f t="shared" si="173"/>
        <v>9050.14</v>
      </c>
      <c r="M163" s="27"/>
      <c r="N163" s="27">
        <f>30000</f>
        <v>30000</v>
      </c>
      <c r="O163" s="62">
        <f t="shared" si="174"/>
        <v>905.01400000000001</v>
      </c>
      <c r="P163" s="67">
        <v>5000</v>
      </c>
      <c r="Q163" s="62">
        <f>7000</f>
        <v>7000</v>
      </c>
      <c r="R163" s="36">
        <f t="shared" si="176"/>
        <v>125035.03449999999</v>
      </c>
      <c r="S163" s="36"/>
      <c r="T163" s="36">
        <f>5000+5000</f>
        <v>10000</v>
      </c>
      <c r="U163" s="36">
        <f>14524.11</f>
        <v>14524.11</v>
      </c>
      <c r="V163" s="36"/>
      <c r="W163" s="36">
        <v>236.04</v>
      </c>
      <c r="X163" s="36">
        <f t="shared" si="160"/>
        <v>24760.15</v>
      </c>
      <c r="Y163" s="36">
        <v>100274.88449999999</v>
      </c>
      <c r="Z163" s="36">
        <f t="shared" si="159"/>
        <v>100274.88449999999</v>
      </c>
    </row>
    <row r="164" spans="1:26" ht="20.100000000000001" customHeight="1">
      <c r="A164" s="33">
        <v>30</v>
      </c>
      <c r="B164" s="226" t="s">
        <v>290</v>
      </c>
      <c r="C164" s="61" t="s">
        <v>287</v>
      </c>
      <c r="D164" s="66" t="s">
        <v>288</v>
      </c>
      <c r="E164" s="78">
        <v>9050.14</v>
      </c>
      <c r="F164" s="27"/>
      <c r="G164" s="62">
        <f t="shared" si="161"/>
        <v>27150.42</v>
      </c>
      <c r="H164" s="62">
        <f t="shared" si="162"/>
        <v>678.76049999999998</v>
      </c>
      <c r="I164" s="62">
        <v>0</v>
      </c>
      <c r="J164" s="62">
        <f t="shared" si="163"/>
        <v>4525.07</v>
      </c>
      <c r="K164" s="36">
        <f t="shared" si="164"/>
        <v>31675.489999999998</v>
      </c>
      <c r="L164" s="62">
        <f t="shared" si="173"/>
        <v>9050.14</v>
      </c>
      <c r="M164" s="27"/>
      <c r="N164" s="27">
        <f>30000</f>
        <v>30000</v>
      </c>
      <c r="O164" s="62">
        <f t="shared" si="174"/>
        <v>905.01400000000001</v>
      </c>
      <c r="P164" s="62">
        <v>5000</v>
      </c>
      <c r="Q164" s="62">
        <f>4000</f>
        <v>4000</v>
      </c>
      <c r="R164" s="36">
        <f t="shared" si="176"/>
        <v>122035.03449999999</v>
      </c>
      <c r="S164" s="36"/>
      <c r="T164" s="36">
        <f>10000+5000</f>
        <v>15000</v>
      </c>
      <c r="U164" s="36">
        <f>38541.67</f>
        <v>38541.67</v>
      </c>
      <c r="V164" s="36"/>
      <c r="W164" s="36">
        <v>236.04</v>
      </c>
      <c r="X164" s="36">
        <f t="shared" si="160"/>
        <v>53777.71</v>
      </c>
      <c r="Y164" s="36">
        <v>81798.994500000001</v>
      </c>
      <c r="Z164" s="36">
        <f t="shared" si="159"/>
        <v>68257.324499999988</v>
      </c>
    </row>
    <row r="165" spans="1:26" ht="20.100000000000001" customHeight="1">
      <c r="A165" s="33">
        <v>31</v>
      </c>
      <c r="B165" s="226" t="s">
        <v>291</v>
      </c>
      <c r="C165" s="61" t="s">
        <v>287</v>
      </c>
      <c r="D165" s="66" t="s">
        <v>288</v>
      </c>
      <c r="E165" s="78">
        <v>9050.14</v>
      </c>
      <c r="F165" s="27"/>
      <c r="G165" s="62">
        <f t="shared" si="161"/>
        <v>27150.42</v>
      </c>
      <c r="H165" s="62">
        <f t="shared" si="162"/>
        <v>678.76049999999998</v>
      </c>
      <c r="I165" s="62">
        <v>0</v>
      </c>
      <c r="J165" s="62">
        <f t="shared" si="163"/>
        <v>4525.07</v>
      </c>
      <c r="K165" s="36">
        <f t="shared" si="164"/>
        <v>31675.489999999998</v>
      </c>
      <c r="L165" s="62">
        <f t="shared" si="173"/>
        <v>9050.14</v>
      </c>
      <c r="M165" s="27"/>
      <c r="N165" s="27">
        <f>30000</f>
        <v>30000</v>
      </c>
      <c r="O165" s="62">
        <f t="shared" si="174"/>
        <v>905.01400000000001</v>
      </c>
      <c r="P165" s="62">
        <v>5000</v>
      </c>
      <c r="Q165" s="62">
        <f>4000</f>
        <v>4000</v>
      </c>
      <c r="R165" s="36">
        <f t="shared" si="176"/>
        <v>122035.03449999999</v>
      </c>
      <c r="S165" s="36"/>
      <c r="T165" s="36">
        <f>5000+5000</f>
        <v>10000</v>
      </c>
      <c r="U165" s="36">
        <f>15972.22</f>
        <v>15972.22</v>
      </c>
      <c r="V165" s="36"/>
      <c r="W165" s="36">
        <v>236.04</v>
      </c>
      <c r="X165" s="36">
        <f t="shared" si="160"/>
        <v>26208.260000000002</v>
      </c>
      <c r="Y165" s="36">
        <v>95826.7745</v>
      </c>
      <c r="Z165" s="36">
        <f t="shared" si="159"/>
        <v>95826.7745</v>
      </c>
    </row>
    <row r="166" spans="1:26" ht="20.100000000000001" customHeight="1">
      <c r="A166" s="33">
        <v>32</v>
      </c>
      <c r="B166" s="226" t="s">
        <v>292</v>
      </c>
      <c r="C166" s="61" t="s">
        <v>287</v>
      </c>
      <c r="D166" s="66" t="s">
        <v>288</v>
      </c>
      <c r="E166" s="78">
        <v>9050.14</v>
      </c>
      <c r="F166" s="27"/>
      <c r="G166" s="62">
        <f t="shared" si="161"/>
        <v>27150.42</v>
      </c>
      <c r="H166" s="62">
        <f t="shared" si="162"/>
        <v>678.76049999999998</v>
      </c>
      <c r="I166" s="62">
        <v>0</v>
      </c>
      <c r="J166" s="62">
        <f t="shared" si="163"/>
        <v>4525.07</v>
      </c>
      <c r="K166" s="36">
        <f t="shared" si="164"/>
        <v>31675.489999999998</v>
      </c>
      <c r="L166" s="62">
        <f t="shared" si="173"/>
        <v>9050.14</v>
      </c>
      <c r="M166" s="27"/>
      <c r="N166" s="27">
        <f>30000</f>
        <v>30000</v>
      </c>
      <c r="O166" s="62">
        <f t="shared" si="174"/>
        <v>905.01400000000001</v>
      </c>
      <c r="P166" s="62">
        <v>5000</v>
      </c>
      <c r="Q166" s="62">
        <f>4000</f>
        <v>4000</v>
      </c>
      <c r="R166" s="36">
        <f t="shared" si="176"/>
        <v>122035.03449999999</v>
      </c>
      <c r="S166" s="36"/>
      <c r="T166" s="36">
        <v>5000</v>
      </c>
      <c r="U166" s="36">
        <f>0</f>
        <v>0</v>
      </c>
      <c r="V166" s="36"/>
      <c r="W166" s="36">
        <v>236.04</v>
      </c>
      <c r="X166" s="36">
        <f t="shared" si="160"/>
        <v>5236.04</v>
      </c>
      <c r="Y166" s="36">
        <v>116798.9945</v>
      </c>
      <c r="Z166" s="36">
        <f t="shared" si="159"/>
        <v>116798.9945</v>
      </c>
    </row>
    <row r="167" spans="1:26" ht="20.100000000000001" customHeight="1">
      <c r="A167" s="33">
        <v>33</v>
      </c>
      <c r="B167" s="226" t="s">
        <v>293</v>
      </c>
      <c r="C167" s="61" t="s">
        <v>287</v>
      </c>
      <c r="D167" s="66" t="s">
        <v>288</v>
      </c>
      <c r="E167" s="78">
        <v>9050.14</v>
      </c>
      <c r="F167" s="27"/>
      <c r="G167" s="62">
        <f t="shared" si="161"/>
        <v>27150.42</v>
      </c>
      <c r="H167" s="62">
        <f t="shared" si="162"/>
        <v>678.76049999999998</v>
      </c>
      <c r="I167" s="62">
        <v>0</v>
      </c>
      <c r="J167" s="62">
        <f t="shared" si="163"/>
        <v>4525.07</v>
      </c>
      <c r="K167" s="36">
        <f t="shared" si="164"/>
        <v>31675.489999999998</v>
      </c>
      <c r="L167" s="62">
        <f t="shared" si="173"/>
        <v>9050.14</v>
      </c>
      <c r="M167" s="27"/>
      <c r="N167" s="27">
        <f>30000</f>
        <v>30000</v>
      </c>
      <c r="O167" s="62">
        <f t="shared" si="174"/>
        <v>905.01400000000001</v>
      </c>
      <c r="P167" s="62">
        <v>5000</v>
      </c>
      <c r="Q167" s="62">
        <f>4000</f>
        <v>4000</v>
      </c>
      <c r="R167" s="36">
        <f t="shared" si="176"/>
        <v>122035.03449999999</v>
      </c>
      <c r="S167" s="36"/>
      <c r="T167" s="36">
        <f>5000+5000</f>
        <v>10000</v>
      </c>
      <c r="U167" s="36">
        <f>25704.84</f>
        <v>25704.84</v>
      </c>
      <c r="V167" s="36">
        <f>'[2]April 2022'!$H$51</f>
        <v>226.2535</v>
      </c>
      <c r="W167" s="36">
        <v>236.04</v>
      </c>
      <c r="X167" s="36">
        <f t="shared" si="160"/>
        <v>36167.133499999996</v>
      </c>
      <c r="Y167" s="36">
        <v>85875.884749999997</v>
      </c>
      <c r="Z167" s="36">
        <f t="shared" si="159"/>
        <v>85867.900999999998</v>
      </c>
    </row>
    <row r="168" spans="1:26" ht="20.100000000000001" customHeight="1">
      <c r="A168" s="33">
        <v>34</v>
      </c>
      <c r="B168" s="226" t="s">
        <v>294</v>
      </c>
      <c r="C168" s="61" t="s">
        <v>287</v>
      </c>
      <c r="D168" s="66" t="s">
        <v>288</v>
      </c>
      <c r="E168" s="78">
        <v>9050.14</v>
      </c>
      <c r="F168" s="27"/>
      <c r="G168" s="62">
        <f t="shared" si="161"/>
        <v>27150.42</v>
      </c>
      <c r="H168" s="62">
        <f t="shared" si="162"/>
        <v>678.76049999999998</v>
      </c>
      <c r="I168" s="62">
        <v>0</v>
      </c>
      <c r="J168" s="62">
        <f t="shared" si="163"/>
        <v>4525.07</v>
      </c>
      <c r="K168" s="36">
        <f t="shared" si="164"/>
        <v>31675.489999999998</v>
      </c>
      <c r="L168" s="62">
        <f t="shared" si="173"/>
        <v>9050.14</v>
      </c>
      <c r="M168" s="27"/>
      <c r="N168" s="27">
        <f>30000</f>
        <v>30000</v>
      </c>
      <c r="O168" s="62">
        <f t="shared" si="174"/>
        <v>905.01400000000001</v>
      </c>
      <c r="P168" s="62">
        <v>5000</v>
      </c>
      <c r="Q168" s="62">
        <f>4000</f>
        <v>4000</v>
      </c>
      <c r="R168" s="36">
        <f t="shared" si="176"/>
        <v>122035.03449999999</v>
      </c>
      <c r="S168" s="36"/>
      <c r="T168" s="36">
        <f>10000+5000</f>
        <v>15000</v>
      </c>
      <c r="U168" s="36">
        <f>15112.49</f>
        <v>15112.49</v>
      </c>
      <c r="V168" s="36"/>
      <c r="W168" s="36">
        <v>236.04</v>
      </c>
      <c r="X168" s="36">
        <f t="shared" si="160"/>
        <v>30348.53</v>
      </c>
      <c r="Y168" s="36">
        <v>91686.504499999995</v>
      </c>
      <c r="Z168" s="36">
        <f t="shared" si="159"/>
        <v>91686.504499999995</v>
      </c>
    </row>
    <row r="169" spans="1:26" ht="20.100000000000001" customHeight="1">
      <c r="A169" s="33">
        <v>35</v>
      </c>
      <c r="B169" s="226" t="s">
        <v>295</v>
      </c>
      <c r="C169" s="61" t="s">
        <v>296</v>
      </c>
      <c r="D169" s="66" t="s">
        <v>297</v>
      </c>
      <c r="E169" s="62">
        <v>5769.6</v>
      </c>
      <c r="F169" s="27"/>
      <c r="G169" s="62">
        <f t="shared" si="161"/>
        <v>17308.800000000003</v>
      </c>
      <c r="H169" s="62">
        <f t="shared" si="162"/>
        <v>432.72</v>
      </c>
      <c r="I169" s="62">
        <v>0</v>
      </c>
      <c r="J169" s="62">
        <f t="shared" si="163"/>
        <v>2884.8</v>
      </c>
      <c r="K169" s="36">
        <f t="shared" si="164"/>
        <v>20193.600000000002</v>
      </c>
      <c r="L169" s="62">
        <f t="shared" si="173"/>
        <v>5769.6</v>
      </c>
      <c r="M169" s="27"/>
      <c r="N169" s="27">
        <f>20000</f>
        <v>20000</v>
      </c>
      <c r="O169" s="62">
        <f t="shared" si="174"/>
        <v>576.96</v>
      </c>
      <c r="P169" s="62">
        <v>5000</v>
      </c>
      <c r="Q169" s="62">
        <f>7000</f>
        <v>7000</v>
      </c>
      <c r="R169" s="36">
        <f t="shared" si="176"/>
        <v>84936.08</v>
      </c>
      <c r="S169" s="36"/>
      <c r="T169" s="36">
        <f>5000+5000</f>
        <v>10000</v>
      </c>
      <c r="U169" s="36">
        <f>26430.62</f>
        <v>26430.62</v>
      </c>
      <c r="V169" s="36"/>
      <c r="W169" s="36">
        <v>236.04</v>
      </c>
      <c r="X169" s="36">
        <f t="shared" si="160"/>
        <v>36666.660000000003</v>
      </c>
      <c r="Y169" s="36">
        <v>48269.42</v>
      </c>
      <c r="Z169" s="36">
        <f t="shared" si="159"/>
        <v>48269.42</v>
      </c>
    </row>
    <row r="170" spans="1:26" ht="20.100000000000001" customHeight="1">
      <c r="A170" s="33">
        <v>36</v>
      </c>
      <c r="B170" s="226" t="s">
        <v>298</v>
      </c>
      <c r="C170" s="61" t="s">
        <v>296</v>
      </c>
      <c r="D170" s="66" t="s">
        <v>297</v>
      </c>
      <c r="E170" s="62">
        <v>5769.6</v>
      </c>
      <c r="F170" s="27"/>
      <c r="G170" s="62">
        <f t="shared" si="161"/>
        <v>17308.800000000003</v>
      </c>
      <c r="H170" s="62">
        <f t="shared" si="162"/>
        <v>432.72</v>
      </c>
      <c r="I170" s="62">
        <v>0</v>
      </c>
      <c r="J170" s="62">
        <f t="shared" si="163"/>
        <v>2884.8</v>
      </c>
      <c r="K170" s="36">
        <f t="shared" si="164"/>
        <v>20193.600000000002</v>
      </c>
      <c r="L170" s="62">
        <f t="shared" si="173"/>
        <v>5769.6</v>
      </c>
      <c r="M170" s="27"/>
      <c r="N170" s="27">
        <f>20000</f>
        <v>20000</v>
      </c>
      <c r="O170" s="62">
        <f t="shared" si="174"/>
        <v>576.96</v>
      </c>
      <c r="P170" s="62">
        <v>5000</v>
      </c>
      <c r="Q170" s="62">
        <f>4000</f>
        <v>4000</v>
      </c>
      <c r="R170" s="36">
        <f t="shared" si="176"/>
        <v>81936.08</v>
      </c>
      <c r="S170" s="36"/>
      <c r="T170" s="36">
        <f>3000+5000</f>
        <v>8000</v>
      </c>
      <c r="U170" s="36">
        <f>16250</f>
        <v>16250</v>
      </c>
      <c r="V170" s="36"/>
      <c r="W170" s="36">
        <v>236.04</v>
      </c>
      <c r="X170" s="36">
        <f t="shared" si="160"/>
        <v>24486.04</v>
      </c>
      <c r="Y170" s="36">
        <v>57450.04</v>
      </c>
      <c r="Z170" s="36">
        <f t="shared" si="159"/>
        <v>57450.04</v>
      </c>
    </row>
    <row r="171" spans="1:26" ht="20.100000000000001" customHeight="1">
      <c r="A171" s="33">
        <v>37</v>
      </c>
      <c r="B171" s="226" t="s">
        <v>299</v>
      </c>
      <c r="C171" s="61" t="s">
        <v>296</v>
      </c>
      <c r="D171" s="66" t="s">
        <v>297</v>
      </c>
      <c r="E171" s="62">
        <v>5769.6</v>
      </c>
      <c r="F171" s="27"/>
      <c r="G171" s="62">
        <f t="shared" si="161"/>
        <v>17308.800000000003</v>
      </c>
      <c r="H171" s="62">
        <f t="shared" si="162"/>
        <v>432.72</v>
      </c>
      <c r="I171" s="62">
        <v>0</v>
      </c>
      <c r="J171" s="62">
        <f t="shared" si="163"/>
        <v>2884.8</v>
      </c>
      <c r="K171" s="36">
        <f t="shared" si="164"/>
        <v>20193.600000000002</v>
      </c>
      <c r="L171" s="62">
        <f t="shared" si="173"/>
        <v>5769.6</v>
      </c>
      <c r="M171" s="27"/>
      <c r="N171" s="27">
        <f>20000</f>
        <v>20000</v>
      </c>
      <c r="O171" s="62">
        <f t="shared" si="174"/>
        <v>576.96</v>
      </c>
      <c r="P171" s="62">
        <v>5000</v>
      </c>
      <c r="Q171" s="62">
        <f>4000</f>
        <v>4000</v>
      </c>
      <c r="R171" s="36">
        <f t="shared" si="176"/>
        <v>81936.08</v>
      </c>
      <c r="S171" s="36"/>
      <c r="T171" s="36">
        <f>3000+5000</f>
        <v>8000</v>
      </c>
      <c r="U171" s="36">
        <f>16729.17</f>
        <v>16729.169999999998</v>
      </c>
      <c r="V171" s="36"/>
      <c r="W171" s="36">
        <v>236.04</v>
      </c>
      <c r="X171" s="36">
        <f t="shared" si="160"/>
        <v>24965.21</v>
      </c>
      <c r="Y171" s="36">
        <v>56970.87</v>
      </c>
      <c r="Z171" s="36">
        <f t="shared" si="159"/>
        <v>56970.87</v>
      </c>
    </row>
    <row r="172" spans="1:26" ht="20.100000000000001" customHeight="1">
      <c r="A172" s="33">
        <v>38</v>
      </c>
      <c r="B172" s="217" t="s">
        <v>300</v>
      </c>
      <c r="C172" s="61" t="s">
        <v>296</v>
      </c>
      <c r="D172" s="66" t="s">
        <v>297</v>
      </c>
      <c r="E172" s="62">
        <v>5769.6</v>
      </c>
      <c r="F172" s="27"/>
      <c r="G172" s="62">
        <f t="shared" si="161"/>
        <v>17308.800000000003</v>
      </c>
      <c r="H172" s="62">
        <f t="shared" si="162"/>
        <v>432.72</v>
      </c>
      <c r="I172" s="62">
        <v>0</v>
      </c>
      <c r="J172" s="62">
        <f t="shared" si="163"/>
        <v>2884.8</v>
      </c>
      <c r="K172" s="36">
        <f t="shared" si="164"/>
        <v>20193.600000000002</v>
      </c>
      <c r="L172" s="62">
        <f>E171*100%</f>
        <v>5769.6</v>
      </c>
      <c r="M172" s="27"/>
      <c r="N172" s="27">
        <f>20000</f>
        <v>20000</v>
      </c>
      <c r="O172" s="62">
        <f t="shared" si="174"/>
        <v>576.96</v>
      </c>
      <c r="P172" s="62">
        <v>5000</v>
      </c>
      <c r="Q172" s="62">
        <f>7000</f>
        <v>7000</v>
      </c>
      <c r="R172" s="36">
        <f t="shared" si="176"/>
        <v>84936.08</v>
      </c>
      <c r="S172" s="36"/>
      <c r="T172" s="36">
        <f>5000+5000</f>
        <v>10000</v>
      </c>
      <c r="U172" s="36">
        <f>26000</f>
        <v>26000</v>
      </c>
      <c r="V172" s="36"/>
      <c r="W172" s="36">
        <v>236.04</v>
      </c>
      <c r="X172" s="36">
        <f t="shared" si="160"/>
        <v>36236.04</v>
      </c>
      <c r="Y172" s="36">
        <v>48700.04</v>
      </c>
      <c r="Z172" s="36">
        <f t="shared" si="159"/>
        <v>48700.04</v>
      </c>
    </row>
    <row r="173" spans="1:26" ht="20.100000000000001" customHeight="1">
      <c r="A173" s="33">
        <v>39</v>
      </c>
      <c r="B173" s="223" t="s">
        <v>301</v>
      </c>
      <c r="C173" s="61" t="s">
        <v>296</v>
      </c>
      <c r="D173" s="66" t="s">
        <v>297</v>
      </c>
      <c r="E173" s="62">
        <v>5769.6</v>
      </c>
      <c r="F173" s="27"/>
      <c r="G173" s="62">
        <f t="shared" si="161"/>
        <v>17308.800000000003</v>
      </c>
      <c r="H173" s="62">
        <f t="shared" si="162"/>
        <v>432.72</v>
      </c>
      <c r="I173" s="62"/>
      <c r="J173" s="62">
        <f t="shared" si="163"/>
        <v>2884.8</v>
      </c>
      <c r="K173" s="36">
        <f t="shared" si="164"/>
        <v>20193.600000000002</v>
      </c>
      <c r="L173" s="62">
        <f t="shared" ref="L173:L190" si="177">E173*100%</f>
        <v>5769.6</v>
      </c>
      <c r="M173" s="27"/>
      <c r="N173" s="27">
        <f>20000</f>
        <v>20000</v>
      </c>
      <c r="O173" s="62">
        <f t="shared" si="174"/>
        <v>576.96</v>
      </c>
      <c r="P173" s="62">
        <v>5000</v>
      </c>
      <c r="Q173" s="62">
        <f>4000</f>
        <v>4000</v>
      </c>
      <c r="R173" s="36">
        <f t="shared" si="176"/>
        <v>81936.08</v>
      </c>
      <c r="S173" s="36"/>
      <c r="T173" s="36">
        <f>10000+5000</f>
        <v>15000</v>
      </c>
      <c r="U173" s="36">
        <f>13750</f>
        <v>13750</v>
      </c>
      <c r="V173" s="36"/>
      <c r="W173" s="36">
        <v>236.04</v>
      </c>
      <c r="X173" s="36">
        <f t="shared" si="160"/>
        <v>28986.04</v>
      </c>
      <c r="Y173" s="36">
        <v>52950.04</v>
      </c>
      <c r="Z173" s="36">
        <f t="shared" si="159"/>
        <v>52950.04</v>
      </c>
    </row>
    <row r="174" spans="1:26" ht="20.100000000000001" customHeight="1">
      <c r="A174" s="33">
        <v>40</v>
      </c>
      <c r="B174" s="221" t="s">
        <v>302</v>
      </c>
      <c r="C174" s="61" t="s">
        <v>296</v>
      </c>
      <c r="D174" s="66" t="s">
        <v>297</v>
      </c>
      <c r="E174" s="62">
        <v>5769.6</v>
      </c>
      <c r="F174" s="27"/>
      <c r="G174" s="62">
        <f t="shared" si="161"/>
        <v>17308.800000000003</v>
      </c>
      <c r="H174" s="62">
        <f t="shared" si="162"/>
        <v>432.72</v>
      </c>
      <c r="I174" s="62"/>
      <c r="J174" s="62">
        <f t="shared" si="163"/>
        <v>2884.8</v>
      </c>
      <c r="K174" s="36">
        <f t="shared" si="164"/>
        <v>20193.600000000002</v>
      </c>
      <c r="L174" s="62">
        <f t="shared" si="177"/>
        <v>5769.6</v>
      </c>
      <c r="M174" s="27"/>
      <c r="N174" s="27">
        <f>20000</f>
        <v>20000</v>
      </c>
      <c r="O174" s="62">
        <f t="shared" si="174"/>
        <v>576.96</v>
      </c>
      <c r="P174" s="62">
        <v>5000</v>
      </c>
      <c r="Q174" s="62">
        <f>4000</f>
        <v>4000</v>
      </c>
      <c r="R174" s="36">
        <f t="shared" si="176"/>
        <v>81936.08</v>
      </c>
      <c r="S174" s="36"/>
      <c r="T174" s="36">
        <f>3000+5000</f>
        <v>8000</v>
      </c>
      <c r="U174" s="36">
        <f>16958.34</f>
        <v>16958.34</v>
      </c>
      <c r="V174" s="36"/>
      <c r="W174" s="36">
        <v>236.04</v>
      </c>
      <c r="X174" s="36">
        <f t="shared" si="160"/>
        <v>25194.38</v>
      </c>
      <c r="Y174" s="36">
        <v>62241.7</v>
      </c>
      <c r="Z174" s="36">
        <f t="shared" si="159"/>
        <v>56741.7</v>
      </c>
    </row>
    <row r="175" spans="1:26" ht="20.100000000000001" customHeight="1">
      <c r="A175" s="33">
        <v>41</v>
      </c>
      <c r="B175" s="221" t="s">
        <v>303</v>
      </c>
      <c r="C175" s="61" t="s">
        <v>296</v>
      </c>
      <c r="D175" s="66" t="s">
        <v>297</v>
      </c>
      <c r="E175" s="62">
        <v>5769.6</v>
      </c>
      <c r="F175" s="27"/>
      <c r="G175" s="62">
        <f t="shared" si="161"/>
        <v>17308.800000000003</v>
      </c>
      <c r="H175" s="62">
        <f t="shared" si="162"/>
        <v>432.72</v>
      </c>
      <c r="I175" s="62"/>
      <c r="J175" s="62">
        <f t="shared" si="163"/>
        <v>2884.8</v>
      </c>
      <c r="K175" s="36">
        <f t="shared" si="164"/>
        <v>20193.600000000002</v>
      </c>
      <c r="L175" s="62">
        <f t="shared" si="177"/>
        <v>5769.6</v>
      </c>
      <c r="M175" s="27"/>
      <c r="N175" s="27">
        <f>20000</f>
        <v>20000</v>
      </c>
      <c r="O175" s="62">
        <f t="shared" si="174"/>
        <v>576.96</v>
      </c>
      <c r="P175" s="62">
        <v>5000</v>
      </c>
      <c r="Q175" s="62">
        <f>7000</f>
        <v>7000</v>
      </c>
      <c r="R175" s="36">
        <f t="shared" si="176"/>
        <v>84936.08</v>
      </c>
      <c r="S175" s="36"/>
      <c r="T175" s="36">
        <f>10000+5000</f>
        <v>15000</v>
      </c>
      <c r="U175" s="36">
        <f>22361.11</f>
        <v>22361.11</v>
      </c>
      <c r="V175" s="36"/>
      <c r="W175" s="36">
        <v>236.04</v>
      </c>
      <c r="X175" s="36">
        <f t="shared" si="160"/>
        <v>37597.15</v>
      </c>
      <c r="Y175" s="36">
        <v>47338.93</v>
      </c>
      <c r="Z175" s="36">
        <f t="shared" si="159"/>
        <v>47338.93</v>
      </c>
    </row>
    <row r="176" spans="1:26" ht="20.100000000000001" customHeight="1">
      <c r="A176" s="33">
        <v>42</v>
      </c>
      <c r="B176" s="223" t="s">
        <v>304</v>
      </c>
      <c r="C176" s="61" t="s">
        <v>296</v>
      </c>
      <c r="D176" s="66" t="s">
        <v>305</v>
      </c>
      <c r="E176" s="62">
        <v>5257.44</v>
      </c>
      <c r="F176" s="27"/>
      <c r="G176" s="62">
        <f t="shared" si="161"/>
        <v>15772.32</v>
      </c>
      <c r="H176" s="62">
        <f t="shared" si="162"/>
        <v>394.30799999999994</v>
      </c>
      <c r="I176" s="62"/>
      <c r="J176" s="62">
        <f t="shared" si="163"/>
        <v>2628.72</v>
      </c>
      <c r="K176" s="36">
        <f t="shared" si="164"/>
        <v>18401.039999999997</v>
      </c>
      <c r="L176" s="62">
        <f t="shared" si="177"/>
        <v>5257.44</v>
      </c>
      <c r="M176" s="27"/>
      <c r="N176" s="27">
        <f>20000</f>
        <v>20000</v>
      </c>
      <c r="O176" s="62">
        <f t="shared" si="174"/>
        <v>525.74400000000003</v>
      </c>
      <c r="P176" s="62">
        <v>5000</v>
      </c>
      <c r="Q176" s="62">
        <f>7000</f>
        <v>7000</v>
      </c>
      <c r="R176" s="36">
        <f t="shared" si="176"/>
        <v>80237.012000000002</v>
      </c>
      <c r="S176" s="36"/>
      <c r="T176" s="36">
        <f>10000+5000</f>
        <v>15000</v>
      </c>
      <c r="U176" s="36">
        <f>15625</f>
        <v>15625</v>
      </c>
      <c r="V176" s="36"/>
      <c r="W176" s="36">
        <v>236.04</v>
      </c>
      <c r="X176" s="36">
        <f t="shared" si="160"/>
        <v>30861.040000000001</v>
      </c>
      <c r="Y176" s="36">
        <v>49375.972000000002</v>
      </c>
      <c r="Z176" s="36">
        <f t="shared" si="159"/>
        <v>49375.972000000002</v>
      </c>
    </row>
    <row r="177" spans="1:26" ht="20.100000000000001" customHeight="1">
      <c r="A177" s="33">
        <v>43</v>
      </c>
      <c r="B177" s="223" t="s">
        <v>306</v>
      </c>
      <c r="C177" s="61" t="s">
        <v>296</v>
      </c>
      <c r="D177" s="66" t="s">
        <v>305</v>
      </c>
      <c r="E177" s="62">
        <v>5257.44</v>
      </c>
      <c r="F177" s="27"/>
      <c r="G177" s="62">
        <f t="shared" si="161"/>
        <v>15772.32</v>
      </c>
      <c r="H177" s="62">
        <f t="shared" si="162"/>
        <v>394.30799999999994</v>
      </c>
      <c r="I177" s="62"/>
      <c r="J177" s="62">
        <f t="shared" si="163"/>
        <v>2628.72</v>
      </c>
      <c r="K177" s="36">
        <f t="shared" si="164"/>
        <v>18401.039999999997</v>
      </c>
      <c r="L177" s="62">
        <f t="shared" si="177"/>
        <v>5257.44</v>
      </c>
      <c r="M177" s="27"/>
      <c r="N177" s="27">
        <f>20000</f>
        <v>20000</v>
      </c>
      <c r="O177" s="62">
        <f t="shared" si="174"/>
        <v>525.74400000000003</v>
      </c>
      <c r="P177" s="62">
        <v>5000</v>
      </c>
      <c r="Q177" s="62">
        <f>7000</f>
        <v>7000</v>
      </c>
      <c r="R177" s="36">
        <f t="shared" si="176"/>
        <v>80237.012000000002</v>
      </c>
      <c r="S177" s="36"/>
      <c r="T177" s="36">
        <f>10000+5000</f>
        <v>15000</v>
      </c>
      <c r="U177" s="36">
        <f>18333.33</f>
        <v>18333.330000000002</v>
      </c>
      <c r="V177" s="36"/>
      <c r="W177" s="36">
        <v>236.04</v>
      </c>
      <c r="X177" s="36">
        <f t="shared" si="160"/>
        <v>33569.370000000003</v>
      </c>
      <c r="Y177" s="36">
        <v>46667.642</v>
      </c>
      <c r="Z177" s="36">
        <f t="shared" si="159"/>
        <v>46667.642</v>
      </c>
    </row>
    <row r="178" spans="1:26" ht="20.100000000000001" customHeight="1">
      <c r="A178" s="33">
        <v>44</v>
      </c>
      <c r="B178" s="221" t="s">
        <v>307</v>
      </c>
      <c r="C178" s="61" t="s">
        <v>296</v>
      </c>
      <c r="D178" s="66" t="s">
        <v>308</v>
      </c>
      <c r="E178" s="62">
        <v>5428.12</v>
      </c>
      <c r="F178" s="27"/>
      <c r="G178" s="62">
        <f t="shared" si="161"/>
        <v>16284.36</v>
      </c>
      <c r="H178" s="62">
        <f t="shared" si="162"/>
        <v>407.10899999999998</v>
      </c>
      <c r="I178" s="62"/>
      <c r="J178" s="62">
        <f t="shared" si="163"/>
        <v>2714.06</v>
      </c>
      <c r="K178" s="36">
        <f t="shared" si="164"/>
        <v>18998.419999999998</v>
      </c>
      <c r="L178" s="62">
        <f t="shared" si="177"/>
        <v>5428.12</v>
      </c>
      <c r="M178" s="27"/>
      <c r="N178" s="27">
        <f>20000</f>
        <v>20000</v>
      </c>
      <c r="O178" s="62">
        <f t="shared" si="174"/>
        <v>542.81200000000001</v>
      </c>
      <c r="P178" s="62">
        <v>5000</v>
      </c>
      <c r="Q178" s="62">
        <f>7000</f>
        <v>7000</v>
      </c>
      <c r="R178" s="36">
        <f t="shared" si="176"/>
        <v>81803.001000000018</v>
      </c>
      <c r="S178" s="36"/>
      <c r="T178" s="36">
        <f>3000+5000</f>
        <v>8000</v>
      </c>
      <c r="U178" s="36">
        <f>44000</f>
        <v>44000</v>
      </c>
      <c r="V178" s="36"/>
      <c r="W178" s="36">
        <f>236.04</f>
        <v>236.04</v>
      </c>
      <c r="X178" s="36">
        <f t="shared" si="160"/>
        <v>52236.04</v>
      </c>
      <c r="Y178" s="36">
        <v>29566.961000000018</v>
      </c>
      <c r="Z178" s="36">
        <f t="shared" si="159"/>
        <v>29566.961000000018</v>
      </c>
    </row>
    <row r="179" spans="1:26" ht="20.100000000000001" customHeight="1">
      <c r="A179" s="33">
        <v>45</v>
      </c>
      <c r="B179" s="223" t="s">
        <v>309</v>
      </c>
      <c r="C179" s="61" t="s">
        <v>296</v>
      </c>
      <c r="D179" s="66" t="s">
        <v>310</v>
      </c>
      <c r="E179" s="62">
        <v>5086.76</v>
      </c>
      <c r="F179" s="27"/>
      <c r="G179" s="62">
        <f t="shared" si="161"/>
        <v>15260.28</v>
      </c>
      <c r="H179" s="62">
        <f t="shared" si="162"/>
        <v>381.50700000000001</v>
      </c>
      <c r="I179" s="62"/>
      <c r="J179" s="62">
        <f t="shared" si="163"/>
        <v>2543.38</v>
      </c>
      <c r="K179" s="36">
        <f t="shared" si="164"/>
        <v>17803.66</v>
      </c>
      <c r="L179" s="62">
        <f t="shared" si="177"/>
        <v>5086.76</v>
      </c>
      <c r="M179" s="27"/>
      <c r="N179" s="27">
        <f>20000</f>
        <v>20000</v>
      </c>
      <c r="O179" s="62">
        <f t="shared" si="174"/>
        <v>508.67600000000004</v>
      </c>
      <c r="P179" s="62">
        <v>5000</v>
      </c>
      <c r="Q179" s="62">
        <f>7000</f>
        <v>7000</v>
      </c>
      <c r="R179" s="36">
        <f t="shared" si="176"/>
        <v>78671.023000000016</v>
      </c>
      <c r="S179" s="36"/>
      <c r="T179" s="36">
        <f>15000</f>
        <v>15000</v>
      </c>
      <c r="U179" s="36">
        <f>20000</f>
        <v>20000</v>
      </c>
      <c r="V179" s="36"/>
      <c r="W179" s="36">
        <v>236.04</v>
      </c>
      <c r="X179" s="36">
        <f t="shared" si="160"/>
        <v>35236.04</v>
      </c>
      <c r="Y179" s="36">
        <v>43434.983000000015</v>
      </c>
      <c r="Z179" s="36">
        <f t="shared" si="159"/>
        <v>43434.983000000015</v>
      </c>
    </row>
    <row r="180" spans="1:26" ht="20.100000000000001" customHeight="1">
      <c r="A180" s="33">
        <v>46</v>
      </c>
      <c r="B180" s="223" t="s">
        <v>311</v>
      </c>
      <c r="C180" s="61" t="s">
        <v>312</v>
      </c>
      <c r="D180" s="66" t="s">
        <v>313</v>
      </c>
      <c r="E180" s="62">
        <v>4915.9399999999996</v>
      </c>
      <c r="F180" s="27"/>
      <c r="G180" s="62">
        <f t="shared" si="161"/>
        <v>14747.82</v>
      </c>
      <c r="H180" s="62">
        <f t="shared" si="162"/>
        <v>368.69549999999998</v>
      </c>
      <c r="I180" s="62"/>
      <c r="J180" s="62">
        <f t="shared" si="163"/>
        <v>2457.9699999999998</v>
      </c>
      <c r="K180" s="36">
        <f t="shared" si="164"/>
        <v>17205.789999999997</v>
      </c>
      <c r="L180" s="62">
        <f t="shared" si="177"/>
        <v>4915.9399999999996</v>
      </c>
      <c r="M180" s="27"/>
      <c r="N180" s="27">
        <f>20000</f>
        <v>20000</v>
      </c>
      <c r="O180" s="62">
        <f t="shared" si="174"/>
        <v>491.59399999999999</v>
      </c>
      <c r="P180" s="62">
        <v>5000</v>
      </c>
      <c r="Q180" s="62">
        <f>7000</f>
        <v>7000</v>
      </c>
      <c r="R180" s="36">
        <f t="shared" si="176"/>
        <v>77103.749500000005</v>
      </c>
      <c r="S180" s="36"/>
      <c r="T180" s="36">
        <f>5000+5000</f>
        <v>10000</v>
      </c>
      <c r="U180" s="36">
        <f>15000</f>
        <v>15000</v>
      </c>
      <c r="V180" s="36"/>
      <c r="W180" s="36">
        <v>236.04</v>
      </c>
      <c r="X180" s="36">
        <f t="shared" si="160"/>
        <v>25236.04</v>
      </c>
      <c r="Y180" s="36">
        <v>51867.709500000004</v>
      </c>
      <c r="Z180" s="36">
        <f t="shared" si="159"/>
        <v>51867.709500000004</v>
      </c>
    </row>
    <row r="181" spans="1:26" ht="20.100000000000001" customHeight="1">
      <c r="A181" s="33">
        <v>47</v>
      </c>
      <c r="B181" s="223" t="s">
        <v>314</v>
      </c>
      <c r="C181" s="61" t="s">
        <v>312</v>
      </c>
      <c r="D181" s="66" t="s">
        <v>313</v>
      </c>
      <c r="E181" s="62">
        <v>4915.9399999999996</v>
      </c>
      <c r="F181" s="27"/>
      <c r="G181" s="62">
        <f t="shared" si="161"/>
        <v>14747.82</v>
      </c>
      <c r="H181" s="62">
        <f t="shared" si="162"/>
        <v>368.69549999999998</v>
      </c>
      <c r="I181" s="62"/>
      <c r="J181" s="62">
        <f t="shared" si="163"/>
        <v>2457.9699999999998</v>
      </c>
      <c r="K181" s="36">
        <f t="shared" si="164"/>
        <v>17205.789999999997</v>
      </c>
      <c r="L181" s="62">
        <f t="shared" si="177"/>
        <v>4915.9399999999996</v>
      </c>
      <c r="M181" s="27"/>
      <c r="N181" s="27">
        <f>20000</f>
        <v>20000</v>
      </c>
      <c r="O181" s="62">
        <f t="shared" si="174"/>
        <v>491.59399999999999</v>
      </c>
      <c r="P181" s="62">
        <v>5000</v>
      </c>
      <c r="Q181" s="62">
        <f>4000</f>
        <v>4000</v>
      </c>
      <c r="R181" s="36">
        <f t="shared" si="176"/>
        <v>74103.749500000005</v>
      </c>
      <c r="S181" s="36"/>
      <c r="T181" s="36">
        <f>15000+5000+5000</f>
        <v>25000</v>
      </c>
      <c r="U181" s="36">
        <f>25555.56</f>
        <v>25555.56</v>
      </c>
      <c r="V181" s="36"/>
      <c r="W181" s="36">
        <v>236.04</v>
      </c>
      <c r="X181" s="36">
        <f t="shared" si="160"/>
        <v>50791.600000000006</v>
      </c>
      <c r="Y181" s="36">
        <v>23312.1495</v>
      </c>
      <c r="Z181" s="36">
        <f t="shared" si="159"/>
        <v>23312.1495</v>
      </c>
    </row>
    <row r="182" spans="1:26" ht="20.100000000000001" customHeight="1">
      <c r="A182" s="33">
        <v>48</v>
      </c>
      <c r="B182" s="223" t="s">
        <v>315</v>
      </c>
      <c r="C182" s="61" t="s">
        <v>312</v>
      </c>
      <c r="D182" s="66" t="s">
        <v>313</v>
      </c>
      <c r="E182" s="62">
        <v>4915.9399999999996</v>
      </c>
      <c r="F182" s="27"/>
      <c r="G182" s="62">
        <f t="shared" si="161"/>
        <v>14747.82</v>
      </c>
      <c r="H182" s="62">
        <f t="shared" si="162"/>
        <v>368.69549999999998</v>
      </c>
      <c r="I182" s="62"/>
      <c r="J182" s="62">
        <f t="shared" si="163"/>
        <v>2457.9699999999998</v>
      </c>
      <c r="K182" s="36">
        <f t="shared" si="164"/>
        <v>17205.789999999997</v>
      </c>
      <c r="L182" s="62">
        <f t="shared" si="177"/>
        <v>4915.9399999999996</v>
      </c>
      <c r="M182" s="27"/>
      <c r="N182" s="27">
        <f>20000</f>
        <v>20000</v>
      </c>
      <c r="O182" s="62">
        <f t="shared" si="174"/>
        <v>491.59399999999999</v>
      </c>
      <c r="P182" s="62">
        <v>5000</v>
      </c>
      <c r="Q182" s="62">
        <f>7000</f>
        <v>7000</v>
      </c>
      <c r="R182" s="36">
        <f t="shared" si="176"/>
        <v>77103.749500000005</v>
      </c>
      <c r="S182" s="36"/>
      <c r="T182" s="36">
        <f>5000+5000</f>
        <v>10000</v>
      </c>
      <c r="U182" s="36">
        <f>15972.22</f>
        <v>15972.22</v>
      </c>
      <c r="V182" s="36"/>
      <c r="W182" s="36">
        <v>236.04</v>
      </c>
      <c r="X182" s="36">
        <f t="shared" si="160"/>
        <v>26208.260000000002</v>
      </c>
      <c r="Y182" s="36">
        <v>50895.489500000003</v>
      </c>
      <c r="Z182" s="36">
        <f t="shared" si="159"/>
        <v>50895.489500000003</v>
      </c>
    </row>
    <row r="183" spans="1:26" ht="20.100000000000001" customHeight="1">
      <c r="A183" s="33">
        <v>49</v>
      </c>
      <c r="B183" s="223" t="s">
        <v>316</v>
      </c>
      <c r="C183" s="61" t="s">
        <v>312</v>
      </c>
      <c r="D183" s="66" t="s">
        <v>313</v>
      </c>
      <c r="E183" s="62">
        <v>4915.9399999999996</v>
      </c>
      <c r="F183" s="27"/>
      <c r="G183" s="62">
        <f t="shared" si="161"/>
        <v>14747.82</v>
      </c>
      <c r="H183" s="62">
        <f t="shared" si="162"/>
        <v>368.69549999999998</v>
      </c>
      <c r="I183" s="62"/>
      <c r="J183" s="62">
        <f t="shared" si="163"/>
        <v>2457.9699999999998</v>
      </c>
      <c r="K183" s="36">
        <f t="shared" si="164"/>
        <v>17205.789999999997</v>
      </c>
      <c r="L183" s="62">
        <f t="shared" si="177"/>
        <v>4915.9399999999996</v>
      </c>
      <c r="M183" s="27"/>
      <c r="N183" s="27">
        <f>20000</f>
        <v>20000</v>
      </c>
      <c r="O183" s="62">
        <f t="shared" si="174"/>
        <v>491.59399999999999</v>
      </c>
      <c r="P183" s="62">
        <v>5000</v>
      </c>
      <c r="Q183" s="62">
        <f>4000</f>
        <v>4000</v>
      </c>
      <c r="R183" s="36">
        <f t="shared" si="176"/>
        <v>74103.749500000005</v>
      </c>
      <c r="S183" s="36"/>
      <c r="T183" s="36">
        <f>10000+5000</f>
        <v>15000</v>
      </c>
      <c r="U183" s="36">
        <f>8416.67</f>
        <v>8416.67</v>
      </c>
      <c r="V183" s="36"/>
      <c r="W183" s="36">
        <v>236.04</v>
      </c>
      <c r="X183" s="36">
        <f t="shared" si="160"/>
        <v>23652.71</v>
      </c>
      <c r="Y183" s="36">
        <v>50451.039500000006</v>
      </c>
      <c r="Z183" s="36">
        <f t="shared" si="159"/>
        <v>50451.039500000006</v>
      </c>
    </row>
    <row r="184" spans="1:26" ht="20.100000000000001" customHeight="1">
      <c r="A184" s="33">
        <v>50</v>
      </c>
      <c r="B184" s="223" t="s">
        <v>317</v>
      </c>
      <c r="C184" s="61" t="s">
        <v>312</v>
      </c>
      <c r="D184" s="66" t="s">
        <v>313</v>
      </c>
      <c r="E184" s="62">
        <v>4915.9399999999996</v>
      </c>
      <c r="F184" s="27"/>
      <c r="G184" s="62">
        <f t="shared" si="161"/>
        <v>14747.82</v>
      </c>
      <c r="H184" s="62">
        <f t="shared" si="162"/>
        <v>368.69549999999998</v>
      </c>
      <c r="I184" s="62"/>
      <c r="J184" s="62">
        <f t="shared" si="163"/>
        <v>2457.9699999999998</v>
      </c>
      <c r="K184" s="36">
        <f t="shared" si="164"/>
        <v>17205.789999999997</v>
      </c>
      <c r="L184" s="62">
        <f t="shared" si="177"/>
        <v>4915.9399999999996</v>
      </c>
      <c r="M184" s="27"/>
      <c r="N184" s="27">
        <f>20000</f>
        <v>20000</v>
      </c>
      <c r="O184" s="62">
        <f t="shared" si="174"/>
        <v>491.59399999999999</v>
      </c>
      <c r="P184" s="62">
        <v>5000</v>
      </c>
      <c r="Q184" s="62">
        <f>7000</f>
        <v>7000</v>
      </c>
      <c r="R184" s="36">
        <f t="shared" si="176"/>
        <v>77103.749500000005</v>
      </c>
      <c r="S184" s="36"/>
      <c r="T184" s="36">
        <f>5000</f>
        <v>5000</v>
      </c>
      <c r="U184" s="36">
        <f>30000</f>
        <v>30000</v>
      </c>
      <c r="V184" s="36"/>
      <c r="W184" s="36">
        <v>236.04</v>
      </c>
      <c r="X184" s="36">
        <f t="shared" si="160"/>
        <v>35236.04</v>
      </c>
      <c r="Y184" s="36">
        <v>41867.709500000004</v>
      </c>
      <c r="Z184" s="36">
        <f t="shared" si="159"/>
        <v>41867.709500000004</v>
      </c>
    </row>
    <row r="185" spans="1:26" ht="20.100000000000001" customHeight="1">
      <c r="A185" s="33">
        <v>51</v>
      </c>
      <c r="B185" s="233" t="s">
        <v>318</v>
      </c>
      <c r="C185" s="61" t="s">
        <v>312</v>
      </c>
      <c r="D185" s="66" t="s">
        <v>319</v>
      </c>
      <c r="E185" s="62">
        <v>4836.5</v>
      </c>
      <c r="F185" s="27"/>
      <c r="G185" s="62">
        <f t="shared" si="161"/>
        <v>14509.5</v>
      </c>
      <c r="H185" s="62">
        <f t="shared" si="162"/>
        <v>362.73750000000001</v>
      </c>
      <c r="I185" s="62"/>
      <c r="J185" s="62">
        <f t="shared" si="163"/>
        <v>2418.25</v>
      </c>
      <c r="K185" s="36">
        <f t="shared" si="164"/>
        <v>16927.75</v>
      </c>
      <c r="L185" s="62">
        <f t="shared" si="177"/>
        <v>4836.5</v>
      </c>
      <c r="M185" s="27"/>
      <c r="N185" s="27">
        <f>15000</f>
        <v>15000</v>
      </c>
      <c r="O185" s="62">
        <f t="shared" si="174"/>
        <v>483.65000000000003</v>
      </c>
      <c r="P185" s="62">
        <v>5000</v>
      </c>
      <c r="Q185" s="62">
        <f>7000</f>
        <v>7000</v>
      </c>
      <c r="R185" s="36">
        <f t="shared" si="176"/>
        <v>71374.887500000012</v>
      </c>
      <c r="S185" s="36"/>
      <c r="T185" s="36">
        <f>10000+5000</f>
        <v>15000</v>
      </c>
      <c r="U185" s="36">
        <f>10000</f>
        <v>10000</v>
      </c>
      <c r="V185" s="36"/>
      <c r="W185" s="36">
        <v>236.04</v>
      </c>
      <c r="X185" s="36">
        <f t="shared" si="160"/>
        <v>25236.04</v>
      </c>
      <c r="Y185" s="36">
        <v>46138.847500000011</v>
      </c>
      <c r="Z185" s="36">
        <f t="shared" si="159"/>
        <v>46138.847500000011</v>
      </c>
    </row>
    <row r="186" spans="1:26" ht="20.100000000000001" customHeight="1">
      <c r="A186" s="33">
        <v>52</v>
      </c>
      <c r="B186" s="234" t="s">
        <v>320</v>
      </c>
      <c r="C186" s="61" t="s">
        <v>312</v>
      </c>
      <c r="D186" s="66" t="s">
        <v>319</v>
      </c>
      <c r="E186" s="62">
        <v>4836.5</v>
      </c>
      <c r="F186" s="27"/>
      <c r="G186" s="62">
        <f t="shared" si="161"/>
        <v>14509.5</v>
      </c>
      <c r="H186" s="62">
        <f t="shared" si="162"/>
        <v>362.73750000000001</v>
      </c>
      <c r="I186" s="62"/>
      <c r="J186" s="62">
        <f t="shared" si="163"/>
        <v>2418.25</v>
      </c>
      <c r="K186" s="36">
        <f t="shared" si="164"/>
        <v>16927.75</v>
      </c>
      <c r="L186" s="62">
        <f t="shared" si="177"/>
        <v>4836.5</v>
      </c>
      <c r="M186" s="27"/>
      <c r="N186" s="27">
        <f>15000</f>
        <v>15000</v>
      </c>
      <c r="O186" s="62">
        <f t="shared" si="174"/>
        <v>483.65000000000003</v>
      </c>
      <c r="P186" s="62">
        <v>5000</v>
      </c>
      <c r="Q186" s="62">
        <f>7000</f>
        <v>7000</v>
      </c>
      <c r="R186" s="36">
        <f t="shared" si="176"/>
        <v>71374.887500000012</v>
      </c>
      <c r="S186" s="36"/>
      <c r="T186" s="36">
        <f>10000+5000</f>
        <v>15000</v>
      </c>
      <c r="U186" s="36">
        <f>26222.06</f>
        <v>26222.06</v>
      </c>
      <c r="V186" s="36"/>
      <c r="W186" s="36">
        <v>236.04</v>
      </c>
      <c r="X186" s="36">
        <f t="shared" si="160"/>
        <v>41458.100000000006</v>
      </c>
      <c r="Y186" s="36">
        <v>29916.787500000006</v>
      </c>
      <c r="Z186" s="36">
        <f t="shared" si="159"/>
        <v>29916.787500000006</v>
      </c>
    </row>
    <row r="187" spans="1:26" ht="20.100000000000001" customHeight="1">
      <c r="A187" s="33">
        <v>53</v>
      </c>
      <c r="B187" s="222" t="s">
        <v>321</v>
      </c>
      <c r="C187" s="61" t="s">
        <v>312</v>
      </c>
      <c r="D187" s="66" t="s">
        <v>319</v>
      </c>
      <c r="E187" s="62">
        <v>4836.5</v>
      </c>
      <c r="F187" s="27"/>
      <c r="G187" s="62">
        <f t="shared" si="161"/>
        <v>14509.5</v>
      </c>
      <c r="H187" s="62">
        <f t="shared" si="162"/>
        <v>362.73750000000001</v>
      </c>
      <c r="I187" s="62"/>
      <c r="J187" s="62">
        <f t="shared" si="163"/>
        <v>2418.25</v>
      </c>
      <c r="K187" s="36">
        <f t="shared" si="164"/>
        <v>16927.75</v>
      </c>
      <c r="L187" s="62">
        <f t="shared" si="177"/>
        <v>4836.5</v>
      </c>
      <c r="M187" s="27"/>
      <c r="N187" s="27">
        <f>15000</f>
        <v>15000</v>
      </c>
      <c r="O187" s="62">
        <f t="shared" si="174"/>
        <v>483.65000000000003</v>
      </c>
      <c r="P187" s="62">
        <v>5000</v>
      </c>
      <c r="Q187" s="62">
        <f>4000</f>
        <v>4000</v>
      </c>
      <c r="R187" s="36">
        <f t="shared" ref="R187:R188" si="178">SUM(E187:Q187)</f>
        <v>68374.887500000012</v>
      </c>
      <c r="S187" s="36"/>
      <c r="T187" s="36">
        <f>10000+5000</f>
        <v>15000</v>
      </c>
      <c r="U187" s="36">
        <f>32916.67</f>
        <v>32916.67</v>
      </c>
      <c r="V187" s="36"/>
      <c r="W187" s="36">
        <v>236.04</v>
      </c>
      <c r="X187" s="36">
        <f t="shared" si="160"/>
        <v>48152.71</v>
      </c>
      <c r="Y187" s="36">
        <v>20222.177500000013</v>
      </c>
      <c r="Z187" s="36">
        <f t="shared" si="159"/>
        <v>20222.177500000013</v>
      </c>
    </row>
    <row r="188" spans="1:26" ht="20.100000000000001" customHeight="1">
      <c r="A188" s="33">
        <v>54</v>
      </c>
      <c r="B188" s="222" t="s">
        <v>322</v>
      </c>
      <c r="C188" s="61" t="s">
        <v>312</v>
      </c>
      <c r="D188" s="66" t="s">
        <v>323</v>
      </c>
      <c r="E188" s="62">
        <v>4915.9399999999996</v>
      </c>
      <c r="F188" s="27"/>
      <c r="G188" s="62">
        <f t="shared" si="161"/>
        <v>14747.82</v>
      </c>
      <c r="H188" s="62">
        <f t="shared" si="162"/>
        <v>368.69549999999998</v>
      </c>
      <c r="I188" s="62"/>
      <c r="J188" s="62">
        <f t="shared" si="163"/>
        <v>2457.9699999999998</v>
      </c>
      <c r="K188" s="36">
        <f t="shared" si="164"/>
        <v>17205.789999999997</v>
      </c>
      <c r="L188" s="62">
        <f t="shared" si="177"/>
        <v>4915.9399999999996</v>
      </c>
      <c r="M188" s="27"/>
      <c r="N188" s="27">
        <f>20000</f>
        <v>20000</v>
      </c>
      <c r="O188" s="62">
        <f t="shared" si="174"/>
        <v>491.59399999999999</v>
      </c>
      <c r="P188" s="62">
        <v>5000</v>
      </c>
      <c r="Q188" s="62">
        <f>4000</f>
        <v>4000</v>
      </c>
      <c r="R188" s="36">
        <f t="shared" si="178"/>
        <v>74103.749500000005</v>
      </c>
      <c r="S188" s="36"/>
      <c r="T188" s="36">
        <f>0</f>
        <v>0</v>
      </c>
      <c r="U188" s="36">
        <f>0</f>
        <v>0</v>
      </c>
      <c r="V188" s="36"/>
      <c r="W188" s="36">
        <v>236.04</v>
      </c>
      <c r="X188" s="36">
        <f t="shared" si="160"/>
        <v>236.04</v>
      </c>
      <c r="Y188" s="36">
        <v>73867.709500000012</v>
      </c>
      <c r="Z188" s="36">
        <f>R188-X188</f>
        <v>73867.709500000012</v>
      </c>
    </row>
    <row r="189" spans="1:26" ht="20.100000000000001" customHeight="1">
      <c r="A189" s="33">
        <v>55</v>
      </c>
      <c r="B189" s="222" t="s">
        <v>324</v>
      </c>
      <c r="C189" s="61" t="s">
        <v>312</v>
      </c>
      <c r="D189" s="66" t="s">
        <v>325</v>
      </c>
      <c r="E189" s="140">
        <v>4248.5</v>
      </c>
      <c r="F189" s="27"/>
      <c r="G189" s="62">
        <f t="shared" si="161"/>
        <v>12745.5</v>
      </c>
      <c r="H189" s="62">
        <f t="shared" si="162"/>
        <v>318.63749999999999</v>
      </c>
      <c r="I189" s="62"/>
      <c r="J189" s="62">
        <f t="shared" si="163"/>
        <v>2124.25</v>
      </c>
      <c r="K189" s="36">
        <f t="shared" si="164"/>
        <v>14869.75</v>
      </c>
      <c r="L189" s="62">
        <f t="shared" si="177"/>
        <v>4248.5</v>
      </c>
      <c r="M189" s="27"/>
      <c r="N189" s="27">
        <f>15000</f>
        <v>15000</v>
      </c>
      <c r="O189" s="62">
        <f t="shared" si="174"/>
        <v>424.85</v>
      </c>
      <c r="P189" s="62">
        <v>5000</v>
      </c>
      <c r="Q189" s="62">
        <f>7000</f>
        <v>7000</v>
      </c>
      <c r="R189" s="36">
        <f>SUM(E189:Q189)</f>
        <v>65979.987499999988</v>
      </c>
      <c r="S189" s="36"/>
      <c r="T189" s="36">
        <f>5000</f>
        <v>5000</v>
      </c>
      <c r="U189" s="36"/>
      <c r="V189" s="36"/>
      <c r="W189" s="36">
        <v>236.04</v>
      </c>
      <c r="X189" s="36">
        <f t="shared" si="160"/>
        <v>5236.04</v>
      </c>
      <c r="Y189" s="36">
        <v>60743.947499999987</v>
      </c>
      <c r="Z189" s="36">
        <f>R189-X189</f>
        <v>60743.947499999987</v>
      </c>
    </row>
    <row r="190" spans="1:26" ht="20.100000000000001" customHeight="1">
      <c r="A190" s="33">
        <v>56</v>
      </c>
      <c r="B190" s="222" t="s">
        <v>326</v>
      </c>
      <c r="C190" s="61" t="s">
        <v>312</v>
      </c>
      <c r="D190" s="66" t="s">
        <v>323</v>
      </c>
      <c r="E190" s="62">
        <v>4915.9399999999996</v>
      </c>
      <c r="F190" s="27"/>
      <c r="G190" s="62">
        <f t="shared" si="161"/>
        <v>14747.82</v>
      </c>
      <c r="H190" s="62">
        <f t="shared" si="162"/>
        <v>368.69549999999998</v>
      </c>
      <c r="I190" s="62"/>
      <c r="J190" s="62">
        <f t="shared" si="163"/>
        <v>2457.9699999999998</v>
      </c>
      <c r="K190" s="36">
        <f t="shared" si="164"/>
        <v>17205.789999999997</v>
      </c>
      <c r="L190" s="62">
        <f t="shared" si="177"/>
        <v>4915.9399999999996</v>
      </c>
      <c r="M190" s="27"/>
      <c r="N190" s="27">
        <f>20000</f>
        <v>20000</v>
      </c>
      <c r="O190" s="62">
        <f t="shared" si="174"/>
        <v>491.59399999999999</v>
      </c>
      <c r="P190" s="62">
        <v>5000</v>
      </c>
      <c r="Q190" s="62">
        <f>7000</f>
        <v>7000</v>
      </c>
      <c r="R190" s="36">
        <f t="shared" ref="R190" si="179">SUM(E190:Q190)</f>
        <v>77103.749500000005</v>
      </c>
      <c r="S190" s="36"/>
      <c r="T190" s="36">
        <f>10000+5000</f>
        <v>15000</v>
      </c>
      <c r="U190" s="36">
        <f>0</f>
        <v>0</v>
      </c>
      <c r="V190" s="36"/>
      <c r="W190" s="36">
        <v>236.04</v>
      </c>
      <c r="X190" s="36">
        <f t="shared" si="160"/>
        <v>15236.04</v>
      </c>
      <c r="Y190" s="36">
        <v>61867.709500000004</v>
      </c>
      <c r="Z190" s="36">
        <f>R190-X190</f>
        <v>61867.709500000004</v>
      </c>
    </row>
    <row r="191" spans="1:26" ht="20.100000000000001" customHeight="1">
      <c r="A191" s="33"/>
      <c r="B191" s="48" t="s">
        <v>34</v>
      </c>
      <c r="C191" s="49" t="s">
        <v>327</v>
      </c>
      <c r="D191" s="37"/>
      <c r="E191" s="95">
        <f>SUM(E135:E190)</f>
        <v>836822.55999999912</v>
      </c>
      <c r="F191" s="95"/>
      <c r="G191" s="95">
        <f t="shared" ref="G191:L191" si="180">SUM(G135:G190)</f>
        <v>2510467.679999996</v>
      </c>
      <c r="H191" s="95">
        <f t="shared" si="180"/>
        <v>62761.691999999988</v>
      </c>
      <c r="I191" s="95">
        <f t="shared" si="180"/>
        <v>280855.33</v>
      </c>
      <c r="J191" s="95">
        <f t="shared" si="180"/>
        <v>418411.27999999956</v>
      </c>
      <c r="K191" s="95">
        <f t="shared" si="180"/>
        <v>2928878.9600000037</v>
      </c>
      <c r="L191" s="95">
        <f t="shared" si="180"/>
        <v>836822.55999999912</v>
      </c>
      <c r="M191" s="134"/>
      <c r="N191" s="134">
        <f>SUM(N135:N190)</f>
        <v>2340000</v>
      </c>
      <c r="O191" s="95">
        <f>SUM(O135:O190)</f>
        <v>83682.256000000023</v>
      </c>
      <c r="P191" s="95">
        <f>SUM(P135:P190)</f>
        <v>505000</v>
      </c>
      <c r="Q191" s="95">
        <f>SUM(Q135:Q190)</f>
        <v>211000</v>
      </c>
      <c r="R191" s="95">
        <f>SUM(R135:R190)</f>
        <v>10727823.2261</v>
      </c>
      <c r="S191" s="95"/>
      <c r="T191" s="95">
        <f t="shared" ref="T191:Z191" si="181">SUM(T135:T190)</f>
        <v>1019500</v>
      </c>
      <c r="U191" s="95">
        <f t="shared" si="181"/>
        <v>2249692.4800000009</v>
      </c>
      <c r="V191" s="95">
        <f t="shared" si="181"/>
        <v>6916.7807499999999</v>
      </c>
      <c r="W191" s="95">
        <f t="shared" si="181"/>
        <v>231526.60000000027</v>
      </c>
      <c r="X191" s="95">
        <f t="shared" si="181"/>
        <v>3507635.8607500009</v>
      </c>
      <c r="Y191" s="95">
        <f t="shared" si="181"/>
        <v>7276805.0872499999</v>
      </c>
      <c r="Z191" s="95">
        <f t="shared" si="181"/>
        <v>7220187.3653499987</v>
      </c>
    </row>
    <row r="192" spans="1:26" ht="20.100000000000001" customHeight="1">
      <c r="A192" s="33"/>
      <c r="B192" s="46" t="s">
        <v>328</v>
      </c>
      <c r="C192" s="73">
        <f>C39+C44+C57+C62+C79+C89+C102+C109+C120+C132+C191</f>
        <v>152</v>
      </c>
      <c r="D192" s="40"/>
      <c r="E192" s="41">
        <v>3773721.59</v>
      </c>
      <c r="F192" s="41">
        <f t="shared" ref="F192:R192" si="182">F39+F44+F57+F62+F79+F89+F102+F109+F120+F132+F191</f>
        <v>43750</v>
      </c>
      <c r="G192" s="41">
        <f t="shared" si="182"/>
        <v>11262025.019999994</v>
      </c>
      <c r="H192" s="41">
        <f t="shared" si="182"/>
        <v>321672.81799999997</v>
      </c>
      <c r="I192" s="41">
        <f t="shared" si="182"/>
        <v>2006109.5000000005</v>
      </c>
      <c r="J192" s="41">
        <f t="shared" si="182"/>
        <v>1895727.8599999999</v>
      </c>
      <c r="K192" s="41">
        <f t="shared" si="182"/>
        <v>12764555.440000001</v>
      </c>
      <c r="L192" s="41">
        <f t="shared" si="182"/>
        <v>3767382.4099999997</v>
      </c>
      <c r="M192" s="41">
        <f t="shared" si="182"/>
        <v>7830000</v>
      </c>
      <c r="N192" s="41">
        <f t="shared" si="182"/>
        <v>5080000</v>
      </c>
      <c r="O192" s="41">
        <f t="shared" si="182"/>
        <v>380750.46400000004</v>
      </c>
      <c r="P192" s="41">
        <f t="shared" si="182"/>
        <v>2035000</v>
      </c>
      <c r="Q192" s="41">
        <f t="shared" si="182"/>
        <v>1596903.6645499999</v>
      </c>
      <c r="R192" s="41">
        <f t="shared" si="182"/>
        <v>51044020.940200001</v>
      </c>
      <c r="S192" s="41"/>
      <c r="T192" s="41">
        <f>T39+T44+T57+T62+T79+T89+T102+T109+T120+T132+T191</f>
        <v>5074500</v>
      </c>
      <c r="U192" s="41">
        <f>U39+U44+U57+U62+U79+U89+U102+U109+U120+U132+U191</f>
        <v>6538580.7400000002</v>
      </c>
      <c r="V192" s="41">
        <f>V39+V44+V57+V62+V79+V89+V102+V109+V120+V132+V191</f>
        <v>26877.441250000003</v>
      </c>
      <c r="W192" s="41">
        <f>W39+W44+W57+W62+W79+W89+W102+W109+W120+W132+W191</f>
        <v>1499928.2700000003</v>
      </c>
      <c r="X192" s="41">
        <f>X39+X44+X57+X62+X79+X89+X102+X109+X120+X132+X191</f>
        <v>13139886.451250002</v>
      </c>
      <c r="Y192" s="41">
        <v>37262686.712170966</v>
      </c>
      <c r="Z192" s="41">
        <f>Z39+Z44+Z57+Z62+Z79+Z89+Z102+Z109+Z120+Z132+Z191</f>
        <v>37904134.488949999</v>
      </c>
    </row>
    <row r="193" spans="1:26" ht="20.100000000000001" customHeight="1">
      <c r="A193" s="33"/>
      <c r="B193" s="70"/>
      <c r="C193" s="46"/>
      <c r="D193" s="70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20.100000000000001" customHeight="1">
      <c r="A194" s="33"/>
      <c r="B194" s="70"/>
      <c r="C194" s="242" t="s">
        <v>329</v>
      </c>
      <c r="D194" s="242"/>
      <c r="E194" s="242"/>
      <c r="F194" s="242"/>
      <c r="G194" s="242"/>
      <c r="H194" s="242"/>
      <c r="I194" s="242"/>
      <c r="J194" s="241" t="s">
        <v>330</v>
      </c>
      <c r="K194" s="241"/>
      <c r="L194" s="241"/>
      <c r="M194" s="40"/>
      <c r="N194" s="40"/>
      <c r="O194" s="241" t="s">
        <v>331</v>
      </c>
      <c r="P194" s="241"/>
      <c r="Q194" s="241"/>
      <c r="R194" s="241"/>
      <c r="S194" s="40"/>
      <c r="T194" s="40"/>
      <c r="U194" s="40"/>
      <c r="V194" s="40"/>
      <c r="W194" s="71"/>
      <c r="X194" s="71"/>
      <c r="Y194" s="71"/>
      <c r="Z194" s="71"/>
    </row>
    <row r="195" spans="1:26" ht="20.100000000000001" customHeight="1">
      <c r="A195" s="33"/>
      <c r="B195" s="70"/>
      <c r="C195" s="242"/>
      <c r="D195" s="242"/>
      <c r="E195" s="242"/>
      <c r="F195" s="242"/>
      <c r="G195" s="242"/>
      <c r="H195" s="242"/>
      <c r="I195" s="242"/>
      <c r="J195" s="241"/>
      <c r="K195" s="241"/>
      <c r="L195" s="241"/>
      <c r="M195" s="40"/>
      <c r="N195" s="40"/>
      <c r="O195" s="241"/>
      <c r="P195" s="241"/>
      <c r="Q195" s="241"/>
      <c r="R195" s="241"/>
      <c r="S195" s="40"/>
      <c r="T195" s="40"/>
      <c r="U195" s="40"/>
      <c r="V195" s="40"/>
      <c r="W195" s="71"/>
      <c r="X195" s="71"/>
      <c r="Y195" s="71"/>
      <c r="Z195" s="71"/>
    </row>
    <row r="196" spans="1:26" ht="20.100000000000001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0.100000000000001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0.100000000000001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213"/>
      <c r="S198" s="4"/>
      <c r="T198" s="4"/>
      <c r="U198" s="4"/>
      <c r="V198" s="4"/>
      <c r="W198" s="4"/>
      <c r="X198" s="4"/>
      <c r="Y198" s="4"/>
      <c r="Z198" s="4"/>
    </row>
  </sheetData>
  <mergeCells count="8">
    <mergeCell ref="B3:D3"/>
    <mergeCell ref="T5:X5"/>
    <mergeCell ref="C194:C195"/>
    <mergeCell ref="D194:I195"/>
    <mergeCell ref="J194:J195"/>
    <mergeCell ref="K194:L195"/>
    <mergeCell ref="O194:O195"/>
    <mergeCell ref="P194:R195"/>
  </mergeCells>
  <pageMargins left="0.98425196850393704" right="0.98425196850393704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39" max="26" man="1"/>
    <brk id="79" max="26" man="1"/>
    <brk id="120" max="26" man="1"/>
    <brk id="162" max="26" man="1"/>
  </rowBreaks>
  <colBreaks count="1" manualBreakCount="1">
    <brk id="4" max="19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0"/>
  <sheetViews>
    <sheetView topLeftCell="A41" zoomScale="91" zoomScaleNormal="91" workbookViewId="0">
      <selection activeCell="A25" sqref="A25:F25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8" ht="6.75" customHeight="1"/>
    <row r="2" spans="1:8" ht="22.5">
      <c r="A2" s="250" t="s">
        <v>332</v>
      </c>
      <c r="B2" s="250"/>
      <c r="C2" s="250"/>
      <c r="D2" s="250"/>
      <c r="E2" s="250"/>
      <c r="F2" s="250"/>
      <c r="G2" s="250"/>
      <c r="H2" s="250"/>
    </row>
    <row r="3" spans="1:8" ht="18" customHeight="1">
      <c r="A3" s="162"/>
      <c r="B3" s="255" t="s">
        <v>333</v>
      </c>
      <c r="C3" s="255"/>
      <c r="D3" s="255"/>
      <c r="E3" s="255"/>
      <c r="F3" s="255"/>
      <c r="G3" s="255"/>
      <c r="H3" s="255"/>
    </row>
    <row r="4" spans="1:8" ht="15.6" hidden="1" customHeight="1">
      <c r="A4" s="251" t="s">
        <v>333</v>
      </c>
      <c r="B4" s="251"/>
      <c r="C4" s="251"/>
      <c r="D4" s="251"/>
      <c r="E4" s="251"/>
      <c r="F4" s="251"/>
      <c r="G4" s="251"/>
      <c r="H4" s="251"/>
    </row>
    <row r="5" spans="1:8" ht="9.6" hidden="1" customHeight="1">
      <c r="A5" s="116"/>
      <c r="B5" s="116"/>
      <c r="C5" s="116"/>
      <c r="D5" s="116"/>
      <c r="E5" s="116"/>
      <c r="F5" s="116"/>
      <c r="G5" s="116"/>
      <c r="H5" s="116"/>
    </row>
    <row r="6" spans="1:8" ht="29.25" hidden="1" customHeight="1">
      <c r="A6" s="161" t="s">
        <v>334</v>
      </c>
      <c r="B6" s="161"/>
      <c r="C6" s="161"/>
      <c r="D6" s="161"/>
      <c r="E6" s="161"/>
      <c r="F6" s="161"/>
      <c r="G6" s="116"/>
      <c r="H6" s="116"/>
    </row>
    <row r="7" spans="1:8" ht="25.15" hidden="1" customHeight="1">
      <c r="A7" s="252" t="s">
        <v>335</v>
      </c>
      <c r="B7" s="252"/>
      <c r="C7" s="252"/>
      <c r="D7" s="252"/>
      <c r="E7" s="252"/>
      <c r="F7" s="252"/>
      <c r="G7" s="116"/>
      <c r="H7" s="116"/>
    </row>
    <row r="8" spans="1:8" ht="24.75" hidden="1" customHeight="1">
      <c r="A8" s="252" t="s">
        <v>336</v>
      </c>
      <c r="B8" s="252"/>
      <c r="C8" s="252"/>
      <c r="D8" s="252"/>
      <c r="E8" s="252"/>
      <c r="F8" s="252"/>
      <c r="G8" s="116"/>
      <c r="H8" s="116"/>
    </row>
    <row r="9" spans="1:8" ht="24" hidden="1" customHeight="1">
      <c r="A9" s="252" t="s">
        <v>337</v>
      </c>
      <c r="B9" s="252"/>
      <c r="C9" s="252"/>
      <c r="D9" s="252"/>
      <c r="E9" s="252"/>
      <c r="F9" s="116"/>
      <c r="G9" s="116"/>
      <c r="H9" s="116"/>
    </row>
    <row r="10" spans="1:8" ht="13.15" hidden="1" customHeight="1">
      <c r="A10" s="116"/>
      <c r="B10" s="116"/>
      <c r="C10" s="116"/>
      <c r="D10" s="116"/>
      <c r="E10" s="116"/>
      <c r="F10" s="116"/>
      <c r="G10" s="116"/>
      <c r="H10" s="116"/>
    </row>
    <row r="11" spans="1:8" ht="18" hidden="1" customHeight="1">
      <c r="A11" s="253" t="s">
        <v>338</v>
      </c>
      <c r="B11" s="253"/>
      <c r="C11" s="253"/>
      <c r="D11" s="253"/>
      <c r="E11" s="253"/>
      <c r="F11" s="253"/>
      <c r="G11" s="116"/>
      <c r="H11" s="116"/>
    </row>
    <row r="12" spans="1:8" ht="18.75" hidden="1" customHeight="1">
      <c r="A12" s="252" t="s">
        <v>339</v>
      </c>
      <c r="B12" s="252"/>
      <c r="C12" s="252"/>
      <c r="D12" s="252"/>
      <c r="E12" s="252"/>
      <c r="F12" s="252"/>
      <c r="G12" s="252"/>
      <c r="H12" s="252"/>
    </row>
    <row r="13" spans="1:8" ht="12" hidden="1" customHeight="1">
      <c r="A13" s="117"/>
      <c r="B13" s="116"/>
      <c r="C13" s="116"/>
      <c r="D13" s="116"/>
      <c r="E13" s="116"/>
      <c r="F13" s="116"/>
      <c r="G13" s="116"/>
      <c r="H13" s="116"/>
    </row>
    <row r="14" spans="1:8" ht="24" customHeight="1">
      <c r="A14" s="1" t="s">
        <v>340</v>
      </c>
      <c r="B14" s="1"/>
      <c r="C14" s="1" t="s">
        <v>341</v>
      </c>
      <c r="D14" s="1"/>
      <c r="E14" s="1"/>
      <c r="F14" s="180"/>
      <c r="G14" s="180"/>
      <c r="H14" s="116"/>
    </row>
    <row r="15" spans="1:8" ht="26.25" customHeight="1">
      <c r="A15" s="1" t="s">
        <v>342</v>
      </c>
      <c r="B15" s="180"/>
      <c r="C15" s="1" t="s">
        <v>343</v>
      </c>
      <c r="D15" s="1"/>
      <c r="E15" s="1"/>
      <c r="F15" s="1"/>
      <c r="G15" s="1"/>
      <c r="H15" s="116"/>
    </row>
    <row r="16" spans="1:8" ht="27" customHeight="1">
      <c r="A16" s="1" t="s">
        <v>344</v>
      </c>
      <c r="B16" s="1"/>
      <c r="C16" s="1" t="s">
        <v>345</v>
      </c>
      <c r="D16" s="1"/>
      <c r="E16" s="1"/>
      <c r="F16" s="1"/>
      <c r="G16" s="1"/>
      <c r="H16" s="116"/>
    </row>
    <row r="17" spans="1:10" ht="25.5" customHeight="1">
      <c r="A17" s="1" t="s">
        <v>346</v>
      </c>
      <c r="B17" s="1"/>
      <c r="C17" s="1" t="s">
        <v>347</v>
      </c>
      <c r="D17" s="1"/>
      <c r="E17" s="180"/>
      <c r="F17" s="180"/>
      <c r="G17" s="180"/>
      <c r="H17" s="116"/>
    </row>
    <row r="18" spans="1:10" ht="25.5" customHeight="1">
      <c r="A18" s="141" t="s">
        <v>348</v>
      </c>
      <c r="B18" s="141"/>
      <c r="C18" s="188"/>
      <c r="D18" s="188"/>
      <c r="E18" s="188"/>
      <c r="F18" s="188"/>
      <c r="G18" s="180"/>
      <c r="H18" s="116"/>
    </row>
    <row r="19" spans="1:10" ht="25.5" customHeight="1">
      <c r="A19" s="1" t="s">
        <v>349</v>
      </c>
      <c r="B19" s="1"/>
      <c r="C19" s="180"/>
      <c r="D19" s="180"/>
      <c r="E19" s="180"/>
      <c r="F19" s="180"/>
      <c r="G19" s="180"/>
      <c r="H19" s="116"/>
    </row>
    <row r="20" spans="1:10" ht="21" customHeight="1">
      <c r="A20" s="246" t="s">
        <v>350</v>
      </c>
      <c r="B20" s="246"/>
      <c r="C20" s="246"/>
      <c r="D20" s="246"/>
      <c r="E20" s="246"/>
      <c r="F20" s="246"/>
      <c r="G20" s="246"/>
      <c r="H20" s="169">
        <f>'April, 2022'!R192</f>
        <v>51044020.940200001</v>
      </c>
      <c r="J20" s="89"/>
    </row>
    <row r="21" spans="1:10" ht="15" customHeight="1">
      <c r="A21" s="254" t="s">
        <v>3</v>
      </c>
      <c r="B21" s="254"/>
      <c r="C21" s="254"/>
      <c r="D21" s="254"/>
      <c r="E21" s="254"/>
      <c r="F21" s="254"/>
      <c r="G21" s="181"/>
      <c r="H21" s="1"/>
    </row>
    <row r="22" spans="1:10" ht="18.75" customHeight="1">
      <c r="A22" s="243" t="s">
        <v>351</v>
      </c>
      <c r="B22" s="243"/>
      <c r="C22" s="243"/>
      <c r="D22" s="243"/>
      <c r="E22" s="243"/>
      <c r="F22" s="243"/>
      <c r="G22" s="34">
        <f>'April, 2022'!T192</f>
        <v>5074500</v>
      </c>
      <c r="H22" s="1"/>
      <c r="J22" s="89"/>
    </row>
    <row r="23" spans="1:10" ht="19.5" customHeight="1">
      <c r="A23" s="243" t="s">
        <v>352</v>
      </c>
      <c r="B23" s="243"/>
      <c r="C23" s="243"/>
      <c r="D23" s="243"/>
      <c r="E23" s="243"/>
      <c r="F23" s="243"/>
      <c r="G23" s="34">
        <f>'April, 2022'!U192</f>
        <v>6538580.7400000002</v>
      </c>
      <c r="H23" s="1"/>
    </row>
    <row r="24" spans="1:10" ht="20.25" customHeight="1">
      <c r="A24" s="243" t="s">
        <v>353</v>
      </c>
      <c r="B24" s="243"/>
      <c r="C24" s="243"/>
      <c r="D24" s="243"/>
      <c r="E24" s="243"/>
      <c r="F24" s="243"/>
      <c r="G24" s="34">
        <f>'April, 2022'!W192</f>
        <v>1499928.2700000003</v>
      </c>
      <c r="H24" s="1"/>
    </row>
    <row r="25" spans="1:10" ht="18" customHeight="1">
      <c r="A25" s="245" t="s">
        <v>354</v>
      </c>
      <c r="B25" s="245"/>
      <c r="C25" s="245"/>
      <c r="D25" s="245"/>
      <c r="E25" s="245"/>
      <c r="F25" s="245"/>
      <c r="G25" s="182">
        <f>'April, 2022'!V192</f>
        <v>26877.441250000003</v>
      </c>
      <c r="H25" s="1"/>
    </row>
    <row r="26" spans="1:10" ht="19.5" customHeight="1">
      <c r="A26" s="243" t="s">
        <v>355</v>
      </c>
      <c r="B26" s="243"/>
      <c r="C26" s="243"/>
      <c r="D26" s="243"/>
      <c r="E26" s="243"/>
      <c r="F26" s="243"/>
      <c r="G26" s="34"/>
      <c r="H26" s="183">
        <f>G22+G23+G24+G25</f>
        <v>13139886.45125</v>
      </c>
      <c r="I26" s="32"/>
    </row>
    <row r="27" spans="1:10" ht="20.25" customHeight="1">
      <c r="A27" s="243" t="s">
        <v>356</v>
      </c>
      <c r="B27" s="243"/>
      <c r="C27" s="243"/>
      <c r="D27" s="243"/>
      <c r="E27" s="243"/>
      <c r="F27" s="243"/>
      <c r="G27" s="141"/>
      <c r="H27" s="51">
        <f>H20-H26</f>
        <v>37904134.488949999</v>
      </c>
      <c r="I27" s="35"/>
    </row>
    <row r="28" spans="1:10" ht="21" customHeight="1">
      <c r="A28" s="243" t="s">
        <v>357</v>
      </c>
      <c r="B28" s="243"/>
      <c r="C28" s="243"/>
      <c r="D28" s="243"/>
      <c r="E28" s="243"/>
      <c r="F28" s="243"/>
      <c r="G28" s="141"/>
      <c r="H28" s="187">
        <f>'April, 2022'!Y192</f>
        <v>37262686.712170966</v>
      </c>
    </row>
    <row r="29" spans="1:10" ht="21" customHeight="1">
      <c r="A29" s="243" t="s">
        <v>358</v>
      </c>
      <c r="B29" s="243"/>
      <c r="C29" s="243"/>
      <c r="D29" s="243"/>
      <c r="E29" s="243"/>
      <c r="F29" s="243"/>
      <c r="G29" s="141"/>
      <c r="H29" s="196">
        <f>H27-H28</f>
        <v>641447.77677903324</v>
      </c>
    </row>
    <row r="30" spans="1:10" ht="18.75" customHeight="1">
      <c r="A30" s="246" t="s">
        <v>359</v>
      </c>
      <c r="B30" s="246"/>
      <c r="C30" s="246"/>
      <c r="D30" s="246"/>
      <c r="E30" s="246"/>
      <c r="F30" s="246"/>
      <c r="G30" s="246"/>
      <c r="H30" s="1"/>
    </row>
    <row r="31" spans="1:10" ht="21.75" customHeight="1">
      <c r="A31" s="176" t="s">
        <v>360</v>
      </c>
      <c r="B31" s="176"/>
      <c r="C31" s="176"/>
      <c r="D31" s="176"/>
      <c r="E31" s="176"/>
      <c r="F31" s="176"/>
      <c r="G31" s="176"/>
      <c r="H31" s="184">
        <f>162612.64+107638.89</f>
        <v>270251.53000000003</v>
      </c>
      <c r="J31" s="32"/>
    </row>
    <row r="32" spans="1:10" ht="21.75" customHeight="1">
      <c r="A32" s="176" t="s">
        <v>361</v>
      </c>
      <c r="B32" s="176"/>
      <c r="C32" s="176"/>
      <c r="D32" s="176"/>
      <c r="E32" s="176"/>
      <c r="F32" s="176"/>
      <c r="G32" s="176"/>
      <c r="H32" s="184">
        <f>70790.75</f>
        <v>70790.75</v>
      </c>
      <c r="I32" s="89"/>
      <c r="J32" s="32"/>
    </row>
    <row r="33" spans="1:11" ht="21.75" customHeight="1">
      <c r="A33" s="176" t="s">
        <v>362</v>
      </c>
      <c r="B33" s="176"/>
      <c r="C33" s="176"/>
      <c r="D33" s="176"/>
      <c r="E33" s="176"/>
      <c r="F33" s="176"/>
      <c r="G33" s="176"/>
      <c r="H33" s="184">
        <f>809.41</f>
        <v>809.41</v>
      </c>
      <c r="J33" s="32"/>
    </row>
    <row r="34" spans="1:11" ht="21.75" customHeight="1">
      <c r="A34" s="176" t="s">
        <v>363</v>
      </c>
      <c r="B34" s="176"/>
      <c r="C34" s="176"/>
      <c r="D34" s="176"/>
      <c r="E34" s="176"/>
      <c r="F34" s="176"/>
      <c r="G34" s="176"/>
      <c r="H34" s="184">
        <f>-158279.78</f>
        <v>-158279.78</v>
      </c>
      <c r="J34" s="32"/>
    </row>
    <row r="35" spans="1:11" ht="21.75" customHeight="1">
      <c r="A35" s="176" t="s">
        <v>364</v>
      </c>
      <c r="B35" s="176"/>
      <c r="C35" s="176"/>
      <c r="D35" s="176"/>
      <c r="E35" s="176"/>
      <c r="F35" s="176"/>
      <c r="G35" s="176"/>
      <c r="H35" s="184">
        <f>-65625</f>
        <v>-65625</v>
      </c>
      <c r="J35" s="32"/>
    </row>
    <row r="36" spans="1:11" ht="21.75" customHeight="1">
      <c r="A36" s="176" t="s">
        <v>365</v>
      </c>
      <c r="B36" s="176"/>
      <c r="C36" s="176"/>
      <c r="D36" s="176"/>
      <c r="E36" s="176"/>
      <c r="F36" s="176"/>
      <c r="G36" s="176"/>
      <c r="H36" s="184">
        <f>-759394.69</f>
        <v>-759394.69</v>
      </c>
      <c r="J36" s="32"/>
    </row>
    <row r="37" spans="1:11" ht="21" customHeight="1">
      <c r="A37" s="243"/>
      <c r="B37" s="243"/>
      <c r="C37" s="243"/>
      <c r="D37" s="243"/>
      <c r="E37" s="243"/>
      <c r="F37" s="243"/>
      <c r="G37" s="243"/>
      <c r="H37" s="185">
        <f>SUM(H31:H36)</f>
        <v>-641447.77999999991</v>
      </c>
      <c r="I37" s="32"/>
      <c r="J37" s="88"/>
      <c r="K37" s="89"/>
    </row>
    <row r="38" spans="1:11" ht="23.25" customHeight="1">
      <c r="A38" s="1"/>
      <c r="B38" s="1"/>
      <c r="C38" s="1"/>
      <c r="D38" s="1"/>
      <c r="E38" s="247" t="s">
        <v>366</v>
      </c>
      <c r="F38" s="248"/>
      <c r="G38" s="247" t="s">
        <v>367</v>
      </c>
      <c r="H38" s="248"/>
      <c r="I38" s="32"/>
      <c r="J38" s="32"/>
    </row>
    <row r="39" spans="1:11" ht="18.600000000000001" customHeight="1">
      <c r="A39" s="1"/>
      <c r="B39" s="1"/>
      <c r="C39" s="1"/>
      <c r="D39" s="1"/>
      <c r="E39" s="7" t="s">
        <v>368</v>
      </c>
      <c r="F39" s="60" t="s">
        <v>37</v>
      </c>
      <c r="G39" s="7" t="s">
        <v>368</v>
      </c>
      <c r="H39" s="60" t="s">
        <v>37</v>
      </c>
      <c r="I39" s="32"/>
      <c r="J39" s="32"/>
    </row>
    <row r="40" spans="1:11" ht="28.5" customHeight="1">
      <c r="A40" s="11">
        <v>1</v>
      </c>
      <c r="B40" s="249" t="s">
        <v>369</v>
      </c>
      <c r="C40" s="243"/>
      <c r="D40" s="243"/>
      <c r="E40" s="3">
        <v>31</v>
      </c>
      <c r="F40" s="12">
        <f>'April, 2022'!Y39</f>
        <v>9843312.195000004</v>
      </c>
      <c r="G40" s="3">
        <v>30</v>
      </c>
      <c r="H40" s="12">
        <f>'April, 2022'!Z39</f>
        <v>9839304.0242500026</v>
      </c>
      <c r="I40" s="32"/>
      <c r="J40" s="32"/>
    </row>
    <row r="41" spans="1:11" ht="21.75" customHeight="1">
      <c r="A41" s="11">
        <v>2</v>
      </c>
      <c r="B41" s="90" t="s">
        <v>370</v>
      </c>
      <c r="C41" s="176"/>
      <c r="D41" s="176"/>
      <c r="E41" s="3">
        <v>1</v>
      </c>
      <c r="F41" s="12">
        <f>'April, 2022'!Y44</f>
        <v>772656.44700000004</v>
      </c>
      <c r="G41" s="3">
        <v>2</v>
      </c>
      <c r="H41" s="12">
        <f>'April, 2022'!Z44</f>
        <v>840503.69680000003</v>
      </c>
      <c r="I41" s="32"/>
      <c r="J41" s="32"/>
    </row>
    <row r="42" spans="1:11" ht="24.75" customHeight="1">
      <c r="A42" s="11">
        <v>3</v>
      </c>
      <c r="B42" s="243" t="s">
        <v>371</v>
      </c>
      <c r="C42" s="243"/>
      <c r="D42" s="243"/>
      <c r="E42" s="3">
        <v>9</v>
      </c>
      <c r="F42" s="12">
        <f>'April, 2022'!Y57</f>
        <v>3234095.1737500001</v>
      </c>
      <c r="G42" s="3">
        <v>10</v>
      </c>
      <c r="H42" s="12">
        <f>'April, 2022'!Z57</f>
        <v>3330671.1840499998</v>
      </c>
      <c r="I42" s="32"/>
      <c r="J42" s="32"/>
    </row>
    <row r="43" spans="1:11" ht="23.25" customHeight="1">
      <c r="A43" s="11">
        <v>4</v>
      </c>
      <c r="B43" s="243" t="s">
        <v>372</v>
      </c>
      <c r="C43" s="243"/>
      <c r="D43" s="244"/>
      <c r="E43" s="3">
        <v>2</v>
      </c>
      <c r="F43" s="12">
        <f>'April, 2022'!Y62</f>
        <v>1273021.1535000002</v>
      </c>
      <c r="G43" s="3">
        <v>2</v>
      </c>
      <c r="H43" s="12">
        <f>'April, 2022'!Z62</f>
        <v>1273021.1535000002</v>
      </c>
      <c r="I43" s="32"/>
      <c r="J43" s="32"/>
    </row>
    <row r="44" spans="1:11" ht="24" customHeight="1">
      <c r="A44" s="11">
        <v>5</v>
      </c>
      <c r="B44" s="243" t="s">
        <v>373</v>
      </c>
      <c r="C44" s="243"/>
      <c r="D44" s="244"/>
      <c r="E44" s="3">
        <v>12</v>
      </c>
      <c r="F44" s="12">
        <f>'April, 2022'!Y79</f>
        <v>2957372.4426209675</v>
      </c>
      <c r="G44" s="3">
        <v>14</v>
      </c>
      <c r="H44" s="12">
        <f>'April, 2022'!Z79</f>
        <v>3197709.2704999996</v>
      </c>
      <c r="I44" s="32"/>
      <c r="J44" s="32"/>
    </row>
    <row r="45" spans="1:11" ht="21" customHeight="1">
      <c r="A45" s="11">
        <v>6</v>
      </c>
      <c r="B45" s="243" t="s">
        <v>374</v>
      </c>
      <c r="C45" s="243"/>
      <c r="D45" s="244"/>
      <c r="E45" s="3">
        <f>7</f>
        <v>7</v>
      </c>
      <c r="F45" s="12">
        <f>'April, 2022'!Y89</f>
        <v>2618700.1652500001</v>
      </c>
      <c r="G45" s="3">
        <f>7</f>
        <v>7</v>
      </c>
      <c r="H45" s="12">
        <f>'April, 2022'!Z89</f>
        <v>2618678.91175</v>
      </c>
      <c r="I45" s="32"/>
      <c r="J45" s="32"/>
    </row>
    <row r="46" spans="1:11" ht="23.25" customHeight="1">
      <c r="A46" s="11">
        <v>7</v>
      </c>
      <c r="B46" s="176" t="s">
        <v>375</v>
      </c>
      <c r="C46" s="176"/>
      <c r="D46" s="176"/>
      <c r="E46" s="3">
        <v>10</v>
      </c>
      <c r="F46" s="12">
        <f>'April, 2022'!Y102</f>
        <v>2711477.2659999998</v>
      </c>
      <c r="G46" s="3">
        <v>10</v>
      </c>
      <c r="H46" s="12">
        <f>'April, 2022'!Z102</f>
        <v>3116546.5691999993</v>
      </c>
      <c r="I46" s="32"/>
      <c r="J46" s="32"/>
    </row>
    <row r="47" spans="1:11" ht="25.5" customHeight="1">
      <c r="A47" s="11">
        <v>8</v>
      </c>
      <c r="B47" s="176" t="s">
        <v>376</v>
      </c>
      <c r="C47" s="176"/>
      <c r="D47" s="176"/>
      <c r="E47" s="3">
        <v>4</v>
      </c>
      <c r="F47" s="12">
        <f>'April, 2022'!Y109</f>
        <v>1303223.3417500001</v>
      </c>
      <c r="G47" s="3">
        <v>4</v>
      </c>
      <c r="H47" s="12">
        <f>'April, 2022'!Z109</f>
        <v>1303201.3755000001</v>
      </c>
      <c r="I47" s="32"/>
      <c r="J47" s="32"/>
    </row>
    <row r="48" spans="1:11" ht="21.75" customHeight="1">
      <c r="A48" s="11">
        <v>9</v>
      </c>
      <c r="B48" s="176" t="s">
        <v>377</v>
      </c>
      <c r="C48" s="176"/>
      <c r="D48" s="176"/>
      <c r="E48" s="3">
        <v>8</v>
      </c>
      <c r="F48" s="12">
        <f>'April, 2022'!Y120</f>
        <v>2583235.9130499996</v>
      </c>
      <c r="G48" s="3">
        <v>8</v>
      </c>
      <c r="H48" s="12">
        <f>'April, 2022'!Z120</f>
        <v>2475597.0255499994</v>
      </c>
      <c r="I48" s="32"/>
      <c r="J48" s="32"/>
    </row>
    <row r="49" spans="1:14" ht="24.75" customHeight="1">
      <c r="A49" s="11">
        <v>10</v>
      </c>
      <c r="B49" s="176" t="s">
        <v>378</v>
      </c>
      <c r="C49" s="176"/>
      <c r="D49" s="176"/>
      <c r="E49" s="3">
        <v>9</v>
      </c>
      <c r="F49" s="12">
        <f>'April, 2022'!Y132</f>
        <v>2688787.5269999998</v>
      </c>
      <c r="G49" s="3">
        <v>9</v>
      </c>
      <c r="H49" s="12">
        <f>'April, 2022'!Z132</f>
        <v>2688713.9124999992</v>
      </c>
      <c r="I49" s="32"/>
      <c r="J49" s="32"/>
    </row>
    <row r="50" spans="1:14" ht="24.75" customHeight="1">
      <c r="A50" s="11">
        <v>11</v>
      </c>
      <c r="B50" s="243" t="s">
        <v>379</v>
      </c>
      <c r="C50" s="243"/>
      <c r="D50" s="243"/>
      <c r="E50" s="3">
        <v>54</v>
      </c>
      <c r="F50" s="12">
        <f>'April, 2022'!Y191</f>
        <v>7276805.0872499999</v>
      </c>
      <c r="G50" s="3">
        <v>56</v>
      </c>
      <c r="H50" s="12">
        <f>'April, 2022'!Z191</f>
        <v>7220187.3653499987</v>
      </c>
      <c r="I50" s="32"/>
      <c r="J50" s="32"/>
    </row>
    <row r="51" spans="1:14" ht="24" customHeight="1">
      <c r="A51" s="1"/>
      <c r="B51" s="1"/>
      <c r="C51" s="1"/>
      <c r="D51" s="1"/>
      <c r="E51" s="7">
        <f>SUM(E40:E50)</f>
        <v>147</v>
      </c>
      <c r="F51" s="13">
        <f>SUM(F40:F50)</f>
        <v>37262686.712170966</v>
      </c>
      <c r="G51" s="7">
        <f>SUM(G40:G50)</f>
        <v>152</v>
      </c>
      <c r="H51" s="13">
        <f>SUM(H40:H50)</f>
        <v>37904134.488949999</v>
      </c>
      <c r="I51" s="32"/>
      <c r="J51" s="32"/>
    </row>
    <row r="52" spans="1:14" ht="64.5" customHeight="1">
      <c r="A52" s="245" t="s">
        <v>380</v>
      </c>
      <c r="B52" s="245"/>
      <c r="C52" s="245"/>
      <c r="D52" s="245"/>
      <c r="E52" s="245"/>
      <c r="F52" s="245"/>
      <c r="G52" s="245"/>
      <c r="H52" s="245"/>
      <c r="I52" s="1"/>
      <c r="J52" s="34"/>
      <c r="K52" s="34"/>
      <c r="L52" s="1"/>
      <c r="M52" s="1"/>
      <c r="N52" s="1"/>
    </row>
    <row r="53" spans="1:14" ht="18" customHeight="1">
      <c r="A53" s="186"/>
      <c r="B53" s="186"/>
      <c r="C53" s="186"/>
      <c r="D53" s="186"/>
      <c r="E53" s="186"/>
      <c r="F53" s="186"/>
      <c r="G53" s="186"/>
      <c r="H53" s="186"/>
      <c r="I53" s="1"/>
      <c r="J53" s="1"/>
      <c r="K53" s="1"/>
      <c r="L53" s="1"/>
      <c r="M53" s="1"/>
      <c r="N53" s="1"/>
    </row>
    <row r="54" spans="1:14" ht="16.5" customHeight="1">
      <c r="A54" s="186"/>
      <c r="B54" s="186"/>
      <c r="C54" s="186"/>
      <c r="D54" s="186"/>
      <c r="E54" s="186"/>
      <c r="F54" s="186"/>
      <c r="G54" s="186"/>
      <c r="H54" s="186"/>
      <c r="I54" s="1"/>
      <c r="J54" s="1"/>
      <c r="K54" s="1"/>
      <c r="L54" s="1"/>
      <c r="M54" s="1"/>
      <c r="N54" s="1"/>
    </row>
    <row r="55" spans="1:14" ht="29.25" customHeight="1">
      <c r="A55" s="246" t="s">
        <v>381</v>
      </c>
      <c r="B55" s="246"/>
      <c r="C55" s="246"/>
      <c r="D55" s="246"/>
      <c r="E55" s="246"/>
      <c r="F55" s="1"/>
      <c r="G55" s="1"/>
      <c r="H55" s="1"/>
    </row>
    <row r="56" spans="1:14" ht="23.25" customHeight="1">
      <c r="A56" s="243" t="s">
        <v>382</v>
      </c>
      <c r="B56" s="243"/>
      <c r="C56" s="243"/>
      <c r="D56" s="243"/>
      <c r="E56" s="243"/>
      <c r="F56" s="1"/>
      <c r="G56" s="1"/>
      <c r="H56" s="1"/>
      <c r="K56" s="88"/>
    </row>
    <row r="57" spans="1:14">
      <c r="A57" s="9"/>
      <c r="B57" s="9"/>
      <c r="C57" s="9"/>
      <c r="D57" s="9" t="s">
        <v>383</v>
      </c>
      <c r="E57" s="9"/>
      <c r="F57" s="9"/>
      <c r="G57" s="9"/>
      <c r="H57" s="9"/>
      <c r="K57" s="88"/>
    </row>
    <row r="58" spans="1:14">
      <c r="K58" s="88"/>
    </row>
    <row r="59" spans="1:14">
      <c r="K59" s="88"/>
    </row>
    <row r="62" spans="1:14">
      <c r="C62" t="s">
        <v>384</v>
      </c>
    </row>
    <row r="160" spans="3:3">
      <c r="C160">
        <f>10000</f>
        <v>10000</v>
      </c>
    </row>
  </sheetData>
  <mergeCells count="31">
    <mergeCell ref="A24:F24"/>
    <mergeCell ref="A2:H2"/>
    <mergeCell ref="A4:H4"/>
    <mergeCell ref="A7:F7"/>
    <mergeCell ref="A8:F8"/>
    <mergeCell ref="A9:E9"/>
    <mergeCell ref="A11:F11"/>
    <mergeCell ref="A12:H12"/>
    <mergeCell ref="A20:G20"/>
    <mergeCell ref="A21:F21"/>
    <mergeCell ref="A22:F22"/>
    <mergeCell ref="A23:F23"/>
    <mergeCell ref="B3:H3"/>
    <mergeCell ref="B42:D42"/>
    <mergeCell ref="A25:F25"/>
    <mergeCell ref="A26:F26"/>
    <mergeCell ref="A27:F27"/>
    <mergeCell ref="A28:F28"/>
    <mergeCell ref="A29:F29"/>
    <mergeCell ref="A30:G30"/>
    <mergeCell ref="A37:G37"/>
    <mergeCell ref="E38:F38"/>
    <mergeCell ref="G38:H38"/>
    <mergeCell ref="B40:D40"/>
    <mergeCell ref="A56:E56"/>
    <mergeCell ref="B43:D43"/>
    <mergeCell ref="B44:D44"/>
    <mergeCell ref="B45:D45"/>
    <mergeCell ref="B50:D50"/>
    <mergeCell ref="A52:H52"/>
    <mergeCell ref="A55:E55"/>
  </mergeCells>
  <pageMargins left="0.45" right="0" top="0" bottom="0" header="0" footer="0"/>
  <pageSetup paperSize="9" scale="7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94"/>
  <sheetViews>
    <sheetView view="pageBreakPreview" zoomScaleNormal="100" zoomScaleSheetLayoutView="100" workbookViewId="0">
      <pane xSplit="4" ySplit="9" topLeftCell="P10" activePane="bottomRight" state="frozen"/>
      <selection pane="bottomRight" activeCell="U187" sqref="U132:U18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3" ht="5.25" customHeight="1"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spans="1:33" ht="20.100000000000001" customHeight="1">
      <c r="B3" s="240" t="s">
        <v>385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3" ht="20.100000000000001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39"/>
      <c r="V5" s="239"/>
      <c r="W5" s="239"/>
      <c r="X5" s="239"/>
      <c r="Y5" s="239"/>
      <c r="Z5" s="239"/>
      <c r="AA5" s="56"/>
      <c r="AB5" s="56"/>
    </row>
    <row r="6" spans="1:33" ht="35.450000000000003" customHeight="1">
      <c r="A6" s="33"/>
      <c r="B6" s="285"/>
      <c r="C6" s="285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386</v>
      </c>
      <c r="T6" s="2" t="s">
        <v>387</v>
      </c>
      <c r="U6" s="2" t="s">
        <v>388</v>
      </c>
      <c r="V6" s="2"/>
      <c r="W6" s="2"/>
      <c r="X6" s="2"/>
      <c r="Y6" s="7"/>
      <c r="Z6" s="7"/>
      <c r="AA6" s="158"/>
      <c r="AB6" s="158"/>
    </row>
    <row r="7" spans="1:33" ht="48" customHeight="1">
      <c r="A7" s="33"/>
      <c r="B7" s="286"/>
      <c r="C7" s="286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18</v>
      </c>
      <c r="U7" s="59"/>
      <c r="V7" s="59"/>
      <c r="W7" s="2" t="s">
        <v>389</v>
      </c>
      <c r="X7" s="59" t="s">
        <v>390</v>
      </c>
      <c r="Y7" s="2" t="s">
        <v>388</v>
      </c>
      <c r="Z7" s="2"/>
      <c r="AA7" s="2"/>
      <c r="AB7" s="2"/>
    </row>
    <row r="8" spans="1:33" ht="20.100000000000001" customHeight="1">
      <c r="A8" s="21" t="s">
        <v>35</v>
      </c>
      <c r="B8" s="287" t="s">
        <v>36</v>
      </c>
      <c r="C8" s="287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 t="s">
        <v>37</v>
      </c>
      <c r="U8" s="60" t="s">
        <v>37</v>
      </c>
      <c r="V8" s="60"/>
      <c r="W8" s="60" t="s">
        <v>37</v>
      </c>
      <c r="X8" s="60" t="s">
        <v>37</v>
      </c>
      <c r="Y8" s="60" t="s">
        <v>37</v>
      </c>
      <c r="Z8" s="60"/>
      <c r="AA8" s="60"/>
      <c r="AB8" s="60"/>
    </row>
    <row r="9" spans="1:33" ht="20.100000000000001" customHeight="1">
      <c r="A9" s="3">
        <v>1</v>
      </c>
      <c r="B9" s="257" t="s">
        <v>38</v>
      </c>
      <c r="C9" s="258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27">
        <f>250000</f>
        <v>250000</v>
      </c>
      <c r="O9" s="27"/>
      <c r="P9" s="36">
        <v>16048.88</v>
      </c>
      <c r="Q9" s="36">
        <v>25000</v>
      </c>
      <c r="R9" s="36">
        <v>25235</v>
      </c>
      <c r="S9" s="36">
        <f>R9+Q9+P9+O9+N9+M9+L9+K9+J9+I9+H9+G9+F9</f>
        <v>1158849.8399999999</v>
      </c>
      <c r="T9" s="36">
        <v>1158849.8399999999</v>
      </c>
      <c r="U9" s="36">
        <f>S9-T9</f>
        <v>0</v>
      </c>
      <c r="V9" s="36"/>
      <c r="W9" s="36">
        <v>113176.97</v>
      </c>
      <c r="X9" s="36">
        <v>113176.97</v>
      </c>
      <c r="Y9" s="36">
        <f>X9-W9</f>
        <v>0</v>
      </c>
      <c r="Z9" s="36"/>
      <c r="AA9" s="36"/>
      <c r="AB9" s="36"/>
      <c r="AC9" s="34"/>
    </row>
    <row r="10" spans="1:33" ht="20.100000000000001" customHeight="1">
      <c r="A10" s="3">
        <v>2</v>
      </c>
      <c r="B10" s="257" t="s">
        <v>41</v>
      </c>
      <c r="C10" s="258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27">
        <f>200000</f>
        <v>200000</v>
      </c>
      <c r="O10" s="27"/>
      <c r="P10" s="62">
        <f>F10*10%</f>
        <v>8174.0020000000004</v>
      </c>
      <c r="Q10" s="62">
        <v>20000</v>
      </c>
      <c r="R10" s="62">
        <v>0</v>
      </c>
      <c r="S10" s="36">
        <f t="shared" ref="S10:S38" si="0">R10+Q10+P10+O10+N10+M10+L10+K10+J10+I10+H10+G10+F10</f>
        <v>1050209.0634999999</v>
      </c>
      <c r="T10" s="36">
        <v>1050209.0634999999</v>
      </c>
      <c r="U10" s="36">
        <f t="shared" ref="U10:U73" si="1">S10-T10</f>
        <v>0</v>
      </c>
      <c r="V10" s="36"/>
      <c r="W10" s="62">
        <v>52776.63</v>
      </c>
      <c r="X10" s="36">
        <v>52776.63</v>
      </c>
      <c r="Y10" s="36">
        <f t="shared" ref="Y10:Y73" si="2">X10-W10</f>
        <v>0</v>
      </c>
      <c r="Z10" s="36"/>
      <c r="AA10" s="36"/>
      <c r="AB10" s="36"/>
      <c r="AC10" s="34"/>
    </row>
    <row r="11" spans="1:33" ht="20.100000000000001" customHeight="1">
      <c r="A11" s="3">
        <v>3</v>
      </c>
      <c r="B11" s="271" t="s">
        <v>391</v>
      </c>
      <c r="C11" s="272"/>
      <c r="D11" s="43" t="s">
        <v>392</v>
      </c>
      <c r="E11" s="75" t="s">
        <v>227</v>
      </c>
      <c r="F11" s="65">
        <f>42653.17</f>
        <v>42653.17</v>
      </c>
      <c r="G11" s="160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27"/>
      <c r="O11" s="27">
        <f>90000</f>
        <v>90000</v>
      </c>
      <c r="P11" s="62">
        <f>F11*10%</f>
        <v>4265.317</v>
      </c>
      <c r="Q11" s="62">
        <v>20000</v>
      </c>
      <c r="R11" s="76"/>
      <c r="S11" s="36">
        <f t="shared" si="0"/>
        <v>541465.02474999998</v>
      </c>
      <c r="T11" s="65">
        <v>541465.02474999998</v>
      </c>
      <c r="U11" s="36">
        <f t="shared" si="1"/>
        <v>0</v>
      </c>
      <c r="V11" s="65"/>
      <c r="W11" s="36">
        <v>21618.09</v>
      </c>
      <c r="X11" s="65">
        <v>21618.09</v>
      </c>
      <c r="Y11" s="36">
        <f t="shared" si="2"/>
        <v>0</v>
      </c>
      <c r="Z11" s="36"/>
      <c r="AA11" s="36"/>
      <c r="AB11" s="36"/>
      <c r="AC11" s="34"/>
    </row>
    <row r="12" spans="1:33" ht="20.100000000000001" customHeight="1">
      <c r="A12" s="3">
        <v>4</v>
      </c>
      <c r="B12" s="257" t="s">
        <v>44</v>
      </c>
      <c r="C12" s="258"/>
      <c r="D12" s="33" t="s">
        <v>45</v>
      </c>
      <c r="E12" s="3" t="s">
        <v>46</v>
      </c>
      <c r="F12" s="62">
        <f>41157.69</f>
        <v>41157.69</v>
      </c>
      <c r="G12" s="62"/>
      <c r="H12" s="62">
        <f>F12*300%</f>
        <v>123473.07</v>
      </c>
      <c r="I12" s="62">
        <f>F12*7.5%</f>
        <v>3086.8267500000002</v>
      </c>
      <c r="J12" s="62">
        <v>40122.19</v>
      </c>
      <c r="K12" s="62">
        <f>F12*50%</f>
        <v>20578.845000000001</v>
      </c>
      <c r="L12" s="62">
        <f>F12*350%</f>
        <v>144051.91500000001</v>
      </c>
      <c r="M12" s="62">
        <f>F12*100%</f>
        <v>41157.69</v>
      </c>
      <c r="N12" s="27">
        <f>180000</f>
        <v>180000</v>
      </c>
      <c r="O12" s="27"/>
      <c r="P12" s="62">
        <f>F12*10%</f>
        <v>4115.7690000000002</v>
      </c>
      <c r="Q12" s="62">
        <v>20000</v>
      </c>
      <c r="R12" s="62">
        <v>150000</v>
      </c>
      <c r="S12" s="36">
        <f t="shared" si="0"/>
        <v>767743.99575</v>
      </c>
      <c r="T12" s="36">
        <v>754023.33374999999</v>
      </c>
      <c r="U12" s="36">
        <f t="shared" si="1"/>
        <v>13720.662000000011</v>
      </c>
      <c r="V12" s="36"/>
      <c r="W12" s="62">
        <f>21618.09</f>
        <v>21618.09</v>
      </c>
      <c r="X12" s="36">
        <v>21618.09</v>
      </c>
      <c r="Y12" s="36">
        <f t="shared" si="2"/>
        <v>0</v>
      </c>
      <c r="Z12" s="36"/>
      <c r="AA12" s="36"/>
      <c r="AB12" s="36"/>
      <c r="AC12" s="34"/>
    </row>
    <row r="13" spans="1:33" ht="20.100000000000001" customHeight="1">
      <c r="A13" s="3">
        <v>5</v>
      </c>
      <c r="B13" s="271" t="s">
        <v>47</v>
      </c>
      <c r="C13" s="272"/>
      <c r="D13" s="43" t="s">
        <v>48</v>
      </c>
      <c r="E13" s="75" t="s">
        <v>46</v>
      </c>
      <c r="F13" s="65">
        <f>41157.69</f>
        <v>41157.69</v>
      </c>
      <c r="G13" s="64"/>
      <c r="H13" s="62">
        <f>F13*300%</f>
        <v>123473.07</v>
      </c>
      <c r="I13" s="62">
        <f>F13*7.5%</f>
        <v>3086.8267500000002</v>
      </c>
      <c r="J13" s="62">
        <v>40122.19</v>
      </c>
      <c r="K13" s="62">
        <f>F13*50%</f>
        <v>20578.845000000001</v>
      </c>
      <c r="L13" s="62">
        <f>F13*350%</f>
        <v>144051.91500000001</v>
      </c>
      <c r="M13" s="62">
        <f>F13*100%</f>
        <v>41157.69</v>
      </c>
      <c r="N13" s="27">
        <f>180000</f>
        <v>180000</v>
      </c>
      <c r="O13" s="27"/>
      <c r="P13" s="62">
        <f>F13*10%</f>
        <v>4115.7690000000002</v>
      </c>
      <c r="Q13" s="62">
        <v>20000</v>
      </c>
      <c r="R13" s="65">
        <f>100000</f>
        <v>100000</v>
      </c>
      <c r="S13" s="36">
        <f t="shared" si="0"/>
        <v>717743.99575</v>
      </c>
      <c r="T13" s="65">
        <v>704023.33374999999</v>
      </c>
      <c r="U13" s="36">
        <f t="shared" si="1"/>
        <v>13720.662000000011</v>
      </c>
      <c r="V13" s="65"/>
      <c r="W13" s="36">
        <f>21618.09</f>
        <v>21618.09</v>
      </c>
      <c r="X13" s="65">
        <v>21618.09</v>
      </c>
      <c r="Y13" s="36">
        <f t="shared" si="2"/>
        <v>0</v>
      </c>
      <c r="Z13" s="36"/>
      <c r="AA13" s="36"/>
      <c r="AB13" s="36"/>
      <c r="AC13" s="34"/>
    </row>
    <row r="14" spans="1:33" ht="20.100000000000001" customHeight="1">
      <c r="A14" s="3">
        <v>6</v>
      </c>
      <c r="B14" s="257" t="s">
        <v>49</v>
      </c>
      <c r="C14" s="258"/>
      <c r="D14" s="61" t="s">
        <v>50</v>
      </c>
      <c r="E14" s="3" t="s">
        <v>51</v>
      </c>
      <c r="F14" s="65">
        <f>41157.69</f>
        <v>41157.69</v>
      </c>
      <c r="G14" s="64"/>
      <c r="H14" s="62">
        <f>F14*300%</f>
        <v>123473.07</v>
      </c>
      <c r="I14" s="62">
        <f>F14*7.5%</f>
        <v>3086.8267500000002</v>
      </c>
      <c r="J14" s="62">
        <v>40122.19</v>
      </c>
      <c r="K14" s="62">
        <f>F14*50%</f>
        <v>20578.845000000001</v>
      </c>
      <c r="L14" s="62">
        <f>F14*350%</f>
        <v>144051.91500000001</v>
      </c>
      <c r="M14" s="62">
        <f>F14*100%</f>
        <v>41157.69</v>
      </c>
      <c r="N14" s="27"/>
      <c r="O14" s="27">
        <f>90000</f>
        <v>90000</v>
      </c>
      <c r="P14" s="62">
        <f>F14*10%</f>
        <v>4115.7690000000002</v>
      </c>
      <c r="Q14" s="62">
        <v>20000</v>
      </c>
      <c r="R14" s="65">
        <v>0</v>
      </c>
      <c r="S14" s="36">
        <f t="shared" si="0"/>
        <v>527743.99575</v>
      </c>
      <c r="T14" s="65">
        <v>514023.33374999999</v>
      </c>
      <c r="U14" s="36">
        <f t="shared" si="1"/>
        <v>13720.662000000011</v>
      </c>
      <c r="V14" s="65"/>
      <c r="W14" s="36">
        <f>21618.09</f>
        <v>21618.09</v>
      </c>
      <c r="X14" s="65">
        <v>21618.09</v>
      </c>
      <c r="Y14" s="36">
        <f t="shared" si="2"/>
        <v>0</v>
      </c>
      <c r="Z14" s="36"/>
      <c r="AA14" s="36"/>
      <c r="AB14" s="36"/>
      <c r="AC14" s="34"/>
    </row>
    <row r="15" spans="1:33" ht="20.100000000000001" customHeight="1">
      <c r="A15" s="3">
        <v>7</v>
      </c>
      <c r="B15" s="271" t="s">
        <v>52</v>
      </c>
      <c r="C15" s="272"/>
      <c r="D15" s="33" t="s">
        <v>53</v>
      </c>
      <c r="E15" s="38" t="s">
        <v>54</v>
      </c>
      <c r="F15" s="62">
        <v>33507.5</v>
      </c>
      <c r="G15" s="62"/>
      <c r="H15" s="62">
        <f t="shared" ref="H15:H31" si="3">F15*300%</f>
        <v>100522.5</v>
      </c>
      <c r="I15" s="62">
        <f t="shared" ref="I15:I31" si="4">F15*7.5%</f>
        <v>2513.0625</v>
      </c>
      <c r="J15" s="62">
        <v>40122.19</v>
      </c>
      <c r="K15" s="62">
        <f t="shared" ref="K15:K31" si="5">F15*50%</f>
        <v>16753.75</v>
      </c>
      <c r="L15" s="62">
        <f t="shared" ref="L15:L31" si="6">F15*350%</f>
        <v>117276.25</v>
      </c>
      <c r="M15" s="62">
        <f t="shared" ref="M15:M31" si="7">F15*100%</f>
        <v>33507.5</v>
      </c>
      <c r="N15" s="27"/>
      <c r="O15" s="27">
        <f>80000</f>
        <v>80000</v>
      </c>
      <c r="P15" s="62">
        <f t="shared" ref="P15:P31" si="8">F15*10%</f>
        <v>3350.75</v>
      </c>
      <c r="Q15" s="62">
        <v>20000</v>
      </c>
      <c r="R15" s="62">
        <f>100000</f>
        <v>100000</v>
      </c>
      <c r="S15" s="36">
        <f t="shared" si="0"/>
        <v>547553.50249999994</v>
      </c>
      <c r="T15" s="36">
        <v>547553.50249999994</v>
      </c>
      <c r="U15" s="36">
        <f t="shared" si="1"/>
        <v>0</v>
      </c>
      <c r="V15" s="36"/>
      <c r="W15" s="36">
        <v>15548.33</v>
      </c>
      <c r="X15" s="36">
        <v>15548.33</v>
      </c>
      <c r="Y15" s="36">
        <f t="shared" si="2"/>
        <v>0</v>
      </c>
      <c r="Z15" s="36"/>
      <c r="AA15" s="36"/>
      <c r="AB15" s="36"/>
      <c r="AC15" s="34"/>
    </row>
    <row r="16" spans="1:33" ht="20.100000000000001" customHeight="1">
      <c r="A16" s="3">
        <v>8</v>
      </c>
      <c r="B16" s="269" t="s">
        <v>55</v>
      </c>
      <c r="C16" s="270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6">
        <f t="shared" si="0"/>
        <v>447553.5025</v>
      </c>
      <c r="T16" s="36">
        <v>447553.5025</v>
      </c>
      <c r="U16" s="36">
        <f t="shared" si="1"/>
        <v>0</v>
      </c>
      <c r="V16" s="26"/>
      <c r="W16" s="26">
        <v>15548.33</v>
      </c>
      <c r="X16" s="26">
        <v>15548.33</v>
      </c>
      <c r="Y16" s="36">
        <f t="shared" si="2"/>
        <v>0</v>
      </c>
      <c r="Z16" s="36"/>
      <c r="AA16" s="26"/>
      <c r="AB16" s="26"/>
      <c r="AC16" s="34"/>
    </row>
    <row r="17" spans="1:29" ht="20.100000000000001" customHeight="1">
      <c r="A17" s="3">
        <v>9</v>
      </c>
      <c r="B17" s="271" t="s">
        <v>57</v>
      </c>
      <c r="C17" s="272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27"/>
      <c r="O17" s="27">
        <f>80000</f>
        <v>80000</v>
      </c>
      <c r="P17" s="62">
        <f t="shared" si="8"/>
        <v>3350.75</v>
      </c>
      <c r="Q17" s="62">
        <v>20000</v>
      </c>
      <c r="R17" s="63">
        <v>0</v>
      </c>
      <c r="S17" s="36">
        <f t="shared" si="0"/>
        <v>447553.5025</v>
      </c>
      <c r="T17" s="36">
        <v>447553.5025</v>
      </c>
      <c r="U17" s="36">
        <f t="shared" si="1"/>
        <v>0</v>
      </c>
      <c r="V17" s="36"/>
      <c r="W17" s="36">
        <v>15548.33</v>
      </c>
      <c r="X17" s="36">
        <v>15548.33</v>
      </c>
      <c r="Y17" s="36">
        <f t="shared" si="2"/>
        <v>0</v>
      </c>
      <c r="Z17" s="36"/>
      <c r="AA17" s="36"/>
      <c r="AB17" s="36"/>
      <c r="AC17" s="34"/>
    </row>
    <row r="18" spans="1:29" ht="20.100000000000001" customHeight="1">
      <c r="A18" s="3">
        <v>10</v>
      </c>
      <c r="B18" s="264" t="s">
        <v>59</v>
      </c>
      <c r="C18" s="264"/>
      <c r="D18" s="61" t="s">
        <v>60</v>
      </c>
      <c r="E18" s="66" t="s">
        <v>54</v>
      </c>
      <c r="F18" s="62">
        <f>33507.5</f>
        <v>33507.5</v>
      </c>
      <c r="G18" s="62"/>
      <c r="H18" s="62">
        <f>F18*300%</f>
        <v>100522.5</v>
      </c>
      <c r="I18" s="62">
        <f>F18*7.5%</f>
        <v>2513.0625</v>
      </c>
      <c r="J18" s="62">
        <f>40122.19</f>
        <v>40122.19</v>
      </c>
      <c r="K18" s="62">
        <f>F18*50%</f>
        <v>16753.75</v>
      </c>
      <c r="L18" s="36">
        <f>F18*350%</f>
        <v>117276.25</v>
      </c>
      <c r="M18" s="62">
        <f>F18*100%</f>
        <v>33507.5</v>
      </c>
      <c r="N18" s="27"/>
      <c r="O18" s="27">
        <f t="shared" ref="O18:O123" si="9">80000</f>
        <v>80000</v>
      </c>
      <c r="P18" s="62">
        <f>F18*10%</f>
        <v>3350.75</v>
      </c>
      <c r="Q18" s="62">
        <v>20000</v>
      </c>
      <c r="R18" s="62">
        <v>0</v>
      </c>
      <c r="S18" s="36">
        <f>SUM(F18:R18)</f>
        <v>447553.5025</v>
      </c>
      <c r="T18" s="36">
        <v>436137.05000000005</v>
      </c>
      <c r="U18" s="36">
        <f t="shared" si="1"/>
        <v>11416.452499999956</v>
      </c>
      <c r="V18" s="36"/>
      <c r="W18" s="62">
        <f>15548.33</f>
        <v>15548.33</v>
      </c>
      <c r="X18" s="36">
        <v>15548.33</v>
      </c>
      <c r="Y18" s="36">
        <f t="shared" si="2"/>
        <v>0</v>
      </c>
      <c r="Z18" s="36"/>
      <c r="AA18" s="36"/>
      <c r="AB18" s="36"/>
      <c r="AC18" s="34"/>
    </row>
    <row r="19" spans="1:29" ht="20.100000000000001" customHeight="1">
      <c r="A19" s="3">
        <v>11</v>
      </c>
      <c r="B19" s="97" t="s">
        <v>61</v>
      </c>
      <c r="C19" s="98"/>
      <c r="D19" s="61" t="s">
        <v>62</v>
      </c>
      <c r="E19" s="11" t="s">
        <v>63</v>
      </c>
      <c r="F19" s="36">
        <v>31018.84</v>
      </c>
      <c r="G19" s="62"/>
      <c r="H19" s="62">
        <f t="shared" ref="H19" si="10">F19*300%</f>
        <v>93056.52</v>
      </c>
      <c r="I19" s="62">
        <f t="shared" ref="I19" si="11">F19*7.5%</f>
        <v>2326.413</v>
      </c>
      <c r="J19" s="62">
        <v>40122.19</v>
      </c>
      <c r="K19" s="62">
        <f t="shared" ref="K19" si="12">F19*50%</f>
        <v>15509.42</v>
      </c>
      <c r="L19" s="62">
        <f t="shared" ref="L19" si="13">F19*350%</f>
        <v>108565.94</v>
      </c>
      <c r="M19" s="62">
        <f t="shared" ref="M19" si="14">F19*100%</f>
        <v>31018.84</v>
      </c>
      <c r="N19" s="27"/>
      <c r="O19" s="27">
        <f>80000</f>
        <v>80000</v>
      </c>
      <c r="P19" s="62">
        <f t="shared" ref="P19" si="15">F19*10%</f>
        <v>3101.884</v>
      </c>
      <c r="Q19" s="62">
        <v>20000</v>
      </c>
      <c r="R19" s="63">
        <v>0</v>
      </c>
      <c r="S19" s="36">
        <f t="shared" si="0"/>
        <v>424720.04700000002</v>
      </c>
      <c r="T19" s="36">
        <v>424720.04700000002</v>
      </c>
      <c r="U19" s="36">
        <f t="shared" si="1"/>
        <v>0</v>
      </c>
      <c r="V19" s="36"/>
      <c r="W19" s="36">
        <v>15548.33</v>
      </c>
      <c r="X19" s="36">
        <v>15548.33</v>
      </c>
      <c r="Y19" s="36">
        <f t="shared" si="2"/>
        <v>0</v>
      </c>
      <c r="Z19" s="36"/>
      <c r="AA19" s="36"/>
      <c r="AB19" s="36"/>
      <c r="AC19" s="34"/>
    </row>
    <row r="20" spans="1:29" ht="20.100000000000001" customHeight="1">
      <c r="A20" s="3">
        <v>12</v>
      </c>
      <c r="B20" s="271" t="s">
        <v>64</v>
      </c>
      <c r="C20" s="272"/>
      <c r="D20" s="43" t="s">
        <v>65</v>
      </c>
      <c r="E20" s="44" t="s">
        <v>66</v>
      </c>
      <c r="F20" s="64">
        <f>26732.65</f>
        <v>26732.65</v>
      </c>
      <c r="G20" s="64"/>
      <c r="H20" s="64">
        <f t="shared" si="3"/>
        <v>80197.950000000012</v>
      </c>
      <c r="I20" s="64">
        <f t="shared" si="4"/>
        <v>2004.94875</v>
      </c>
      <c r="J20" s="64"/>
      <c r="K20" s="64">
        <f t="shared" si="5"/>
        <v>13366.325000000001</v>
      </c>
      <c r="L20" s="64">
        <f t="shared" si="6"/>
        <v>93564.275000000009</v>
      </c>
      <c r="M20" s="64">
        <f t="shared" si="7"/>
        <v>26732.65</v>
      </c>
      <c r="N20" s="27"/>
      <c r="O20" s="27">
        <f t="shared" ref="O20:O24" si="16">70000</f>
        <v>70000</v>
      </c>
      <c r="P20" s="64">
        <f t="shared" si="8"/>
        <v>2673.2650000000003</v>
      </c>
      <c r="Q20" s="64">
        <v>20000</v>
      </c>
      <c r="R20" s="64">
        <v>50000</v>
      </c>
      <c r="S20" s="36">
        <f t="shared" si="0"/>
        <v>385272.06375000003</v>
      </c>
      <c r="T20" s="65">
        <v>377211.36749999993</v>
      </c>
      <c r="U20" s="36">
        <f t="shared" si="1"/>
        <v>8060.6962500000955</v>
      </c>
      <c r="V20" s="65"/>
      <c r="W20" s="65">
        <v>7709.76</v>
      </c>
      <c r="X20" s="65">
        <v>7709.76</v>
      </c>
      <c r="Y20" s="36">
        <f t="shared" si="2"/>
        <v>0</v>
      </c>
      <c r="Z20" s="36"/>
      <c r="AA20" s="36"/>
      <c r="AB20" s="36"/>
      <c r="AC20" s="34"/>
    </row>
    <row r="21" spans="1:29" ht="19.5" customHeight="1">
      <c r="A21" s="3">
        <v>13</v>
      </c>
      <c r="B21" s="271" t="s">
        <v>67</v>
      </c>
      <c r="C21" s="272"/>
      <c r="D21" s="43" t="s">
        <v>68</v>
      </c>
      <c r="E21" s="3" t="s">
        <v>66</v>
      </c>
      <c r="F21" s="64">
        <f>26732.65</f>
        <v>26732.65</v>
      </c>
      <c r="G21" s="62"/>
      <c r="H21" s="62">
        <f t="shared" si="3"/>
        <v>80197.950000000012</v>
      </c>
      <c r="I21" s="62">
        <f t="shared" si="4"/>
        <v>2004.94875</v>
      </c>
      <c r="J21" s="62"/>
      <c r="K21" s="62">
        <f t="shared" si="5"/>
        <v>13366.325000000001</v>
      </c>
      <c r="L21" s="36">
        <f t="shared" si="6"/>
        <v>93564.275000000009</v>
      </c>
      <c r="M21" s="62">
        <f t="shared" si="7"/>
        <v>26732.65</v>
      </c>
      <c r="N21" s="27"/>
      <c r="O21" s="27">
        <f t="shared" si="16"/>
        <v>70000</v>
      </c>
      <c r="P21" s="62">
        <f t="shared" si="8"/>
        <v>2673.2650000000003</v>
      </c>
      <c r="Q21" s="62">
        <v>20000</v>
      </c>
      <c r="R21" s="62">
        <v>0</v>
      </c>
      <c r="S21" s="36">
        <f t="shared" si="0"/>
        <v>335272.06375000009</v>
      </c>
      <c r="T21" s="36">
        <v>327211.36749999993</v>
      </c>
      <c r="U21" s="36">
        <f t="shared" si="1"/>
        <v>8060.6962500001537</v>
      </c>
      <c r="V21" s="36"/>
      <c r="W21" s="36">
        <v>7709.76</v>
      </c>
      <c r="X21" s="36">
        <v>7709.76</v>
      </c>
      <c r="Y21" s="36">
        <f t="shared" si="2"/>
        <v>0</v>
      </c>
      <c r="Z21" s="36"/>
      <c r="AA21" s="36"/>
      <c r="AB21" s="36"/>
      <c r="AC21" s="34"/>
    </row>
    <row r="22" spans="1:29" ht="19.5" customHeight="1">
      <c r="A22" s="3">
        <v>14</v>
      </c>
      <c r="B22" s="271" t="s">
        <v>69</v>
      </c>
      <c r="C22" s="272"/>
      <c r="D22" s="33" t="s">
        <v>70</v>
      </c>
      <c r="E22" s="3" t="s">
        <v>66</v>
      </c>
      <c r="F22" s="64">
        <f>26732.65</f>
        <v>26732.65</v>
      </c>
      <c r="G22" s="62"/>
      <c r="H22" s="62">
        <f>F22*300%</f>
        <v>80197.950000000012</v>
      </c>
      <c r="I22" s="62">
        <f>F22*7.5%</f>
        <v>2004.94875</v>
      </c>
      <c r="J22" s="62"/>
      <c r="K22" s="62">
        <f t="shared" si="5"/>
        <v>13366.325000000001</v>
      </c>
      <c r="L22" s="36">
        <f>F22*350%</f>
        <v>93564.275000000009</v>
      </c>
      <c r="M22" s="62">
        <f>F22*100%</f>
        <v>26732.65</v>
      </c>
      <c r="N22" s="27">
        <f>140000</f>
        <v>140000</v>
      </c>
      <c r="O22" s="27"/>
      <c r="P22" s="62">
        <f>F22*10%</f>
        <v>2673.2650000000003</v>
      </c>
      <c r="Q22" s="62">
        <v>20000</v>
      </c>
      <c r="R22" s="62">
        <f>50000+100000</f>
        <v>150000</v>
      </c>
      <c r="S22" s="36">
        <f t="shared" si="0"/>
        <v>555272.06375000009</v>
      </c>
      <c r="T22" s="36">
        <v>547211.36749999993</v>
      </c>
      <c r="U22" s="36">
        <f t="shared" si="1"/>
        <v>8060.6962500001537</v>
      </c>
      <c r="V22" s="36"/>
      <c r="W22" s="36">
        <f t="shared" ref="W22:W103" si="17">7709.76</f>
        <v>7709.76</v>
      </c>
      <c r="X22" s="36">
        <v>7709.76</v>
      </c>
      <c r="Y22" s="36">
        <f t="shared" si="2"/>
        <v>0</v>
      </c>
      <c r="Z22" s="36"/>
      <c r="AA22" s="36"/>
      <c r="AB22" s="36"/>
      <c r="AC22" s="34"/>
    </row>
    <row r="23" spans="1:29" ht="20.100000000000001" customHeight="1">
      <c r="A23" s="3">
        <v>15</v>
      </c>
      <c r="B23" s="257" t="s">
        <v>71</v>
      </c>
      <c r="C23" s="258"/>
      <c r="D23" s="43" t="s">
        <v>72</v>
      </c>
      <c r="E23" s="66" t="s">
        <v>73</v>
      </c>
      <c r="F23" s="62">
        <f>26339.3</f>
        <v>26339.3</v>
      </c>
      <c r="G23" s="62"/>
      <c r="H23" s="62">
        <f t="shared" si="3"/>
        <v>79017.899999999994</v>
      </c>
      <c r="I23" s="62">
        <f t="shared" si="4"/>
        <v>1975.4474999999998</v>
      </c>
      <c r="J23" s="36">
        <v>0</v>
      </c>
      <c r="K23" s="62">
        <f t="shared" si="5"/>
        <v>13169.65</v>
      </c>
      <c r="L23" s="36">
        <f t="shared" si="6"/>
        <v>92187.55</v>
      </c>
      <c r="M23" s="62">
        <f t="shared" si="7"/>
        <v>26339.3</v>
      </c>
      <c r="N23" s="27"/>
      <c r="O23" s="27">
        <f t="shared" si="16"/>
        <v>70000</v>
      </c>
      <c r="P23" s="62">
        <f t="shared" si="8"/>
        <v>2633.9300000000003</v>
      </c>
      <c r="Q23" s="62">
        <v>15000</v>
      </c>
      <c r="R23" s="62">
        <f>0</f>
        <v>0</v>
      </c>
      <c r="S23" s="36">
        <f t="shared" si="0"/>
        <v>326663.07749999996</v>
      </c>
      <c r="T23" s="36">
        <v>326663.07749999996</v>
      </c>
      <c r="U23" s="36">
        <f t="shared" si="1"/>
        <v>0</v>
      </c>
      <c r="V23" s="36"/>
      <c r="W23" s="62">
        <f>7709.76</f>
        <v>7709.76</v>
      </c>
      <c r="X23" s="36">
        <v>7709.76</v>
      </c>
      <c r="Y23" s="36">
        <f t="shared" si="2"/>
        <v>0</v>
      </c>
      <c r="Z23" s="36"/>
      <c r="AA23" s="36"/>
      <c r="AB23" s="36"/>
      <c r="AC23" s="34"/>
    </row>
    <row r="24" spans="1:29" ht="20.100000000000001" customHeight="1">
      <c r="A24" s="3">
        <v>16</v>
      </c>
      <c r="B24" s="271" t="s">
        <v>74</v>
      </c>
      <c r="C24" s="272"/>
      <c r="D24" s="33" t="s">
        <v>393</v>
      </c>
      <c r="E24" s="66" t="s">
        <v>76</v>
      </c>
      <c r="F24" s="62">
        <f>23074.99</f>
        <v>23074.99</v>
      </c>
      <c r="G24" s="62"/>
      <c r="H24" s="62">
        <f t="shared" si="3"/>
        <v>69224.97</v>
      </c>
      <c r="I24" s="62">
        <f t="shared" si="4"/>
        <v>1730.6242500000001</v>
      </c>
      <c r="J24" s="36">
        <f>265272</f>
        <v>265272</v>
      </c>
      <c r="K24" s="62">
        <f t="shared" si="5"/>
        <v>11537.495000000001</v>
      </c>
      <c r="L24" s="36">
        <f t="shared" si="6"/>
        <v>80762.465000000011</v>
      </c>
      <c r="M24" s="62">
        <f t="shared" si="7"/>
        <v>23074.99</v>
      </c>
      <c r="N24" s="27"/>
      <c r="O24" s="27">
        <f t="shared" si="16"/>
        <v>70000</v>
      </c>
      <c r="P24" s="62">
        <f t="shared" si="8"/>
        <v>2307.4990000000003</v>
      </c>
      <c r="Q24" s="62">
        <v>15000</v>
      </c>
      <c r="R24" s="62">
        <f>100000+100000</f>
        <v>200000</v>
      </c>
      <c r="S24" s="36">
        <f t="shared" si="0"/>
        <v>761985.03324999998</v>
      </c>
      <c r="T24" s="36">
        <v>761985.03324999998</v>
      </c>
      <c r="U24" s="36">
        <f t="shared" si="1"/>
        <v>0</v>
      </c>
      <c r="V24" s="36"/>
      <c r="W24" s="62">
        <f>7709.76</f>
        <v>7709.76</v>
      </c>
      <c r="X24" s="36">
        <v>7709.76</v>
      </c>
      <c r="Y24" s="36">
        <f t="shared" si="2"/>
        <v>0</v>
      </c>
      <c r="Z24" s="36"/>
      <c r="AA24" s="36"/>
      <c r="AB24" s="36"/>
      <c r="AC24" s="34"/>
    </row>
    <row r="25" spans="1:29" ht="20.100000000000001" customHeight="1">
      <c r="A25" s="3">
        <v>17</v>
      </c>
      <c r="B25" s="257" t="s">
        <v>77</v>
      </c>
      <c r="C25" s="258"/>
      <c r="D25" s="61" t="s">
        <v>78</v>
      </c>
      <c r="E25" s="66" t="s">
        <v>79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 t="shared" si="5"/>
        <v>11945.56</v>
      </c>
      <c r="L25" s="36">
        <f>F25*350%</f>
        <v>83618.92</v>
      </c>
      <c r="M25" s="62">
        <f>F25*100%</f>
        <v>23891.119999999999</v>
      </c>
      <c r="N25" s="27">
        <f>120000</f>
        <v>120000</v>
      </c>
      <c r="O25" s="27"/>
      <c r="P25" s="62">
        <f>F25*10%</f>
        <v>2389.1120000000001</v>
      </c>
      <c r="Q25" s="62">
        <v>15000</v>
      </c>
      <c r="R25" s="62">
        <v>0</v>
      </c>
      <c r="S25" s="36">
        <f t="shared" si="0"/>
        <v>354201.02600000001</v>
      </c>
      <c r="T25" s="36">
        <v>346713.03324999998</v>
      </c>
      <c r="U25" s="36">
        <f t="shared" si="1"/>
        <v>7487.992750000034</v>
      </c>
      <c r="V25" s="36"/>
      <c r="W25" s="62">
        <f t="shared" ref="W25:W98" si="18">7709.76</f>
        <v>7709.76</v>
      </c>
      <c r="X25" s="36">
        <v>7709.76</v>
      </c>
      <c r="Y25" s="36">
        <f t="shared" si="2"/>
        <v>0</v>
      </c>
      <c r="Z25" s="36"/>
      <c r="AA25" s="36"/>
      <c r="AB25" s="36"/>
      <c r="AC25" s="34"/>
    </row>
    <row r="26" spans="1:29" ht="20.100000000000001" customHeight="1">
      <c r="A26" s="3">
        <v>18</v>
      </c>
      <c r="B26" s="257" t="s">
        <v>80</v>
      </c>
      <c r="C26" s="258"/>
      <c r="D26" s="61" t="s">
        <v>81</v>
      </c>
      <c r="E26" s="66" t="s">
        <v>82</v>
      </c>
      <c r="F26" s="62">
        <f>18779.3</f>
        <v>18779.3</v>
      </c>
      <c r="G26" s="62"/>
      <c r="H26" s="62">
        <f t="shared" si="3"/>
        <v>56337.899999999994</v>
      </c>
      <c r="I26" s="62">
        <f t="shared" si="4"/>
        <v>1408.4475</v>
      </c>
      <c r="J26" s="36"/>
      <c r="K26" s="62">
        <f t="shared" si="5"/>
        <v>9389.65</v>
      </c>
      <c r="L26" s="36">
        <f t="shared" si="6"/>
        <v>65727.55</v>
      </c>
      <c r="M26" s="62">
        <f t="shared" si="7"/>
        <v>18779.3</v>
      </c>
      <c r="N26" s="27"/>
      <c r="O26" s="27">
        <f>60000</f>
        <v>60000</v>
      </c>
      <c r="P26" s="62">
        <f t="shared" si="8"/>
        <v>1877.93</v>
      </c>
      <c r="Q26" s="62">
        <v>10000</v>
      </c>
      <c r="R26" s="62"/>
      <c r="S26" s="36">
        <f t="shared" si="0"/>
        <v>242300.07749999998</v>
      </c>
      <c r="T26" s="36">
        <v>237734.04700000002</v>
      </c>
      <c r="U26" s="36">
        <f t="shared" si="1"/>
        <v>4566.0304999999644</v>
      </c>
      <c r="V26" s="36"/>
      <c r="W26" s="62">
        <v>3369.51</v>
      </c>
      <c r="X26" s="36">
        <v>3369.51</v>
      </c>
      <c r="Y26" s="36">
        <f t="shared" si="2"/>
        <v>0</v>
      </c>
      <c r="Z26" s="36"/>
      <c r="AA26" s="36"/>
      <c r="AB26" s="36"/>
      <c r="AC26" s="34"/>
    </row>
    <row r="27" spans="1:29" ht="18.75" customHeight="1">
      <c r="A27" s="3">
        <v>19</v>
      </c>
      <c r="B27" s="257" t="s">
        <v>83</v>
      </c>
      <c r="C27" s="258"/>
      <c r="D27" s="61" t="s">
        <v>84</v>
      </c>
      <c r="E27" s="66" t="s">
        <v>85</v>
      </c>
      <c r="F27" s="62">
        <f>21520.88</f>
        <v>21520.880000000001</v>
      </c>
      <c r="G27" s="62"/>
      <c r="H27" s="62">
        <f t="shared" si="3"/>
        <v>64562.64</v>
      </c>
      <c r="I27" s="62">
        <f t="shared" si="4"/>
        <v>1614.066</v>
      </c>
      <c r="J27" s="36"/>
      <c r="K27" s="62">
        <f t="shared" si="5"/>
        <v>10760.44</v>
      </c>
      <c r="L27" s="36">
        <f t="shared" si="6"/>
        <v>75323.08</v>
      </c>
      <c r="M27" s="62">
        <f t="shared" si="7"/>
        <v>21520.880000000001</v>
      </c>
      <c r="N27" s="27"/>
      <c r="O27" s="27">
        <f>60000</f>
        <v>60000</v>
      </c>
      <c r="P27" s="62">
        <f t="shared" si="8"/>
        <v>2152.0880000000002</v>
      </c>
      <c r="Q27" s="62">
        <v>15000</v>
      </c>
      <c r="R27" s="62"/>
      <c r="S27" s="36">
        <f t="shared" si="0"/>
        <v>272454.07400000002</v>
      </c>
      <c r="T27" s="36">
        <v>265372.07499999995</v>
      </c>
      <c r="U27" s="36">
        <f t="shared" si="1"/>
        <v>7081.9990000000689</v>
      </c>
      <c r="V27" s="36"/>
      <c r="W27" s="62">
        <v>3369.51</v>
      </c>
      <c r="X27" s="36">
        <v>3369.51</v>
      </c>
      <c r="Y27" s="36">
        <f t="shared" si="2"/>
        <v>0</v>
      </c>
      <c r="Z27" s="36"/>
      <c r="AA27" s="36"/>
      <c r="AB27" s="36"/>
      <c r="AC27" s="34"/>
    </row>
    <row r="28" spans="1:29" ht="18.75" customHeight="1">
      <c r="A28" s="3">
        <v>20</v>
      </c>
      <c r="B28" s="97" t="s">
        <v>86</v>
      </c>
      <c r="C28" s="98"/>
      <c r="D28" s="33" t="s">
        <v>87</v>
      </c>
      <c r="E28" s="66" t="s">
        <v>103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6">
        <f t="shared" si="0"/>
        <v>377734.04700000002</v>
      </c>
      <c r="T28" s="36">
        <v>373168.2</v>
      </c>
      <c r="U28" s="36">
        <f t="shared" si="1"/>
        <v>4565.8470000000088</v>
      </c>
      <c r="V28" s="26"/>
      <c r="W28" s="26">
        <v>3369.51</v>
      </c>
      <c r="X28" s="26">
        <v>3369.51</v>
      </c>
      <c r="Y28" s="36">
        <f t="shared" si="2"/>
        <v>0</v>
      </c>
      <c r="Z28" s="36"/>
      <c r="AA28" s="26"/>
      <c r="AB28" s="26"/>
      <c r="AC28" s="34"/>
    </row>
    <row r="29" spans="1:29" ht="18.75" customHeight="1">
      <c r="A29" s="3">
        <v>21</v>
      </c>
      <c r="B29" s="97" t="s">
        <v>88</v>
      </c>
      <c r="C29" s="98"/>
      <c r="D29" s="61" t="s">
        <v>89</v>
      </c>
      <c r="E29" s="66" t="s">
        <v>90</v>
      </c>
      <c r="F29" s="67">
        <f>13492.21</f>
        <v>13492.21</v>
      </c>
      <c r="G29" s="62"/>
      <c r="H29" s="62">
        <f t="shared" si="3"/>
        <v>40476.629999999997</v>
      </c>
      <c r="I29" s="62">
        <f t="shared" si="4"/>
        <v>1011.9157499999999</v>
      </c>
      <c r="J29" s="62"/>
      <c r="K29" s="62">
        <f t="shared" si="5"/>
        <v>6746.1049999999996</v>
      </c>
      <c r="L29" s="36">
        <f t="shared" si="6"/>
        <v>47222.735000000001</v>
      </c>
      <c r="M29" s="62">
        <f t="shared" si="7"/>
        <v>13492.21</v>
      </c>
      <c r="N29" s="27"/>
      <c r="O29" s="27">
        <f>50000</f>
        <v>50000</v>
      </c>
      <c r="P29" s="62">
        <f t="shared" si="8"/>
        <v>1349.221</v>
      </c>
      <c r="Q29" s="62">
        <v>10000</v>
      </c>
      <c r="R29" s="62"/>
      <c r="S29" s="36">
        <f t="shared" si="0"/>
        <v>183791.02674999999</v>
      </c>
      <c r="T29" s="36">
        <v>180304.068</v>
      </c>
      <c r="U29" s="36">
        <f t="shared" si="1"/>
        <v>3486.9587499999907</v>
      </c>
      <c r="V29" s="36"/>
      <c r="W29" s="62">
        <v>1484.37</v>
      </c>
      <c r="X29" s="36">
        <v>1484.37</v>
      </c>
      <c r="Y29" s="36">
        <f t="shared" si="2"/>
        <v>0</v>
      </c>
      <c r="Z29" s="36"/>
      <c r="AA29" s="36"/>
      <c r="AB29" s="36"/>
      <c r="AC29" s="34"/>
    </row>
    <row r="30" spans="1:29" ht="18.75" customHeight="1">
      <c r="A30" s="3">
        <v>22</v>
      </c>
      <c r="B30" s="97" t="s">
        <v>91</v>
      </c>
      <c r="C30" s="98"/>
      <c r="D30" s="61" t="s">
        <v>92</v>
      </c>
      <c r="E30" s="66" t="s">
        <v>93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6">
        <f t="shared" si="0"/>
        <v>173329.04949999999</v>
      </c>
      <c r="T30" s="36">
        <v>173329.04949999999</v>
      </c>
      <c r="U30" s="36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6">
        <f t="shared" si="2"/>
        <v>0</v>
      </c>
      <c r="Z30" s="36"/>
      <c r="AA30" s="26"/>
      <c r="AB30" s="26"/>
      <c r="AC30" s="34"/>
    </row>
    <row r="31" spans="1:29" ht="18.75" customHeight="1">
      <c r="A31" s="3">
        <v>23</v>
      </c>
      <c r="B31" s="97" t="s">
        <v>94</v>
      </c>
      <c r="C31" s="98"/>
      <c r="D31" s="61" t="s">
        <v>92</v>
      </c>
      <c r="E31" s="66" t="s">
        <v>95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6">
        <f t="shared" si="0"/>
        <v>233169.11749999996</v>
      </c>
      <c r="T31" s="36">
        <v>228602.07775000005</v>
      </c>
      <c r="U31" s="36">
        <f t="shared" si="1"/>
        <v>4567.039749999909</v>
      </c>
      <c r="V31" s="26"/>
      <c r="W31" s="27">
        <f t="shared" si="19"/>
        <v>1484.37</v>
      </c>
      <c r="X31" s="26">
        <v>1484.37</v>
      </c>
      <c r="Y31" s="36">
        <f t="shared" si="2"/>
        <v>0</v>
      </c>
      <c r="Z31" s="36"/>
      <c r="AA31" s="26"/>
      <c r="AB31" s="26"/>
      <c r="AC31" s="34"/>
    </row>
    <row r="32" spans="1:29" ht="18.75" customHeight="1">
      <c r="A32" s="3">
        <v>24</v>
      </c>
      <c r="B32" s="264" t="s">
        <v>96</v>
      </c>
      <c r="C32" s="264"/>
      <c r="D32" s="33" t="s">
        <v>97</v>
      </c>
      <c r="E32" s="66" t="s">
        <v>98</v>
      </c>
      <c r="F32" s="62">
        <f>24741.26</f>
        <v>24741.26</v>
      </c>
      <c r="G32" s="62"/>
      <c r="H32" s="62">
        <f>F32*300%</f>
        <v>74223.78</v>
      </c>
      <c r="I32" s="62">
        <f>F32*7.5%</f>
        <v>1855.5944999999997</v>
      </c>
      <c r="J32" s="62">
        <v>0</v>
      </c>
      <c r="K32" s="62">
        <f>F32*50%</f>
        <v>12370.63</v>
      </c>
      <c r="L32" s="36">
        <f>F32*350%</f>
        <v>86594.409999999989</v>
      </c>
      <c r="M32" s="62">
        <f>F32*100%</f>
        <v>24741.26</v>
      </c>
      <c r="N32" s="27"/>
      <c r="O32" s="27">
        <f>70000</f>
        <v>70000</v>
      </c>
      <c r="P32" s="62">
        <f>F32*10%</f>
        <v>2474.1260000000002</v>
      </c>
      <c r="Q32" s="62">
        <v>15000</v>
      </c>
      <c r="R32" s="62">
        <v>0</v>
      </c>
      <c r="S32" s="36">
        <f t="shared" si="0"/>
        <v>312001.06050000002</v>
      </c>
      <c r="T32" s="36">
        <v>304201.02600000001</v>
      </c>
      <c r="U32" s="36">
        <f t="shared" si="1"/>
        <v>7800.0345000000088</v>
      </c>
      <c r="V32" s="36"/>
      <c r="W32" s="62">
        <f>7709.76</f>
        <v>7709.76</v>
      </c>
      <c r="X32" s="36">
        <v>7709.76</v>
      </c>
      <c r="Y32" s="36">
        <f t="shared" si="2"/>
        <v>0</v>
      </c>
      <c r="Z32" s="36"/>
      <c r="AA32" s="36"/>
      <c r="AB32" s="36"/>
      <c r="AC32" s="34"/>
    </row>
    <row r="33" spans="1:29" ht="18.75" customHeight="1">
      <c r="A33" s="3">
        <v>25</v>
      </c>
      <c r="B33" s="257" t="s">
        <v>99</v>
      </c>
      <c r="C33" s="258"/>
      <c r="D33" s="33" t="s">
        <v>100</v>
      </c>
      <c r="E33" s="66" t="s">
        <v>82</v>
      </c>
      <c r="F33" s="62">
        <f>18779.3</f>
        <v>18779.3</v>
      </c>
      <c r="G33" s="62"/>
      <c r="H33" s="62">
        <f>F33*300%</f>
        <v>56337.899999999994</v>
      </c>
      <c r="I33" s="62">
        <f>F33*7.5%</f>
        <v>1408.4475</v>
      </c>
      <c r="J33" s="62"/>
      <c r="K33" s="62">
        <f>F33*50%</f>
        <v>9389.65</v>
      </c>
      <c r="L33" s="36">
        <f>F33*350%</f>
        <v>65727.55</v>
      </c>
      <c r="M33" s="62">
        <f>F33*100%</f>
        <v>18779.3</v>
      </c>
      <c r="N33" s="27"/>
      <c r="O33" s="27">
        <f>60000</f>
        <v>60000</v>
      </c>
      <c r="P33" s="62">
        <f>F33*10%</f>
        <v>1877.93</v>
      </c>
      <c r="Q33" s="62">
        <v>10000</v>
      </c>
      <c r="R33" s="62"/>
      <c r="S33" s="36">
        <f t="shared" si="0"/>
        <v>242300.07749999998</v>
      </c>
      <c r="T33" s="36">
        <v>237734.04700000002</v>
      </c>
      <c r="U33" s="36">
        <f t="shared" si="1"/>
        <v>4566.0304999999644</v>
      </c>
      <c r="V33" s="36"/>
      <c r="W33" s="62">
        <v>3369.51</v>
      </c>
      <c r="X33" s="36">
        <v>3369.51</v>
      </c>
      <c r="Y33" s="36">
        <f t="shared" si="2"/>
        <v>0</v>
      </c>
      <c r="Z33" s="36"/>
      <c r="AA33" s="36"/>
      <c r="AB33" s="36"/>
      <c r="AC33" s="34"/>
    </row>
    <row r="34" spans="1:29" ht="18.75" customHeight="1">
      <c r="A34" s="3">
        <v>26</v>
      </c>
      <c r="B34" s="97" t="s">
        <v>101</v>
      </c>
      <c r="C34" s="98"/>
      <c r="D34" s="33" t="s">
        <v>102</v>
      </c>
      <c r="E34" s="66" t="s">
        <v>103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6">
        <f t="shared" si="0"/>
        <v>237734.04700000002</v>
      </c>
      <c r="T34" s="36">
        <v>233168.19999999998</v>
      </c>
      <c r="U34" s="36">
        <f t="shared" si="1"/>
        <v>4565.847000000038</v>
      </c>
      <c r="V34" s="36"/>
      <c r="W34" s="62">
        <v>3369.51</v>
      </c>
      <c r="X34" s="36">
        <v>3369.51</v>
      </c>
      <c r="Y34" s="36">
        <f t="shared" si="2"/>
        <v>0</v>
      </c>
      <c r="Z34" s="36"/>
      <c r="AA34" s="36"/>
      <c r="AB34" s="36"/>
      <c r="AC34" s="34"/>
    </row>
    <row r="35" spans="1:29" ht="18.75" customHeight="1">
      <c r="A35" s="3">
        <v>27</v>
      </c>
      <c r="B35" s="257" t="s">
        <v>104</v>
      </c>
      <c r="C35" s="258"/>
      <c r="D35" s="61" t="s">
        <v>105</v>
      </c>
      <c r="E35" s="66" t="s">
        <v>106</v>
      </c>
      <c r="F35" s="67">
        <f>13492.21</f>
        <v>13492.21</v>
      </c>
      <c r="G35" s="62"/>
      <c r="H35" s="62">
        <f t="shared" ref="H35:H36" si="20">F35*300%</f>
        <v>40476.629999999997</v>
      </c>
      <c r="I35" s="62">
        <f t="shared" ref="I35:I36" si="21">F35*7.5%</f>
        <v>1011.9157499999999</v>
      </c>
      <c r="J35" s="62"/>
      <c r="K35" s="62">
        <f t="shared" ref="K35:K36" si="22">F35*50%</f>
        <v>6746.1049999999996</v>
      </c>
      <c r="L35" s="36">
        <f t="shared" ref="L35:L36" si="23">F35*350%</f>
        <v>47222.735000000001</v>
      </c>
      <c r="M35" s="62">
        <f t="shared" ref="M35" si="24">F35*100%</f>
        <v>13492.21</v>
      </c>
      <c r="N35" s="27"/>
      <c r="O35" s="27">
        <f>50000</f>
        <v>50000</v>
      </c>
      <c r="P35" s="62">
        <f t="shared" ref="P35" si="25">F35*10%</f>
        <v>1349.221</v>
      </c>
      <c r="Q35" s="62">
        <v>10000</v>
      </c>
      <c r="R35" s="62"/>
      <c r="S35" s="36">
        <f t="shared" ref="S35:S36" si="26">SUM(F35:R35)</f>
        <v>183791.02674999999</v>
      </c>
      <c r="T35" s="36">
        <v>180304.068</v>
      </c>
      <c r="U35" s="36">
        <f t="shared" si="1"/>
        <v>3486.9587499999907</v>
      </c>
      <c r="V35" s="36"/>
      <c r="W35" s="62">
        <v>1484.37</v>
      </c>
      <c r="X35" s="36">
        <v>1484.37</v>
      </c>
      <c r="Y35" s="36">
        <f t="shared" si="2"/>
        <v>0</v>
      </c>
      <c r="Z35" s="36"/>
      <c r="AA35" s="36"/>
      <c r="AB35" s="36"/>
      <c r="AC35" s="34"/>
    </row>
    <row r="36" spans="1:29" ht="18.75" customHeight="1">
      <c r="A36" s="3">
        <v>28</v>
      </c>
      <c r="B36" s="97" t="s">
        <v>107</v>
      </c>
      <c r="C36" s="98"/>
      <c r="D36" s="61" t="s">
        <v>105</v>
      </c>
      <c r="E36" s="66" t="s">
        <v>108</v>
      </c>
      <c r="F36" s="67">
        <f>13112.16</f>
        <v>13112.16</v>
      </c>
      <c r="G36" s="62"/>
      <c r="H36" s="62">
        <f t="shared" si="20"/>
        <v>39336.479999999996</v>
      </c>
      <c r="I36" s="62">
        <f t="shared" si="21"/>
        <v>983.41199999999992</v>
      </c>
      <c r="J36" s="62"/>
      <c r="K36" s="62">
        <f t="shared" si="22"/>
        <v>6556.08</v>
      </c>
      <c r="L36" s="36">
        <f t="shared" si="23"/>
        <v>45892.56</v>
      </c>
      <c r="M36" s="62">
        <f>F36*100%</f>
        <v>13112.16</v>
      </c>
      <c r="N36" s="27"/>
      <c r="O36" s="27">
        <f>50000</f>
        <v>50000</v>
      </c>
      <c r="P36" s="62">
        <f>F36*10%</f>
        <v>1311.2160000000001</v>
      </c>
      <c r="Q36" s="62">
        <v>10000</v>
      </c>
      <c r="S36" s="62">
        <f t="shared" si="26"/>
        <v>180304.068</v>
      </c>
      <c r="T36" s="62">
        <v>176816.1</v>
      </c>
      <c r="U36" s="36">
        <f t="shared" si="1"/>
        <v>3487.9679999999935</v>
      </c>
      <c r="V36" s="36"/>
      <c r="W36" s="62">
        <f>(1484.37)</f>
        <v>1484.37</v>
      </c>
      <c r="X36" s="36">
        <v>1484.37</v>
      </c>
      <c r="Y36" s="36">
        <f t="shared" si="2"/>
        <v>0</v>
      </c>
      <c r="Z36" s="36"/>
      <c r="AA36" s="36"/>
      <c r="AB36" s="36"/>
      <c r="AC36" s="34"/>
    </row>
    <row r="37" spans="1:29" ht="18.75" customHeight="1">
      <c r="A37" s="3">
        <v>29</v>
      </c>
      <c r="B37" s="269" t="s">
        <v>109</v>
      </c>
      <c r="C37" s="270"/>
      <c r="D37" s="47" t="s">
        <v>110</v>
      </c>
      <c r="E37" s="66" t="s">
        <v>111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6">
        <f t="shared" si="0"/>
        <v>180304.068</v>
      </c>
      <c r="T37" s="36">
        <v>176816.09999999998</v>
      </c>
      <c r="U37" s="36">
        <f t="shared" si="1"/>
        <v>3487.9680000000226</v>
      </c>
      <c r="V37" s="36"/>
      <c r="W37" s="27">
        <f t="shared" ref="W37:W38" si="27">1484.37</f>
        <v>1484.37</v>
      </c>
      <c r="X37" s="36">
        <v>1484.37</v>
      </c>
      <c r="Y37" s="36">
        <f t="shared" si="2"/>
        <v>0</v>
      </c>
      <c r="Z37" s="36"/>
      <c r="AA37" s="36"/>
      <c r="AB37" s="36"/>
      <c r="AC37" s="34"/>
    </row>
    <row r="38" spans="1:29" ht="18.75" customHeight="1">
      <c r="A38" s="3">
        <v>30</v>
      </c>
      <c r="B38" s="135" t="s">
        <v>112</v>
      </c>
      <c r="C38" s="136"/>
      <c r="D38" s="47" t="s">
        <v>113</v>
      </c>
      <c r="E38" s="66" t="s">
        <v>93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6">
        <f t="shared" si="0"/>
        <v>173329.04949999999</v>
      </c>
      <c r="T38" s="36">
        <v>173329.04949999999</v>
      </c>
      <c r="U38" s="36">
        <f t="shared" si="1"/>
        <v>0</v>
      </c>
      <c r="V38" s="36"/>
      <c r="W38" s="27">
        <f t="shared" si="27"/>
        <v>1484.37</v>
      </c>
      <c r="X38" s="36">
        <v>1484.37</v>
      </c>
      <c r="Y38" s="36">
        <f t="shared" si="2"/>
        <v>0</v>
      </c>
      <c r="Z38" s="36"/>
      <c r="AA38" s="36"/>
      <c r="AB38" s="36"/>
      <c r="AC38" s="34"/>
    </row>
    <row r="39" spans="1:29" ht="18.75" customHeight="1">
      <c r="A39" s="3"/>
      <c r="B39" s="267" t="s">
        <v>34</v>
      </c>
      <c r="C39" s="267"/>
      <c r="D39" s="7">
        <v>30</v>
      </c>
      <c r="E39" s="66"/>
      <c r="F39" s="68">
        <f t="shared" ref="F39:S39" si="28">SUM(F9:F38)</f>
        <v>942987.95000000007</v>
      </c>
      <c r="G39" s="68">
        <f t="shared" si="28"/>
        <v>0</v>
      </c>
      <c r="H39" s="68">
        <f t="shared" si="28"/>
        <v>2668475.0999999987</v>
      </c>
      <c r="I39" s="68">
        <f t="shared" si="28"/>
        <v>106834.06999999998</v>
      </c>
      <c r="J39" s="68">
        <f t="shared" si="28"/>
        <v>826982.66</v>
      </c>
      <c r="K39" s="68">
        <f t="shared" si="28"/>
        <v>463469.54000000004</v>
      </c>
      <c r="L39" s="68">
        <f t="shared" si="28"/>
        <v>2738747.2</v>
      </c>
      <c r="M39" s="68">
        <f t="shared" si="28"/>
        <v>902865.77000000014</v>
      </c>
      <c r="N39" s="134">
        <f t="shared" si="28"/>
        <v>1170000</v>
      </c>
      <c r="O39" s="134">
        <f t="shared" si="28"/>
        <v>1530000</v>
      </c>
      <c r="P39" s="68">
        <f t="shared" si="28"/>
        <v>94298.8</v>
      </c>
      <c r="Q39" s="68">
        <f t="shared" si="28"/>
        <v>470000</v>
      </c>
      <c r="R39" s="68">
        <f t="shared" si="28"/>
        <v>875235</v>
      </c>
      <c r="S39" s="68">
        <f t="shared" si="28"/>
        <v>12789896.090000004</v>
      </c>
      <c r="T39" s="68">
        <v>12388712.888249997</v>
      </c>
      <c r="U39" s="106">
        <f>SUM(U9:U38)</f>
        <v>135911.20175000039</v>
      </c>
      <c r="V39" s="68"/>
      <c r="W39" s="68">
        <f t="shared" ref="W39" si="29">SUM(W9:W38)</f>
        <v>411374.07000000012</v>
      </c>
      <c r="X39" s="68">
        <v>411374.07000000012</v>
      </c>
      <c r="Y39" s="36">
        <f t="shared" si="2"/>
        <v>0</v>
      </c>
      <c r="Z39" s="68"/>
      <c r="AA39" s="68"/>
      <c r="AB39" s="68"/>
      <c r="AC39" s="34"/>
    </row>
    <row r="40" spans="1:29" ht="18.75" customHeight="1">
      <c r="A40" s="3"/>
      <c r="B40" s="96"/>
      <c r="C40" s="96"/>
      <c r="D40" s="33"/>
      <c r="E40" s="66"/>
      <c r="F40" s="68"/>
      <c r="G40" s="68"/>
      <c r="H40" s="68"/>
      <c r="I40" s="68"/>
      <c r="J40" s="68"/>
      <c r="K40" s="68"/>
      <c r="L40" s="68"/>
      <c r="M40" s="68"/>
      <c r="N40" s="27"/>
      <c r="O40" s="27"/>
      <c r="P40" s="68"/>
      <c r="Q40" s="68"/>
      <c r="R40" s="68"/>
      <c r="S40" s="68"/>
      <c r="T40" s="68"/>
      <c r="U40" s="36">
        <f t="shared" si="1"/>
        <v>0</v>
      </c>
      <c r="V40" s="68"/>
      <c r="W40" s="68"/>
      <c r="X40" s="68"/>
      <c r="Y40" s="36">
        <f t="shared" si="2"/>
        <v>0</v>
      </c>
      <c r="Z40" s="68"/>
      <c r="AA40" s="68"/>
      <c r="AB40" s="68"/>
    </row>
    <row r="41" spans="1:29" ht="18.75" customHeight="1">
      <c r="A41" s="3"/>
      <c r="B41" s="267" t="s">
        <v>115</v>
      </c>
      <c r="C41" s="267"/>
      <c r="D41" s="33"/>
      <c r="E41" s="66"/>
      <c r="F41" s="62"/>
      <c r="G41" s="62"/>
      <c r="H41" s="62"/>
      <c r="I41" s="62"/>
      <c r="J41" s="62"/>
      <c r="K41" s="62"/>
      <c r="L41" s="36"/>
      <c r="M41" s="62"/>
      <c r="N41" s="27"/>
      <c r="O41" s="27"/>
      <c r="P41" s="62"/>
      <c r="Q41" s="62"/>
      <c r="R41" s="62"/>
      <c r="S41" s="36"/>
      <c r="T41" s="36"/>
      <c r="U41" s="36">
        <f t="shared" si="1"/>
        <v>0</v>
      </c>
      <c r="V41" s="36"/>
      <c r="W41" s="62"/>
      <c r="X41" s="36"/>
      <c r="Y41" s="36">
        <f t="shared" si="2"/>
        <v>0</v>
      </c>
      <c r="Z41" s="36"/>
      <c r="AA41" s="36"/>
      <c r="AB41" s="36"/>
    </row>
    <row r="42" spans="1:29" ht="18.75" customHeight="1">
      <c r="A42" s="3">
        <v>1</v>
      </c>
      <c r="B42" s="97" t="s">
        <v>116</v>
      </c>
      <c r="C42" s="98"/>
      <c r="D42" s="33" t="s">
        <v>117</v>
      </c>
      <c r="E42" s="3" t="s">
        <v>118</v>
      </c>
      <c r="F42" s="62">
        <f>79039.64</f>
        <v>79039.64</v>
      </c>
      <c r="G42" s="62"/>
      <c r="H42" s="62">
        <f>F42*300%</f>
        <v>237118.91999999998</v>
      </c>
      <c r="I42" s="62">
        <f>F42*7.5%</f>
        <v>5927.973</v>
      </c>
      <c r="J42" s="62">
        <v>80244.38</v>
      </c>
      <c r="K42" s="62">
        <f>F42*50%</f>
        <v>39519.82</v>
      </c>
      <c r="L42" s="62">
        <f>F42*350%</f>
        <v>276638.74</v>
      </c>
      <c r="M42" s="62">
        <f t="shared" ref="M42" si="30">F42*100%</f>
        <v>79039.64</v>
      </c>
      <c r="N42" s="27"/>
      <c r="O42" s="27">
        <f>100000</f>
        <v>100000</v>
      </c>
      <c r="P42" s="62">
        <f t="shared" ref="P42" si="31">F42*10%</f>
        <v>7903.9639999999999</v>
      </c>
      <c r="Q42" s="62">
        <v>20000</v>
      </c>
      <c r="R42" s="62"/>
      <c r="S42" s="36">
        <f>SUM(F42:R42)</f>
        <v>925433.07700000005</v>
      </c>
      <c r="T42" s="36">
        <v>900657.45750000014</v>
      </c>
      <c r="U42" s="36">
        <f t="shared" si="1"/>
        <v>24775.619499999913</v>
      </c>
      <c r="V42" s="36"/>
      <c r="W42" s="62">
        <f>(52776.63)</f>
        <v>52776.63</v>
      </c>
      <c r="X42" s="36">
        <v>52776.63</v>
      </c>
      <c r="Y42" s="36">
        <f t="shared" si="2"/>
        <v>0</v>
      </c>
      <c r="Z42" s="36"/>
      <c r="AA42" s="36"/>
      <c r="AB42" s="36"/>
    </row>
    <row r="43" spans="1:29" ht="19.5" customHeight="1">
      <c r="A43" s="3"/>
      <c r="B43" s="33"/>
      <c r="C43" s="21" t="s">
        <v>34</v>
      </c>
      <c r="D43" s="7">
        <v>1</v>
      </c>
      <c r="E43" s="3"/>
      <c r="F43" s="68">
        <f t="shared" ref="F43:M43" si="32">SUM(F42:F42)</f>
        <v>79039.64</v>
      </c>
      <c r="G43" s="68">
        <f t="shared" si="32"/>
        <v>0</v>
      </c>
      <c r="H43" s="68">
        <f t="shared" si="32"/>
        <v>237118.91999999998</v>
      </c>
      <c r="I43" s="68">
        <f t="shared" si="32"/>
        <v>5927.973</v>
      </c>
      <c r="J43" s="68">
        <f t="shared" si="32"/>
        <v>80244.38</v>
      </c>
      <c r="K43" s="68">
        <f t="shared" si="32"/>
        <v>39519.82</v>
      </c>
      <c r="L43" s="68">
        <f t="shared" si="32"/>
        <v>276638.74</v>
      </c>
      <c r="M43" s="68">
        <f t="shared" si="32"/>
        <v>79039.64</v>
      </c>
      <c r="N43" s="134"/>
      <c r="O43" s="134">
        <f>SUM(O42:O42)</f>
        <v>100000</v>
      </c>
      <c r="P43" s="68">
        <f>SUM(P42:P42)</f>
        <v>7903.9639999999999</v>
      </c>
      <c r="Q43" s="68">
        <f>SUM(Q42:Q42)</f>
        <v>20000</v>
      </c>
      <c r="R43" s="68">
        <f>SUM(R42:R42)</f>
        <v>0</v>
      </c>
      <c r="S43" s="68">
        <f>SUM(S42:S42)</f>
        <v>925433.07700000005</v>
      </c>
      <c r="T43" s="68">
        <v>900657.45750000014</v>
      </c>
      <c r="U43" s="106">
        <f t="shared" si="1"/>
        <v>24775.619499999913</v>
      </c>
      <c r="V43" s="68"/>
      <c r="W43" s="68">
        <f>SUM(W42:W42)</f>
        <v>52776.63</v>
      </c>
      <c r="X43" s="68">
        <v>52776.63</v>
      </c>
      <c r="Y43" s="36">
        <f t="shared" si="2"/>
        <v>0</v>
      </c>
      <c r="Z43" s="68"/>
      <c r="AA43" s="68"/>
      <c r="AB43" s="68"/>
    </row>
    <row r="44" spans="1:29" ht="20.100000000000001" customHeight="1">
      <c r="A44" s="3"/>
      <c r="B44" s="281"/>
      <c r="C44" s="282"/>
      <c r="D44" s="33"/>
      <c r="E44" s="3"/>
      <c r="F44" s="68"/>
      <c r="G44" s="68"/>
      <c r="H44" s="68"/>
      <c r="I44" s="68"/>
      <c r="J44" s="68"/>
      <c r="K44" s="68"/>
      <c r="L44" s="68"/>
      <c r="M44" s="68"/>
      <c r="N44" s="27"/>
      <c r="O44" s="27"/>
      <c r="P44" s="68"/>
      <c r="Q44" s="68"/>
      <c r="R44" s="68"/>
      <c r="S44" s="68"/>
      <c r="T44" s="68"/>
      <c r="U44" s="36">
        <f t="shared" si="1"/>
        <v>0</v>
      </c>
      <c r="V44" s="68"/>
      <c r="W44" s="68"/>
      <c r="X44" s="68"/>
      <c r="Y44" s="36">
        <f t="shared" si="2"/>
        <v>0</v>
      </c>
      <c r="Z44" s="36"/>
      <c r="AA44" s="36"/>
      <c r="AB44" s="36"/>
    </row>
    <row r="45" spans="1:29" ht="20.100000000000001" customHeight="1">
      <c r="A45" s="3"/>
      <c r="B45" s="283" t="s">
        <v>121</v>
      </c>
      <c r="C45" s="284"/>
      <c r="D45" s="50"/>
      <c r="E45" s="2"/>
      <c r="F45" s="68"/>
      <c r="G45" s="68"/>
      <c r="H45" s="68"/>
      <c r="I45" s="36"/>
      <c r="J45" s="36"/>
      <c r="K45" s="36"/>
      <c r="L45" s="36"/>
      <c r="M45" s="36"/>
      <c r="N45" s="27"/>
      <c r="O45" s="27"/>
      <c r="P45" s="36"/>
      <c r="Q45" s="36"/>
      <c r="R45" s="36"/>
      <c r="S45" s="36"/>
      <c r="T45" s="36"/>
      <c r="U45" s="36">
        <f t="shared" si="1"/>
        <v>0</v>
      </c>
      <c r="V45" s="36"/>
      <c r="W45" s="36"/>
      <c r="X45" s="36"/>
      <c r="Y45" s="36">
        <f t="shared" si="2"/>
        <v>0</v>
      </c>
      <c r="Z45" s="36"/>
      <c r="AA45" s="36"/>
      <c r="AB45" s="36"/>
    </row>
    <row r="46" spans="1:29" ht="20.100000000000001" customHeight="1">
      <c r="A46" s="3">
        <v>1</v>
      </c>
      <c r="B46" s="257" t="s">
        <v>122</v>
      </c>
      <c r="C46" s="258"/>
      <c r="D46" s="33" t="s">
        <v>123</v>
      </c>
      <c r="E46" s="3" t="s">
        <v>43</v>
      </c>
      <c r="F46" s="62">
        <f>81740.02</f>
        <v>81740.02</v>
      </c>
      <c r="G46" s="62"/>
      <c r="H46" s="62">
        <f>F46*300%</f>
        <v>245220.06</v>
      </c>
      <c r="I46" s="62">
        <f>F46*7.5%</f>
        <v>6130.5015000000003</v>
      </c>
      <c r="J46" s="62">
        <v>80244.38</v>
      </c>
      <c r="K46" s="62">
        <f>F46*50%</f>
        <v>40870.01</v>
      </c>
      <c r="L46" s="62">
        <f>F46*350%</f>
        <v>286090.07</v>
      </c>
      <c r="M46" s="62">
        <f t="shared" ref="M46:M55" si="33">F46*100%</f>
        <v>81740.02</v>
      </c>
      <c r="N46" s="27">
        <f>200000</f>
        <v>200000</v>
      </c>
      <c r="O46" s="27"/>
      <c r="P46" s="62">
        <f t="shared" ref="P46:P55" si="34">F46*10%</f>
        <v>8174.0020000000004</v>
      </c>
      <c r="Q46" s="62">
        <v>20000</v>
      </c>
      <c r="R46" s="62"/>
      <c r="S46" s="36">
        <f t="shared" ref="S46:S55" si="35">SUM(F46:R46)</f>
        <v>1050209.0635000002</v>
      </c>
      <c r="T46" s="36">
        <v>1050209.0635000002</v>
      </c>
      <c r="U46" s="36">
        <f t="shared" si="1"/>
        <v>0</v>
      </c>
      <c r="V46" s="36"/>
      <c r="W46" s="62">
        <f>52776.63</f>
        <v>52776.63</v>
      </c>
      <c r="X46" s="36">
        <v>52776.63</v>
      </c>
      <c r="Y46" s="36">
        <f t="shared" si="2"/>
        <v>0</v>
      </c>
      <c r="Z46" s="36"/>
      <c r="AA46" s="36"/>
      <c r="AB46" s="36"/>
    </row>
    <row r="47" spans="1:29" ht="20.100000000000001" customHeight="1">
      <c r="A47" s="3">
        <v>2</v>
      </c>
      <c r="B47" s="257" t="s">
        <v>124</v>
      </c>
      <c r="C47" s="258"/>
      <c r="D47" s="33" t="s">
        <v>125</v>
      </c>
      <c r="E47" s="3" t="s">
        <v>54</v>
      </c>
      <c r="F47" s="62">
        <f>33507.5</f>
        <v>33507.5</v>
      </c>
      <c r="G47" s="62"/>
      <c r="H47" s="62">
        <f>F47*300%</f>
        <v>100522.5</v>
      </c>
      <c r="I47" s="62">
        <f>F47*7.5%</f>
        <v>2513.0625</v>
      </c>
      <c r="J47" s="62">
        <v>40122.19</v>
      </c>
      <c r="K47" s="62">
        <f>F47*50%</f>
        <v>16753.75</v>
      </c>
      <c r="L47" s="62">
        <f>F47*350%</f>
        <v>117276.25</v>
      </c>
      <c r="M47" s="62">
        <f>F47*100%</f>
        <v>33507.5</v>
      </c>
      <c r="N47" s="27">
        <f>160000</f>
        <v>160000</v>
      </c>
      <c r="O47" s="27"/>
      <c r="P47" s="62">
        <f>F47*10%</f>
        <v>3350.75</v>
      </c>
      <c r="Q47" s="62">
        <v>20000</v>
      </c>
      <c r="R47" s="62">
        <v>0</v>
      </c>
      <c r="S47" s="36">
        <f>SUM(F47:R47)</f>
        <v>527553.50249999994</v>
      </c>
      <c r="T47" s="36">
        <v>527553.50249999994</v>
      </c>
      <c r="U47" s="36">
        <f t="shared" si="1"/>
        <v>0</v>
      </c>
      <c r="V47" s="36"/>
      <c r="W47" s="62">
        <v>15548.33</v>
      </c>
      <c r="X47" s="36">
        <v>15548.33</v>
      </c>
      <c r="Y47" s="36">
        <f t="shared" si="2"/>
        <v>0</v>
      </c>
      <c r="Z47" s="36"/>
      <c r="AA47" s="36"/>
      <c r="AB47" s="36"/>
    </row>
    <row r="48" spans="1:29" ht="20.100000000000001" customHeight="1">
      <c r="A48" s="3">
        <v>3</v>
      </c>
      <c r="B48" s="257" t="s">
        <v>126</v>
      </c>
      <c r="C48" s="258"/>
      <c r="D48" s="33" t="s">
        <v>127</v>
      </c>
      <c r="E48" s="3" t="s">
        <v>54</v>
      </c>
      <c r="F48" s="62">
        <f>33507.5</f>
        <v>33507.5</v>
      </c>
      <c r="G48" s="62"/>
      <c r="H48" s="62">
        <f>F48*300%</f>
        <v>100522.5</v>
      </c>
      <c r="I48" s="62">
        <f>F48*7.5%</f>
        <v>2513.0625</v>
      </c>
      <c r="J48" s="62">
        <v>40122.19</v>
      </c>
      <c r="K48" s="62">
        <f>F48*50%</f>
        <v>16753.75</v>
      </c>
      <c r="L48" s="62">
        <f>F48*350%</f>
        <v>117276.25</v>
      </c>
      <c r="M48" s="62">
        <f>F48*100%</f>
        <v>33507.5</v>
      </c>
      <c r="N48" s="27">
        <f>160000</f>
        <v>160000</v>
      </c>
      <c r="O48" s="27"/>
      <c r="P48" s="62">
        <f>F48*10%</f>
        <v>3350.75</v>
      </c>
      <c r="Q48" s="62">
        <v>20000</v>
      </c>
      <c r="R48" s="62"/>
      <c r="S48" s="36">
        <f>SUM(F48:R48)</f>
        <v>527553.50249999994</v>
      </c>
      <c r="T48" s="36">
        <v>527553.50249999994</v>
      </c>
      <c r="U48" s="36">
        <f t="shared" si="1"/>
        <v>0</v>
      </c>
      <c r="V48" s="36"/>
      <c r="W48" s="62">
        <v>15548.33</v>
      </c>
      <c r="X48" s="36">
        <v>15548.33</v>
      </c>
      <c r="Y48" s="36">
        <f t="shared" si="2"/>
        <v>0</v>
      </c>
      <c r="Z48" s="36"/>
      <c r="AA48" s="36"/>
      <c r="AB48" s="36"/>
    </row>
    <row r="49" spans="1:28" ht="20.100000000000001" customHeight="1">
      <c r="A49" s="3">
        <v>4</v>
      </c>
      <c r="B49" s="257" t="s">
        <v>128</v>
      </c>
      <c r="C49" s="258"/>
      <c r="D49" s="33" t="s">
        <v>127</v>
      </c>
      <c r="E49" s="3" t="s">
        <v>129</v>
      </c>
      <c r="F49" s="62">
        <f>32263.2</f>
        <v>32263.200000000001</v>
      </c>
      <c r="G49" s="62"/>
      <c r="H49" s="62">
        <f>F49*300%</f>
        <v>96789.6</v>
      </c>
      <c r="I49" s="62">
        <f>F49*7.5%</f>
        <v>2419.7399999999998</v>
      </c>
      <c r="J49" s="62">
        <v>40122.19</v>
      </c>
      <c r="K49" s="62">
        <f>F49*50%</f>
        <v>16131.6</v>
      </c>
      <c r="L49" s="62">
        <f>F49*350%</f>
        <v>112921.2</v>
      </c>
      <c r="M49" s="62">
        <f>F49*100%</f>
        <v>32263.200000000001</v>
      </c>
      <c r="N49" s="27">
        <f>160000</f>
        <v>160000</v>
      </c>
      <c r="O49" s="27"/>
      <c r="P49" s="62">
        <f>F49*10%</f>
        <v>3226.32</v>
      </c>
      <c r="Q49" s="62">
        <v>20000</v>
      </c>
      <c r="R49" s="62"/>
      <c r="S49" s="36">
        <f>SUM(F49:R49)</f>
        <v>516137.05000000005</v>
      </c>
      <c r="T49" s="36">
        <v>504720.04700000002</v>
      </c>
      <c r="U49" s="36">
        <f t="shared" si="1"/>
        <v>11417.003000000026</v>
      </c>
      <c r="V49" s="36"/>
      <c r="W49" s="62">
        <f>15548.33</f>
        <v>15548.33</v>
      </c>
      <c r="X49" s="36">
        <v>15548.33</v>
      </c>
      <c r="Y49" s="36">
        <f t="shared" si="2"/>
        <v>0</v>
      </c>
      <c r="Z49" s="36"/>
      <c r="AA49" s="36"/>
      <c r="AB49" s="36"/>
    </row>
    <row r="50" spans="1:28" ht="20.100000000000001" customHeight="1">
      <c r="A50" s="3">
        <v>5</v>
      </c>
      <c r="B50" s="257" t="s">
        <v>130</v>
      </c>
      <c r="C50" s="258"/>
      <c r="D50" s="33" t="s">
        <v>131</v>
      </c>
      <c r="E50" s="3" t="s">
        <v>132</v>
      </c>
      <c r="F50" s="62">
        <f>28489.81</f>
        <v>28489.81</v>
      </c>
      <c r="G50" s="62"/>
      <c r="H50" s="62">
        <f t="shared" ref="H50:H55" si="36">F50*300%</f>
        <v>85469.430000000008</v>
      </c>
      <c r="I50" s="62">
        <f t="shared" ref="I50:I55" si="37">F50*7.5%</f>
        <v>2136.7357499999998</v>
      </c>
      <c r="J50" s="62">
        <v>0</v>
      </c>
      <c r="K50" s="62">
        <f t="shared" ref="K50:K55" si="38">F50*50%</f>
        <v>14244.905000000001</v>
      </c>
      <c r="L50" s="62">
        <f t="shared" ref="L50:L55" si="39">F50*350%</f>
        <v>99714.335000000006</v>
      </c>
      <c r="M50" s="62">
        <f t="shared" si="33"/>
        <v>28489.81</v>
      </c>
      <c r="N50" s="27">
        <f t="shared" ref="N50:N51" si="40">140000</f>
        <v>140000</v>
      </c>
      <c r="O50" s="27"/>
      <c r="P50" s="62">
        <f t="shared" si="34"/>
        <v>2848.9810000000002</v>
      </c>
      <c r="Q50" s="62">
        <v>20000</v>
      </c>
      <c r="R50" s="62">
        <v>0</v>
      </c>
      <c r="S50" s="36">
        <f t="shared" si="35"/>
        <v>421394.00675000006</v>
      </c>
      <c r="T50" s="36">
        <v>421394.00675000006</v>
      </c>
      <c r="U50" s="36">
        <f t="shared" si="1"/>
        <v>0</v>
      </c>
      <c r="V50" s="36"/>
      <c r="W50" s="62">
        <v>7709.76</v>
      </c>
      <c r="X50" s="36">
        <v>7709.76</v>
      </c>
      <c r="Y50" s="36">
        <f t="shared" si="2"/>
        <v>0</v>
      </c>
      <c r="Z50" s="36"/>
      <c r="AA50" s="36"/>
      <c r="AB50" s="36"/>
    </row>
    <row r="51" spans="1:28" ht="20.100000000000001" customHeight="1">
      <c r="A51" s="3">
        <v>6</v>
      </c>
      <c r="B51" s="257" t="s">
        <v>133</v>
      </c>
      <c r="C51" s="258"/>
      <c r="D51" s="33" t="s">
        <v>131</v>
      </c>
      <c r="E51" s="3" t="s">
        <v>66</v>
      </c>
      <c r="F51" s="62">
        <f>26732.65</f>
        <v>26732.65</v>
      </c>
      <c r="G51" s="62"/>
      <c r="H51" s="62">
        <f t="shared" si="36"/>
        <v>80197.950000000012</v>
      </c>
      <c r="I51" s="62">
        <f t="shared" si="37"/>
        <v>2004.94875</v>
      </c>
      <c r="J51" s="62"/>
      <c r="K51" s="62">
        <f t="shared" si="38"/>
        <v>13366.325000000001</v>
      </c>
      <c r="L51" s="62">
        <f t="shared" si="39"/>
        <v>93564.275000000009</v>
      </c>
      <c r="M51" s="62">
        <f t="shared" si="33"/>
        <v>26732.65</v>
      </c>
      <c r="N51" s="27">
        <f t="shared" si="40"/>
        <v>140000</v>
      </c>
      <c r="O51" s="27"/>
      <c r="P51" s="62">
        <f t="shared" si="34"/>
        <v>2673.2650000000003</v>
      </c>
      <c r="Q51" s="62">
        <v>20000</v>
      </c>
      <c r="R51" s="62"/>
      <c r="S51" s="36">
        <f t="shared" si="35"/>
        <v>405272.06374999997</v>
      </c>
      <c r="T51" s="36">
        <v>397211.36749999999</v>
      </c>
      <c r="U51" s="36">
        <f t="shared" si="1"/>
        <v>8060.696249999979</v>
      </c>
      <c r="V51" s="36"/>
      <c r="W51" s="62">
        <v>7709.76</v>
      </c>
      <c r="X51" s="36">
        <v>7709.76</v>
      </c>
      <c r="Y51" s="36">
        <f t="shared" si="2"/>
        <v>0</v>
      </c>
      <c r="Z51" s="36"/>
      <c r="AA51" s="36"/>
      <c r="AB51" s="36"/>
    </row>
    <row r="52" spans="1:28" ht="20.100000000000001" customHeight="1">
      <c r="A52" s="3">
        <v>7</v>
      </c>
      <c r="B52" s="265" t="s">
        <v>134</v>
      </c>
      <c r="C52" s="266"/>
      <c r="D52" s="33" t="s">
        <v>135</v>
      </c>
      <c r="E52" s="25" t="s">
        <v>66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6">
        <f>SUM(F52:R52)</f>
        <v>405272.06374999997</v>
      </c>
      <c r="T52" s="36">
        <v>397211.36749999999</v>
      </c>
      <c r="U52" s="36">
        <f t="shared" si="1"/>
        <v>8060.696249999979</v>
      </c>
      <c r="V52" s="24"/>
      <c r="W52" s="24">
        <v>7709.76</v>
      </c>
      <c r="X52" s="24">
        <v>7709.76</v>
      </c>
      <c r="Y52" s="36">
        <f t="shared" si="2"/>
        <v>0</v>
      </c>
      <c r="Z52" s="36"/>
      <c r="AA52" s="36"/>
      <c r="AB52" s="36"/>
    </row>
    <row r="53" spans="1:28" ht="20.100000000000001" customHeight="1">
      <c r="A53" s="3">
        <v>8</v>
      </c>
      <c r="B53" s="257" t="s">
        <v>136</v>
      </c>
      <c r="C53" s="258"/>
      <c r="D53" s="33" t="s">
        <v>137</v>
      </c>
      <c r="E53" s="3" t="s">
        <v>138</v>
      </c>
      <c r="F53" s="62">
        <f>25523.45</f>
        <v>25523.45</v>
      </c>
      <c r="G53" s="62"/>
      <c r="H53" s="62">
        <f t="shared" si="36"/>
        <v>76570.350000000006</v>
      </c>
      <c r="I53" s="62">
        <f t="shared" si="37"/>
        <v>1914.25875</v>
      </c>
      <c r="J53" s="62">
        <v>0</v>
      </c>
      <c r="K53" s="62">
        <f t="shared" si="38"/>
        <v>12761.725</v>
      </c>
      <c r="L53" s="62">
        <f t="shared" si="39"/>
        <v>89332.074999999997</v>
      </c>
      <c r="M53" s="62">
        <f t="shared" si="33"/>
        <v>25523.45</v>
      </c>
      <c r="N53" s="27">
        <f>120000</f>
        <v>120000</v>
      </c>
      <c r="O53" s="27"/>
      <c r="P53" s="62">
        <f t="shared" si="34"/>
        <v>2552.3450000000003</v>
      </c>
      <c r="Q53" s="62">
        <v>15000</v>
      </c>
      <c r="R53" s="62">
        <v>0</v>
      </c>
      <c r="S53" s="36">
        <f t="shared" si="35"/>
        <v>369177.65375</v>
      </c>
      <c r="T53" s="36">
        <v>362001.06049999996</v>
      </c>
      <c r="U53" s="36">
        <f t="shared" si="1"/>
        <v>7176.5932500000345</v>
      </c>
      <c r="V53" s="36"/>
      <c r="W53" s="62">
        <v>7709.76</v>
      </c>
      <c r="X53" s="36">
        <v>7709.76</v>
      </c>
      <c r="Y53" s="36">
        <f t="shared" si="2"/>
        <v>0</v>
      </c>
      <c r="Z53" s="36"/>
      <c r="AA53" s="36"/>
      <c r="AB53" s="36"/>
    </row>
    <row r="54" spans="1:28" ht="20.100000000000001" customHeight="1">
      <c r="A54" s="3">
        <v>9</v>
      </c>
      <c r="B54" s="279" t="s">
        <v>394</v>
      </c>
      <c r="C54" s="280"/>
      <c r="D54" s="189" t="s">
        <v>135</v>
      </c>
      <c r="E54" s="190" t="s">
        <v>395</v>
      </c>
      <c r="F54" s="191">
        <f>25854.1</f>
        <v>25854.1</v>
      </c>
      <c r="G54" s="191"/>
      <c r="H54" s="191">
        <f t="shared" si="36"/>
        <v>77562.299999999988</v>
      </c>
      <c r="I54" s="191">
        <f t="shared" si="37"/>
        <v>1939.0574999999999</v>
      </c>
      <c r="J54" s="191">
        <v>0</v>
      </c>
      <c r="K54" s="191">
        <f t="shared" si="38"/>
        <v>12927.05</v>
      </c>
      <c r="L54" s="191">
        <f t="shared" si="39"/>
        <v>90489.349999999991</v>
      </c>
      <c r="M54" s="191">
        <f t="shared" si="33"/>
        <v>25854.1</v>
      </c>
      <c r="N54" s="192">
        <v>140000</v>
      </c>
      <c r="O54" s="192"/>
      <c r="P54" s="191">
        <f t="shared" si="34"/>
        <v>2585.41</v>
      </c>
      <c r="Q54" s="191">
        <v>20000</v>
      </c>
      <c r="R54" s="191">
        <v>0</v>
      </c>
      <c r="S54" s="193">
        <f t="shared" si="35"/>
        <v>397211.36749999999</v>
      </c>
      <c r="T54" s="193">
        <v>397211.36749999999</v>
      </c>
      <c r="U54" s="36">
        <f t="shared" si="1"/>
        <v>0</v>
      </c>
      <c r="V54" s="193"/>
      <c r="W54" s="191">
        <v>7709.76</v>
      </c>
      <c r="X54" s="193">
        <v>7709.76</v>
      </c>
      <c r="Y54" s="36">
        <f t="shared" si="2"/>
        <v>0</v>
      </c>
      <c r="Z54" s="36"/>
      <c r="AA54" s="36"/>
      <c r="AB54" s="36"/>
    </row>
    <row r="55" spans="1:28" ht="20.100000000000001" customHeight="1">
      <c r="A55" s="3">
        <v>10</v>
      </c>
      <c r="B55" s="269" t="s">
        <v>139</v>
      </c>
      <c r="C55" s="270"/>
      <c r="D55" s="33" t="s">
        <v>140</v>
      </c>
      <c r="E55" s="29" t="s">
        <v>98</v>
      </c>
      <c r="F55" s="26">
        <f>24741.26</f>
        <v>24741.26</v>
      </c>
      <c r="G55" s="62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6">
        <f t="shared" si="35"/>
        <v>362001.06049999996</v>
      </c>
      <c r="T55" s="36">
        <v>354201.02600000001</v>
      </c>
      <c r="U55" s="36">
        <f t="shared" si="1"/>
        <v>7800.0344999999506</v>
      </c>
      <c r="V55" s="24"/>
      <c r="W55" s="26">
        <f>7709.76</f>
        <v>7709.76</v>
      </c>
      <c r="X55" s="24">
        <v>7709.76</v>
      </c>
      <c r="Y55" s="36">
        <f t="shared" si="2"/>
        <v>0</v>
      </c>
      <c r="Z55" s="36"/>
      <c r="AA55" s="36"/>
      <c r="AB55" s="36"/>
    </row>
    <row r="56" spans="1:28" ht="20.100000000000001" customHeight="1">
      <c r="A56" s="3"/>
      <c r="B56" s="273" t="s">
        <v>34</v>
      </c>
      <c r="C56" s="274"/>
      <c r="D56" s="30">
        <v>10</v>
      </c>
      <c r="E56" s="30"/>
      <c r="F56" s="92">
        <f t="shared" ref="F56:N56" si="42">SUM(F46:F55)</f>
        <v>339092.14</v>
      </c>
      <c r="G56" s="92">
        <f t="shared" si="42"/>
        <v>0</v>
      </c>
      <c r="H56" s="92">
        <f t="shared" si="42"/>
        <v>1017276.4199999999</v>
      </c>
      <c r="I56" s="92">
        <f t="shared" si="42"/>
        <v>25431.910499999998</v>
      </c>
      <c r="J56" s="92">
        <f t="shared" si="42"/>
        <v>200610.95</v>
      </c>
      <c r="K56" s="92">
        <f t="shared" si="42"/>
        <v>169546.07</v>
      </c>
      <c r="L56" s="92">
        <f t="shared" si="42"/>
        <v>1186822.49</v>
      </c>
      <c r="M56" s="92">
        <f t="shared" si="42"/>
        <v>339092.14</v>
      </c>
      <c r="N56" s="134">
        <f t="shared" si="42"/>
        <v>1480000</v>
      </c>
      <c r="O56" s="134"/>
      <c r="P56" s="92">
        <f>SUM(P46:P55)</f>
        <v>33909.214</v>
      </c>
      <c r="Q56" s="92">
        <f>SUM(Q46:Q55)</f>
        <v>190000</v>
      </c>
      <c r="R56" s="92">
        <f>SUM(R46:R55)</f>
        <v>0</v>
      </c>
      <c r="S56" s="92">
        <f>SUM(S46:S55)</f>
        <v>4981781.3344999989</v>
      </c>
      <c r="T56" s="92">
        <v>4939266.3112500003</v>
      </c>
      <c r="U56" s="106">
        <f t="shared" si="1"/>
        <v>42515.023249998689</v>
      </c>
      <c r="V56" s="92"/>
      <c r="W56" s="92">
        <f>SUM(W46:W55)</f>
        <v>145680.18</v>
      </c>
      <c r="X56" s="92">
        <v>145680.18</v>
      </c>
      <c r="Y56" s="36">
        <f t="shared" si="2"/>
        <v>0</v>
      </c>
      <c r="Z56" s="92"/>
      <c r="AA56" s="92"/>
      <c r="AB56" s="92"/>
    </row>
    <row r="57" spans="1:28" ht="20.100000000000001" customHeight="1">
      <c r="A57" s="3"/>
      <c r="B57" s="105"/>
      <c r="C57" s="105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6">
        <f t="shared" si="1"/>
        <v>0</v>
      </c>
      <c r="V57" s="31"/>
      <c r="W57" s="31"/>
      <c r="X57" s="31"/>
      <c r="Y57" s="36">
        <f t="shared" si="2"/>
        <v>0</v>
      </c>
      <c r="Z57" s="31"/>
      <c r="AA57" s="31"/>
      <c r="AB57" s="31"/>
    </row>
    <row r="58" spans="1:28" ht="20.100000000000001" customHeight="1">
      <c r="A58" s="3"/>
      <c r="B58" s="273" t="s">
        <v>144</v>
      </c>
      <c r="C58" s="274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6">
        <f t="shared" si="1"/>
        <v>0</v>
      </c>
      <c r="V58" s="31"/>
      <c r="W58" s="31"/>
      <c r="X58" s="31"/>
      <c r="Y58" s="36">
        <f t="shared" si="2"/>
        <v>0</v>
      </c>
      <c r="Z58" s="31"/>
      <c r="AA58" s="31"/>
      <c r="AB58" s="31"/>
    </row>
    <row r="59" spans="1:28" ht="20.100000000000001" customHeight="1">
      <c r="A59" s="3">
        <v>1</v>
      </c>
      <c r="B59" s="257" t="s">
        <v>145</v>
      </c>
      <c r="C59" s="258"/>
      <c r="D59" s="61" t="s">
        <v>146</v>
      </c>
      <c r="E59" s="66" t="s">
        <v>43</v>
      </c>
      <c r="F59" s="62">
        <f>81740.02</f>
        <v>81740.02</v>
      </c>
      <c r="G59" s="62"/>
      <c r="H59" s="62">
        <f>F59*300%</f>
        <v>245220.06</v>
      </c>
      <c r="I59" s="62">
        <f>F59*7.5%</f>
        <v>6130.5015000000003</v>
      </c>
      <c r="J59" s="62">
        <v>80244.38</v>
      </c>
      <c r="K59" s="62">
        <f>F59*50%</f>
        <v>40870.01</v>
      </c>
      <c r="L59" s="62">
        <f>F59*350%</f>
        <v>286090.07</v>
      </c>
      <c r="M59" s="62">
        <f>F59*100%</f>
        <v>81740.02</v>
      </c>
      <c r="N59" s="27">
        <f>200000</f>
        <v>200000</v>
      </c>
      <c r="O59" s="27"/>
      <c r="P59" s="62">
        <f>F59*10%</f>
        <v>8174.0020000000004</v>
      </c>
      <c r="Q59" s="62">
        <v>20000</v>
      </c>
      <c r="R59" s="62">
        <v>0</v>
      </c>
      <c r="S59" s="36">
        <f>SUM(F59:R59)</f>
        <v>1050209.0635000002</v>
      </c>
      <c r="T59" s="36">
        <v>1050209.0635000002</v>
      </c>
      <c r="U59" s="36">
        <f t="shared" si="1"/>
        <v>0</v>
      </c>
      <c r="V59" s="36"/>
      <c r="W59" s="62">
        <v>52776.63</v>
      </c>
      <c r="X59" s="36">
        <v>52776.63</v>
      </c>
      <c r="Y59" s="36">
        <f t="shared" si="2"/>
        <v>0</v>
      </c>
      <c r="Z59" s="36"/>
      <c r="AA59" s="36"/>
      <c r="AB59" s="36"/>
    </row>
    <row r="60" spans="1:28" ht="20.100000000000001" customHeight="1">
      <c r="A60" s="3">
        <v>2</v>
      </c>
      <c r="B60" s="97" t="s">
        <v>147</v>
      </c>
      <c r="C60" s="98"/>
      <c r="D60" s="61" t="s">
        <v>148</v>
      </c>
      <c r="E60" s="66" t="s">
        <v>149</v>
      </c>
      <c r="F60" s="36">
        <f>32263.2</f>
        <v>32263.200000000001</v>
      </c>
      <c r="G60" s="62"/>
      <c r="H60" s="62">
        <f t="shared" ref="H60" si="43">F60*300%</f>
        <v>96789.6</v>
      </c>
      <c r="I60" s="62">
        <f t="shared" ref="I60" si="44">F60*7.5%</f>
        <v>2419.7399999999998</v>
      </c>
      <c r="J60" s="62">
        <v>40122.19</v>
      </c>
      <c r="K60" s="62">
        <f t="shared" ref="K60" si="45">F60*50%</f>
        <v>16131.6</v>
      </c>
      <c r="L60" s="62">
        <f t="shared" ref="L60" si="46">F60*350%</f>
        <v>112921.2</v>
      </c>
      <c r="M60" s="62">
        <f t="shared" ref="M60" si="47">F60*100%</f>
        <v>32263.200000000001</v>
      </c>
      <c r="N60" s="27"/>
      <c r="O60" s="27">
        <f>80000</f>
        <v>80000</v>
      </c>
      <c r="P60" s="62">
        <f t="shared" ref="P60" si="48">F60*10%</f>
        <v>3226.32</v>
      </c>
      <c r="Q60" s="62">
        <v>20000</v>
      </c>
      <c r="R60" s="63">
        <v>0</v>
      </c>
      <c r="S60" s="36">
        <f t="shared" ref="S60" si="49">SUM(F60:R60)</f>
        <v>436137.05000000005</v>
      </c>
      <c r="T60" s="36">
        <v>424720.04700000002</v>
      </c>
      <c r="U60" s="36">
        <f t="shared" si="1"/>
        <v>11417.003000000026</v>
      </c>
      <c r="V60" s="36"/>
      <c r="W60" s="62">
        <f>15548.33</f>
        <v>15548.33</v>
      </c>
      <c r="X60" s="36">
        <v>15548.33</v>
      </c>
      <c r="Y60" s="36">
        <f t="shared" si="2"/>
        <v>0</v>
      </c>
      <c r="Z60" s="36"/>
      <c r="AA60" s="36"/>
      <c r="AB60" s="36"/>
    </row>
    <row r="61" spans="1:28" ht="20.100000000000001" customHeight="1">
      <c r="A61" s="3"/>
      <c r="B61" s="273" t="s">
        <v>34</v>
      </c>
      <c r="C61" s="274"/>
      <c r="D61" s="30">
        <v>2</v>
      </c>
      <c r="E61" s="30"/>
      <c r="F61" s="92">
        <f>SUM(F59:F60)</f>
        <v>114003.22</v>
      </c>
      <c r="G61" s="92"/>
      <c r="H61" s="92">
        <f t="shared" ref="H61:S61" si="50">SUM(H59:H60)</f>
        <v>342009.66000000003</v>
      </c>
      <c r="I61" s="92">
        <f t="shared" si="50"/>
        <v>8550.2415000000001</v>
      </c>
      <c r="J61" s="92">
        <f t="shared" si="50"/>
        <v>120366.57</v>
      </c>
      <c r="K61" s="92">
        <f t="shared" si="50"/>
        <v>57001.61</v>
      </c>
      <c r="L61" s="92">
        <f t="shared" si="50"/>
        <v>399011.27</v>
      </c>
      <c r="M61" s="92">
        <f t="shared" si="50"/>
        <v>114003.22</v>
      </c>
      <c r="N61" s="134">
        <f t="shared" si="50"/>
        <v>200000</v>
      </c>
      <c r="O61" s="134">
        <f t="shared" si="50"/>
        <v>80000</v>
      </c>
      <c r="P61" s="92">
        <f t="shared" si="50"/>
        <v>11400.322</v>
      </c>
      <c r="Q61" s="92">
        <f t="shared" si="50"/>
        <v>40000</v>
      </c>
      <c r="R61" s="92">
        <f t="shared" si="50"/>
        <v>0</v>
      </c>
      <c r="S61" s="92">
        <f t="shared" si="50"/>
        <v>1486346.1135000002</v>
      </c>
      <c r="T61" s="92">
        <v>1474929.1105000002</v>
      </c>
      <c r="U61" s="106">
        <f t="shared" si="1"/>
        <v>11417.003000000026</v>
      </c>
      <c r="V61" s="92"/>
      <c r="W61" s="92">
        <f>SUM(W59:W60)</f>
        <v>68324.959999999992</v>
      </c>
      <c r="X61" s="92">
        <v>68324.959999999992</v>
      </c>
      <c r="Y61" s="36">
        <f t="shared" si="2"/>
        <v>0</v>
      </c>
      <c r="Z61" s="92"/>
      <c r="AA61" s="92"/>
      <c r="AB61" s="92"/>
    </row>
    <row r="62" spans="1:28" ht="20.100000000000001" customHeight="1">
      <c r="A62" s="3"/>
      <c r="B62" s="273"/>
      <c r="C62" s="274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6">
        <f t="shared" si="1"/>
        <v>0</v>
      </c>
      <c r="V62" s="31"/>
      <c r="W62" s="31"/>
      <c r="X62" s="31"/>
      <c r="Y62" s="36">
        <f t="shared" si="2"/>
        <v>0</v>
      </c>
      <c r="Z62" s="31"/>
      <c r="AA62" s="31"/>
      <c r="AB62" s="31"/>
    </row>
    <row r="63" spans="1:28" ht="20.100000000000001" customHeight="1">
      <c r="A63" s="3"/>
      <c r="B63" s="273" t="s">
        <v>150</v>
      </c>
      <c r="C63" s="274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6">
        <f t="shared" si="1"/>
        <v>0</v>
      </c>
      <c r="V63" s="31"/>
      <c r="W63" s="31"/>
      <c r="X63" s="31"/>
      <c r="Y63" s="36">
        <f t="shared" si="2"/>
        <v>0</v>
      </c>
      <c r="Z63" s="31"/>
      <c r="AA63" s="31"/>
      <c r="AB63" s="31"/>
    </row>
    <row r="64" spans="1:28" ht="20.100000000000001" customHeight="1">
      <c r="A64" s="3">
        <v>1</v>
      </c>
      <c r="B64" s="269" t="s">
        <v>151</v>
      </c>
      <c r="C64" s="270"/>
      <c r="D64" s="47" t="s">
        <v>152</v>
      </c>
      <c r="E64" s="29" t="s">
        <v>43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2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6">
        <f t="shared" si="1"/>
        <v>24775.986500000115</v>
      </c>
      <c r="V64" s="26"/>
      <c r="W64" s="26">
        <f>52776.63</f>
        <v>52776.63</v>
      </c>
      <c r="X64" s="26">
        <v>52776.63</v>
      </c>
      <c r="Y64" s="36">
        <f t="shared" si="2"/>
        <v>0</v>
      </c>
      <c r="Z64" s="26"/>
      <c r="AA64" s="26"/>
      <c r="AB64" s="26"/>
    </row>
    <row r="65" spans="1:28" ht="20.100000000000001" customHeight="1">
      <c r="A65" s="3">
        <v>2</v>
      </c>
      <c r="B65" s="135" t="s">
        <v>153</v>
      </c>
      <c r="C65" s="136"/>
      <c r="D65" s="47" t="s">
        <v>56</v>
      </c>
      <c r="E65" s="66" t="s">
        <v>63</v>
      </c>
      <c r="F65" s="36">
        <v>31018.84</v>
      </c>
      <c r="G65" s="62"/>
      <c r="H65" s="62">
        <f t="shared" si="51"/>
        <v>93056.52</v>
      </c>
      <c r="I65" s="62">
        <f t="shared" si="52"/>
        <v>2326.413</v>
      </c>
      <c r="J65" s="62">
        <v>40122.19</v>
      </c>
      <c r="K65" s="62">
        <f t="shared" si="53"/>
        <v>15509.42</v>
      </c>
      <c r="L65" s="62">
        <f t="shared" si="54"/>
        <v>108565.94</v>
      </c>
      <c r="M65" s="62">
        <f t="shared" si="55"/>
        <v>31018.84</v>
      </c>
      <c r="N65" s="27">
        <f>160000</f>
        <v>160000</v>
      </c>
      <c r="O65" s="27"/>
      <c r="P65" s="62">
        <f t="shared" si="56"/>
        <v>3101.884</v>
      </c>
      <c r="Q65" s="62">
        <v>20000</v>
      </c>
      <c r="R65" s="63">
        <v>0</v>
      </c>
      <c r="S65" s="36">
        <f t="shared" ref="S65:S75" si="57">SUM(F65:R65)</f>
        <v>504720.04700000002</v>
      </c>
      <c r="T65" s="36">
        <v>504720.04700000002</v>
      </c>
      <c r="U65" s="36">
        <f t="shared" si="1"/>
        <v>0</v>
      </c>
      <c r="V65" s="36"/>
      <c r="W65" s="62">
        <f>15548.33</f>
        <v>15548.33</v>
      </c>
      <c r="X65" s="36">
        <v>15548.33</v>
      </c>
      <c r="Y65" s="36">
        <f t="shared" si="2"/>
        <v>0</v>
      </c>
      <c r="Z65" s="26"/>
      <c r="AA65" s="36"/>
      <c r="AB65" s="36"/>
    </row>
    <row r="66" spans="1:28" ht="20.100000000000001" customHeight="1">
      <c r="A66" s="3">
        <v>3</v>
      </c>
      <c r="B66" s="269" t="s">
        <v>154</v>
      </c>
      <c r="C66" s="270"/>
      <c r="D66" s="20" t="s">
        <v>140</v>
      </c>
      <c r="E66" s="29" t="s">
        <v>73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6">
        <f t="shared" si="57"/>
        <v>376663.07749999996</v>
      </c>
      <c r="T66" s="36">
        <v>369177.65375</v>
      </c>
      <c r="U66" s="36">
        <f t="shared" si="1"/>
        <v>7485.4237499999581</v>
      </c>
      <c r="V66" s="24"/>
      <c r="W66" s="26">
        <v>7709.76</v>
      </c>
      <c r="X66" s="24">
        <v>7709.76</v>
      </c>
      <c r="Y66" s="36">
        <f t="shared" si="2"/>
        <v>0</v>
      </c>
      <c r="Z66" s="26"/>
      <c r="AA66" s="36"/>
      <c r="AB66" s="36"/>
    </row>
    <row r="67" spans="1:28" ht="20.100000000000001" customHeight="1">
      <c r="A67" s="3">
        <v>4</v>
      </c>
      <c r="B67" s="269" t="s">
        <v>155</v>
      </c>
      <c r="C67" s="270"/>
      <c r="D67" s="33" t="s">
        <v>137</v>
      </c>
      <c r="E67" s="29" t="s">
        <v>98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6">
        <f t="shared" si="1"/>
        <v>7800.0344999999506</v>
      </c>
      <c r="V67" s="26"/>
      <c r="W67" s="26">
        <f>7709.76</f>
        <v>7709.76</v>
      </c>
      <c r="X67" s="26">
        <v>7709.76</v>
      </c>
      <c r="Y67" s="36">
        <f t="shared" si="2"/>
        <v>0</v>
      </c>
      <c r="Z67" s="26"/>
      <c r="AA67" s="26"/>
      <c r="AB67" s="26"/>
    </row>
    <row r="68" spans="1:28" ht="20.100000000000001" customHeight="1">
      <c r="A68" s="3">
        <v>5</v>
      </c>
      <c r="B68" s="135" t="s">
        <v>156</v>
      </c>
      <c r="C68" s="136"/>
      <c r="D68" s="47" t="s">
        <v>137</v>
      </c>
      <c r="E68" s="66" t="s">
        <v>79</v>
      </c>
      <c r="F68" s="62">
        <f>23891.12</f>
        <v>23891.119999999999</v>
      </c>
      <c r="G68" s="62"/>
      <c r="H68" s="62">
        <f t="shared" si="51"/>
        <v>71673.36</v>
      </c>
      <c r="I68" s="62">
        <f t="shared" si="52"/>
        <v>1791.8339999999998</v>
      </c>
      <c r="J68" s="62">
        <v>0</v>
      </c>
      <c r="K68" s="62">
        <f t="shared" si="53"/>
        <v>11945.56</v>
      </c>
      <c r="L68" s="36">
        <f t="shared" si="54"/>
        <v>83618.92</v>
      </c>
      <c r="M68" s="62">
        <f t="shared" si="55"/>
        <v>23891.119999999999</v>
      </c>
      <c r="N68" s="27">
        <f t="shared" si="58"/>
        <v>120000</v>
      </c>
      <c r="O68" s="27"/>
      <c r="P68" s="62">
        <f t="shared" si="56"/>
        <v>2389.1120000000001</v>
      </c>
      <c r="Q68" s="62">
        <v>15000</v>
      </c>
      <c r="R68" s="62">
        <v>0</v>
      </c>
      <c r="S68" s="36">
        <f t="shared" si="57"/>
        <v>354201.02600000001</v>
      </c>
      <c r="T68" s="36">
        <v>346713.03325000004</v>
      </c>
      <c r="U68" s="36">
        <f t="shared" si="1"/>
        <v>7487.9927499999758</v>
      </c>
      <c r="V68" s="36"/>
      <c r="W68" s="62">
        <v>7709.76</v>
      </c>
      <c r="X68" s="36">
        <v>7709.76</v>
      </c>
      <c r="Y68" s="36">
        <f t="shared" si="2"/>
        <v>0</v>
      </c>
      <c r="Z68" s="26"/>
      <c r="AA68" s="36"/>
      <c r="AB68" s="36"/>
    </row>
    <row r="69" spans="1:28" ht="20.100000000000001" customHeight="1">
      <c r="A69" s="3">
        <v>6</v>
      </c>
      <c r="B69" s="271" t="s">
        <v>157</v>
      </c>
      <c r="C69" s="272"/>
      <c r="D69" s="47" t="s">
        <v>135</v>
      </c>
      <c r="E69" s="66" t="s">
        <v>66</v>
      </c>
      <c r="F69" s="62">
        <f>26732.65</f>
        <v>26732.65</v>
      </c>
      <c r="G69" s="62"/>
      <c r="H69" s="62">
        <f>F69*300%</f>
        <v>80197.950000000012</v>
      </c>
      <c r="I69" s="62">
        <f>F69*7.5%</f>
        <v>2004.94875</v>
      </c>
      <c r="J69" s="62"/>
      <c r="K69" s="62">
        <f>F69*50%</f>
        <v>13366.325000000001</v>
      </c>
      <c r="L69" s="36">
        <f>F69*350%</f>
        <v>93564.275000000009</v>
      </c>
      <c r="M69" s="62">
        <f>F69*100%</f>
        <v>26732.65</v>
      </c>
      <c r="N69" s="27">
        <f>140000</f>
        <v>140000</v>
      </c>
      <c r="O69" s="27"/>
      <c r="P69" s="62">
        <f>F69*10%</f>
        <v>2673.2650000000003</v>
      </c>
      <c r="Q69" s="62">
        <v>20000</v>
      </c>
      <c r="R69" s="62"/>
      <c r="S69" s="36">
        <f>SUM(F69:R69)</f>
        <v>405272.06374999997</v>
      </c>
      <c r="T69" s="36">
        <v>397211.36749999999</v>
      </c>
      <c r="U69" s="36">
        <f t="shared" si="1"/>
        <v>8060.696249999979</v>
      </c>
      <c r="V69" s="36"/>
      <c r="W69" s="36">
        <f>7709.76</f>
        <v>7709.76</v>
      </c>
      <c r="X69" s="36">
        <v>7709.76</v>
      </c>
      <c r="Y69" s="36">
        <f t="shared" si="2"/>
        <v>0</v>
      </c>
      <c r="Z69" s="26"/>
      <c r="AA69" s="36"/>
      <c r="AB69" s="36"/>
    </row>
    <row r="70" spans="1:28" ht="20.100000000000001" customHeight="1">
      <c r="A70" s="3">
        <v>7</v>
      </c>
      <c r="B70" s="269" t="s">
        <v>158</v>
      </c>
      <c r="C70" s="270"/>
      <c r="D70" s="20" t="s">
        <v>142</v>
      </c>
      <c r="E70" s="29" t="s">
        <v>159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6">
        <f t="shared" si="57"/>
        <v>291432.1385</v>
      </c>
      <c r="T70" s="36">
        <v>291432.1385</v>
      </c>
      <c r="U70" s="36">
        <f t="shared" si="1"/>
        <v>0</v>
      </c>
      <c r="V70" s="24"/>
      <c r="W70" s="26">
        <v>3369.51</v>
      </c>
      <c r="X70" s="24">
        <v>3369.51</v>
      </c>
      <c r="Y70" s="36">
        <f t="shared" si="2"/>
        <v>0</v>
      </c>
      <c r="Z70" s="26"/>
      <c r="AA70" s="36"/>
      <c r="AB70" s="36"/>
    </row>
    <row r="71" spans="1:28" ht="20.100000000000001" customHeight="1">
      <c r="A71" s="3">
        <v>8</v>
      </c>
      <c r="B71" s="264" t="s">
        <v>160</v>
      </c>
      <c r="C71" s="264"/>
      <c r="D71" s="47" t="s">
        <v>142</v>
      </c>
      <c r="E71" s="66" t="s">
        <v>85</v>
      </c>
      <c r="F71" s="62">
        <f>21520.88</f>
        <v>21520.880000000001</v>
      </c>
      <c r="G71" s="62"/>
      <c r="H71" s="62">
        <f t="shared" si="51"/>
        <v>64562.64</v>
      </c>
      <c r="I71" s="62">
        <f t="shared" si="52"/>
        <v>1614.066</v>
      </c>
      <c r="J71" s="62">
        <v>0</v>
      </c>
      <c r="K71" s="62">
        <f t="shared" si="53"/>
        <v>10760.44</v>
      </c>
      <c r="L71" s="36">
        <f t="shared" si="54"/>
        <v>75323.08</v>
      </c>
      <c r="M71" s="62">
        <f t="shared" si="55"/>
        <v>21520.880000000001</v>
      </c>
      <c r="N71" s="27">
        <f>110000</f>
        <v>110000</v>
      </c>
      <c r="O71" s="27"/>
      <c r="P71" s="62">
        <f t="shared" si="56"/>
        <v>2152.0880000000002</v>
      </c>
      <c r="Q71" s="62">
        <v>15000</v>
      </c>
      <c r="R71" s="62">
        <v>0</v>
      </c>
      <c r="S71" s="36">
        <f t="shared" si="57"/>
        <v>322454.07400000002</v>
      </c>
      <c r="T71" s="36">
        <v>315372.07500000001</v>
      </c>
      <c r="U71" s="36">
        <f t="shared" si="1"/>
        <v>7081.9990000000107</v>
      </c>
      <c r="V71" s="36"/>
      <c r="W71" s="62">
        <f>3369.51</f>
        <v>3369.51</v>
      </c>
      <c r="X71" s="36">
        <v>3369.51</v>
      </c>
      <c r="Y71" s="36">
        <f t="shared" si="2"/>
        <v>0</v>
      </c>
      <c r="Z71" s="26"/>
      <c r="AA71" s="36"/>
      <c r="AB71" s="36"/>
    </row>
    <row r="72" spans="1:28" ht="20.100000000000001" customHeight="1">
      <c r="A72" s="3">
        <v>9</v>
      </c>
      <c r="B72" s="257" t="s">
        <v>165</v>
      </c>
      <c r="C72" s="258"/>
      <c r="D72" s="33" t="s">
        <v>166</v>
      </c>
      <c r="E72" s="3" t="s">
        <v>82</v>
      </c>
      <c r="F72" s="62">
        <f>18779.3</f>
        <v>18779.3</v>
      </c>
      <c r="G72" s="62"/>
      <c r="H72" s="62">
        <f t="shared" si="51"/>
        <v>56337.899999999994</v>
      </c>
      <c r="I72" s="62">
        <f t="shared" si="52"/>
        <v>1408.4475</v>
      </c>
      <c r="J72" s="62"/>
      <c r="K72" s="62">
        <f t="shared" si="53"/>
        <v>9389.65</v>
      </c>
      <c r="L72" s="62">
        <f t="shared" si="54"/>
        <v>65727.55</v>
      </c>
      <c r="M72" s="62">
        <f t="shared" si="55"/>
        <v>18779.3</v>
      </c>
      <c r="N72" s="27">
        <f t="shared" ref="N72:N75" si="59">100000</f>
        <v>100000</v>
      </c>
      <c r="O72" s="27"/>
      <c r="P72" s="62">
        <f t="shared" si="56"/>
        <v>1877.93</v>
      </c>
      <c r="Q72" s="62">
        <v>10000</v>
      </c>
      <c r="R72" s="62"/>
      <c r="S72" s="36">
        <f t="shared" si="57"/>
        <v>282300.07749999996</v>
      </c>
      <c r="T72" s="36">
        <v>277734.04699999996</v>
      </c>
      <c r="U72" s="36">
        <f t="shared" si="1"/>
        <v>4566.0304999999935</v>
      </c>
      <c r="V72" s="36"/>
      <c r="W72" s="62">
        <v>3369.51</v>
      </c>
      <c r="X72" s="36">
        <v>3369.51</v>
      </c>
      <c r="Y72" s="36">
        <f t="shared" si="2"/>
        <v>0</v>
      </c>
      <c r="Z72" s="26"/>
      <c r="AA72" s="36"/>
      <c r="AB72" s="36"/>
    </row>
    <row r="73" spans="1:28" ht="20.100000000000001" customHeight="1">
      <c r="A73" s="3">
        <v>10</v>
      </c>
      <c r="B73" s="269" t="s">
        <v>167</v>
      </c>
      <c r="C73" s="270"/>
      <c r="D73" s="47" t="s">
        <v>142</v>
      </c>
      <c r="E73" s="3" t="s">
        <v>168</v>
      </c>
      <c r="F73" s="62">
        <f>17286.33</f>
        <v>17286.330000000002</v>
      </c>
      <c r="G73" s="62"/>
      <c r="H73" s="62">
        <f t="shared" si="51"/>
        <v>51858.990000000005</v>
      </c>
      <c r="I73" s="62">
        <f t="shared" si="52"/>
        <v>1296.4747500000001</v>
      </c>
      <c r="J73" s="62"/>
      <c r="K73" s="62">
        <f t="shared" si="53"/>
        <v>8643.1650000000009</v>
      </c>
      <c r="L73" s="62">
        <f t="shared" si="54"/>
        <v>60502.155000000006</v>
      </c>
      <c r="M73" s="62">
        <f t="shared" si="55"/>
        <v>17286.330000000002</v>
      </c>
      <c r="N73" s="27">
        <f t="shared" si="59"/>
        <v>100000</v>
      </c>
      <c r="O73" s="27"/>
      <c r="P73" s="62">
        <f t="shared" si="56"/>
        <v>1728.6330000000003</v>
      </c>
      <c r="Q73" s="62">
        <v>10000</v>
      </c>
      <c r="R73" s="62"/>
      <c r="S73" s="36">
        <f t="shared" si="57"/>
        <v>268602.07775000005</v>
      </c>
      <c r="T73" s="36">
        <v>268602.07775000005</v>
      </c>
      <c r="U73" s="36">
        <f t="shared" si="1"/>
        <v>0</v>
      </c>
      <c r="V73" s="36"/>
      <c r="W73" s="62">
        <v>3369.51</v>
      </c>
      <c r="X73" s="36">
        <v>3369.51</v>
      </c>
      <c r="Y73" s="36">
        <f t="shared" si="2"/>
        <v>0</v>
      </c>
      <c r="Z73" s="26"/>
      <c r="AA73" s="36"/>
      <c r="AB73" s="36"/>
    </row>
    <row r="74" spans="1:28" ht="20.100000000000001" customHeight="1">
      <c r="A74" s="3">
        <v>11</v>
      </c>
      <c r="B74" s="269" t="s">
        <v>169</v>
      </c>
      <c r="C74" s="270"/>
      <c r="D74" s="47" t="s">
        <v>170</v>
      </c>
      <c r="E74" s="3" t="s">
        <v>93</v>
      </c>
      <c r="F74" s="62">
        <f>12351.94</f>
        <v>12351.94</v>
      </c>
      <c r="G74" s="62"/>
      <c r="H74" s="62">
        <f t="shared" si="51"/>
        <v>37055.82</v>
      </c>
      <c r="I74" s="62">
        <f t="shared" si="52"/>
        <v>926.39549999999997</v>
      </c>
      <c r="J74" s="62"/>
      <c r="K74" s="62">
        <f t="shared" si="53"/>
        <v>6175.97</v>
      </c>
      <c r="L74" s="62">
        <f t="shared" si="54"/>
        <v>43231.79</v>
      </c>
      <c r="M74" s="62">
        <f t="shared" si="55"/>
        <v>12351.94</v>
      </c>
      <c r="N74" s="27">
        <f t="shared" si="59"/>
        <v>100000</v>
      </c>
      <c r="O74" s="27"/>
      <c r="P74" s="62">
        <f t="shared" si="56"/>
        <v>1235.1940000000002</v>
      </c>
      <c r="Q74" s="62">
        <v>10000</v>
      </c>
      <c r="R74" s="62"/>
      <c r="S74" s="36">
        <f t="shared" si="57"/>
        <v>223329.04949999999</v>
      </c>
      <c r="T74" s="36">
        <v>223329.04949999999</v>
      </c>
      <c r="U74" s="36">
        <f t="shared" ref="U74:U137" si="60">S74-T74</f>
        <v>0</v>
      </c>
      <c r="V74" s="36"/>
      <c r="W74" s="62">
        <v>1484.37</v>
      </c>
      <c r="X74" s="36">
        <v>1484.37</v>
      </c>
      <c r="Y74" s="36">
        <f t="shared" ref="Y74:Y137" si="61">X74-W74</f>
        <v>0</v>
      </c>
      <c r="Z74" s="26"/>
      <c r="AA74" s="36"/>
      <c r="AB74" s="36"/>
    </row>
    <row r="75" spans="1:28" ht="20.100000000000001" customHeight="1">
      <c r="A75" s="3">
        <v>12</v>
      </c>
      <c r="B75" s="271" t="s">
        <v>171</v>
      </c>
      <c r="C75" s="272"/>
      <c r="D75" s="47" t="s">
        <v>170</v>
      </c>
      <c r="E75" s="3" t="s">
        <v>93</v>
      </c>
      <c r="F75" s="62">
        <f>12351.94</f>
        <v>12351.94</v>
      </c>
      <c r="G75" s="62"/>
      <c r="H75" s="62">
        <f t="shared" si="51"/>
        <v>37055.82</v>
      </c>
      <c r="I75" s="62">
        <f t="shared" si="52"/>
        <v>926.39549999999997</v>
      </c>
      <c r="J75" s="62"/>
      <c r="K75" s="62">
        <f t="shared" si="53"/>
        <v>6175.97</v>
      </c>
      <c r="L75" s="62">
        <f t="shared" si="54"/>
        <v>43231.79</v>
      </c>
      <c r="M75" s="62">
        <f t="shared" si="55"/>
        <v>12351.94</v>
      </c>
      <c r="N75" s="27">
        <f t="shared" si="59"/>
        <v>100000</v>
      </c>
      <c r="O75" s="27"/>
      <c r="P75" s="62">
        <f t="shared" si="56"/>
        <v>1235.1940000000002</v>
      </c>
      <c r="Q75" s="62">
        <v>10000</v>
      </c>
      <c r="R75" s="62"/>
      <c r="S75" s="36">
        <f t="shared" si="57"/>
        <v>223329.04949999999</v>
      </c>
      <c r="T75" s="36">
        <v>223329.04949999999</v>
      </c>
      <c r="U75" s="36">
        <f t="shared" si="60"/>
        <v>0</v>
      </c>
      <c r="V75" s="36"/>
      <c r="W75" s="62">
        <v>1484.37</v>
      </c>
      <c r="X75" s="36">
        <v>1484.37</v>
      </c>
      <c r="Y75" s="36">
        <f t="shared" si="61"/>
        <v>0</v>
      </c>
      <c r="Z75" s="26"/>
      <c r="AA75" s="36"/>
      <c r="AB75" s="36"/>
    </row>
    <row r="76" spans="1:28" ht="20.100000000000001" customHeight="1">
      <c r="A76" s="3"/>
      <c r="B76" s="273" t="s">
        <v>34</v>
      </c>
      <c r="C76" s="274"/>
      <c r="D76" s="30">
        <v>12</v>
      </c>
      <c r="E76" s="30"/>
      <c r="F76" s="92">
        <f t="shared" ref="F76:N76" si="62">SUM(F64:F75)</f>
        <v>316528.2</v>
      </c>
      <c r="G76" s="92">
        <f t="shared" si="62"/>
        <v>0</v>
      </c>
      <c r="H76" s="92">
        <f t="shared" si="62"/>
        <v>949584.6</v>
      </c>
      <c r="I76" s="92">
        <f t="shared" si="62"/>
        <v>23739.614999999994</v>
      </c>
      <c r="J76" s="92">
        <f t="shared" si="62"/>
        <v>120366.57</v>
      </c>
      <c r="K76" s="92">
        <f t="shared" si="62"/>
        <v>158264.1</v>
      </c>
      <c r="L76" s="92">
        <f t="shared" si="62"/>
        <v>1107848.7000000002</v>
      </c>
      <c r="M76" s="92">
        <f t="shared" si="62"/>
        <v>316528.2</v>
      </c>
      <c r="N76" s="134">
        <f t="shared" si="62"/>
        <v>1470000</v>
      </c>
      <c r="O76" s="134"/>
      <c r="P76" s="92">
        <f>SUM(P64:P75)</f>
        <v>31652.82</v>
      </c>
      <c r="Q76" s="92">
        <f>SUM(Q64:Q75)</f>
        <v>170000</v>
      </c>
      <c r="R76" s="92">
        <f>SUM(R64:R75)</f>
        <v>0</v>
      </c>
      <c r="S76" s="92">
        <f>SUM(S64:S75)</f>
        <v>4664512.8049999997</v>
      </c>
      <c r="T76" s="92">
        <v>4597254.6417499995</v>
      </c>
      <c r="U76" s="106">
        <f t="shared" si="60"/>
        <v>67258.163250000216</v>
      </c>
      <c r="V76" s="92"/>
      <c r="W76" s="92">
        <f t="shared" ref="W76" si="63">SUM(W64:W75)</f>
        <v>115610.77999999994</v>
      </c>
      <c r="X76" s="92">
        <v>115610.77999999994</v>
      </c>
      <c r="Y76" s="36">
        <f t="shared" si="61"/>
        <v>0</v>
      </c>
      <c r="Z76" s="92"/>
      <c r="AA76" s="92"/>
      <c r="AB76" s="92"/>
    </row>
    <row r="77" spans="1:28" ht="20.100000000000001" customHeight="1">
      <c r="A77" s="3"/>
      <c r="B77" s="99"/>
      <c r="C77" s="100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6">
        <f t="shared" si="60"/>
        <v>0</v>
      </c>
      <c r="V77" s="31"/>
      <c r="W77" s="31"/>
      <c r="X77" s="31"/>
      <c r="Y77" s="36">
        <f t="shared" si="61"/>
        <v>0</v>
      </c>
      <c r="Z77" s="31"/>
      <c r="AA77" s="31"/>
      <c r="AB77" s="31"/>
    </row>
    <row r="78" spans="1:28" ht="20.100000000000001" customHeight="1">
      <c r="A78" s="3"/>
      <c r="B78" s="273" t="s">
        <v>172</v>
      </c>
      <c r="C78" s="274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6">
        <f t="shared" si="60"/>
        <v>0</v>
      </c>
      <c r="V78" s="31"/>
      <c r="W78" s="31"/>
      <c r="X78" s="31"/>
      <c r="Y78" s="36">
        <f t="shared" si="61"/>
        <v>0</v>
      </c>
      <c r="Z78" s="31"/>
      <c r="AA78" s="31"/>
      <c r="AB78" s="31"/>
    </row>
    <row r="79" spans="1:28" ht="20.100000000000001" customHeight="1">
      <c r="A79" s="3">
        <v>1</v>
      </c>
      <c r="B79" s="257" t="s">
        <v>173</v>
      </c>
      <c r="C79" s="258"/>
      <c r="D79" s="33" t="s">
        <v>174</v>
      </c>
      <c r="E79" s="3" t="s">
        <v>43</v>
      </c>
      <c r="F79" s="62">
        <f>81740.02</f>
        <v>81740.02</v>
      </c>
      <c r="G79" s="62"/>
      <c r="H79" s="62">
        <f t="shared" ref="H79:H85" si="64">F79*300%</f>
        <v>245220.06</v>
      </c>
      <c r="I79" s="62">
        <f t="shared" ref="I79:I85" si="65">F79*7.5%</f>
        <v>6130.5015000000003</v>
      </c>
      <c r="J79" s="62">
        <v>80244.38</v>
      </c>
      <c r="K79" s="62">
        <f>F79*50%</f>
        <v>40870.01</v>
      </c>
      <c r="L79" s="62">
        <f t="shared" ref="L79:L85" si="66">F79*350%</f>
        <v>286090.07</v>
      </c>
      <c r="M79" s="62">
        <f>F79*100%</f>
        <v>81740.02</v>
      </c>
      <c r="N79" s="27">
        <f>200000</f>
        <v>200000</v>
      </c>
      <c r="O79" s="27"/>
      <c r="P79" s="62">
        <f>F79*10%</f>
        <v>8174.0020000000004</v>
      </c>
      <c r="Q79" s="62">
        <v>20000</v>
      </c>
      <c r="R79" s="62">
        <v>0</v>
      </c>
      <c r="S79" s="36">
        <f>SUM(F79:R79)</f>
        <v>1050209.0635000002</v>
      </c>
      <c r="T79" s="36">
        <v>1050209.0635000002</v>
      </c>
      <c r="U79" s="36">
        <f t="shared" si="60"/>
        <v>0</v>
      </c>
      <c r="V79" s="36"/>
      <c r="W79" s="62">
        <v>52776.63</v>
      </c>
      <c r="X79" s="36">
        <v>52776.63</v>
      </c>
      <c r="Y79" s="36">
        <f t="shared" si="61"/>
        <v>0</v>
      </c>
      <c r="Z79" s="36"/>
      <c r="AA79" s="36"/>
      <c r="AB79" s="36"/>
    </row>
    <row r="80" spans="1:28" ht="20.100000000000001" customHeight="1">
      <c r="A80" s="3">
        <v>2</v>
      </c>
      <c r="B80" s="1" t="s">
        <v>175</v>
      </c>
      <c r="D80" s="1" t="s">
        <v>176</v>
      </c>
      <c r="E80" s="66" t="s">
        <v>63</v>
      </c>
      <c r="F80" s="36">
        <v>31018.84</v>
      </c>
      <c r="G80" s="62"/>
      <c r="H80" s="62">
        <f t="shared" si="64"/>
        <v>93056.52</v>
      </c>
      <c r="I80" s="62">
        <f t="shared" si="65"/>
        <v>2326.413</v>
      </c>
      <c r="J80" s="62">
        <v>40122.19</v>
      </c>
      <c r="K80" s="62">
        <f t="shared" ref="K80:K81" si="67">F80*50%</f>
        <v>15509.42</v>
      </c>
      <c r="L80" s="62">
        <f t="shared" si="66"/>
        <v>108565.94</v>
      </c>
      <c r="M80" s="62">
        <f t="shared" ref="M80:M81" si="68">F80*100%</f>
        <v>31018.84</v>
      </c>
      <c r="N80" s="27">
        <f>160000</f>
        <v>160000</v>
      </c>
      <c r="O80" s="27"/>
      <c r="P80" s="62">
        <f t="shared" ref="P80:P81" si="69">F80*10%</f>
        <v>3101.884</v>
      </c>
      <c r="Q80" s="62">
        <v>20000</v>
      </c>
      <c r="R80" s="63">
        <v>0</v>
      </c>
      <c r="S80" s="36">
        <f t="shared" ref="S80:S81" si="70">SUM(F80:R80)</f>
        <v>504720.04700000002</v>
      </c>
      <c r="T80" s="36">
        <v>504720.04700000002</v>
      </c>
      <c r="U80" s="36">
        <f t="shared" si="60"/>
        <v>0</v>
      </c>
      <c r="V80" s="36"/>
      <c r="W80" s="62">
        <f t="shared" ref="W80:W81" si="71">15548.33</f>
        <v>15548.33</v>
      </c>
      <c r="X80" s="36">
        <v>15548.33</v>
      </c>
      <c r="Y80" s="36">
        <f t="shared" si="61"/>
        <v>0</v>
      </c>
      <c r="Z80" s="36"/>
      <c r="AA80" s="36"/>
      <c r="AB80" s="36"/>
    </row>
    <row r="81" spans="1:28" ht="20.100000000000001" customHeight="1">
      <c r="A81" s="3">
        <v>3</v>
      </c>
      <c r="B81" s="1" t="s">
        <v>177</v>
      </c>
      <c r="D81" s="1" t="s">
        <v>178</v>
      </c>
      <c r="E81" s="66" t="s">
        <v>63</v>
      </c>
      <c r="F81" s="36">
        <v>31018.84</v>
      </c>
      <c r="G81" s="62"/>
      <c r="H81" s="62">
        <f t="shared" si="64"/>
        <v>93056.52</v>
      </c>
      <c r="I81" s="62">
        <f t="shared" si="65"/>
        <v>2326.413</v>
      </c>
      <c r="J81" s="62">
        <v>40122.19</v>
      </c>
      <c r="K81" s="62">
        <f t="shared" si="67"/>
        <v>15509.42</v>
      </c>
      <c r="L81" s="62">
        <f t="shared" si="66"/>
        <v>108565.94</v>
      </c>
      <c r="M81" s="62">
        <f t="shared" si="68"/>
        <v>31018.84</v>
      </c>
      <c r="N81" s="27">
        <f>160000</f>
        <v>160000</v>
      </c>
      <c r="O81" s="27"/>
      <c r="P81" s="62">
        <f t="shared" si="69"/>
        <v>3101.884</v>
      </c>
      <c r="Q81" s="62">
        <v>20000</v>
      </c>
      <c r="R81" s="63">
        <v>0</v>
      </c>
      <c r="S81" s="36">
        <f t="shared" si="70"/>
        <v>504720.04700000002</v>
      </c>
      <c r="T81" s="36">
        <v>504720.04700000002</v>
      </c>
      <c r="U81" s="36">
        <f t="shared" si="60"/>
        <v>0</v>
      </c>
      <c r="V81" s="36"/>
      <c r="W81" s="62">
        <f t="shared" si="71"/>
        <v>15548.33</v>
      </c>
      <c r="X81" s="36">
        <v>15548.33</v>
      </c>
      <c r="Y81" s="36">
        <f t="shared" si="61"/>
        <v>0</v>
      </c>
      <c r="Z81" s="36"/>
      <c r="AA81" s="36"/>
      <c r="AB81" s="36"/>
    </row>
    <row r="82" spans="1:28" ht="20.100000000000001" customHeight="1">
      <c r="A82" s="3">
        <v>4</v>
      </c>
      <c r="B82" s="257" t="s">
        <v>179</v>
      </c>
      <c r="C82" s="258"/>
      <c r="D82" s="33" t="s">
        <v>140</v>
      </c>
      <c r="E82" s="66" t="s">
        <v>98</v>
      </c>
      <c r="F82" s="62">
        <f>24741.26</f>
        <v>24741.26</v>
      </c>
      <c r="G82" s="62"/>
      <c r="H82" s="62">
        <f t="shared" si="64"/>
        <v>74223.78</v>
      </c>
      <c r="I82" s="62">
        <f t="shared" si="65"/>
        <v>1855.5944999999997</v>
      </c>
      <c r="J82" s="36">
        <v>0</v>
      </c>
      <c r="K82" s="62">
        <f>F82*50%</f>
        <v>12370.63</v>
      </c>
      <c r="L82" s="36">
        <f t="shared" si="66"/>
        <v>86594.409999999989</v>
      </c>
      <c r="M82" s="62">
        <f>F82*100%</f>
        <v>24741.26</v>
      </c>
      <c r="N82" s="27">
        <f>120000</f>
        <v>120000</v>
      </c>
      <c r="O82" s="27"/>
      <c r="P82" s="62">
        <f>F82*10%</f>
        <v>2474.1260000000002</v>
      </c>
      <c r="Q82" s="62">
        <v>15000</v>
      </c>
      <c r="R82" s="62">
        <v>0</v>
      </c>
      <c r="S82" s="36">
        <f>SUM(F82:R82)</f>
        <v>362001.06049999996</v>
      </c>
      <c r="T82" s="36">
        <v>354201.02600000001</v>
      </c>
      <c r="U82" s="36">
        <f t="shared" si="60"/>
        <v>7800.0344999999506</v>
      </c>
      <c r="V82" s="36"/>
      <c r="W82" s="62">
        <f>7709.76</f>
        <v>7709.76</v>
      </c>
      <c r="X82" s="36">
        <v>7709.76</v>
      </c>
      <c r="Y82" s="36">
        <f t="shared" si="61"/>
        <v>0</v>
      </c>
      <c r="Z82" s="36"/>
      <c r="AA82" s="36"/>
      <c r="AB82" s="36"/>
    </row>
    <row r="83" spans="1:28" ht="20.100000000000001" customHeight="1">
      <c r="A83" s="3">
        <v>5</v>
      </c>
      <c r="B83" s="257" t="s">
        <v>180</v>
      </c>
      <c r="C83" s="258"/>
      <c r="D83" s="33" t="s">
        <v>166</v>
      </c>
      <c r="E83" s="3" t="s">
        <v>168</v>
      </c>
      <c r="F83" s="62">
        <f t="shared" ref="F83" si="72">17286.33</f>
        <v>17286.330000000002</v>
      </c>
      <c r="G83" s="62"/>
      <c r="H83" s="62">
        <f t="shared" si="64"/>
        <v>51858.990000000005</v>
      </c>
      <c r="I83" s="62">
        <f t="shared" si="65"/>
        <v>1296.4747500000001</v>
      </c>
      <c r="J83" s="62"/>
      <c r="K83" s="62">
        <f t="shared" ref="K83:K85" si="73">F83*50%</f>
        <v>8643.1650000000009</v>
      </c>
      <c r="L83" s="62">
        <f t="shared" si="66"/>
        <v>60502.155000000006</v>
      </c>
      <c r="M83" s="62">
        <f t="shared" ref="M83:M85" si="74">F83*100%</f>
        <v>17286.330000000002</v>
      </c>
      <c r="N83" s="27">
        <f>100000</f>
        <v>100000</v>
      </c>
      <c r="O83" s="27"/>
      <c r="P83" s="62">
        <f t="shared" ref="P83:P85" si="75">F83*10%</f>
        <v>1728.6330000000003</v>
      </c>
      <c r="Q83" s="62">
        <v>10000</v>
      </c>
      <c r="R83" s="62"/>
      <c r="S83" s="36">
        <f t="shared" ref="S83:S85" si="76">SUM(F83:R83)</f>
        <v>268602.07775000005</v>
      </c>
      <c r="T83" s="36">
        <v>268602.07775000005</v>
      </c>
      <c r="U83" s="36">
        <f t="shared" si="60"/>
        <v>0</v>
      </c>
      <c r="V83" s="36"/>
      <c r="W83" s="62">
        <v>3369.51</v>
      </c>
      <c r="X83" s="36">
        <v>3369.51</v>
      </c>
      <c r="Y83" s="36">
        <f t="shared" si="61"/>
        <v>0</v>
      </c>
      <c r="Z83" s="36"/>
      <c r="AA83" s="36"/>
      <c r="AB83" s="36"/>
    </row>
    <row r="84" spans="1:28" ht="20.100000000000001" customHeight="1">
      <c r="A84" s="3">
        <v>6</v>
      </c>
      <c r="B84" s="97" t="s">
        <v>181</v>
      </c>
      <c r="C84" s="98"/>
      <c r="D84" s="33" t="s">
        <v>182</v>
      </c>
      <c r="E84" s="3" t="s">
        <v>111</v>
      </c>
      <c r="F84" s="62">
        <f>13112.16</f>
        <v>13112.16</v>
      </c>
      <c r="G84" s="62"/>
      <c r="H84" s="62">
        <f t="shared" si="64"/>
        <v>39336.479999999996</v>
      </c>
      <c r="I84" s="62">
        <f t="shared" si="65"/>
        <v>983.41199999999992</v>
      </c>
      <c r="J84" s="62"/>
      <c r="K84" s="62">
        <f t="shared" si="73"/>
        <v>6556.08</v>
      </c>
      <c r="L84" s="62">
        <f t="shared" si="66"/>
        <v>45892.56</v>
      </c>
      <c r="M84" s="62">
        <f t="shared" si="74"/>
        <v>13112.16</v>
      </c>
      <c r="N84" s="27">
        <f t="shared" ref="N84:N85" si="77">100000</f>
        <v>100000</v>
      </c>
      <c r="O84" s="27"/>
      <c r="P84" s="62">
        <f t="shared" si="75"/>
        <v>1311.2160000000001</v>
      </c>
      <c r="Q84" s="62">
        <v>10000</v>
      </c>
      <c r="R84" s="62"/>
      <c r="S84" s="36">
        <f t="shared" si="76"/>
        <v>230304.068</v>
      </c>
      <c r="T84" s="36">
        <v>226816.1</v>
      </c>
      <c r="U84" s="36">
        <f t="shared" si="60"/>
        <v>3487.9679999999935</v>
      </c>
      <c r="V84" s="36"/>
      <c r="W84" s="62">
        <v>1484.37</v>
      </c>
      <c r="X84" s="36">
        <v>1484.37</v>
      </c>
      <c r="Y84" s="36">
        <f t="shared" si="61"/>
        <v>0</v>
      </c>
      <c r="Z84" s="36"/>
      <c r="AA84" s="36"/>
      <c r="AB84" s="36"/>
    </row>
    <row r="85" spans="1:28" ht="20.100000000000001" customHeight="1">
      <c r="A85" s="3">
        <v>7</v>
      </c>
      <c r="B85" s="97" t="s">
        <v>183</v>
      </c>
      <c r="C85" s="98"/>
      <c r="D85" s="33" t="s">
        <v>184</v>
      </c>
      <c r="E85" s="3" t="s">
        <v>93</v>
      </c>
      <c r="F85" s="62">
        <f>12351.94</f>
        <v>12351.94</v>
      </c>
      <c r="G85" s="62"/>
      <c r="H85" s="62">
        <f t="shared" si="64"/>
        <v>37055.82</v>
      </c>
      <c r="I85" s="62">
        <f t="shared" si="65"/>
        <v>926.39549999999997</v>
      </c>
      <c r="J85" s="62"/>
      <c r="K85" s="62">
        <f t="shared" si="73"/>
        <v>6175.97</v>
      </c>
      <c r="L85" s="62">
        <f t="shared" si="66"/>
        <v>43231.79</v>
      </c>
      <c r="M85" s="62">
        <f t="shared" si="74"/>
        <v>12351.94</v>
      </c>
      <c r="N85" s="27">
        <f t="shared" si="77"/>
        <v>100000</v>
      </c>
      <c r="O85" s="27"/>
      <c r="P85" s="62">
        <f t="shared" si="75"/>
        <v>1235.1940000000002</v>
      </c>
      <c r="Q85" s="62">
        <v>10000</v>
      </c>
      <c r="R85" s="62"/>
      <c r="S85" s="36">
        <f t="shared" si="76"/>
        <v>223329.04949999999</v>
      </c>
      <c r="T85" s="36">
        <v>223329.04949999999</v>
      </c>
      <c r="U85" s="36">
        <f t="shared" si="60"/>
        <v>0</v>
      </c>
      <c r="V85" s="36"/>
      <c r="W85" s="62">
        <v>1484.37</v>
      </c>
      <c r="X85" s="36">
        <v>1484.37</v>
      </c>
      <c r="Y85" s="36">
        <f t="shared" si="61"/>
        <v>0</v>
      </c>
      <c r="Z85" s="36"/>
      <c r="AA85" s="36"/>
      <c r="AB85" s="36"/>
    </row>
    <row r="86" spans="1:28" ht="20.100000000000001" customHeight="1">
      <c r="A86" s="3"/>
      <c r="B86" s="273" t="s">
        <v>34</v>
      </c>
      <c r="C86" s="274"/>
      <c r="D86" s="30">
        <v>7</v>
      </c>
      <c r="E86" s="30"/>
      <c r="F86" s="92">
        <f>SUM(F79:F85)</f>
        <v>211269.39000000004</v>
      </c>
      <c r="G86" s="92"/>
      <c r="H86" s="92">
        <f t="shared" ref="H86:N86" si="78">SUM(H79:H85)</f>
        <v>633808.16999999993</v>
      </c>
      <c r="I86" s="92">
        <f t="shared" si="78"/>
        <v>15845.204250000001</v>
      </c>
      <c r="J86" s="92">
        <f t="shared" si="78"/>
        <v>160488.76</v>
      </c>
      <c r="K86" s="92">
        <f t="shared" si="78"/>
        <v>105634.69500000002</v>
      </c>
      <c r="L86" s="92">
        <f t="shared" si="78"/>
        <v>739442.86499999999</v>
      </c>
      <c r="M86" s="92">
        <f t="shared" si="78"/>
        <v>211269.39000000004</v>
      </c>
      <c r="N86" s="134">
        <f t="shared" si="78"/>
        <v>940000</v>
      </c>
      <c r="O86" s="134"/>
      <c r="P86" s="92">
        <f>SUM(P79:P85)</f>
        <v>21126.939000000002</v>
      </c>
      <c r="Q86" s="92">
        <f>SUM(Q79:Q85)</f>
        <v>105000</v>
      </c>
      <c r="R86" s="92">
        <f>SUM(R79:R85)</f>
        <v>0</v>
      </c>
      <c r="S86" s="92">
        <f>SUM(S79:S85)</f>
        <v>3143885.4132500007</v>
      </c>
      <c r="T86" s="92">
        <v>3132597.4107500007</v>
      </c>
      <c r="U86" s="106">
        <f t="shared" si="60"/>
        <v>11288.002499999944</v>
      </c>
      <c r="V86" s="92"/>
      <c r="W86" s="92">
        <f>SUM(W79:W85)</f>
        <v>97921.299999999974</v>
      </c>
      <c r="X86" s="92">
        <v>97921.299999999974</v>
      </c>
      <c r="Y86" s="36">
        <f t="shared" si="61"/>
        <v>0</v>
      </c>
      <c r="Z86" s="92"/>
      <c r="AA86" s="92"/>
      <c r="AB86" s="92"/>
    </row>
    <row r="87" spans="1:28" ht="20.100000000000001" customHeight="1">
      <c r="A87" s="3"/>
      <c r="B87" s="275"/>
      <c r="C87" s="276"/>
      <c r="D87" s="7"/>
      <c r="E87" s="7"/>
      <c r="F87" s="39"/>
      <c r="G87" s="39"/>
      <c r="H87" s="39"/>
      <c r="I87" s="39"/>
      <c r="J87" s="39"/>
      <c r="K87" s="39"/>
      <c r="L87" s="39"/>
      <c r="M87" s="39"/>
      <c r="N87" s="27"/>
      <c r="O87" s="27"/>
      <c r="P87" s="39"/>
      <c r="Q87" s="39"/>
      <c r="R87" s="39"/>
      <c r="S87" s="63"/>
      <c r="T87" s="63"/>
      <c r="U87" s="36">
        <f t="shared" si="60"/>
        <v>0</v>
      </c>
      <c r="V87" s="63"/>
      <c r="W87" s="39"/>
      <c r="X87" s="63"/>
      <c r="Y87" s="36">
        <f t="shared" si="61"/>
        <v>0</v>
      </c>
      <c r="Z87" s="36"/>
      <c r="AA87" s="36"/>
      <c r="AB87" s="36"/>
    </row>
    <row r="88" spans="1:28" ht="20.100000000000001" customHeight="1">
      <c r="A88" s="3"/>
      <c r="B88" s="277" t="s">
        <v>185</v>
      </c>
      <c r="C88" s="278"/>
      <c r="D88" s="69"/>
      <c r="E88" s="7"/>
      <c r="F88" s="39"/>
      <c r="G88" s="39"/>
      <c r="H88" s="39"/>
      <c r="I88" s="39"/>
      <c r="J88" s="39"/>
      <c r="K88" s="39"/>
      <c r="L88" s="39"/>
      <c r="M88" s="39"/>
      <c r="N88" s="27"/>
      <c r="O88" s="27"/>
      <c r="P88" s="39"/>
      <c r="Q88" s="39"/>
      <c r="R88" s="39"/>
      <c r="S88" s="63"/>
      <c r="T88" s="63"/>
      <c r="U88" s="36">
        <f t="shared" si="60"/>
        <v>0</v>
      </c>
      <c r="V88" s="63"/>
      <c r="W88" s="39"/>
      <c r="X88" s="63"/>
      <c r="Y88" s="36">
        <f t="shared" si="61"/>
        <v>0</v>
      </c>
      <c r="Z88" s="36"/>
      <c r="AA88" s="36"/>
      <c r="AB88" s="36"/>
    </row>
    <row r="89" spans="1:28" ht="20.100000000000001" customHeight="1">
      <c r="A89" s="3">
        <v>1</v>
      </c>
      <c r="B89" s="257" t="s">
        <v>186</v>
      </c>
      <c r="C89" s="258"/>
      <c r="D89" s="33" t="s">
        <v>187</v>
      </c>
      <c r="E89" s="3" t="s">
        <v>46</v>
      </c>
      <c r="F89" s="62">
        <f>41157.69</f>
        <v>41157.69</v>
      </c>
      <c r="G89" s="62"/>
      <c r="H89" s="62">
        <f t="shared" ref="H89:H98" si="79">F89*300%</f>
        <v>123473.07</v>
      </c>
      <c r="I89" s="62">
        <f t="shared" ref="I89:I98" si="80">F89*7.5%</f>
        <v>3086.8267500000002</v>
      </c>
      <c r="J89" s="62">
        <v>40122.19</v>
      </c>
      <c r="K89" s="62">
        <f t="shared" ref="K89:K98" si="81">F89*50%</f>
        <v>20578.845000000001</v>
      </c>
      <c r="L89" s="62">
        <f t="shared" ref="L89:L98" si="82">F89*350%</f>
        <v>144051.91500000001</v>
      </c>
      <c r="M89" s="62">
        <f t="shared" ref="M89:M98" si="83">F89*100%</f>
        <v>41157.69</v>
      </c>
      <c r="N89" s="27">
        <f>180000</f>
        <v>180000</v>
      </c>
      <c r="O89" s="27"/>
      <c r="P89" s="62">
        <f t="shared" ref="P89:P98" si="84">F89*10%</f>
        <v>4115.7690000000002</v>
      </c>
      <c r="Q89" s="62">
        <v>20000</v>
      </c>
      <c r="R89" s="62"/>
      <c r="S89" s="36">
        <f t="shared" ref="S89:S98" si="85">SUM(F89:R89)</f>
        <v>617743.99575</v>
      </c>
      <c r="T89" s="36">
        <v>604023.33374999999</v>
      </c>
      <c r="U89" s="36">
        <f t="shared" si="60"/>
        <v>13720.662000000011</v>
      </c>
      <c r="V89" s="36"/>
      <c r="W89" s="62">
        <f>21618.09</f>
        <v>21618.09</v>
      </c>
      <c r="X89" s="36">
        <v>21618.09</v>
      </c>
      <c r="Y89" s="36">
        <f t="shared" si="61"/>
        <v>0</v>
      </c>
      <c r="Z89" s="36"/>
      <c r="AA89" s="36"/>
      <c r="AB89" s="36"/>
    </row>
    <row r="90" spans="1:28" ht="20.100000000000001" customHeight="1">
      <c r="A90" s="3">
        <v>2</v>
      </c>
      <c r="B90" s="257" t="s">
        <v>188</v>
      </c>
      <c r="C90" s="258"/>
      <c r="D90" s="33" t="s">
        <v>127</v>
      </c>
      <c r="E90" s="3" t="s">
        <v>54</v>
      </c>
      <c r="F90" s="62">
        <f>33507.5</f>
        <v>33507.5</v>
      </c>
      <c r="G90" s="62"/>
      <c r="H90" s="62">
        <f t="shared" si="79"/>
        <v>100522.5</v>
      </c>
      <c r="I90" s="62">
        <f t="shared" si="80"/>
        <v>2513.0625</v>
      </c>
      <c r="J90" s="62">
        <f>40122.19</f>
        <v>40122.19</v>
      </c>
      <c r="K90" s="62">
        <f t="shared" si="81"/>
        <v>16753.75</v>
      </c>
      <c r="L90" s="62">
        <f t="shared" si="82"/>
        <v>117276.25</v>
      </c>
      <c r="M90" s="62">
        <f t="shared" si="83"/>
        <v>33507.5</v>
      </c>
      <c r="N90" s="27">
        <f>160000</f>
        <v>160000</v>
      </c>
      <c r="O90" s="27"/>
      <c r="P90" s="62">
        <f t="shared" si="84"/>
        <v>3350.75</v>
      </c>
      <c r="Q90" s="62">
        <v>20000</v>
      </c>
      <c r="R90" s="62"/>
      <c r="S90" s="36">
        <f t="shared" si="85"/>
        <v>527553.50249999994</v>
      </c>
      <c r="T90" s="36">
        <v>516137.05000000005</v>
      </c>
      <c r="U90" s="36">
        <f t="shared" si="60"/>
        <v>11416.452499999898</v>
      </c>
      <c r="V90" s="36"/>
      <c r="W90" s="62">
        <f>15548.33</f>
        <v>15548.33</v>
      </c>
      <c r="X90" s="36">
        <v>15548.33</v>
      </c>
      <c r="Y90" s="36">
        <f t="shared" si="61"/>
        <v>0</v>
      </c>
      <c r="Z90" s="36"/>
      <c r="AA90" s="36"/>
      <c r="AB90" s="36"/>
    </row>
    <row r="91" spans="1:28" ht="20.100000000000001" customHeight="1">
      <c r="A91" s="3">
        <v>3</v>
      </c>
      <c r="B91" s="257" t="s">
        <v>189</v>
      </c>
      <c r="C91" s="258"/>
      <c r="D91" s="33" t="s">
        <v>127</v>
      </c>
      <c r="E91" s="3" t="s">
        <v>54</v>
      </c>
      <c r="F91" s="62">
        <f>33507.5</f>
        <v>33507.5</v>
      </c>
      <c r="G91" s="62"/>
      <c r="H91" s="62">
        <f>F91*300%</f>
        <v>100522.5</v>
      </c>
      <c r="I91" s="62">
        <f>F91*7.5%</f>
        <v>2513.0625</v>
      </c>
      <c r="J91" s="62">
        <f>40122.19</f>
        <v>40122.19</v>
      </c>
      <c r="K91" s="62">
        <f>F91*50%</f>
        <v>16753.75</v>
      </c>
      <c r="L91" s="62">
        <f>F91*350%</f>
        <v>117276.25</v>
      </c>
      <c r="M91" s="62">
        <f>F91*100%</f>
        <v>33507.5</v>
      </c>
      <c r="N91" s="27">
        <f>160000</f>
        <v>160000</v>
      </c>
      <c r="O91" s="27"/>
      <c r="P91" s="62">
        <f>F91*10%</f>
        <v>3350.75</v>
      </c>
      <c r="Q91" s="62">
        <v>20000</v>
      </c>
      <c r="R91" s="62"/>
      <c r="S91" s="36">
        <f>SUM(F91:R91)</f>
        <v>527553.50249999994</v>
      </c>
      <c r="T91" s="36">
        <v>516137.05000000005</v>
      </c>
      <c r="U91" s="36">
        <f t="shared" si="60"/>
        <v>11416.452499999898</v>
      </c>
      <c r="V91" s="36"/>
      <c r="W91" s="62">
        <f>15548.33</f>
        <v>15548.33</v>
      </c>
      <c r="X91" s="36">
        <v>15548.33</v>
      </c>
      <c r="Y91" s="36">
        <f t="shared" si="61"/>
        <v>0</v>
      </c>
      <c r="Z91" s="36"/>
      <c r="AA91" s="36"/>
      <c r="AB91" s="36"/>
    </row>
    <row r="92" spans="1:28" ht="20.100000000000001" customHeight="1">
      <c r="A92" s="3">
        <v>4</v>
      </c>
      <c r="B92" s="257" t="s">
        <v>396</v>
      </c>
      <c r="C92" s="258"/>
      <c r="D92" s="33" t="s">
        <v>131</v>
      </c>
      <c r="E92" s="3" t="s">
        <v>66</v>
      </c>
      <c r="F92" s="62">
        <f>26732.65</f>
        <v>26732.65</v>
      </c>
      <c r="G92" s="62"/>
      <c r="H92" s="62">
        <f t="shared" si="79"/>
        <v>80197.950000000012</v>
      </c>
      <c r="I92" s="62">
        <f t="shared" si="80"/>
        <v>2004.94875</v>
      </c>
      <c r="J92" s="62">
        <v>0</v>
      </c>
      <c r="K92" s="62">
        <f t="shared" si="81"/>
        <v>13366.325000000001</v>
      </c>
      <c r="L92" s="62">
        <f t="shared" si="82"/>
        <v>93564.275000000009</v>
      </c>
      <c r="M92" s="62">
        <f t="shared" si="83"/>
        <v>26732.65</v>
      </c>
      <c r="N92" s="27">
        <v>140000</v>
      </c>
      <c r="O92" s="27"/>
      <c r="P92" s="62">
        <f t="shared" si="84"/>
        <v>2673.2650000000003</v>
      </c>
      <c r="Q92" s="62">
        <v>20000</v>
      </c>
      <c r="R92" s="62">
        <v>0</v>
      </c>
      <c r="S92" s="36">
        <f t="shared" si="85"/>
        <v>405272.06374999997</v>
      </c>
      <c r="T92" s="36">
        <v>397211.36749999999</v>
      </c>
      <c r="U92" s="36">
        <f t="shared" si="60"/>
        <v>8060.696249999979</v>
      </c>
      <c r="V92" s="36"/>
      <c r="W92" s="36">
        <f t="shared" si="17"/>
        <v>7709.76</v>
      </c>
      <c r="X92" s="36">
        <v>7709.76</v>
      </c>
      <c r="Y92" s="36">
        <f t="shared" si="61"/>
        <v>0</v>
      </c>
      <c r="Z92" s="36"/>
      <c r="AA92" s="36"/>
      <c r="AB92" s="36"/>
    </row>
    <row r="93" spans="1:28" ht="20.100000000000001" customHeight="1">
      <c r="A93" s="3">
        <v>5</v>
      </c>
      <c r="B93" s="271" t="s">
        <v>190</v>
      </c>
      <c r="C93" s="272"/>
      <c r="D93" s="33" t="s">
        <v>135</v>
      </c>
      <c r="E93" s="3" t="s">
        <v>191</v>
      </c>
      <c r="F93" s="62">
        <f>27611.23</f>
        <v>27611.23</v>
      </c>
      <c r="G93" s="62"/>
      <c r="H93" s="62">
        <f>F93*300%</f>
        <v>82833.69</v>
      </c>
      <c r="I93" s="62">
        <f>F93*7.5%</f>
        <v>2070.8422499999997</v>
      </c>
      <c r="J93" s="62"/>
      <c r="K93" s="62">
        <f>F93*50%</f>
        <v>13805.615</v>
      </c>
      <c r="L93" s="36">
        <f>F93*350%</f>
        <v>96639.304999999993</v>
      </c>
      <c r="M93" s="62">
        <f>F93*100%</f>
        <v>27611.23</v>
      </c>
      <c r="N93" s="27">
        <v>140000</v>
      </c>
      <c r="O93" s="27"/>
      <c r="P93" s="62">
        <f>F93*10%</f>
        <v>2761.123</v>
      </c>
      <c r="Q93" s="62">
        <v>20000</v>
      </c>
      <c r="R93" s="62">
        <v>0</v>
      </c>
      <c r="S93" s="26">
        <f>SUM(F93:R93)</f>
        <v>413333.03525000007</v>
      </c>
      <c r="T93" s="26">
        <v>405272.06374999997</v>
      </c>
      <c r="U93" s="36">
        <f t="shared" si="60"/>
        <v>8060.9715000001015</v>
      </c>
      <c r="V93" s="36"/>
      <c r="W93" s="36">
        <f>7709.76</f>
        <v>7709.76</v>
      </c>
      <c r="X93" s="36">
        <v>7709.76</v>
      </c>
      <c r="Y93" s="36">
        <f t="shared" si="61"/>
        <v>0</v>
      </c>
      <c r="Z93" s="36"/>
      <c r="AA93" s="26"/>
      <c r="AB93" s="26"/>
    </row>
    <row r="94" spans="1:28" ht="20.100000000000001" customHeight="1">
      <c r="A94" s="3">
        <v>6</v>
      </c>
      <c r="B94" s="269" t="s">
        <v>192</v>
      </c>
      <c r="C94" s="270"/>
      <c r="D94" s="33" t="s">
        <v>131</v>
      </c>
      <c r="E94" s="3" t="s">
        <v>66</v>
      </c>
      <c r="F94" s="26">
        <f>26732.65</f>
        <v>26732.65</v>
      </c>
      <c r="G94" s="62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6">
        <f t="shared" si="85"/>
        <v>405272.06374999997</v>
      </c>
      <c r="T94" s="36">
        <v>397211.36749999999</v>
      </c>
      <c r="U94" s="36">
        <f t="shared" si="60"/>
        <v>8060.696249999979</v>
      </c>
      <c r="V94" s="24"/>
      <c r="W94" s="36">
        <f t="shared" si="17"/>
        <v>7709.76</v>
      </c>
      <c r="X94" s="24">
        <v>7709.76</v>
      </c>
      <c r="Y94" s="36">
        <f t="shared" si="61"/>
        <v>0</v>
      </c>
      <c r="Z94" s="36"/>
      <c r="AA94" s="36"/>
      <c r="AB94" s="36"/>
    </row>
    <row r="95" spans="1:28" ht="20.100000000000001" customHeight="1">
      <c r="A95" s="3">
        <v>7</v>
      </c>
      <c r="B95" s="257" t="s">
        <v>397</v>
      </c>
      <c r="C95" s="258"/>
      <c r="D95" s="61" t="s">
        <v>135</v>
      </c>
      <c r="E95" s="66" t="s">
        <v>395</v>
      </c>
      <c r="F95" s="62">
        <f>25854.1</f>
        <v>25854.1</v>
      </c>
      <c r="G95" s="62"/>
      <c r="H95" s="62">
        <f>F95*300%</f>
        <v>77562.299999999988</v>
      </c>
      <c r="I95" s="62">
        <f>F95*7.5%</f>
        <v>1939.0574999999999</v>
      </c>
      <c r="J95" s="62">
        <v>0</v>
      </c>
      <c r="K95" s="62">
        <f>F95*50%</f>
        <v>12927.05</v>
      </c>
      <c r="L95" s="36">
        <f>F95*350%</f>
        <v>90489.349999999991</v>
      </c>
      <c r="M95" s="62">
        <f>F95*100%</f>
        <v>25854.1</v>
      </c>
      <c r="N95" s="27">
        <v>140000</v>
      </c>
      <c r="O95" s="27"/>
      <c r="P95" s="62">
        <f>F95*10%</f>
        <v>2585.41</v>
      </c>
      <c r="Q95" s="62">
        <v>20000</v>
      </c>
      <c r="R95" s="62" t="s">
        <v>398</v>
      </c>
      <c r="S95" s="36">
        <f>SUM(F95:R95)</f>
        <v>397211.36749999999</v>
      </c>
      <c r="T95" s="36">
        <v>389153.05674999999</v>
      </c>
      <c r="U95" s="36">
        <f t="shared" si="60"/>
        <v>8058.3107500000042</v>
      </c>
      <c r="V95" s="36"/>
      <c r="W95" s="62">
        <f t="shared" si="18"/>
        <v>7709.76</v>
      </c>
      <c r="X95" s="36">
        <v>7709.76</v>
      </c>
      <c r="Y95" s="36">
        <f t="shared" si="61"/>
        <v>0</v>
      </c>
      <c r="Z95" s="36"/>
      <c r="AA95" s="36"/>
      <c r="AB95" s="36"/>
    </row>
    <row r="96" spans="1:28" ht="21.6" customHeight="1">
      <c r="A96" s="3">
        <v>8</v>
      </c>
      <c r="B96" s="264" t="s">
        <v>195</v>
      </c>
      <c r="C96" s="264"/>
      <c r="D96" s="33" t="s">
        <v>140</v>
      </c>
      <c r="E96" s="66" t="s">
        <v>98</v>
      </c>
      <c r="F96" s="62">
        <f>24741.26</f>
        <v>24741.26</v>
      </c>
      <c r="G96" s="62"/>
      <c r="H96" s="62">
        <f t="shared" si="79"/>
        <v>74223.78</v>
      </c>
      <c r="I96" s="62">
        <f t="shared" si="80"/>
        <v>1855.5944999999997</v>
      </c>
      <c r="J96" s="62">
        <v>0</v>
      </c>
      <c r="K96" s="62">
        <f t="shared" si="81"/>
        <v>12370.63</v>
      </c>
      <c r="L96" s="36">
        <f t="shared" si="82"/>
        <v>86594.409999999989</v>
      </c>
      <c r="M96" s="62">
        <f t="shared" si="83"/>
        <v>24741.26</v>
      </c>
      <c r="N96" s="27">
        <f>120000</f>
        <v>120000</v>
      </c>
      <c r="O96" s="27"/>
      <c r="P96" s="62">
        <f t="shared" si="84"/>
        <v>2474.1260000000002</v>
      </c>
      <c r="Q96" s="62">
        <v>15000</v>
      </c>
      <c r="R96" s="62">
        <v>0</v>
      </c>
      <c r="S96" s="36">
        <f t="shared" si="85"/>
        <v>362001.06049999996</v>
      </c>
      <c r="T96" s="36">
        <v>354201.02600000001</v>
      </c>
      <c r="U96" s="36">
        <f t="shared" si="60"/>
        <v>7800.0344999999506</v>
      </c>
      <c r="V96" s="36"/>
      <c r="W96" s="62">
        <f>7709.76</f>
        <v>7709.76</v>
      </c>
      <c r="X96" s="36">
        <v>7709.76</v>
      </c>
      <c r="Y96" s="36">
        <f t="shared" si="61"/>
        <v>0</v>
      </c>
      <c r="Z96" s="36"/>
      <c r="AA96" s="36"/>
      <c r="AB96" s="36"/>
    </row>
    <row r="97" spans="1:29" ht="21.6" customHeight="1">
      <c r="A97" s="3">
        <v>9</v>
      </c>
      <c r="B97" s="257" t="s">
        <v>196</v>
      </c>
      <c r="C97" s="258"/>
      <c r="D97" s="61" t="s">
        <v>137</v>
      </c>
      <c r="E97" s="66" t="s">
        <v>79</v>
      </c>
      <c r="F97" s="62">
        <f>23891.12</f>
        <v>23891.119999999999</v>
      </c>
      <c r="G97" s="62"/>
      <c r="H97" s="62">
        <f t="shared" si="79"/>
        <v>71673.36</v>
      </c>
      <c r="I97" s="62">
        <f t="shared" si="80"/>
        <v>1791.8339999999998</v>
      </c>
      <c r="J97" s="62">
        <v>0</v>
      </c>
      <c r="K97" s="62">
        <f t="shared" si="81"/>
        <v>11945.56</v>
      </c>
      <c r="L97" s="36">
        <f t="shared" si="82"/>
        <v>83618.92</v>
      </c>
      <c r="M97" s="62">
        <f t="shared" si="83"/>
        <v>23891.119999999999</v>
      </c>
      <c r="N97" s="27">
        <f t="shared" ref="N97:N98" si="86">120000</f>
        <v>120000</v>
      </c>
      <c r="O97" s="27"/>
      <c r="P97" s="62">
        <f t="shared" si="84"/>
        <v>2389.1120000000001</v>
      </c>
      <c r="Q97" s="62">
        <v>15000</v>
      </c>
      <c r="R97" s="62">
        <v>0</v>
      </c>
      <c r="S97" s="36">
        <f t="shared" si="85"/>
        <v>354201.02600000001</v>
      </c>
      <c r="T97" s="36">
        <v>346713.03325000004</v>
      </c>
      <c r="U97" s="36">
        <f t="shared" si="60"/>
        <v>7487.9927499999758</v>
      </c>
      <c r="V97" s="36"/>
      <c r="W97" s="62">
        <f t="shared" si="18"/>
        <v>7709.76</v>
      </c>
      <c r="X97" s="36">
        <v>7709.76</v>
      </c>
      <c r="Y97" s="36">
        <f t="shared" si="61"/>
        <v>0</v>
      </c>
      <c r="Z97" s="36"/>
      <c r="AA97" s="36"/>
      <c r="AB97" s="36"/>
    </row>
    <row r="98" spans="1:29" ht="21.6" customHeight="1">
      <c r="A98" s="3">
        <v>10</v>
      </c>
      <c r="B98" s="257" t="s">
        <v>197</v>
      </c>
      <c r="C98" s="258"/>
      <c r="D98" s="61" t="s">
        <v>137</v>
      </c>
      <c r="E98" s="66" t="s">
        <v>79</v>
      </c>
      <c r="F98" s="62">
        <f>23891.12</f>
        <v>23891.119999999999</v>
      </c>
      <c r="G98" s="62"/>
      <c r="H98" s="62">
        <f t="shared" si="79"/>
        <v>71673.36</v>
      </c>
      <c r="I98" s="62">
        <f t="shared" si="80"/>
        <v>1791.8339999999998</v>
      </c>
      <c r="J98" s="62">
        <v>0</v>
      </c>
      <c r="K98" s="62">
        <f t="shared" si="81"/>
        <v>11945.56</v>
      </c>
      <c r="L98" s="36">
        <f t="shared" si="82"/>
        <v>83618.92</v>
      </c>
      <c r="M98" s="62">
        <f t="shared" si="83"/>
        <v>23891.119999999999</v>
      </c>
      <c r="N98" s="27">
        <f t="shared" si="86"/>
        <v>120000</v>
      </c>
      <c r="O98" s="27"/>
      <c r="P98" s="62">
        <f t="shared" si="84"/>
        <v>2389.1120000000001</v>
      </c>
      <c r="Q98" s="62">
        <v>15000</v>
      </c>
      <c r="R98" s="62">
        <v>0</v>
      </c>
      <c r="S98" s="36">
        <f t="shared" si="85"/>
        <v>354201.02600000001</v>
      </c>
      <c r="T98" s="36">
        <v>346713.03325000004</v>
      </c>
      <c r="U98" s="36">
        <f t="shared" si="60"/>
        <v>7487.9927499999758</v>
      </c>
      <c r="V98" s="36"/>
      <c r="W98" s="62">
        <f t="shared" si="18"/>
        <v>7709.76</v>
      </c>
      <c r="X98" s="36">
        <v>7709.76</v>
      </c>
      <c r="Y98" s="36">
        <f t="shared" si="61"/>
        <v>0</v>
      </c>
      <c r="Z98" s="36"/>
      <c r="AA98" s="36"/>
      <c r="AB98" s="36"/>
    </row>
    <row r="99" spans="1:29" ht="20.100000000000001" customHeight="1">
      <c r="A99" s="3"/>
      <c r="B99" s="267" t="s">
        <v>34</v>
      </c>
      <c r="C99" s="267"/>
      <c r="D99" s="7">
        <v>10</v>
      </c>
      <c r="E99" s="7"/>
      <c r="F99" s="95">
        <f>SUM(F89:F98)</f>
        <v>287626.82</v>
      </c>
      <c r="G99" s="95"/>
      <c r="H99" s="95">
        <f t="shared" ref="H99:N99" si="87">SUM(H89:H98)</f>
        <v>862880.46</v>
      </c>
      <c r="I99" s="95">
        <f t="shared" si="87"/>
        <v>21572.011499999997</v>
      </c>
      <c r="J99" s="95">
        <f t="shared" si="87"/>
        <v>120366.57</v>
      </c>
      <c r="K99" s="95">
        <f t="shared" si="87"/>
        <v>143813.41</v>
      </c>
      <c r="L99" s="95">
        <f t="shared" si="87"/>
        <v>1006693.8700000002</v>
      </c>
      <c r="M99" s="95">
        <f t="shared" si="87"/>
        <v>287626.82</v>
      </c>
      <c r="N99" s="134">
        <f t="shared" si="87"/>
        <v>1420000</v>
      </c>
      <c r="O99" s="134"/>
      <c r="P99" s="95">
        <f>SUM(P89:P98)</f>
        <v>28762.682000000001</v>
      </c>
      <c r="Q99" s="95">
        <f>SUM(Q89:Q98)</f>
        <v>185000</v>
      </c>
      <c r="R99" s="95">
        <f>SUM(R89:R98)</f>
        <v>0</v>
      </c>
      <c r="S99" s="95">
        <f>SUM(S89:S98)</f>
        <v>4364342.6435000002</v>
      </c>
      <c r="T99" s="95">
        <v>4272772.3817500006</v>
      </c>
      <c r="U99" s="106">
        <f t="shared" si="60"/>
        <v>91570.261749999598</v>
      </c>
      <c r="V99" s="95"/>
      <c r="W99" s="95">
        <f>SUM(W89:W98)</f>
        <v>106683.06999999998</v>
      </c>
      <c r="X99" s="95">
        <v>106683.06999999998</v>
      </c>
      <c r="Y99" s="36">
        <f t="shared" si="61"/>
        <v>0</v>
      </c>
      <c r="Z99" s="95"/>
      <c r="AA99" s="95"/>
      <c r="AB99" s="95"/>
    </row>
    <row r="100" spans="1:29" ht="20.100000000000001" customHeight="1">
      <c r="A100" s="3"/>
      <c r="B100" s="96"/>
      <c r="C100" s="96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27"/>
      <c r="O100" s="27"/>
      <c r="P100" s="39"/>
      <c r="Q100" s="39"/>
      <c r="R100" s="39"/>
      <c r="S100" s="39"/>
      <c r="T100" s="39"/>
      <c r="U100" s="36">
        <f t="shared" si="60"/>
        <v>0</v>
      </c>
      <c r="V100" s="39"/>
      <c r="W100" s="39"/>
      <c r="X100" s="39"/>
      <c r="Y100" s="36">
        <f t="shared" si="61"/>
        <v>0</v>
      </c>
      <c r="Z100" s="39"/>
      <c r="AA100" s="39"/>
      <c r="AB100" s="39"/>
    </row>
    <row r="101" spans="1:29" ht="20.100000000000001" customHeight="1">
      <c r="A101" s="3"/>
      <c r="B101" s="267" t="s">
        <v>199</v>
      </c>
      <c r="C101" s="267"/>
      <c r="D101" s="7"/>
      <c r="E101" s="7"/>
      <c r="F101" s="39"/>
      <c r="G101" s="39"/>
      <c r="H101" s="39"/>
      <c r="I101" s="39"/>
      <c r="J101" s="39"/>
      <c r="K101" s="39"/>
      <c r="L101" s="39"/>
      <c r="M101" s="39"/>
      <c r="N101" s="27"/>
      <c r="O101" s="27"/>
      <c r="P101" s="39"/>
      <c r="Q101" s="39"/>
      <c r="R101" s="39"/>
      <c r="S101" s="39"/>
      <c r="T101" s="39"/>
      <c r="U101" s="36">
        <f t="shared" si="60"/>
        <v>0</v>
      </c>
      <c r="V101" s="39"/>
      <c r="W101" s="39"/>
      <c r="X101" s="39"/>
      <c r="Y101" s="36">
        <f t="shared" si="61"/>
        <v>0</v>
      </c>
      <c r="Z101" s="39"/>
      <c r="AA101" s="39"/>
      <c r="AB101" s="39"/>
    </row>
    <row r="102" spans="1:29" ht="20.100000000000001" customHeight="1">
      <c r="A102" s="3">
        <v>1</v>
      </c>
      <c r="B102" s="97" t="s">
        <v>200</v>
      </c>
      <c r="C102" s="98"/>
      <c r="D102" s="3" t="s">
        <v>201</v>
      </c>
      <c r="E102" s="66" t="s">
        <v>46</v>
      </c>
      <c r="F102" s="62">
        <f>41157.69</f>
        <v>41157.69</v>
      </c>
      <c r="G102" s="62"/>
      <c r="H102" s="62">
        <f t="shared" ref="H102" si="88">F102*300%</f>
        <v>123473.07</v>
      </c>
      <c r="I102" s="62">
        <f t="shared" ref="I102" si="89">F102*7.5%</f>
        <v>3086.8267500000002</v>
      </c>
      <c r="J102" s="62">
        <v>40122.19</v>
      </c>
      <c r="K102" s="62">
        <f t="shared" ref="K102" si="90">F102*50%</f>
        <v>20578.845000000001</v>
      </c>
      <c r="L102" s="62">
        <f t="shared" ref="L102" si="91">F102*350%</f>
        <v>144051.91500000001</v>
      </c>
      <c r="M102" s="62">
        <f t="shared" ref="M102" si="92">F102*100%</f>
        <v>41157.69</v>
      </c>
      <c r="N102" s="27"/>
      <c r="O102" s="27">
        <f>90000</f>
        <v>90000</v>
      </c>
      <c r="P102" s="62">
        <f t="shared" ref="P102" si="93">F102*10%</f>
        <v>4115.7690000000002</v>
      </c>
      <c r="Q102" s="62">
        <v>20000</v>
      </c>
      <c r="R102" s="62"/>
      <c r="S102" s="36">
        <f>SUM(F102:R102)</f>
        <v>527743.99575</v>
      </c>
      <c r="T102" s="36">
        <v>514023.33374999999</v>
      </c>
      <c r="U102" s="36">
        <f t="shared" si="60"/>
        <v>13720.662000000011</v>
      </c>
      <c r="V102" s="36"/>
      <c r="W102" s="62">
        <f>21618.09</f>
        <v>21618.09</v>
      </c>
      <c r="X102" s="36">
        <v>21618.09</v>
      </c>
      <c r="Y102" s="36">
        <f t="shared" si="61"/>
        <v>0</v>
      </c>
      <c r="Z102" s="36"/>
      <c r="AA102" s="36"/>
      <c r="AB102" s="36"/>
    </row>
    <row r="103" spans="1:29" ht="20.100000000000001" customHeight="1">
      <c r="A103" s="3">
        <v>2</v>
      </c>
      <c r="B103" s="269" t="s">
        <v>202</v>
      </c>
      <c r="C103" s="270"/>
      <c r="D103" s="20" t="s">
        <v>203</v>
      </c>
      <c r="E103" s="29" t="s">
        <v>66</v>
      </c>
      <c r="F103" s="26">
        <f>26732.65</f>
        <v>26732.65</v>
      </c>
      <c r="G103" s="62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6">
        <f>SUM(F103:R103)</f>
        <v>335272.06374999997</v>
      </c>
      <c r="T103" s="36">
        <v>327211.36749999999</v>
      </c>
      <c r="U103" s="36">
        <f t="shared" si="60"/>
        <v>8060.696249999979</v>
      </c>
      <c r="V103" s="24"/>
      <c r="W103" s="36">
        <f t="shared" si="17"/>
        <v>7709.76</v>
      </c>
      <c r="X103" s="24">
        <v>7709.76</v>
      </c>
      <c r="Y103" s="36">
        <f t="shared" si="61"/>
        <v>0</v>
      </c>
      <c r="Z103" s="36"/>
      <c r="AA103" s="36"/>
      <c r="AB103" s="36"/>
      <c r="AC103" s="34"/>
    </row>
    <row r="104" spans="1:29" ht="20.100000000000001" customHeight="1">
      <c r="A104" s="3">
        <v>3</v>
      </c>
      <c r="B104" s="135" t="s">
        <v>204</v>
      </c>
      <c r="C104" s="136"/>
      <c r="D104" s="20" t="s">
        <v>205</v>
      </c>
      <c r="E104" s="66" t="s">
        <v>79</v>
      </c>
      <c r="F104" s="62">
        <f>23891.12</f>
        <v>23891.119999999999</v>
      </c>
      <c r="G104" s="62"/>
      <c r="H104" s="62">
        <f t="shared" ref="H104" si="94">F104*300%</f>
        <v>71673.36</v>
      </c>
      <c r="I104" s="62">
        <f t="shared" ref="I104" si="95">F104*7.5%</f>
        <v>1791.8339999999998</v>
      </c>
      <c r="J104" s="36">
        <v>0</v>
      </c>
      <c r="K104" s="62">
        <f t="shared" ref="K104" si="96">F104*50%</f>
        <v>11945.56</v>
      </c>
      <c r="L104" s="36">
        <f t="shared" ref="L104" si="97">F104*350%</f>
        <v>83618.92</v>
      </c>
      <c r="M104" s="62">
        <f t="shared" ref="M104" si="98">F104*100%</f>
        <v>23891.119999999999</v>
      </c>
      <c r="N104" s="27"/>
      <c r="O104" s="27">
        <v>70000</v>
      </c>
      <c r="P104" s="62">
        <f t="shared" ref="P104" si="99">F104*10%</f>
        <v>2389.1120000000001</v>
      </c>
      <c r="Q104" s="62">
        <v>15000</v>
      </c>
      <c r="R104" s="62">
        <v>0</v>
      </c>
      <c r="S104" s="36">
        <f t="shared" ref="S104" si="100">SUM(F104:R104)</f>
        <v>304201.02600000001</v>
      </c>
      <c r="T104" s="36">
        <v>296713.03325000004</v>
      </c>
      <c r="U104" s="36">
        <f t="shared" si="60"/>
        <v>7487.9927499999758</v>
      </c>
      <c r="V104" s="36"/>
      <c r="W104" s="62">
        <f>7709.76</f>
        <v>7709.76</v>
      </c>
      <c r="X104" s="36">
        <v>7709.76</v>
      </c>
      <c r="Y104" s="36">
        <f t="shared" si="61"/>
        <v>0</v>
      </c>
      <c r="Z104" s="36"/>
      <c r="AA104" s="36"/>
      <c r="AB104" s="36"/>
      <c r="AC104" s="34"/>
    </row>
    <row r="105" spans="1:29" ht="20.100000000000001" customHeight="1">
      <c r="A105" s="3">
        <v>4</v>
      </c>
      <c r="B105" s="257" t="s">
        <v>206</v>
      </c>
      <c r="C105" s="258"/>
      <c r="D105" s="33" t="s">
        <v>207</v>
      </c>
      <c r="E105" s="66" t="s">
        <v>208</v>
      </c>
      <c r="F105" s="26">
        <f>19276.95</f>
        <v>19276.95</v>
      </c>
      <c r="G105" s="62"/>
      <c r="H105" s="62">
        <f>F105*300%</f>
        <v>57830.850000000006</v>
      </c>
      <c r="I105" s="62">
        <f>F105*7.5%</f>
        <v>1445.77125</v>
      </c>
      <c r="J105" s="62"/>
      <c r="K105" s="62">
        <f>F105*50%</f>
        <v>9638.4750000000004</v>
      </c>
      <c r="L105" s="36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2">
        <f>F105*10%</f>
        <v>1927.6950000000002</v>
      </c>
      <c r="Q105" s="62">
        <v>10000</v>
      </c>
      <c r="R105" s="62"/>
      <c r="S105" s="36">
        <f>SUM(F105:R105)</f>
        <v>246866.01625000004</v>
      </c>
      <c r="T105" s="36">
        <v>237734.04699999996</v>
      </c>
      <c r="U105" s="36">
        <f t="shared" si="60"/>
        <v>9131.969250000082</v>
      </c>
      <c r="V105" s="36"/>
      <c r="W105" s="62">
        <v>3369.51</v>
      </c>
      <c r="X105" s="36">
        <v>3369.51</v>
      </c>
      <c r="Y105" s="36">
        <f t="shared" si="61"/>
        <v>0</v>
      </c>
      <c r="Z105" s="36"/>
      <c r="AA105" s="36"/>
      <c r="AB105" s="36"/>
      <c r="AC105" s="34"/>
    </row>
    <row r="106" spans="1:29" ht="20.100000000000001" customHeight="1">
      <c r="A106" s="33"/>
      <c r="B106" s="267" t="s">
        <v>34</v>
      </c>
      <c r="C106" s="267"/>
      <c r="D106" s="7">
        <v>4</v>
      </c>
      <c r="E106" s="91"/>
      <c r="F106" s="92">
        <f>SUM(F102:F105)</f>
        <v>111058.40999999999</v>
      </c>
      <c r="G106" s="92"/>
      <c r="H106" s="92">
        <f t="shared" ref="H106:M106" si="101">SUM(H102:H105)</f>
        <v>333175.23</v>
      </c>
      <c r="I106" s="92">
        <f t="shared" si="101"/>
        <v>8329.3807500000003</v>
      </c>
      <c r="J106" s="92">
        <f t="shared" si="101"/>
        <v>40122.19</v>
      </c>
      <c r="K106" s="92">
        <f t="shared" si="101"/>
        <v>55529.204999999994</v>
      </c>
      <c r="L106" s="92">
        <f t="shared" si="101"/>
        <v>388704.435</v>
      </c>
      <c r="M106" s="92">
        <f t="shared" si="101"/>
        <v>111058.40999999999</v>
      </c>
      <c r="N106" s="134"/>
      <c r="O106" s="134">
        <f>SUM(O102:O105)</f>
        <v>290000</v>
      </c>
      <c r="P106" s="92">
        <f>SUM(P102:P105)</f>
        <v>11105.841</v>
      </c>
      <c r="Q106" s="92">
        <f>SUM(Q102:Q105)</f>
        <v>65000</v>
      </c>
      <c r="R106" s="92">
        <f>SUM(R102:R105)</f>
        <v>0</v>
      </c>
      <c r="S106" s="92">
        <f>SUM(S102:S105)</f>
        <v>1414083.1017500001</v>
      </c>
      <c r="T106" s="92">
        <v>1375681.7815</v>
      </c>
      <c r="U106" s="106">
        <f t="shared" si="60"/>
        <v>38401.320250000106</v>
      </c>
      <c r="V106" s="92"/>
      <c r="W106" s="92">
        <f t="shared" ref="W106" si="102">SUM(W102:W105)</f>
        <v>40407.120000000003</v>
      </c>
      <c r="X106" s="92">
        <v>40407.120000000003</v>
      </c>
      <c r="Y106" s="36">
        <f t="shared" si="61"/>
        <v>0</v>
      </c>
      <c r="Z106" s="92"/>
      <c r="AA106" s="92"/>
      <c r="AB106" s="92"/>
      <c r="AC106" s="34"/>
    </row>
    <row r="107" spans="1:29" ht="20.100000000000001" customHeight="1">
      <c r="A107" s="33"/>
      <c r="B107" s="96"/>
      <c r="C107" s="96"/>
      <c r="D107" s="7"/>
      <c r="E107" s="91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6">
        <f t="shared" si="60"/>
        <v>0</v>
      </c>
      <c r="V107" s="31"/>
      <c r="W107" s="31"/>
      <c r="X107" s="31"/>
      <c r="Y107" s="36">
        <f t="shared" si="61"/>
        <v>0</v>
      </c>
      <c r="Z107" s="31"/>
      <c r="AA107" s="31"/>
      <c r="AB107" s="31"/>
    </row>
    <row r="108" spans="1:29" ht="20.100000000000001" customHeight="1">
      <c r="A108" s="33"/>
      <c r="B108" s="267" t="s">
        <v>209</v>
      </c>
      <c r="C108" s="267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27"/>
      <c r="O108" s="27"/>
      <c r="P108" s="33"/>
      <c r="Q108" s="33"/>
      <c r="R108" s="33"/>
      <c r="S108" s="33"/>
      <c r="T108" s="33"/>
      <c r="U108" s="36">
        <f t="shared" si="60"/>
        <v>0</v>
      </c>
      <c r="V108" s="33"/>
      <c r="W108" s="33"/>
      <c r="X108" s="33"/>
      <c r="Y108" s="36">
        <f t="shared" si="61"/>
        <v>0</v>
      </c>
      <c r="Z108" s="33"/>
      <c r="AA108" s="33"/>
      <c r="AB108" s="33"/>
    </row>
    <row r="109" spans="1:29" ht="20.100000000000001" customHeight="1">
      <c r="A109" s="33">
        <v>1</v>
      </c>
      <c r="B109" s="257" t="s">
        <v>210</v>
      </c>
      <c r="C109" s="258"/>
      <c r="D109" s="61" t="s">
        <v>211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27">
        <f>200000</f>
        <v>200000</v>
      </c>
      <c r="O109" s="27"/>
      <c r="P109" s="62">
        <f>F109*10%</f>
        <v>8174.0020000000004</v>
      </c>
      <c r="Q109" s="62">
        <v>20000</v>
      </c>
      <c r="R109" s="62">
        <v>0</v>
      </c>
      <c r="S109" s="36">
        <f>SUM(F109:R109)</f>
        <v>1050209.0635000002</v>
      </c>
      <c r="T109" s="36">
        <v>1025433.077</v>
      </c>
      <c r="U109" s="36">
        <f t="shared" si="60"/>
        <v>24775.986500000115</v>
      </c>
      <c r="V109" s="36"/>
      <c r="W109" s="62">
        <f>52776.63</f>
        <v>52776.63</v>
      </c>
      <c r="X109" s="36">
        <v>52776.63</v>
      </c>
      <c r="Y109" s="36">
        <f t="shared" si="61"/>
        <v>0</v>
      </c>
      <c r="Z109" s="36"/>
      <c r="AA109" s="36"/>
      <c r="AB109" s="36"/>
    </row>
    <row r="110" spans="1:29" ht="20.100000000000001" customHeight="1">
      <c r="A110" s="33">
        <v>2</v>
      </c>
      <c r="B110" s="311" t="s">
        <v>212</v>
      </c>
      <c r="C110" s="312"/>
      <c r="D110" s="33" t="s">
        <v>213</v>
      </c>
      <c r="E110" s="3" t="s">
        <v>54</v>
      </c>
      <c r="F110" s="62">
        <f>33507.5</f>
        <v>33507.5</v>
      </c>
      <c r="G110" s="62"/>
      <c r="H110" s="62">
        <f>F110*300%</f>
        <v>100522.5</v>
      </c>
      <c r="I110" s="62">
        <f>F110*7.5%</f>
        <v>2513.0625</v>
      </c>
      <c r="J110" s="62">
        <v>40122.19</v>
      </c>
      <c r="K110" s="62">
        <f>F110*50%</f>
        <v>16753.75</v>
      </c>
      <c r="L110" s="62">
        <f>F110*350%</f>
        <v>117276.25</v>
      </c>
      <c r="M110" s="62">
        <f>F110*100%</f>
        <v>33507.5</v>
      </c>
      <c r="N110" s="27">
        <f>160000</f>
        <v>160000</v>
      </c>
      <c r="O110" s="27"/>
      <c r="P110" s="62">
        <f>F110*10%</f>
        <v>3350.75</v>
      </c>
      <c r="Q110" s="62">
        <v>20000</v>
      </c>
      <c r="R110" s="62">
        <v>0</v>
      </c>
      <c r="S110" s="36">
        <f>SUM(F110:R110)</f>
        <v>527553.50249999994</v>
      </c>
      <c r="T110" s="36">
        <v>527553.50249999994</v>
      </c>
      <c r="U110" s="36">
        <f t="shared" si="60"/>
        <v>0</v>
      </c>
      <c r="V110" s="36"/>
      <c r="W110" s="62">
        <v>15548.33</v>
      </c>
      <c r="X110" s="36">
        <v>15548.33</v>
      </c>
      <c r="Y110" s="36">
        <f t="shared" si="61"/>
        <v>0</v>
      </c>
      <c r="Z110" s="36"/>
      <c r="AA110" s="36"/>
      <c r="AB110" s="36"/>
    </row>
    <row r="111" spans="1:29" ht="20.100000000000001" customHeight="1">
      <c r="A111" s="33">
        <v>3</v>
      </c>
      <c r="B111" s="257" t="s">
        <v>214</v>
      </c>
      <c r="C111" s="258"/>
      <c r="D111" s="33" t="s">
        <v>215</v>
      </c>
      <c r="E111" s="3" t="s">
        <v>73</v>
      </c>
      <c r="F111" s="62">
        <f>26339.3</f>
        <v>26339.3</v>
      </c>
      <c r="G111" s="62"/>
      <c r="H111" s="62">
        <f>F111*300%</f>
        <v>79017.899999999994</v>
      </c>
      <c r="I111" s="62">
        <f>F111*7.5%</f>
        <v>1975.4474999999998</v>
      </c>
      <c r="J111" s="62">
        <v>0</v>
      </c>
      <c r="K111" s="62">
        <f>F111*50%</f>
        <v>13169.65</v>
      </c>
      <c r="L111" s="62">
        <f>F111*350%</f>
        <v>92187.55</v>
      </c>
      <c r="M111" s="62">
        <f>F111*100%</f>
        <v>26339.3</v>
      </c>
      <c r="N111" s="27">
        <f>120000</f>
        <v>120000</v>
      </c>
      <c r="O111" s="27"/>
      <c r="P111" s="62">
        <f>F111*10%</f>
        <v>2633.9300000000003</v>
      </c>
      <c r="Q111" s="62">
        <v>15000</v>
      </c>
      <c r="R111" s="62">
        <f>Library!AB4</f>
        <v>41432.938524999998</v>
      </c>
      <c r="S111" s="36">
        <f>SUM(F111:R111)</f>
        <v>418096.01602499996</v>
      </c>
      <c r="T111" s="36">
        <v>418096.01602499996</v>
      </c>
      <c r="U111" s="36">
        <f t="shared" si="60"/>
        <v>0</v>
      </c>
      <c r="V111" s="36"/>
      <c r="W111" s="36">
        <f>7709.76</f>
        <v>7709.76</v>
      </c>
      <c r="X111" s="36">
        <v>7709.76</v>
      </c>
      <c r="Y111" s="36">
        <f t="shared" si="61"/>
        <v>0</v>
      </c>
      <c r="Z111" s="36"/>
      <c r="AA111" s="36"/>
      <c r="AB111" s="36"/>
    </row>
    <row r="112" spans="1:29" ht="20.100000000000001" customHeight="1">
      <c r="A112" s="33">
        <v>4</v>
      </c>
      <c r="B112" s="269" t="s">
        <v>216</v>
      </c>
      <c r="C112" s="270"/>
      <c r="D112" s="33" t="s">
        <v>215</v>
      </c>
      <c r="E112" s="29" t="s">
        <v>138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>
        <f>Library!AB5</f>
        <v>39820.116654999998</v>
      </c>
      <c r="S112" s="36">
        <f>SUM(F112:R112)</f>
        <v>408997.77040500002</v>
      </c>
      <c r="T112" s="36">
        <v>401821.17715499998</v>
      </c>
      <c r="U112" s="36">
        <f t="shared" si="60"/>
        <v>7176.5932500000345</v>
      </c>
      <c r="V112" s="24"/>
      <c r="W112" s="24">
        <f>7709.76</f>
        <v>7709.76</v>
      </c>
      <c r="X112" s="24">
        <v>7709.76</v>
      </c>
      <c r="Y112" s="36">
        <f t="shared" si="61"/>
        <v>0</v>
      </c>
      <c r="Z112" s="36"/>
      <c r="AA112" s="36"/>
      <c r="AB112" s="36"/>
    </row>
    <row r="113" spans="1:28" ht="20.100000000000001" customHeight="1">
      <c r="A113" s="33">
        <v>5</v>
      </c>
      <c r="B113" s="257" t="s">
        <v>217</v>
      </c>
      <c r="C113" s="258"/>
      <c r="D113" s="1" t="s">
        <v>218</v>
      </c>
      <c r="E113" s="66" t="s">
        <v>106</v>
      </c>
      <c r="F113" s="67">
        <f>13492.21</f>
        <v>13492.21</v>
      </c>
      <c r="G113" s="62"/>
      <c r="H113" s="62">
        <f>F113*300%</f>
        <v>40476.629999999997</v>
      </c>
      <c r="I113" s="62">
        <f>F113*7.5%</f>
        <v>1011.9157499999999</v>
      </c>
      <c r="J113" s="62"/>
      <c r="K113" s="62">
        <f>F113*50%</f>
        <v>6746.1049999999996</v>
      </c>
      <c r="L113" s="36">
        <f>F113*350%</f>
        <v>47222.735000000001</v>
      </c>
      <c r="M113" s="62">
        <f>F113*100%</f>
        <v>13492.21</v>
      </c>
      <c r="N113" s="27">
        <f>100000</f>
        <v>100000</v>
      </c>
      <c r="O113" s="27"/>
      <c r="P113" s="62">
        <f>F113*10%</f>
        <v>1349.221</v>
      </c>
      <c r="Q113" s="62">
        <v>10000</v>
      </c>
      <c r="R113" s="62">
        <f>Library!AB6</f>
        <v>25333.447479999999</v>
      </c>
      <c r="S113" s="36">
        <f>SUM(F113:R113)</f>
        <v>259124.47422999999</v>
      </c>
      <c r="T113" s="36">
        <v>255637.51548</v>
      </c>
      <c r="U113" s="36">
        <f t="shared" si="60"/>
        <v>3486.9587499999907</v>
      </c>
      <c r="V113" s="36"/>
      <c r="W113" s="62">
        <v>1484.37</v>
      </c>
      <c r="X113" s="36">
        <v>1484.37</v>
      </c>
      <c r="Y113" s="36">
        <f t="shared" si="61"/>
        <v>0</v>
      </c>
      <c r="Z113" s="36"/>
      <c r="AA113" s="36"/>
      <c r="AB113" s="36"/>
    </row>
    <row r="114" spans="1:28" ht="20.100000000000001" customHeight="1">
      <c r="A114" s="33">
        <v>6</v>
      </c>
      <c r="B114" s="135" t="s">
        <v>219</v>
      </c>
      <c r="C114" s="136"/>
      <c r="D114" s="1" t="s">
        <v>218</v>
      </c>
      <c r="E114" s="3" t="s">
        <v>111</v>
      </c>
      <c r="F114" s="62">
        <f>13112.16</f>
        <v>13112.16</v>
      </c>
      <c r="G114" s="62"/>
      <c r="H114" s="62">
        <f t="shared" ref="H114:H116" si="103">F114*300%</f>
        <v>39336.479999999996</v>
      </c>
      <c r="I114" s="62">
        <f t="shared" ref="I114:I116" si="104">F114*7.5%</f>
        <v>983.41199999999992</v>
      </c>
      <c r="J114" s="62"/>
      <c r="K114" s="62">
        <f t="shared" ref="K114:K116" si="105">F114*50%</f>
        <v>6556.08</v>
      </c>
      <c r="L114" s="62">
        <f t="shared" ref="L114:L116" si="106">F114*350%</f>
        <v>45892.56</v>
      </c>
      <c r="M114" s="62">
        <f t="shared" ref="M114:M116" si="107">F114*100%</f>
        <v>13112.16</v>
      </c>
      <c r="N114" s="27">
        <f>100000</f>
        <v>100000</v>
      </c>
      <c r="O114" s="27"/>
      <c r="P114" s="62">
        <f t="shared" ref="P114:P116" si="108">F114*10%</f>
        <v>1311.2160000000001</v>
      </c>
      <c r="Q114" s="62">
        <v>10000</v>
      </c>
      <c r="R114" s="62">
        <f>Library!AB7</f>
        <v>24949.771000000001</v>
      </c>
      <c r="S114" s="36">
        <f t="shared" ref="S114:S116" si="109">SUM(F114:R114)</f>
        <v>255253.83900000001</v>
      </c>
      <c r="T114" s="36">
        <v>251765.87100000001</v>
      </c>
      <c r="U114" s="36">
        <f t="shared" si="60"/>
        <v>3487.9679999999935</v>
      </c>
      <c r="V114" s="36"/>
      <c r="W114" s="62">
        <v>1484.37</v>
      </c>
      <c r="X114" s="36">
        <v>1484.37</v>
      </c>
      <c r="Y114" s="36">
        <f t="shared" si="61"/>
        <v>0</v>
      </c>
      <c r="Z114" s="36"/>
      <c r="AA114" s="36"/>
      <c r="AB114" s="36"/>
    </row>
    <row r="115" spans="1:28" ht="20.100000000000001" customHeight="1">
      <c r="A115" s="33">
        <v>7</v>
      </c>
      <c r="B115" s="97" t="s">
        <v>220</v>
      </c>
      <c r="C115" s="98"/>
      <c r="D115" s="1" t="s">
        <v>218</v>
      </c>
      <c r="E115" s="66" t="s">
        <v>93</v>
      </c>
      <c r="F115" s="67">
        <f>12351.94</f>
        <v>12351.94</v>
      </c>
      <c r="G115" s="62"/>
      <c r="H115" s="62">
        <f t="shared" si="103"/>
        <v>37055.82</v>
      </c>
      <c r="I115" s="62">
        <f t="shared" si="104"/>
        <v>926.39549999999997</v>
      </c>
      <c r="J115" s="62"/>
      <c r="K115" s="62">
        <f t="shared" si="105"/>
        <v>6175.97</v>
      </c>
      <c r="L115" s="36">
        <f t="shared" si="106"/>
        <v>43231.79</v>
      </c>
      <c r="M115" s="62">
        <f t="shared" si="107"/>
        <v>12351.94</v>
      </c>
      <c r="N115" s="27">
        <f t="shared" ref="N115:N116" si="110">100000</f>
        <v>100000</v>
      </c>
      <c r="O115" s="27"/>
      <c r="P115" s="62">
        <f t="shared" si="108"/>
        <v>1235.1940000000002</v>
      </c>
      <c r="Q115" s="62">
        <v>10000</v>
      </c>
      <c r="R115" s="62">
        <f>Library!AB8</f>
        <v>24566.195445000001</v>
      </c>
      <c r="S115" s="36">
        <f t="shared" si="109"/>
        <v>247895.24494499998</v>
      </c>
      <c r="T115" s="36">
        <v>247895.24494499998</v>
      </c>
      <c r="U115" s="36">
        <f t="shared" si="60"/>
        <v>0</v>
      </c>
      <c r="V115" s="36"/>
      <c r="W115" s="62">
        <v>1484.37</v>
      </c>
      <c r="X115" s="36">
        <v>1484.37</v>
      </c>
      <c r="Y115" s="36">
        <f t="shared" si="61"/>
        <v>0</v>
      </c>
      <c r="Z115" s="36"/>
      <c r="AA115" s="36"/>
      <c r="AB115" s="36"/>
    </row>
    <row r="116" spans="1:28" ht="20.100000000000001" customHeight="1">
      <c r="A116" s="33">
        <v>8</v>
      </c>
      <c r="B116" s="97" t="s">
        <v>221</v>
      </c>
      <c r="C116" s="98"/>
      <c r="D116" s="1" t="s">
        <v>218</v>
      </c>
      <c r="E116" s="66" t="s">
        <v>93</v>
      </c>
      <c r="F116" s="67">
        <f>12351.94</f>
        <v>12351.94</v>
      </c>
      <c r="G116" s="62"/>
      <c r="H116" s="62">
        <f t="shared" si="103"/>
        <v>37055.82</v>
      </c>
      <c r="I116" s="62">
        <f t="shared" si="104"/>
        <v>926.39549999999997</v>
      </c>
      <c r="J116" s="62"/>
      <c r="K116" s="62">
        <f t="shared" si="105"/>
        <v>6175.97</v>
      </c>
      <c r="L116" s="36">
        <f t="shared" si="106"/>
        <v>43231.79</v>
      </c>
      <c r="M116" s="62">
        <f t="shared" si="107"/>
        <v>12351.94</v>
      </c>
      <c r="N116" s="27">
        <f t="shared" si="110"/>
        <v>100000</v>
      </c>
      <c r="O116" s="27"/>
      <c r="P116" s="62">
        <f t="shared" si="108"/>
        <v>1235.1940000000002</v>
      </c>
      <c r="Q116" s="62">
        <v>10000</v>
      </c>
      <c r="R116" s="62">
        <f>Library!AB9</f>
        <v>24566.195445000001</v>
      </c>
      <c r="S116" s="36">
        <f t="shared" si="109"/>
        <v>247895.24494499998</v>
      </c>
      <c r="T116" s="36">
        <v>247895.24494499998</v>
      </c>
      <c r="U116" s="36">
        <f t="shared" si="60"/>
        <v>0</v>
      </c>
      <c r="V116" s="36"/>
      <c r="W116" s="62">
        <v>1484.37</v>
      </c>
      <c r="X116" s="36">
        <v>1484.37</v>
      </c>
      <c r="Y116" s="36">
        <f t="shared" si="61"/>
        <v>0</v>
      </c>
      <c r="Z116" s="36"/>
      <c r="AA116" s="36"/>
      <c r="AB116" s="36"/>
    </row>
    <row r="117" spans="1:28" ht="20.100000000000001" customHeight="1">
      <c r="A117" s="33"/>
      <c r="B117" s="267" t="s">
        <v>34</v>
      </c>
      <c r="C117" s="267"/>
      <c r="D117" s="3">
        <v>8</v>
      </c>
      <c r="E117" s="33"/>
      <c r="F117" s="93">
        <f>SUM(F109:F116)</f>
        <v>218418.52000000002</v>
      </c>
      <c r="G117" s="93"/>
      <c r="H117" s="93">
        <f t="shared" ref="H117:N117" si="111">SUM(H109:H116)</f>
        <v>655255.55999999982</v>
      </c>
      <c r="I117" s="93">
        <f t="shared" si="111"/>
        <v>16381.389000000003</v>
      </c>
      <c r="J117" s="93">
        <f t="shared" si="111"/>
        <v>120366.57</v>
      </c>
      <c r="K117" s="93">
        <f t="shared" si="111"/>
        <v>109209.26000000001</v>
      </c>
      <c r="L117" s="93">
        <f t="shared" si="111"/>
        <v>764464.82000000007</v>
      </c>
      <c r="M117" s="93">
        <f t="shared" si="111"/>
        <v>218418.52000000002</v>
      </c>
      <c r="N117" s="134">
        <f t="shared" si="111"/>
        <v>1000000</v>
      </c>
      <c r="O117" s="134"/>
      <c r="P117" s="93">
        <f>SUM(P109:P116)</f>
        <v>21841.852000000003</v>
      </c>
      <c r="Q117" s="93">
        <f>SUM(Q109:Q116)</f>
        <v>110000</v>
      </c>
      <c r="R117" s="93">
        <f>SUM(R109:R116)</f>
        <v>180668.66454999999</v>
      </c>
      <c r="S117" s="93">
        <f>SUM(S109:S116)</f>
        <v>3415025.1555499998</v>
      </c>
      <c r="T117" s="93">
        <v>3376097.6490499997</v>
      </c>
      <c r="U117" s="106">
        <f t="shared" si="60"/>
        <v>38927.506500000134</v>
      </c>
      <c r="V117" s="93"/>
      <c r="W117" s="93">
        <f t="shared" ref="W117" si="112">SUM(W109:W116)</f>
        <v>89681.959999999963</v>
      </c>
      <c r="X117" s="93">
        <v>89681.959999999963</v>
      </c>
      <c r="Y117" s="36">
        <f t="shared" si="61"/>
        <v>0</v>
      </c>
      <c r="Z117" s="93"/>
      <c r="AA117" s="93"/>
      <c r="AB117" s="93"/>
    </row>
    <row r="118" spans="1:28" ht="20.100000000000001" customHeight="1">
      <c r="A118" s="33"/>
      <c r="B118" s="96"/>
      <c r="C118" s="96"/>
      <c r="D118" s="3"/>
      <c r="E118" s="33"/>
      <c r="F118" s="13"/>
      <c r="G118" s="21"/>
      <c r="H118" s="13"/>
      <c r="I118" s="13"/>
      <c r="J118" s="13"/>
      <c r="K118" s="13"/>
      <c r="L118" s="13"/>
      <c r="M118" s="13"/>
      <c r="N118" s="27"/>
      <c r="O118" s="27"/>
      <c r="P118" s="13"/>
      <c r="Q118" s="13"/>
      <c r="R118" s="13"/>
      <c r="S118" s="13"/>
      <c r="T118" s="13"/>
      <c r="U118" s="36">
        <f t="shared" si="60"/>
        <v>0</v>
      </c>
      <c r="V118" s="13"/>
      <c r="W118" s="13"/>
      <c r="X118" s="13"/>
      <c r="Y118" s="36">
        <f t="shared" si="61"/>
        <v>0</v>
      </c>
      <c r="Z118" s="13"/>
      <c r="AA118" s="13"/>
      <c r="AB118" s="13"/>
    </row>
    <row r="119" spans="1:28" ht="20.100000000000001" customHeight="1">
      <c r="A119" s="33"/>
      <c r="B119" s="267" t="s">
        <v>222</v>
      </c>
      <c r="C119" s="267"/>
      <c r="D119" s="7"/>
      <c r="E119" s="7"/>
      <c r="F119" s="39"/>
      <c r="G119" s="39"/>
      <c r="H119" s="39"/>
      <c r="I119" s="39"/>
      <c r="J119" s="39"/>
      <c r="K119" s="39"/>
      <c r="L119" s="39"/>
      <c r="M119" s="39"/>
      <c r="N119" s="27"/>
      <c r="O119" s="27"/>
      <c r="P119" s="39"/>
      <c r="Q119" s="39"/>
      <c r="R119" s="39"/>
      <c r="S119" s="63"/>
      <c r="T119" s="63"/>
      <c r="U119" s="36">
        <f t="shared" si="60"/>
        <v>0</v>
      </c>
      <c r="V119" s="63"/>
      <c r="W119" s="39"/>
      <c r="X119" s="63"/>
      <c r="Y119" s="36">
        <f t="shared" si="61"/>
        <v>0</v>
      </c>
      <c r="Z119" s="36"/>
      <c r="AA119" s="36"/>
      <c r="AB119" s="36"/>
    </row>
    <row r="120" spans="1:28" ht="20.100000000000001" customHeight="1">
      <c r="A120" s="33">
        <v>1</v>
      </c>
      <c r="B120" s="264" t="s">
        <v>223</v>
      </c>
      <c r="C120" s="264"/>
      <c r="D120" s="61" t="s">
        <v>224</v>
      </c>
      <c r="E120" s="66" t="s">
        <v>43</v>
      </c>
      <c r="F120" s="62">
        <f>81740.02</f>
        <v>81740.02</v>
      </c>
      <c r="G120" s="62"/>
      <c r="H120" s="62">
        <f t="shared" ref="H120:H128" si="113">F120*300%</f>
        <v>245220.06</v>
      </c>
      <c r="I120" s="62">
        <f t="shared" ref="I120:I128" si="114">F120*7.5%</f>
        <v>6130.5015000000003</v>
      </c>
      <c r="J120" s="62">
        <f>80244.38</f>
        <v>80244.38</v>
      </c>
      <c r="K120" s="62">
        <f t="shared" ref="K120:K128" si="115">F120*50%</f>
        <v>40870.01</v>
      </c>
      <c r="L120" s="62">
        <f t="shared" ref="L120:L128" si="116">F120*350%</f>
        <v>286090.07</v>
      </c>
      <c r="M120" s="62">
        <f t="shared" ref="M120:M128" si="117">F120*100%</f>
        <v>81740.02</v>
      </c>
      <c r="N120" s="27"/>
      <c r="O120" s="27">
        <f>100000</f>
        <v>100000</v>
      </c>
      <c r="P120" s="62">
        <f t="shared" ref="P120:P128" si="118">F120*10%</f>
        <v>8174.0020000000004</v>
      </c>
      <c r="Q120" s="62">
        <v>20000</v>
      </c>
      <c r="R120" s="62">
        <v>100000</v>
      </c>
      <c r="S120" s="36">
        <f t="shared" ref="S120:S128" si="119">SUM(F120:R120)</f>
        <v>1050209.0635000002</v>
      </c>
      <c r="T120" s="36">
        <v>1050209.0635000002</v>
      </c>
      <c r="U120" s="36">
        <f t="shared" si="60"/>
        <v>0</v>
      </c>
      <c r="V120" s="36"/>
      <c r="W120" s="62">
        <f>52776.63</f>
        <v>52776.63</v>
      </c>
      <c r="X120" s="36">
        <v>52776.63</v>
      </c>
      <c r="Y120" s="36">
        <f t="shared" si="61"/>
        <v>0</v>
      </c>
      <c r="Z120" s="36"/>
      <c r="AA120" s="36"/>
      <c r="AB120" s="36"/>
    </row>
    <row r="121" spans="1:28" ht="20.100000000000001" customHeight="1">
      <c r="A121" s="33">
        <v>2</v>
      </c>
      <c r="B121" s="264" t="s">
        <v>225</v>
      </c>
      <c r="C121" s="264"/>
      <c r="D121" s="61" t="s">
        <v>226</v>
      </c>
      <c r="E121" s="66" t="s">
        <v>227</v>
      </c>
      <c r="F121" s="62">
        <f>42653.17</f>
        <v>42653.17</v>
      </c>
      <c r="G121" s="62"/>
      <c r="H121" s="62">
        <f t="shared" si="113"/>
        <v>127959.51</v>
      </c>
      <c r="I121" s="62">
        <f t="shared" si="114"/>
        <v>3198.9877499999998</v>
      </c>
      <c r="J121" s="62">
        <v>40122.19</v>
      </c>
      <c r="K121" s="62">
        <f t="shared" si="115"/>
        <v>21326.584999999999</v>
      </c>
      <c r="L121" s="62">
        <f t="shared" si="116"/>
        <v>149286.095</v>
      </c>
      <c r="M121" s="62">
        <f t="shared" si="117"/>
        <v>42653.17</v>
      </c>
      <c r="N121" s="27"/>
      <c r="O121" s="27">
        <f>90000</f>
        <v>90000</v>
      </c>
      <c r="P121" s="62">
        <f t="shared" si="118"/>
        <v>4265.317</v>
      </c>
      <c r="Q121" s="62">
        <v>20000</v>
      </c>
      <c r="R121" s="62">
        <f>100000</f>
        <v>100000</v>
      </c>
      <c r="S121" s="36">
        <f t="shared" si="119"/>
        <v>641465.02474999998</v>
      </c>
      <c r="T121" s="36">
        <v>641465.02474999998</v>
      </c>
      <c r="U121" s="36">
        <f t="shared" si="60"/>
        <v>0</v>
      </c>
      <c r="V121" s="36"/>
      <c r="W121" s="62">
        <f>21618.09</f>
        <v>21618.09</v>
      </c>
      <c r="X121" s="36">
        <v>21618.09</v>
      </c>
      <c r="Y121" s="36">
        <f t="shared" si="61"/>
        <v>0</v>
      </c>
      <c r="Z121" s="36"/>
      <c r="AA121" s="36"/>
      <c r="AB121" s="36"/>
    </row>
    <row r="122" spans="1:28" ht="20.100000000000001" customHeight="1">
      <c r="A122" s="33">
        <v>3</v>
      </c>
      <c r="B122" s="264" t="s">
        <v>228</v>
      </c>
      <c r="C122" s="264"/>
      <c r="D122" s="61" t="s">
        <v>229</v>
      </c>
      <c r="E122" s="66" t="s">
        <v>54</v>
      </c>
      <c r="F122" s="26">
        <f>33507.5</f>
        <v>33507.5</v>
      </c>
      <c r="G122" s="62"/>
      <c r="H122" s="62">
        <f t="shared" si="113"/>
        <v>100522.5</v>
      </c>
      <c r="I122" s="62">
        <f t="shared" si="114"/>
        <v>2513.0625</v>
      </c>
      <c r="J122" s="62">
        <v>40122.19</v>
      </c>
      <c r="K122" s="62">
        <f t="shared" si="115"/>
        <v>16753.75</v>
      </c>
      <c r="L122" s="36">
        <f t="shared" si="116"/>
        <v>117276.25</v>
      </c>
      <c r="M122" s="62">
        <f t="shared" si="117"/>
        <v>33507.5</v>
      </c>
      <c r="N122" s="27"/>
      <c r="O122" s="27">
        <f>80000</f>
        <v>80000</v>
      </c>
      <c r="P122" s="62">
        <f t="shared" si="118"/>
        <v>3350.75</v>
      </c>
      <c r="Q122" s="62">
        <v>20000</v>
      </c>
      <c r="R122" s="62">
        <v>0</v>
      </c>
      <c r="S122" s="36">
        <f t="shared" si="119"/>
        <v>447553.5025</v>
      </c>
      <c r="T122" s="36">
        <v>447553.5025</v>
      </c>
      <c r="U122" s="36">
        <f t="shared" si="60"/>
        <v>0</v>
      </c>
      <c r="V122" s="36"/>
      <c r="W122" s="62">
        <v>15548.33</v>
      </c>
      <c r="X122" s="36">
        <v>15548.33</v>
      </c>
      <c r="Y122" s="36">
        <f t="shared" si="61"/>
        <v>0</v>
      </c>
      <c r="Z122" s="36"/>
      <c r="AA122" s="36"/>
      <c r="AB122" s="36"/>
    </row>
    <row r="123" spans="1:28" ht="20.100000000000001" customHeight="1">
      <c r="A123" s="33">
        <v>4</v>
      </c>
      <c r="B123" s="268" t="s">
        <v>230</v>
      </c>
      <c r="C123" s="268"/>
      <c r="D123" s="61" t="s">
        <v>229</v>
      </c>
      <c r="E123" s="66" t="s">
        <v>54</v>
      </c>
      <c r="F123" s="62">
        <f>33507.5</f>
        <v>33507.5</v>
      </c>
      <c r="G123" s="62"/>
      <c r="H123" s="62">
        <f>F123*300%</f>
        <v>100522.5</v>
      </c>
      <c r="I123" s="62">
        <f>F123*7.5%</f>
        <v>2513.0625</v>
      </c>
      <c r="J123" s="62">
        <f>40122.19</f>
        <v>40122.19</v>
      </c>
      <c r="K123" s="62">
        <f>F123*50%</f>
        <v>16753.75</v>
      </c>
      <c r="L123" s="36">
        <f>F123*350%</f>
        <v>117276.25</v>
      </c>
      <c r="M123" s="62">
        <f>F123*100%</f>
        <v>33507.5</v>
      </c>
      <c r="N123" s="27"/>
      <c r="O123" s="27">
        <f t="shared" si="9"/>
        <v>80000</v>
      </c>
      <c r="P123" s="62">
        <f>F123*10%</f>
        <v>3350.75</v>
      </c>
      <c r="Q123" s="62">
        <v>20000</v>
      </c>
      <c r="R123" s="62">
        <f>100000</f>
        <v>100000</v>
      </c>
      <c r="S123" s="36">
        <f>SUM(F123:R123)</f>
        <v>547553.50249999994</v>
      </c>
      <c r="T123" s="36">
        <v>536137.05000000005</v>
      </c>
      <c r="U123" s="36">
        <f t="shared" si="60"/>
        <v>11416.452499999898</v>
      </c>
      <c r="V123" s="36"/>
      <c r="W123" s="36">
        <f>15548.33</f>
        <v>15548.33</v>
      </c>
      <c r="X123" s="36">
        <v>15548.33</v>
      </c>
      <c r="Y123" s="36">
        <f t="shared" si="61"/>
        <v>0</v>
      </c>
      <c r="Z123" s="36"/>
      <c r="AA123" s="36"/>
      <c r="AB123" s="36"/>
    </row>
    <row r="124" spans="1:28" ht="20.100000000000001" customHeight="1">
      <c r="A124" s="33">
        <v>5</v>
      </c>
      <c r="B124" s="1" t="s">
        <v>231</v>
      </c>
      <c r="D124" s="61" t="s">
        <v>229</v>
      </c>
      <c r="E124" s="66" t="s">
        <v>232</v>
      </c>
      <c r="F124" s="26">
        <f>31018.84</f>
        <v>31018.84</v>
      </c>
      <c r="G124" s="62"/>
      <c r="H124" s="62">
        <f t="shared" ref="H124" si="120">F124*300%</f>
        <v>93056.52</v>
      </c>
      <c r="I124" s="62">
        <f t="shared" ref="I124" si="121">F124*7.5%</f>
        <v>2326.413</v>
      </c>
      <c r="J124" s="62">
        <v>40122.19</v>
      </c>
      <c r="K124" s="62">
        <f t="shared" ref="K124" si="122">F124*50%</f>
        <v>15509.42</v>
      </c>
      <c r="L124" s="36">
        <f t="shared" ref="L124" si="123">F124*350%</f>
        <v>108565.94</v>
      </c>
      <c r="M124" s="62">
        <f t="shared" ref="M124" si="124">F124*100%</f>
        <v>31018.84</v>
      </c>
      <c r="N124" s="27"/>
      <c r="O124" s="27">
        <f>80000</f>
        <v>80000</v>
      </c>
      <c r="P124" s="62">
        <f t="shared" ref="P124" si="125">F124*10%</f>
        <v>3101.884</v>
      </c>
      <c r="Q124" s="62">
        <v>20000</v>
      </c>
      <c r="R124" s="62">
        <v>0</v>
      </c>
      <c r="S124" s="36">
        <f>SUM(F124:R124)</f>
        <v>424720.04700000002</v>
      </c>
      <c r="T124" s="36">
        <v>424720.04700000002</v>
      </c>
      <c r="U124" s="36">
        <f t="shared" si="60"/>
        <v>0</v>
      </c>
      <c r="V124" s="36"/>
      <c r="W124" s="62">
        <f>(15548.33)</f>
        <v>15548.33</v>
      </c>
      <c r="X124" s="36">
        <v>15548.33</v>
      </c>
      <c r="Y124" s="36">
        <f t="shared" si="61"/>
        <v>0</v>
      </c>
      <c r="Z124" s="36"/>
      <c r="AA124" s="36"/>
      <c r="AB124" s="36"/>
    </row>
    <row r="125" spans="1:28" ht="20.100000000000001" customHeight="1">
      <c r="A125" s="33">
        <v>6</v>
      </c>
      <c r="B125" s="313" t="s">
        <v>233</v>
      </c>
      <c r="C125" s="313"/>
      <c r="D125" s="61" t="s">
        <v>234</v>
      </c>
      <c r="E125" s="66" t="s">
        <v>138</v>
      </c>
      <c r="F125" s="62">
        <f>25523.45</f>
        <v>25523.45</v>
      </c>
      <c r="G125" s="62"/>
      <c r="H125" s="62">
        <f t="shared" si="113"/>
        <v>76570.350000000006</v>
      </c>
      <c r="I125" s="62">
        <f t="shared" si="114"/>
        <v>1914.25875</v>
      </c>
      <c r="J125" s="62">
        <v>0</v>
      </c>
      <c r="K125" s="62">
        <f t="shared" si="115"/>
        <v>12761.725</v>
      </c>
      <c r="L125" s="36">
        <f t="shared" si="116"/>
        <v>89332.074999999997</v>
      </c>
      <c r="M125" s="62">
        <f t="shared" si="117"/>
        <v>25523.45</v>
      </c>
      <c r="N125" s="27"/>
      <c r="O125" s="27">
        <f>70000</f>
        <v>70000</v>
      </c>
      <c r="P125" s="62">
        <f t="shared" si="118"/>
        <v>2552.3450000000003</v>
      </c>
      <c r="Q125" s="62">
        <v>15000</v>
      </c>
      <c r="R125" s="62">
        <v>0</v>
      </c>
      <c r="S125" s="36">
        <f t="shared" si="119"/>
        <v>319177.65375</v>
      </c>
      <c r="T125" s="36">
        <v>312001.06049999996</v>
      </c>
      <c r="U125" s="36">
        <f t="shared" si="60"/>
        <v>7176.5932500000345</v>
      </c>
      <c r="V125" s="36"/>
      <c r="W125" s="62">
        <f>7709.76</f>
        <v>7709.76</v>
      </c>
      <c r="X125" s="36">
        <v>7709.76</v>
      </c>
      <c r="Y125" s="36">
        <f t="shared" si="61"/>
        <v>0</v>
      </c>
      <c r="Z125" s="36"/>
      <c r="AA125" s="36"/>
      <c r="AB125" s="36"/>
    </row>
    <row r="126" spans="1:28" ht="20.100000000000001" customHeight="1">
      <c r="A126" s="33">
        <v>7</v>
      </c>
      <c r="B126" s="264" t="s">
        <v>235</v>
      </c>
      <c r="C126" s="264"/>
      <c r="D126" s="61" t="s">
        <v>236</v>
      </c>
      <c r="E126" s="66" t="s">
        <v>98</v>
      </c>
      <c r="F126" s="62">
        <f>24741.26</f>
        <v>24741.26</v>
      </c>
      <c r="G126" s="62"/>
      <c r="H126" s="62">
        <f t="shared" si="113"/>
        <v>74223.78</v>
      </c>
      <c r="I126" s="62">
        <f t="shared" si="114"/>
        <v>1855.5944999999997</v>
      </c>
      <c r="J126" s="62"/>
      <c r="K126" s="62">
        <f t="shared" si="115"/>
        <v>12370.63</v>
      </c>
      <c r="L126" s="36">
        <f t="shared" si="116"/>
        <v>86594.409999999989</v>
      </c>
      <c r="M126" s="62">
        <f t="shared" si="117"/>
        <v>24741.26</v>
      </c>
      <c r="N126" s="27"/>
      <c r="O126" s="27">
        <f t="shared" ref="O126:O128" si="126">70000</f>
        <v>70000</v>
      </c>
      <c r="P126" s="62">
        <f t="shared" si="118"/>
        <v>2474.1260000000002</v>
      </c>
      <c r="Q126" s="62">
        <v>15000</v>
      </c>
      <c r="R126" s="62">
        <f>30000</f>
        <v>30000</v>
      </c>
      <c r="S126" s="36">
        <f t="shared" si="119"/>
        <v>342001.06049999996</v>
      </c>
      <c r="T126" s="36">
        <v>334201.02600000001</v>
      </c>
      <c r="U126" s="36">
        <f t="shared" si="60"/>
        <v>7800.0344999999506</v>
      </c>
      <c r="V126" s="36"/>
      <c r="W126" s="62">
        <f>7709.76</f>
        <v>7709.76</v>
      </c>
      <c r="X126" s="36">
        <v>7709.76</v>
      </c>
      <c r="Y126" s="36">
        <f t="shared" si="61"/>
        <v>0</v>
      </c>
      <c r="Z126" s="36"/>
      <c r="AA126" s="36"/>
      <c r="AB126" s="36"/>
    </row>
    <row r="127" spans="1:28" ht="20.100000000000001" customHeight="1">
      <c r="A127" s="33">
        <v>8</v>
      </c>
      <c r="B127" s="264" t="s">
        <v>237</v>
      </c>
      <c r="C127" s="264"/>
      <c r="D127" s="61" t="s">
        <v>238</v>
      </c>
      <c r="E127" s="66" t="s">
        <v>98</v>
      </c>
      <c r="F127" s="62">
        <f>24741.26</f>
        <v>24741.26</v>
      </c>
      <c r="G127" s="62"/>
      <c r="H127" s="62">
        <f t="shared" si="113"/>
        <v>74223.78</v>
      </c>
      <c r="I127" s="62">
        <f t="shared" si="114"/>
        <v>1855.5944999999997</v>
      </c>
      <c r="J127" s="62"/>
      <c r="K127" s="62">
        <f t="shared" si="115"/>
        <v>12370.63</v>
      </c>
      <c r="L127" s="36">
        <f t="shared" si="116"/>
        <v>86594.409999999989</v>
      </c>
      <c r="M127" s="62">
        <f t="shared" si="117"/>
        <v>24741.26</v>
      </c>
      <c r="N127" s="27"/>
      <c r="O127" s="27">
        <f t="shared" si="126"/>
        <v>70000</v>
      </c>
      <c r="P127" s="62">
        <f t="shared" si="118"/>
        <v>2474.1260000000002</v>
      </c>
      <c r="Q127" s="62">
        <v>15000</v>
      </c>
      <c r="R127" s="62"/>
      <c r="S127" s="36">
        <f t="shared" si="119"/>
        <v>312001.06049999996</v>
      </c>
      <c r="T127" s="36">
        <v>304201.02600000001</v>
      </c>
      <c r="U127" s="36">
        <f t="shared" si="60"/>
        <v>7800.0344999999506</v>
      </c>
      <c r="V127" s="36"/>
      <c r="W127" s="62">
        <f>7709.76</f>
        <v>7709.76</v>
      </c>
      <c r="X127" s="36">
        <v>7709.76</v>
      </c>
      <c r="Y127" s="36">
        <f t="shared" si="61"/>
        <v>0</v>
      </c>
      <c r="Z127" s="36"/>
      <c r="AA127" s="36"/>
      <c r="AB127" s="36"/>
    </row>
    <row r="128" spans="1:28" ht="20.100000000000001" customHeight="1">
      <c r="A128" s="33">
        <v>9</v>
      </c>
      <c r="B128" s="97" t="s">
        <v>239</v>
      </c>
      <c r="C128" s="98"/>
      <c r="D128" s="61" t="s">
        <v>234</v>
      </c>
      <c r="E128" s="66" t="s">
        <v>240</v>
      </c>
      <c r="F128" s="62">
        <f>23891.12</f>
        <v>23891.119999999999</v>
      </c>
      <c r="G128" s="62"/>
      <c r="H128" s="62">
        <f t="shared" si="113"/>
        <v>71673.36</v>
      </c>
      <c r="I128" s="62">
        <f t="shared" si="114"/>
        <v>1791.8339999999998</v>
      </c>
      <c r="J128" s="62"/>
      <c r="K128" s="62">
        <f t="shared" si="115"/>
        <v>11945.56</v>
      </c>
      <c r="L128" s="36">
        <f t="shared" si="116"/>
        <v>83618.92</v>
      </c>
      <c r="M128" s="62">
        <f t="shared" si="117"/>
        <v>23891.119999999999</v>
      </c>
      <c r="N128" s="27"/>
      <c r="O128" s="27">
        <f t="shared" si="126"/>
        <v>70000</v>
      </c>
      <c r="P128" s="62">
        <f t="shared" si="118"/>
        <v>2389.1120000000001</v>
      </c>
      <c r="Q128" s="62">
        <v>15000</v>
      </c>
      <c r="R128" s="62"/>
      <c r="S128" s="36">
        <f t="shared" si="119"/>
        <v>304201.02600000001</v>
      </c>
      <c r="T128" s="36">
        <v>296713.03325000004</v>
      </c>
      <c r="U128" s="36">
        <f t="shared" si="60"/>
        <v>7487.9927499999758</v>
      </c>
      <c r="V128" s="36"/>
      <c r="W128" s="62">
        <f>7709.76</f>
        <v>7709.76</v>
      </c>
      <c r="X128" s="36">
        <v>7709.76</v>
      </c>
      <c r="Y128" s="36">
        <f t="shared" si="61"/>
        <v>0</v>
      </c>
      <c r="Z128" s="36"/>
      <c r="AA128" s="36"/>
      <c r="AB128" s="36"/>
    </row>
    <row r="129" spans="1:28" ht="20.100000000000001" customHeight="1">
      <c r="A129" s="33"/>
      <c r="B129" s="267" t="s">
        <v>34</v>
      </c>
      <c r="C129" s="267"/>
      <c r="D129" s="91" t="s">
        <v>241</v>
      </c>
      <c r="E129" s="66"/>
      <c r="F129" s="39">
        <f>SUM(F120:F128)</f>
        <v>321324.12</v>
      </c>
      <c r="G129" s="39"/>
      <c r="H129" s="39">
        <f t="shared" ref="H129:M129" si="127">SUM(H120:H128)</f>
        <v>963972.3600000001</v>
      </c>
      <c r="I129" s="39">
        <f t="shared" si="127"/>
        <v>24099.308999999997</v>
      </c>
      <c r="J129" s="39">
        <f t="shared" si="127"/>
        <v>240733.14</v>
      </c>
      <c r="K129" s="39">
        <f t="shared" si="127"/>
        <v>160662.06</v>
      </c>
      <c r="L129" s="63">
        <f t="shared" si="127"/>
        <v>1124634.42</v>
      </c>
      <c r="M129" s="39">
        <f t="shared" si="127"/>
        <v>321324.12</v>
      </c>
      <c r="N129" s="134"/>
      <c r="O129" s="134">
        <f>SUM(O120:O128)</f>
        <v>710000</v>
      </c>
      <c r="P129" s="39">
        <f>SUM(P120:P128)</f>
        <v>32132.412000000004</v>
      </c>
      <c r="Q129" s="39">
        <f>SUM(Q120:Q128)</f>
        <v>160000</v>
      </c>
      <c r="R129" s="39">
        <f>SUM(R120:R128)</f>
        <v>330000</v>
      </c>
      <c r="S129" s="63">
        <f>SUM(S120:S128)</f>
        <v>4388881.9410000006</v>
      </c>
      <c r="T129" s="63">
        <v>4347200.8335000006</v>
      </c>
      <c r="U129" s="106">
        <f t="shared" si="60"/>
        <v>41681.107499999925</v>
      </c>
      <c r="V129" s="63"/>
      <c r="W129" s="39">
        <f t="shared" ref="W129" si="128">SUM(W120:W128)</f>
        <v>151878.75000000003</v>
      </c>
      <c r="X129" s="63">
        <v>151878.75000000003</v>
      </c>
      <c r="Y129" s="36">
        <f t="shared" si="61"/>
        <v>0</v>
      </c>
      <c r="Z129" s="63"/>
      <c r="AA129" s="63"/>
      <c r="AB129" s="63"/>
    </row>
    <row r="130" spans="1:28" ht="20.100000000000001" customHeight="1">
      <c r="A130" s="33"/>
      <c r="B130" s="96"/>
      <c r="C130" s="96"/>
      <c r="D130" s="91"/>
      <c r="E130" s="66"/>
      <c r="F130" s="39"/>
      <c r="G130" s="39"/>
      <c r="H130" s="39"/>
      <c r="I130" s="39"/>
      <c r="J130" s="39"/>
      <c r="K130" s="39"/>
      <c r="L130" s="63"/>
      <c r="M130" s="39"/>
      <c r="N130" s="27"/>
      <c r="O130" s="27"/>
      <c r="P130" s="39"/>
      <c r="Q130" s="39"/>
      <c r="R130" s="39"/>
      <c r="S130" s="63"/>
      <c r="T130" s="63"/>
      <c r="U130" s="36">
        <f t="shared" si="60"/>
        <v>0</v>
      </c>
      <c r="V130" s="63"/>
      <c r="W130" s="39"/>
      <c r="X130" s="63"/>
      <c r="Y130" s="36">
        <f t="shared" si="61"/>
        <v>0</v>
      </c>
      <c r="Z130" s="63"/>
      <c r="AA130" s="63"/>
      <c r="AB130" s="63"/>
    </row>
    <row r="131" spans="1:28" ht="20.100000000000001" customHeight="1">
      <c r="A131" s="33"/>
      <c r="B131" s="267" t="s">
        <v>242</v>
      </c>
      <c r="C131" s="267"/>
      <c r="D131" s="61"/>
      <c r="E131" s="66"/>
      <c r="F131" s="62"/>
      <c r="G131" s="62"/>
      <c r="H131" s="62"/>
      <c r="I131" s="62"/>
      <c r="J131" s="62"/>
      <c r="K131" s="62"/>
      <c r="L131" s="36"/>
      <c r="M131" s="62"/>
      <c r="N131" s="27"/>
      <c r="O131" s="27"/>
      <c r="P131" s="62"/>
      <c r="Q131" s="62"/>
      <c r="R131" s="62"/>
      <c r="S131" s="36"/>
      <c r="T131" s="36"/>
      <c r="U131" s="36">
        <f t="shared" si="60"/>
        <v>0</v>
      </c>
      <c r="V131" s="36"/>
      <c r="W131" s="62"/>
      <c r="X131" s="36"/>
      <c r="Y131" s="36">
        <f t="shared" si="61"/>
        <v>0</v>
      </c>
      <c r="Z131" s="36"/>
      <c r="AA131" s="36"/>
      <c r="AB131" s="36"/>
    </row>
    <row r="132" spans="1:28" ht="20.100000000000001" customHeight="1">
      <c r="A132" s="33">
        <v>1</v>
      </c>
      <c r="B132" s="264" t="s">
        <v>243</v>
      </c>
      <c r="C132" s="264"/>
      <c r="D132" s="61" t="s">
        <v>244</v>
      </c>
      <c r="E132" s="66" t="s">
        <v>43</v>
      </c>
      <c r="F132" s="62">
        <v>81740.02</v>
      </c>
      <c r="G132" s="62"/>
      <c r="H132" s="62">
        <f>F132*300%</f>
        <v>245220.06</v>
      </c>
      <c r="I132" s="62">
        <f>F132*7.5%</f>
        <v>6130.5015000000003</v>
      </c>
      <c r="J132" s="62">
        <v>80244.38</v>
      </c>
      <c r="K132" s="62">
        <f>F132*50%</f>
        <v>40870.01</v>
      </c>
      <c r="L132" s="62">
        <f>F132*350%</f>
        <v>286090.07</v>
      </c>
      <c r="M132" s="62">
        <f>F132*100%</f>
        <v>81740.02</v>
      </c>
      <c r="N132" s="27"/>
      <c r="O132" s="27">
        <f>100000</f>
        <v>100000</v>
      </c>
      <c r="P132" s="62">
        <f>F132*10%</f>
        <v>8174.0020000000004</v>
      </c>
      <c r="Q132" s="62">
        <v>20000</v>
      </c>
      <c r="R132" s="62">
        <v>0</v>
      </c>
      <c r="S132" s="36">
        <f>SUM(F132:R132)</f>
        <v>950209.06350000005</v>
      </c>
      <c r="T132" s="36">
        <v>950209.06350000005</v>
      </c>
      <c r="U132" s="36">
        <f t="shared" si="60"/>
        <v>0</v>
      </c>
      <c r="V132" s="36"/>
      <c r="W132" s="62">
        <v>52776.63</v>
      </c>
      <c r="X132" s="36">
        <v>52776.63</v>
      </c>
      <c r="Y132" s="36">
        <f t="shared" si="61"/>
        <v>0</v>
      </c>
      <c r="Z132" s="36"/>
      <c r="AA132" s="36"/>
      <c r="AB132" s="36"/>
    </row>
    <row r="133" spans="1:28" ht="20.100000000000001" customHeight="1">
      <c r="A133" s="33">
        <v>2</v>
      </c>
      <c r="B133" s="264" t="s">
        <v>245</v>
      </c>
      <c r="C133" s="264"/>
      <c r="D133" s="61" t="s">
        <v>246</v>
      </c>
      <c r="E133" s="66" t="s">
        <v>43</v>
      </c>
      <c r="F133" s="62">
        <f>81740.02</f>
        <v>81740.02</v>
      </c>
      <c r="G133" s="62"/>
      <c r="H133" s="62">
        <f>F133*300%</f>
        <v>245220.06</v>
      </c>
      <c r="I133" s="62">
        <f>F133*7.5%</f>
        <v>6130.5015000000003</v>
      </c>
      <c r="J133" s="62">
        <f>80244.38</f>
        <v>80244.38</v>
      </c>
      <c r="K133" s="62">
        <f>F133*50%</f>
        <v>40870.01</v>
      </c>
      <c r="L133" s="62">
        <f>F133*350%</f>
        <v>286090.07</v>
      </c>
      <c r="M133" s="62">
        <f>F133*100%</f>
        <v>81740.02</v>
      </c>
      <c r="N133" s="27"/>
      <c r="O133" s="27">
        <f>100000</f>
        <v>100000</v>
      </c>
      <c r="P133" s="62">
        <f>F133*10%</f>
        <v>8174.0020000000004</v>
      </c>
      <c r="Q133" s="62">
        <v>20000</v>
      </c>
      <c r="R133" s="62">
        <v>0</v>
      </c>
      <c r="S133" s="36">
        <f>SUM(F133:R133)</f>
        <v>950209.06350000005</v>
      </c>
      <c r="T133" s="36">
        <v>950209.06350000005</v>
      </c>
      <c r="U133" s="36">
        <f t="shared" si="60"/>
        <v>0</v>
      </c>
      <c r="V133" s="36"/>
      <c r="W133" s="62">
        <f>52776.63</f>
        <v>52776.63</v>
      </c>
      <c r="X133" s="36">
        <v>52776.63</v>
      </c>
      <c r="Y133" s="36">
        <f t="shared" si="61"/>
        <v>0</v>
      </c>
      <c r="Z133" s="36"/>
      <c r="AA133" s="36"/>
      <c r="AB133" s="36"/>
    </row>
    <row r="134" spans="1:28" ht="20.100000000000001" customHeight="1">
      <c r="A134" s="33">
        <v>3</v>
      </c>
      <c r="B134" s="313" t="s">
        <v>247</v>
      </c>
      <c r="C134" s="313"/>
      <c r="D134" s="61" t="s">
        <v>248</v>
      </c>
      <c r="E134" s="66" t="s">
        <v>227</v>
      </c>
      <c r="F134" s="62">
        <f>42653.17</f>
        <v>42653.17</v>
      </c>
      <c r="G134" s="62"/>
      <c r="H134" s="62">
        <f t="shared" ref="H134:H186" si="129">F134*300%</f>
        <v>127959.51</v>
      </c>
      <c r="I134" s="62">
        <f t="shared" ref="I134:I186" si="130">F134*7.5%</f>
        <v>3198.9877499999998</v>
      </c>
      <c r="J134" s="62">
        <v>40122.19</v>
      </c>
      <c r="K134" s="62">
        <f t="shared" ref="K134:K186" si="131">F134*50%</f>
        <v>21326.584999999999</v>
      </c>
      <c r="L134" s="62">
        <f t="shared" ref="L134:L186" si="132">F134*350%</f>
        <v>149286.095</v>
      </c>
      <c r="M134" s="62">
        <f t="shared" ref="M134:M152" si="133">F134*100%</f>
        <v>42653.17</v>
      </c>
      <c r="N134" s="27"/>
      <c r="O134" s="27">
        <f>90000</f>
        <v>90000</v>
      </c>
      <c r="P134" s="62">
        <f t="shared" ref="P134:P152" si="134">F134*10%</f>
        <v>4265.317</v>
      </c>
      <c r="Q134" s="62">
        <v>20000</v>
      </c>
      <c r="R134" s="62">
        <v>0</v>
      </c>
      <c r="S134" s="36">
        <f t="shared" ref="S134:S154" si="135">SUM(F134:R134)</f>
        <v>541465.02474999998</v>
      </c>
      <c r="T134" s="36">
        <v>541465.02474999998</v>
      </c>
      <c r="U134" s="36">
        <f t="shared" si="60"/>
        <v>0</v>
      </c>
      <c r="V134" s="36"/>
      <c r="W134" s="62">
        <f>21618.09</f>
        <v>21618.09</v>
      </c>
      <c r="X134" s="36">
        <v>21618.09</v>
      </c>
      <c r="Y134" s="36">
        <f t="shared" si="61"/>
        <v>0</v>
      </c>
      <c r="Z134" s="36"/>
      <c r="AA134" s="36"/>
      <c r="AB134" s="36"/>
    </row>
    <row r="135" spans="1:28" ht="20.100000000000001" customHeight="1">
      <c r="A135" s="33">
        <v>4</v>
      </c>
      <c r="B135" s="265" t="s">
        <v>249</v>
      </c>
      <c r="C135" s="266"/>
      <c r="D135" s="20" t="s">
        <v>250</v>
      </c>
      <c r="E135" s="25" t="s">
        <v>54</v>
      </c>
      <c r="F135" s="62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6">
        <f t="shared" si="135"/>
        <v>497553.5025</v>
      </c>
      <c r="T135" s="36">
        <v>497553.5025</v>
      </c>
      <c r="U135" s="36">
        <f t="shared" si="60"/>
        <v>0</v>
      </c>
      <c r="V135" s="24"/>
      <c r="W135" s="24">
        <v>15548.33</v>
      </c>
      <c r="X135" s="24">
        <v>15548.33</v>
      </c>
      <c r="Y135" s="36">
        <f t="shared" si="61"/>
        <v>0</v>
      </c>
      <c r="Z135" s="36"/>
      <c r="AA135" s="36"/>
      <c r="AB135" s="36"/>
    </row>
    <row r="136" spans="1:28" ht="20.100000000000001" customHeight="1">
      <c r="A136" s="33">
        <v>5</v>
      </c>
      <c r="B136" s="265" t="s">
        <v>251</v>
      </c>
      <c r="C136" s="266"/>
      <c r="D136" s="20" t="s">
        <v>252</v>
      </c>
      <c r="E136" s="25" t="s">
        <v>54</v>
      </c>
      <c r="F136" s="62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6">
        <f t="shared" si="135"/>
        <v>447553.5025</v>
      </c>
      <c r="T136" s="36">
        <v>447553.5025</v>
      </c>
      <c r="U136" s="36">
        <f t="shared" si="60"/>
        <v>0</v>
      </c>
      <c r="V136" s="24"/>
      <c r="W136" s="24">
        <v>15548.33</v>
      </c>
      <c r="X136" s="24">
        <v>15548.33</v>
      </c>
      <c r="Y136" s="36">
        <f t="shared" si="61"/>
        <v>0</v>
      </c>
      <c r="Z136" s="36"/>
      <c r="AA136" s="36"/>
      <c r="AB136" s="36"/>
    </row>
    <row r="137" spans="1:28" ht="20.100000000000001" customHeight="1">
      <c r="A137" s="33">
        <v>6</v>
      </c>
      <c r="B137" s="264" t="s">
        <v>253</v>
      </c>
      <c r="C137" s="264"/>
      <c r="D137" s="61" t="s">
        <v>254</v>
      </c>
      <c r="E137" s="66" t="s">
        <v>66</v>
      </c>
      <c r="F137" s="62">
        <f>26732.65</f>
        <v>26732.65</v>
      </c>
      <c r="G137" s="62"/>
      <c r="H137" s="62">
        <f t="shared" si="129"/>
        <v>80197.950000000012</v>
      </c>
      <c r="I137" s="62">
        <f t="shared" si="130"/>
        <v>2004.94875</v>
      </c>
      <c r="J137" s="62">
        <v>0</v>
      </c>
      <c r="K137" s="62">
        <f t="shared" si="131"/>
        <v>13366.325000000001</v>
      </c>
      <c r="L137" s="36">
        <f t="shared" si="132"/>
        <v>93564.275000000009</v>
      </c>
      <c r="M137" s="62">
        <f t="shared" si="133"/>
        <v>26732.65</v>
      </c>
      <c r="N137" s="27"/>
      <c r="O137" s="27">
        <v>70000</v>
      </c>
      <c r="P137" s="62">
        <f t="shared" si="134"/>
        <v>2673.2650000000003</v>
      </c>
      <c r="Q137" s="26">
        <v>20000</v>
      </c>
      <c r="R137" s="62"/>
      <c r="S137" s="36">
        <f t="shared" si="135"/>
        <v>335272.06374999997</v>
      </c>
      <c r="T137" s="36">
        <v>327211.36749999999</v>
      </c>
      <c r="U137" s="36">
        <f t="shared" si="60"/>
        <v>8060.696249999979</v>
      </c>
      <c r="V137" s="36"/>
      <c r="W137" s="62">
        <v>7709.76</v>
      </c>
      <c r="X137" s="36">
        <v>7709.76</v>
      </c>
      <c r="Y137" s="36">
        <f t="shared" si="61"/>
        <v>0</v>
      </c>
      <c r="Z137" s="36"/>
      <c r="AA137" s="36"/>
      <c r="AB137" s="36"/>
    </row>
    <row r="138" spans="1:28" ht="20.100000000000001" customHeight="1">
      <c r="A138" s="33">
        <v>7</v>
      </c>
      <c r="B138" s="264" t="s">
        <v>255</v>
      </c>
      <c r="C138" s="264"/>
      <c r="D138" s="33" t="s">
        <v>256</v>
      </c>
      <c r="E138" s="66" t="s">
        <v>66</v>
      </c>
      <c r="F138" s="62">
        <f t="shared" ref="F138:F139" si="136">26732.65</f>
        <v>26732.65</v>
      </c>
      <c r="G138" s="62"/>
      <c r="H138" s="62">
        <f t="shared" si="129"/>
        <v>80197.950000000012</v>
      </c>
      <c r="I138" s="62">
        <f t="shared" si="130"/>
        <v>2004.94875</v>
      </c>
      <c r="J138" s="62">
        <v>0</v>
      </c>
      <c r="K138" s="62">
        <f t="shared" si="131"/>
        <v>13366.325000000001</v>
      </c>
      <c r="L138" s="36">
        <f t="shared" si="132"/>
        <v>93564.275000000009</v>
      </c>
      <c r="M138" s="62">
        <f t="shared" si="133"/>
        <v>26732.65</v>
      </c>
      <c r="N138" s="27"/>
      <c r="O138" s="27">
        <v>70000</v>
      </c>
      <c r="P138" s="62">
        <f t="shared" si="134"/>
        <v>2673.2650000000003</v>
      </c>
      <c r="Q138" s="26">
        <v>20000</v>
      </c>
      <c r="R138" s="62">
        <v>0</v>
      </c>
      <c r="S138" s="36">
        <f t="shared" si="135"/>
        <v>335272.06374999997</v>
      </c>
      <c r="T138" s="36">
        <v>327211.36749999999</v>
      </c>
      <c r="U138" s="36">
        <f t="shared" ref="U138:U186" si="137">S138-T138</f>
        <v>8060.696249999979</v>
      </c>
      <c r="V138" s="36"/>
      <c r="W138" s="62">
        <v>7709.76</v>
      </c>
      <c r="X138" s="36">
        <v>7709.76</v>
      </c>
      <c r="Y138" s="36">
        <f t="shared" ref="Y138:Y186" si="138">X138-W138</f>
        <v>0</v>
      </c>
      <c r="Z138" s="36"/>
      <c r="AA138" s="36"/>
      <c r="AB138" s="36"/>
    </row>
    <row r="139" spans="1:28" ht="20.100000000000001" customHeight="1">
      <c r="A139" s="33">
        <v>8</v>
      </c>
      <c r="B139" s="264" t="s">
        <v>399</v>
      </c>
      <c r="C139" s="264"/>
      <c r="D139" s="33" t="s">
        <v>256</v>
      </c>
      <c r="E139" s="66" t="s">
        <v>66</v>
      </c>
      <c r="F139" s="62">
        <f t="shared" si="136"/>
        <v>26732.65</v>
      </c>
      <c r="G139" s="62"/>
      <c r="H139" s="62">
        <f>F139*300%</f>
        <v>80197.950000000012</v>
      </c>
      <c r="I139" s="62">
        <f>F139*7.5%</f>
        <v>2004.94875</v>
      </c>
      <c r="J139" s="62">
        <v>0</v>
      </c>
      <c r="K139" s="62">
        <f>F139*50%</f>
        <v>13366.325000000001</v>
      </c>
      <c r="L139" s="36">
        <f>F139*350%</f>
        <v>93564.275000000009</v>
      </c>
      <c r="M139" s="62">
        <f>F139*100%</f>
        <v>26732.65</v>
      </c>
      <c r="N139" s="27"/>
      <c r="O139" s="27">
        <v>70000</v>
      </c>
      <c r="P139" s="62">
        <f>F139*10%</f>
        <v>2673.2650000000003</v>
      </c>
      <c r="Q139" s="26">
        <v>20000</v>
      </c>
      <c r="R139" s="62">
        <v>0</v>
      </c>
      <c r="S139" s="36">
        <f>SUM(F139:R139)</f>
        <v>335272.06374999997</v>
      </c>
      <c r="T139" s="36">
        <v>327211.36749999999</v>
      </c>
      <c r="U139" s="36">
        <v>0</v>
      </c>
      <c r="V139" s="36"/>
      <c r="W139" s="62">
        <v>7709.76</v>
      </c>
      <c r="X139" s="36">
        <v>7709.76</v>
      </c>
      <c r="Y139" s="36">
        <f t="shared" si="138"/>
        <v>0</v>
      </c>
      <c r="Z139" s="36"/>
      <c r="AA139" s="36"/>
      <c r="AB139" s="36"/>
    </row>
    <row r="140" spans="1:28" ht="20.100000000000001" customHeight="1">
      <c r="A140" s="33">
        <v>9</v>
      </c>
      <c r="B140" s="264" t="s">
        <v>257</v>
      </c>
      <c r="C140" s="264"/>
      <c r="D140" s="33" t="s">
        <v>258</v>
      </c>
      <c r="E140" s="66" t="s">
        <v>98</v>
      </c>
      <c r="F140" s="62">
        <f>24741.26</f>
        <v>24741.26</v>
      </c>
      <c r="G140" s="62"/>
      <c r="H140" s="62">
        <f t="shared" si="129"/>
        <v>74223.78</v>
      </c>
      <c r="I140" s="62">
        <f t="shared" si="130"/>
        <v>1855.5944999999997</v>
      </c>
      <c r="J140" s="36">
        <v>0</v>
      </c>
      <c r="K140" s="62">
        <f t="shared" si="131"/>
        <v>12370.63</v>
      </c>
      <c r="L140" s="36">
        <f t="shared" si="132"/>
        <v>86594.409999999989</v>
      </c>
      <c r="M140" s="62">
        <f t="shared" si="133"/>
        <v>24741.26</v>
      </c>
      <c r="N140" s="27"/>
      <c r="O140" s="27">
        <v>70000</v>
      </c>
      <c r="P140" s="62">
        <f t="shared" si="134"/>
        <v>2474.1260000000002</v>
      </c>
      <c r="Q140" s="62">
        <v>15000</v>
      </c>
      <c r="R140" s="62">
        <v>0</v>
      </c>
      <c r="S140" s="36">
        <f t="shared" si="135"/>
        <v>312001.06049999996</v>
      </c>
      <c r="T140" s="36">
        <v>304201.02600000001</v>
      </c>
      <c r="U140" s="36">
        <f t="shared" si="137"/>
        <v>7800.0344999999506</v>
      </c>
      <c r="V140" s="36"/>
      <c r="W140" s="62">
        <f>7709.76</f>
        <v>7709.76</v>
      </c>
      <c r="X140" s="36">
        <v>7709.76</v>
      </c>
      <c r="Y140" s="36">
        <f t="shared" si="138"/>
        <v>0</v>
      </c>
      <c r="Z140" s="36"/>
      <c r="AA140" s="36"/>
      <c r="AB140" s="36"/>
    </row>
    <row r="141" spans="1:28" ht="20.100000000000001" customHeight="1">
      <c r="A141" s="33">
        <v>10</v>
      </c>
      <c r="B141" s="257" t="s">
        <v>259</v>
      </c>
      <c r="C141" s="258"/>
      <c r="D141" s="61" t="s">
        <v>260</v>
      </c>
      <c r="E141" s="66" t="s">
        <v>85</v>
      </c>
      <c r="F141" s="62">
        <f>21520.88</f>
        <v>21520.880000000001</v>
      </c>
      <c r="G141" s="62"/>
      <c r="H141" s="62">
        <f>F141*300%</f>
        <v>64562.64</v>
      </c>
      <c r="I141" s="62">
        <f>F141*7.5%</f>
        <v>1614.066</v>
      </c>
      <c r="J141" s="62">
        <v>0</v>
      </c>
      <c r="K141" s="62">
        <f>F141*50%</f>
        <v>10760.44</v>
      </c>
      <c r="L141" s="36">
        <f>F141*350%</f>
        <v>75323.08</v>
      </c>
      <c r="M141" s="62">
        <f>F141*100%</f>
        <v>21520.880000000001</v>
      </c>
      <c r="N141" s="27"/>
      <c r="O141" s="27">
        <f>60000</f>
        <v>60000</v>
      </c>
      <c r="P141" s="62">
        <f>F141*10%</f>
        <v>2152.0880000000002</v>
      </c>
      <c r="Q141" s="62">
        <v>15000</v>
      </c>
      <c r="R141" s="62">
        <v>0</v>
      </c>
      <c r="S141" s="36">
        <f>SUM(F141:R141)</f>
        <v>272454.07400000002</v>
      </c>
      <c r="T141" s="36">
        <v>265372.07499999995</v>
      </c>
      <c r="U141" s="36">
        <f t="shared" si="137"/>
        <v>7081.9990000000689</v>
      </c>
      <c r="V141" s="36"/>
      <c r="W141" s="62">
        <f>3369.51</f>
        <v>3369.51</v>
      </c>
      <c r="X141" s="36">
        <v>3369.51</v>
      </c>
      <c r="Y141" s="36">
        <f t="shared" si="138"/>
        <v>0</v>
      </c>
      <c r="Z141" s="36"/>
      <c r="AA141" s="36"/>
      <c r="AB141" s="36"/>
    </row>
    <row r="142" spans="1:28" ht="20.100000000000001" customHeight="1">
      <c r="A142" s="33">
        <v>11</v>
      </c>
      <c r="B142" s="264" t="s">
        <v>261</v>
      </c>
      <c r="C142" s="264"/>
      <c r="D142" s="61" t="s">
        <v>260</v>
      </c>
      <c r="E142" s="66" t="s">
        <v>85</v>
      </c>
      <c r="F142" s="62">
        <f t="shared" ref="F142:F143" si="139">21520.88</f>
        <v>21520.880000000001</v>
      </c>
      <c r="G142" s="62"/>
      <c r="H142" s="62">
        <f>F142*300%</f>
        <v>64562.64</v>
      </c>
      <c r="I142" s="62">
        <f>F142*7.5%</f>
        <v>1614.066</v>
      </c>
      <c r="J142" s="62">
        <v>0</v>
      </c>
      <c r="K142" s="62">
        <f>F142*50%</f>
        <v>10760.44</v>
      </c>
      <c r="L142" s="36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2">
        <f t="shared" si="134"/>
        <v>2152.0880000000002</v>
      </c>
      <c r="Q142" s="62">
        <v>15000</v>
      </c>
      <c r="R142" s="62">
        <v>0</v>
      </c>
      <c r="S142" s="36">
        <f t="shared" si="135"/>
        <v>272454.07400000002</v>
      </c>
      <c r="T142" s="36">
        <v>265372.07499999995</v>
      </c>
      <c r="U142" s="36">
        <f t="shared" si="137"/>
        <v>7081.9990000000689</v>
      </c>
      <c r="V142" s="36"/>
      <c r="W142" s="62">
        <v>3369.51</v>
      </c>
      <c r="X142" s="36">
        <v>3369.51</v>
      </c>
      <c r="Y142" s="36">
        <f t="shared" si="138"/>
        <v>0</v>
      </c>
      <c r="Z142" s="36"/>
      <c r="AA142" s="36"/>
      <c r="AB142" s="36"/>
    </row>
    <row r="143" spans="1:28" ht="20.100000000000001" customHeight="1">
      <c r="A143" s="33">
        <v>12</v>
      </c>
      <c r="B143" s="257" t="s">
        <v>262</v>
      </c>
      <c r="C143" s="258"/>
      <c r="D143" s="33" t="s">
        <v>258</v>
      </c>
      <c r="E143" s="66" t="s">
        <v>85</v>
      </c>
      <c r="F143" s="62">
        <f t="shared" si="139"/>
        <v>21520.880000000001</v>
      </c>
      <c r="G143" s="62"/>
      <c r="H143" s="62">
        <f>F143*300%</f>
        <v>64562.64</v>
      </c>
      <c r="I143" s="62">
        <f>F143*7.5%</f>
        <v>1614.066</v>
      </c>
      <c r="J143" s="36"/>
      <c r="K143" s="62">
        <f>F143*50%</f>
        <v>10760.44</v>
      </c>
      <c r="L143" s="36">
        <f>F143*350%</f>
        <v>75323.08</v>
      </c>
      <c r="M143" s="62">
        <f>F143*100%</f>
        <v>21520.880000000001</v>
      </c>
      <c r="N143" s="27"/>
      <c r="O143" s="27">
        <f>60000</f>
        <v>60000</v>
      </c>
      <c r="P143" s="62">
        <f>F143*10%</f>
        <v>2152.0880000000002</v>
      </c>
      <c r="Q143" s="62">
        <v>15000</v>
      </c>
      <c r="R143" s="62"/>
      <c r="S143" s="36">
        <f>SUM(F143:R143)</f>
        <v>272454.07400000002</v>
      </c>
      <c r="T143" s="36">
        <v>265372.07499999995</v>
      </c>
      <c r="U143" s="36">
        <f t="shared" si="137"/>
        <v>7081.9990000000689</v>
      </c>
      <c r="V143" s="36"/>
      <c r="W143" s="62">
        <v>3369.51</v>
      </c>
      <c r="X143" s="36">
        <v>3369.51</v>
      </c>
      <c r="Y143" s="36">
        <f t="shared" si="138"/>
        <v>0</v>
      </c>
      <c r="Z143" s="36"/>
      <c r="AA143" s="36"/>
      <c r="AB143" s="36"/>
    </row>
    <row r="144" spans="1:28" ht="20.100000000000001" customHeight="1">
      <c r="A144" s="33">
        <v>13</v>
      </c>
      <c r="B144" s="257" t="s">
        <v>263</v>
      </c>
      <c r="C144" s="258"/>
      <c r="D144" s="33" t="s">
        <v>264</v>
      </c>
      <c r="E144" s="66" t="s">
        <v>82</v>
      </c>
      <c r="F144" s="26">
        <f>18779.3</f>
        <v>18779.3</v>
      </c>
      <c r="G144" s="62"/>
      <c r="H144" s="62">
        <f>F144*300%</f>
        <v>56337.899999999994</v>
      </c>
      <c r="I144" s="62">
        <f>F144*7.5%</f>
        <v>1408.4475</v>
      </c>
      <c r="J144" s="62"/>
      <c r="K144" s="62">
        <f>F144*50%</f>
        <v>9389.65</v>
      </c>
      <c r="L144" s="36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2">
        <f t="shared" si="134"/>
        <v>1877.93</v>
      </c>
      <c r="Q144" s="62">
        <v>10000</v>
      </c>
      <c r="R144" s="62"/>
      <c r="S144" s="36">
        <f t="shared" si="135"/>
        <v>242300.07749999996</v>
      </c>
      <c r="T144" s="36">
        <v>237734.04699999996</v>
      </c>
      <c r="U144" s="36">
        <f t="shared" si="137"/>
        <v>4566.0304999999935</v>
      </c>
      <c r="V144" s="36"/>
      <c r="W144" s="62">
        <v>3369.51</v>
      </c>
      <c r="X144" s="36">
        <v>3369.51</v>
      </c>
      <c r="Y144" s="36">
        <f t="shared" si="138"/>
        <v>0</v>
      </c>
      <c r="Z144" s="36"/>
      <c r="AA144" s="36"/>
      <c r="AB144" s="36"/>
    </row>
    <row r="145" spans="1:28" ht="20.100000000000001" customHeight="1">
      <c r="A145" s="33">
        <v>14</v>
      </c>
      <c r="B145" s="257" t="s">
        <v>265</v>
      </c>
      <c r="C145" s="258"/>
      <c r="D145" s="61" t="s">
        <v>266</v>
      </c>
      <c r="E145" s="66" t="s">
        <v>103</v>
      </c>
      <c r="F145" s="26">
        <f>18281.64</f>
        <v>18281.64</v>
      </c>
      <c r="G145" s="62"/>
      <c r="H145" s="62">
        <f t="shared" si="129"/>
        <v>54844.92</v>
      </c>
      <c r="I145" s="62">
        <f t="shared" si="130"/>
        <v>1371.1229999999998</v>
      </c>
      <c r="J145" s="62"/>
      <c r="K145" s="62">
        <f t="shared" si="131"/>
        <v>9140.82</v>
      </c>
      <c r="L145" s="36">
        <f t="shared" si="132"/>
        <v>63985.74</v>
      </c>
      <c r="M145" s="62">
        <f t="shared" si="133"/>
        <v>18281.64</v>
      </c>
      <c r="N145" s="27"/>
      <c r="O145" s="27">
        <f>60000</f>
        <v>60000</v>
      </c>
      <c r="P145" s="62">
        <f t="shared" si="134"/>
        <v>1828.164</v>
      </c>
      <c r="Q145" s="62">
        <v>10000</v>
      </c>
      <c r="R145" s="62"/>
      <c r="S145" s="36">
        <f t="shared" si="135"/>
        <v>237734.04699999996</v>
      </c>
      <c r="T145" s="36">
        <v>233168.19999999998</v>
      </c>
      <c r="U145" s="36">
        <f t="shared" si="137"/>
        <v>4565.8469999999797</v>
      </c>
      <c r="V145" s="36"/>
      <c r="W145" s="62">
        <f>3369.51</f>
        <v>3369.51</v>
      </c>
      <c r="X145" s="36">
        <v>3369.51</v>
      </c>
      <c r="Y145" s="36">
        <f t="shared" si="138"/>
        <v>0</v>
      </c>
      <c r="Z145" s="36"/>
      <c r="AA145" s="36"/>
      <c r="AB145" s="36"/>
    </row>
    <row r="146" spans="1:28" ht="20.100000000000001" customHeight="1">
      <c r="A146" s="33">
        <v>15</v>
      </c>
      <c r="B146" s="257" t="s">
        <v>267</v>
      </c>
      <c r="C146" s="258"/>
      <c r="D146" s="61" t="s">
        <v>268</v>
      </c>
      <c r="E146" s="66" t="s">
        <v>82</v>
      </c>
      <c r="F146" s="26">
        <f>18779.3</f>
        <v>18779.3</v>
      </c>
      <c r="G146" s="62"/>
      <c r="H146" s="62">
        <f>F146*300%</f>
        <v>56337.899999999994</v>
      </c>
      <c r="I146" s="62">
        <f>F146*7.5%</f>
        <v>1408.4475</v>
      </c>
      <c r="J146" s="36"/>
      <c r="K146" s="62">
        <f>F146*50%</f>
        <v>9389.65</v>
      </c>
      <c r="L146" s="36">
        <f>F146*350%</f>
        <v>65727.55</v>
      </c>
      <c r="M146" s="62">
        <f>F146*100%</f>
        <v>18779.3</v>
      </c>
      <c r="N146" s="27"/>
      <c r="O146" s="27">
        <f>60000</f>
        <v>60000</v>
      </c>
      <c r="P146" s="62">
        <f>F146*10%</f>
        <v>1877.93</v>
      </c>
      <c r="Q146" s="62">
        <v>10000</v>
      </c>
      <c r="R146" s="62"/>
      <c r="S146" s="36">
        <f>SUM(F146:R146)</f>
        <v>242300.07749999996</v>
      </c>
      <c r="T146" s="36">
        <v>237734.04699999996</v>
      </c>
      <c r="U146" s="36">
        <f t="shared" si="137"/>
        <v>4566.0304999999935</v>
      </c>
      <c r="V146" s="36"/>
      <c r="W146" s="62">
        <v>3369.51</v>
      </c>
      <c r="X146" s="36">
        <v>3369.51</v>
      </c>
      <c r="Y146" s="36">
        <f t="shared" si="138"/>
        <v>0</v>
      </c>
      <c r="Z146" s="36"/>
      <c r="AA146" s="36"/>
      <c r="AB146" s="36"/>
    </row>
    <row r="147" spans="1:28" ht="20.100000000000001" customHeight="1">
      <c r="A147" s="33">
        <v>16</v>
      </c>
      <c r="B147" s="257" t="s">
        <v>269</v>
      </c>
      <c r="C147" s="258"/>
      <c r="D147" s="33" t="s">
        <v>264</v>
      </c>
      <c r="E147" s="66" t="s">
        <v>95</v>
      </c>
      <c r="F147" s="67">
        <f>17784.1</f>
        <v>17784.099999999999</v>
      </c>
      <c r="G147" s="62"/>
      <c r="H147" s="62">
        <f t="shared" si="129"/>
        <v>53352.299999999996</v>
      </c>
      <c r="I147" s="62">
        <f t="shared" si="130"/>
        <v>1333.8074999999999</v>
      </c>
      <c r="J147" s="62"/>
      <c r="K147" s="62">
        <f t="shared" si="131"/>
        <v>8892.0499999999993</v>
      </c>
      <c r="L147" s="36">
        <f t="shared" si="132"/>
        <v>62244.349999999991</v>
      </c>
      <c r="M147" s="62">
        <f t="shared" si="133"/>
        <v>17784.099999999999</v>
      </c>
      <c r="N147" s="27"/>
      <c r="O147" s="27">
        <f>60000</f>
        <v>60000</v>
      </c>
      <c r="P147" s="62">
        <f t="shared" si="134"/>
        <v>1778.4099999999999</v>
      </c>
      <c r="Q147" s="62">
        <v>10000</v>
      </c>
      <c r="R147" s="62"/>
      <c r="S147" s="36">
        <f t="shared" si="135"/>
        <v>233169.11749999999</v>
      </c>
      <c r="T147" s="36">
        <v>228602.07775000003</v>
      </c>
      <c r="U147" s="36">
        <f t="shared" si="137"/>
        <v>4567.0397499999672</v>
      </c>
      <c r="V147" s="36"/>
      <c r="W147" s="62">
        <v>1484.37</v>
      </c>
      <c r="X147" s="36">
        <v>1484.37</v>
      </c>
      <c r="Y147" s="36">
        <f t="shared" si="138"/>
        <v>0</v>
      </c>
      <c r="Z147" s="36"/>
      <c r="AA147" s="36"/>
      <c r="AB147" s="36"/>
    </row>
    <row r="148" spans="1:28" ht="20.100000000000001" customHeight="1">
      <c r="A148" s="33">
        <v>17</v>
      </c>
      <c r="B148" s="257" t="s">
        <v>270</v>
      </c>
      <c r="C148" s="258"/>
      <c r="D148" s="33" t="s">
        <v>264</v>
      </c>
      <c r="E148" s="66" t="s">
        <v>95</v>
      </c>
      <c r="F148" s="67">
        <f t="shared" ref="F148:F149" si="140">17784.1</f>
        <v>17784.099999999999</v>
      </c>
      <c r="G148" s="62"/>
      <c r="H148" s="62">
        <f t="shared" si="129"/>
        <v>53352.299999999996</v>
      </c>
      <c r="I148" s="62">
        <f t="shared" si="130"/>
        <v>1333.8074999999999</v>
      </c>
      <c r="J148" s="62"/>
      <c r="K148" s="62">
        <f t="shared" si="131"/>
        <v>8892.0499999999993</v>
      </c>
      <c r="L148" s="36">
        <f t="shared" si="132"/>
        <v>62244.349999999991</v>
      </c>
      <c r="M148" s="62">
        <f t="shared" si="133"/>
        <v>17784.099999999999</v>
      </c>
      <c r="N148" s="27"/>
      <c r="O148" s="27">
        <f>60000</f>
        <v>60000</v>
      </c>
      <c r="P148" s="62">
        <f t="shared" si="134"/>
        <v>1778.4099999999999</v>
      </c>
      <c r="Q148" s="62">
        <v>10000</v>
      </c>
      <c r="R148" s="62"/>
      <c r="S148" s="36">
        <f t="shared" si="135"/>
        <v>233169.11749999999</v>
      </c>
      <c r="T148" s="36">
        <v>228602.07775000003</v>
      </c>
      <c r="U148" s="36">
        <f t="shared" si="137"/>
        <v>4567.0397499999672</v>
      </c>
      <c r="V148" s="36"/>
      <c r="W148" s="62">
        <v>1484.37</v>
      </c>
      <c r="X148" s="36">
        <v>1484.37</v>
      </c>
      <c r="Y148" s="36">
        <f t="shared" si="138"/>
        <v>0</v>
      </c>
      <c r="Z148" s="36"/>
      <c r="AA148" s="36"/>
      <c r="AB148" s="36"/>
    </row>
    <row r="149" spans="1:28" ht="20.100000000000001" customHeight="1">
      <c r="A149" s="33">
        <v>18</v>
      </c>
      <c r="B149" s="257" t="s">
        <v>271</v>
      </c>
      <c r="C149" s="258"/>
      <c r="D149" s="33" t="s">
        <v>264</v>
      </c>
      <c r="E149" s="66" t="s">
        <v>95</v>
      </c>
      <c r="F149" s="67">
        <f t="shared" si="140"/>
        <v>17784.099999999999</v>
      </c>
      <c r="G149" s="62"/>
      <c r="H149" s="62">
        <f t="shared" si="129"/>
        <v>53352.299999999996</v>
      </c>
      <c r="I149" s="62">
        <f t="shared" si="130"/>
        <v>1333.8074999999999</v>
      </c>
      <c r="J149" s="62"/>
      <c r="K149" s="62">
        <f t="shared" si="131"/>
        <v>8892.0499999999993</v>
      </c>
      <c r="L149" s="36">
        <f t="shared" si="132"/>
        <v>62244.349999999991</v>
      </c>
      <c r="M149" s="62">
        <f t="shared" si="133"/>
        <v>17784.099999999999</v>
      </c>
      <c r="N149" s="27"/>
      <c r="O149" s="27">
        <f>60000</f>
        <v>60000</v>
      </c>
      <c r="P149" s="62">
        <f t="shared" si="134"/>
        <v>1778.4099999999999</v>
      </c>
      <c r="Q149" s="62">
        <v>10000</v>
      </c>
      <c r="R149" s="62"/>
      <c r="S149" s="36">
        <f t="shared" si="135"/>
        <v>233169.11749999999</v>
      </c>
      <c r="T149" s="36">
        <v>228602.07775000003</v>
      </c>
      <c r="U149" s="36">
        <f t="shared" si="137"/>
        <v>4567.0397499999672</v>
      </c>
      <c r="V149" s="36"/>
      <c r="W149" s="62">
        <v>1484.37</v>
      </c>
      <c r="X149" s="36">
        <v>1484.37</v>
      </c>
      <c r="Y149" s="36">
        <f t="shared" si="138"/>
        <v>0</v>
      </c>
      <c r="Z149" s="36"/>
      <c r="AA149" s="36"/>
      <c r="AB149" s="36"/>
    </row>
    <row r="150" spans="1:28" ht="20.100000000000001" customHeight="1">
      <c r="A150" s="33">
        <v>19</v>
      </c>
      <c r="B150" s="257" t="s">
        <v>274</v>
      </c>
      <c r="C150" s="258"/>
      <c r="D150" s="61" t="s">
        <v>268</v>
      </c>
      <c r="E150" s="66" t="s">
        <v>106</v>
      </c>
      <c r="F150" s="67">
        <f>13492.21</f>
        <v>13492.21</v>
      </c>
      <c r="G150" s="62"/>
      <c r="H150" s="62">
        <f t="shared" si="129"/>
        <v>40476.629999999997</v>
      </c>
      <c r="I150" s="62">
        <f t="shared" si="130"/>
        <v>1011.9157499999999</v>
      </c>
      <c r="J150" s="62"/>
      <c r="K150" s="62">
        <f t="shared" si="131"/>
        <v>6746.1049999999996</v>
      </c>
      <c r="L150" s="36">
        <f t="shared" si="132"/>
        <v>47222.735000000001</v>
      </c>
      <c r="M150" s="62">
        <f t="shared" si="133"/>
        <v>13492.21</v>
      </c>
      <c r="N150" s="27"/>
      <c r="O150" s="27">
        <f>50000</f>
        <v>50000</v>
      </c>
      <c r="P150" s="62">
        <f t="shared" si="134"/>
        <v>1349.221</v>
      </c>
      <c r="Q150" s="62">
        <v>10000</v>
      </c>
      <c r="R150" s="62"/>
      <c r="S150" s="36">
        <f t="shared" si="135"/>
        <v>183791.02674999999</v>
      </c>
      <c r="T150" s="36">
        <v>180304.068</v>
      </c>
      <c r="U150" s="36">
        <f t="shared" si="137"/>
        <v>3486.9587499999907</v>
      </c>
      <c r="V150" s="36"/>
      <c r="W150" s="62">
        <v>1484.37</v>
      </c>
      <c r="X150" s="36">
        <v>1484.37</v>
      </c>
      <c r="Y150" s="36">
        <f t="shared" si="138"/>
        <v>0</v>
      </c>
      <c r="Z150" s="36"/>
      <c r="AA150" s="36"/>
      <c r="AB150" s="36"/>
    </row>
    <row r="151" spans="1:28" ht="20.100000000000001" customHeight="1">
      <c r="A151" s="33">
        <v>20</v>
      </c>
      <c r="B151" s="257" t="s">
        <v>275</v>
      </c>
      <c r="C151" s="258"/>
      <c r="D151" s="61" t="s">
        <v>276</v>
      </c>
      <c r="E151" s="66" t="s">
        <v>106</v>
      </c>
      <c r="F151" s="67">
        <f t="shared" ref="F151:F153" si="141">13492.21</f>
        <v>13492.21</v>
      </c>
      <c r="G151" s="62"/>
      <c r="H151" s="62">
        <f t="shared" si="129"/>
        <v>40476.629999999997</v>
      </c>
      <c r="I151" s="62">
        <f t="shared" si="130"/>
        <v>1011.9157499999999</v>
      </c>
      <c r="J151" s="62"/>
      <c r="K151" s="62">
        <f t="shared" si="131"/>
        <v>6746.1049999999996</v>
      </c>
      <c r="L151" s="36">
        <f t="shared" si="132"/>
        <v>47222.735000000001</v>
      </c>
      <c r="M151" s="62">
        <f t="shared" si="133"/>
        <v>13492.21</v>
      </c>
      <c r="N151" s="27"/>
      <c r="O151" s="27">
        <f>50000</f>
        <v>50000</v>
      </c>
      <c r="P151" s="62">
        <f t="shared" si="134"/>
        <v>1349.221</v>
      </c>
      <c r="Q151" s="62">
        <v>10000</v>
      </c>
      <c r="R151" s="62"/>
      <c r="S151" s="36">
        <f t="shared" si="135"/>
        <v>183791.02674999999</v>
      </c>
      <c r="T151" s="36">
        <v>180304.068</v>
      </c>
      <c r="U151" s="36">
        <f t="shared" si="137"/>
        <v>3486.9587499999907</v>
      </c>
      <c r="V151" s="36"/>
      <c r="W151" s="62">
        <v>1484.37</v>
      </c>
      <c r="X151" s="36">
        <v>1484.37</v>
      </c>
      <c r="Y151" s="36">
        <f t="shared" si="138"/>
        <v>0</v>
      </c>
      <c r="Z151" s="36"/>
      <c r="AA151" s="36"/>
      <c r="AB151" s="36"/>
    </row>
    <row r="152" spans="1:28" ht="20.100000000000001" customHeight="1">
      <c r="A152" s="33">
        <v>21</v>
      </c>
      <c r="B152" s="257" t="s">
        <v>277</v>
      </c>
      <c r="C152" s="258"/>
      <c r="D152" s="61" t="s">
        <v>268</v>
      </c>
      <c r="E152" s="66" t="s">
        <v>106</v>
      </c>
      <c r="F152" s="67">
        <f t="shared" si="141"/>
        <v>13492.21</v>
      </c>
      <c r="G152" s="62"/>
      <c r="H152" s="62">
        <f t="shared" si="129"/>
        <v>40476.629999999997</v>
      </c>
      <c r="I152" s="62">
        <f t="shared" si="130"/>
        <v>1011.9157499999999</v>
      </c>
      <c r="J152" s="62"/>
      <c r="K152" s="62">
        <f t="shared" si="131"/>
        <v>6746.1049999999996</v>
      </c>
      <c r="L152" s="36">
        <f t="shared" si="132"/>
        <v>47222.735000000001</v>
      </c>
      <c r="M152" s="62">
        <f t="shared" si="133"/>
        <v>13492.21</v>
      </c>
      <c r="N152" s="27"/>
      <c r="O152" s="27">
        <f>50000</f>
        <v>50000</v>
      </c>
      <c r="P152" s="62">
        <f t="shared" si="134"/>
        <v>1349.221</v>
      </c>
      <c r="Q152" s="62">
        <v>10000</v>
      </c>
      <c r="R152" s="62"/>
      <c r="S152" s="36">
        <f t="shared" si="135"/>
        <v>183791.02674999999</v>
      </c>
      <c r="T152" s="36">
        <v>180304.068</v>
      </c>
      <c r="U152" s="36">
        <f t="shared" si="137"/>
        <v>3486.9587499999907</v>
      </c>
      <c r="V152" s="36"/>
      <c r="W152" s="62">
        <v>1484.37</v>
      </c>
      <c r="X152" s="36">
        <v>1484.37</v>
      </c>
      <c r="Y152" s="36">
        <f t="shared" si="138"/>
        <v>0</v>
      </c>
      <c r="Z152" s="36"/>
      <c r="AA152" s="36"/>
      <c r="AB152" s="36"/>
    </row>
    <row r="153" spans="1:28" ht="20.100000000000001" customHeight="1">
      <c r="A153" s="33">
        <v>22</v>
      </c>
      <c r="B153" s="257" t="s">
        <v>278</v>
      </c>
      <c r="C153" s="258"/>
      <c r="D153" s="61" t="s">
        <v>279</v>
      </c>
      <c r="E153" s="66" t="s">
        <v>106</v>
      </c>
      <c r="F153" s="67">
        <f t="shared" si="141"/>
        <v>13492.21</v>
      </c>
      <c r="G153" s="62"/>
      <c r="H153" s="62">
        <f>F153*300%</f>
        <v>40476.629999999997</v>
      </c>
      <c r="I153" s="62">
        <f>F153*7.5%</f>
        <v>1011.9157499999999</v>
      </c>
      <c r="J153" s="62"/>
      <c r="K153" s="62">
        <f>F153*50%</f>
        <v>6746.1049999999996</v>
      </c>
      <c r="L153" s="36">
        <f>F153*350%</f>
        <v>47222.735000000001</v>
      </c>
      <c r="M153" s="62">
        <f>F153*100%</f>
        <v>13492.21</v>
      </c>
      <c r="N153" s="27"/>
      <c r="O153" s="27">
        <f>50000</f>
        <v>50000</v>
      </c>
      <c r="P153" s="62">
        <f>F153*10%</f>
        <v>1349.221</v>
      </c>
      <c r="Q153" s="62">
        <v>10000</v>
      </c>
      <c r="R153" s="62"/>
      <c r="S153" s="36">
        <f>SUM(F153:R153)</f>
        <v>183791.02674999999</v>
      </c>
      <c r="T153" s="36">
        <v>180304.068</v>
      </c>
      <c r="U153" s="36">
        <f t="shared" si="137"/>
        <v>3486.9587499999907</v>
      </c>
      <c r="V153" s="36"/>
      <c r="W153" s="62">
        <v>1484.37</v>
      </c>
      <c r="X153" s="36">
        <v>1484.37</v>
      </c>
      <c r="Y153" s="36">
        <f t="shared" si="138"/>
        <v>0</v>
      </c>
      <c r="Z153" s="36"/>
      <c r="AA153" s="36"/>
      <c r="AB153" s="36"/>
    </row>
    <row r="154" spans="1:28" ht="20.100000000000001" customHeight="1">
      <c r="A154" s="33">
        <v>23</v>
      </c>
      <c r="B154" s="97" t="s">
        <v>280</v>
      </c>
      <c r="C154" s="98"/>
      <c r="D154" s="61" t="s">
        <v>281</v>
      </c>
      <c r="E154" s="66" t="s">
        <v>108</v>
      </c>
      <c r="F154" s="67">
        <f>13112.16</f>
        <v>13112.16</v>
      </c>
      <c r="G154" s="62"/>
      <c r="H154" s="62">
        <f t="shared" si="129"/>
        <v>39336.479999999996</v>
      </c>
      <c r="I154" s="62">
        <f t="shared" si="130"/>
        <v>983.41199999999992</v>
      </c>
      <c r="J154" s="62"/>
      <c r="K154" s="62">
        <f t="shared" si="131"/>
        <v>6556.08</v>
      </c>
      <c r="L154" s="36">
        <f t="shared" si="132"/>
        <v>45892.56</v>
      </c>
      <c r="M154" s="62">
        <f>F154*100%</f>
        <v>13112.16</v>
      </c>
      <c r="N154" s="27"/>
      <c r="O154" s="27">
        <f>50000</f>
        <v>50000</v>
      </c>
      <c r="P154" s="62">
        <f>F154*10%</f>
        <v>1311.2160000000001</v>
      </c>
      <c r="Q154" s="62">
        <v>10000</v>
      </c>
      <c r="S154" s="62">
        <f t="shared" si="135"/>
        <v>180304.068</v>
      </c>
      <c r="T154" s="62">
        <v>223168.19999999998</v>
      </c>
      <c r="U154" s="36">
        <f t="shared" si="137"/>
        <v>-42864.131999999983</v>
      </c>
      <c r="V154" s="36"/>
      <c r="W154" s="62">
        <f>3369.51</f>
        <v>3369.51</v>
      </c>
      <c r="X154" s="36">
        <v>3369.51</v>
      </c>
      <c r="Y154" s="36">
        <f t="shared" si="138"/>
        <v>0</v>
      </c>
      <c r="Z154" s="36"/>
      <c r="AA154" s="36"/>
      <c r="AB154" s="36"/>
    </row>
    <row r="155" spans="1:28" ht="20.100000000000001" customHeight="1">
      <c r="A155" s="33">
        <v>24</v>
      </c>
      <c r="B155" s="97" t="s">
        <v>282</v>
      </c>
      <c r="C155" s="98"/>
      <c r="D155" s="61" t="s">
        <v>268</v>
      </c>
      <c r="E155" s="66" t="s">
        <v>93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6">
        <f t="shared" ref="S155:S157" si="142">R155+Q155+P155+O155+N155+M155+L155+K155+J155+I155+H155+G155+F155</f>
        <v>173329.04949999999</v>
      </c>
      <c r="T155" s="36">
        <v>173329.04949999999</v>
      </c>
      <c r="U155" s="36">
        <f t="shared" si="137"/>
        <v>0</v>
      </c>
      <c r="V155" s="36"/>
      <c r="W155" s="62">
        <v>1484.37</v>
      </c>
      <c r="X155" s="36">
        <v>1484.37</v>
      </c>
      <c r="Y155" s="36">
        <f t="shared" si="138"/>
        <v>0</v>
      </c>
      <c r="Z155" s="36"/>
      <c r="AA155" s="36"/>
      <c r="AB155" s="36"/>
    </row>
    <row r="156" spans="1:28" ht="20.100000000000001" customHeight="1">
      <c r="A156" s="33">
        <v>25</v>
      </c>
      <c r="B156" s="97" t="s">
        <v>283</v>
      </c>
      <c r="C156" s="98"/>
      <c r="D156" s="61" t="s">
        <v>281</v>
      </c>
      <c r="E156" s="66" t="s">
        <v>93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6">
        <f t="shared" si="142"/>
        <v>173329.04949999999</v>
      </c>
      <c r="T156" s="36">
        <v>173329.04949999999</v>
      </c>
      <c r="U156" s="36">
        <f t="shared" si="137"/>
        <v>0</v>
      </c>
      <c r="V156" s="36"/>
      <c r="W156" s="62">
        <v>1484.37</v>
      </c>
      <c r="X156" s="36">
        <v>1484.37</v>
      </c>
      <c r="Y156" s="36">
        <f t="shared" si="138"/>
        <v>0</v>
      </c>
      <c r="Z156" s="36"/>
      <c r="AA156" s="36"/>
      <c r="AB156" s="36"/>
    </row>
    <row r="157" spans="1:28" ht="20.100000000000001" customHeight="1">
      <c r="A157" s="33">
        <v>26</v>
      </c>
      <c r="B157" s="97" t="s">
        <v>284</v>
      </c>
      <c r="C157" s="98"/>
      <c r="D157" s="61" t="s">
        <v>268</v>
      </c>
      <c r="E157" s="66" t="s">
        <v>93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6">
        <f t="shared" si="142"/>
        <v>173329.04949999999</v>
      </c>
      <c r="T157" s="36">
        <v>173329.04949999999</v>
      </c>
      <c r="U157" s="36">
        <f t="shared" si="137"/>
        <v>0</v>
      </c>
      <c r="V157" s="36"/>
      <c r="W157" s="62">
        <v>1484.37</v>
      </c>
      <c r="X157" s="36">
        <v>1484.37</v>
      </c>
      <c r="Y157" s="36">
        <f t="shared" si="138"/>
        <v>0</v>
      </c>
      <c r="Z157" s="36"/>
      <c r="AA157" s="36"/>
      <c r="AB157" s="36"/>
    </row>
    <row r="158" spans="1:28" ht="20.100000000000001" customHeight="1">
      <c r="A158" s="33">
        <v>27</v>
      </c>
      <c r="B158" s="264" t="s">
        <v>286</v>
      </c>
      <c r="C158" s="264"/>
      <c r="D158" s="61" t="s">
        <v>287</v>
      </c>
      <c r="E158" s="66" t="s">
        <v>288</v>
      </c>
      <c r="F158" s="67">
        <f>9050.14</f>
        <v>9050.14</v>
      </c>
      <c r="G158" s="27"/>
      <c r="H158" s="62">
        <f t="shared" si="129"/>
        <v>27150.42</v>
      </c>
      <c r="I158" s="62">
        <f t="shared" si="130"/>
        <v>678.76049999999998</v>
      </c>
      <c r="J158" s="67">
        <v>0</v>
      </c>
      <c r="K158" s="62">
        <f t="shared" si="131"/>
        <v>4525.07</v>
      </c>
      <c r="L158" s="36">
        <f t="shared" si="132"/>
        <v>31675.489999999998</v>
      </c>
      <c r="M158" s="62">
        <f t="shared" si="148"/>
        <v>9050.14</v>
      </c>
      <c r="N158" s="27"/>
      <c r="O158" s="27">
        <f>30000</f>
        <v>30000</v>
      </c>
      <c r="P158" s="62">
        <f t="shared" si="149"/>
        <v>905.01400000000001</v>
      </c>
      <c r="Q158" s="67">
        <v>5000</v>
      </c>
      <c r="R158" s="62">
        <f>4000</f>
        <v>4000</v>
      </c>
      <c r="S158" s="36">
        <f t="shared" ref="S158:S182" si="150">SUM(F158:R158)</f>
        <v>122035.03449999999</v>
      </c>
      <c r="T158" s="36">
        <v>119104.99825</v>
      </c>
      <c r="U158" s="36">
        <f t="shared" si="137"/>
        <v>2930.0362499999901</v>
      </c>
      <c r="V158" s="36"/>
      <c r="W158" s="36">
        <v>236.04</v>
      </c>
      <c r="X158" s="36">
        <v>236.04</v>
      </c>
      <c r="Y158" s="36">
        <f t="shared" si="138"/>
        <v>0</v>
      </c>
      <c r="Z158" s="36"/>
      <c r="AA158" s="36"/>
      <c r="AB158" s="36"/>
    </row>
    <row r="159" spans="1:28" ht="20.100000000000001" customHeight="1">
      <c r="A159" s="33">
        <v>28</v>
      </c>
      <c r="B159" s="264" t="s">
        <v>289</v>
      </c>
      <c r="C159" s="264"/>
      <c r="D159" s="61" t="s">
        <v>287</v>
      </c>
      <c r="E159" s="66" t="s">
        <v>288</v>
      </c>
      <c r="F159" s="67">
        <f t="shared" ref="F159:F164" si="151">9050.14</f>
        <v>9050.14</v>
      </c>
      <c r="G159" s="27"/>
      <c r="H159" s="62">
        <f t="shared" si="129"/>
        <v>27150.42</v>
      </c>
      <c r="I159" s="62">
        <f t="shared" si="130"/>
        <v>678.76049999999998</v>
      </c>
      <c r="J159" s="67">
        <v>0</v>
      </c>
      <c r="K159" s="62">
        <f t="shared" si="131"/>
        <v>4525.07</v>
      </c>
      <c r="L159" s="36">
        <f t="shared" si="132"/>
        <v>31675.489999999998</v>
      </c>
      <c r="M159" s="62">
        <f t="shared" si="148"/>
        <v>9050.14</v>
      </c>
      <c r="N159" s="27"/>
      <c r="O159" s="27">
        <f>30000</f>
        <v>30000</v>
      </c>
      <c r="P159" s="62">
        <f t="shared" si="149"/>
        <v>905.01400000000001</v>
      </c>
      <c r="Q159" s="67">
        <v>5000</v>
      </c>
      <c r="R159" s="62">
        <f>7000</f>
        <v>7000</v>
      </c>
      <c r="S159" s="36">
        <f t="shared" si="150"/>
        <v>125035.03449999999</v>
      </c>
      <c r="T159" s="36">
        <v>122104.99825</v>
      </c>
      <c r="U159" s="36">
        <f t="shared" si="137"/>
        <v>2930.0362499999901</v>
      </c>
      <c r="V159" s="36"/>
      <c r="W159" s="36">
        <v>236.04</v>
      </c>
      <c r="X159" s="36">
        <v>236.04</v>
      </c>
      <c r="Y159" s="36">
        <f t="shared" si="138"/>
        <v>0</v>
      </c>
      <c r="Z159" s="36"/>
      <c r="AA159" s="36"/>
      <c r="AB159" s="36"/>
    </row>
    <row r="160" spans="1:28" ht="20.100000000000001" customHeight="1">
      <c r="A160" s="33">
        <v>29</v>
      </c>
      <c r="B160" s="264" t="s">
        <v>290</v>
      </c>
      <c r="C160" s="264"/>
      <c r="D160" s="61" t="s">
        <v>287</v>
      </c>
      <c r="E160" s="66" t="s">
        <v>288</v>
      </c>
      <c r="F160" s="67">
        <f t="shared" si="151"/>
        <v>9050.14</v>
      </c>
      <c r="G160" s="27"/>
      <c r="H160" s="62">
        <f t="shared" si="129"/>
        <v>27150.42</v>
      </c>
      <c r="I160" s="62">
        <f t="shared" si="130"/>
        <v>678.76049999999998</v>
      </c>
      <c r="J160" s="62">
        <v>0</v>
      </c>
      <c r="K160" s="62">
        <f t="shared" si="131"/>
        <v>4525.07</v>
      </c>
      <c r="L160" s="36">
        <f t="shared" si="132"/>
        <v>31675.489999999998</v>
      </c>
      <c r="M160" s="62">
        <f t="shared" si="148"/>
        <v>9050.14</v>
      </c>
      <c r="N160" s="27"/>
      <c r="O160" s="27">
        <f>30000</f>
        <v>30000</v>
      </c>
      <c r="P160" s="62">
        <f t="shared" si="149"/>
        <v>905.01400000000001</v>
      </c>
      <c r="Q160" s="62">
        <v>5000</v>
      </c>
      <c r="R160" s="62">
        <f>4000</f>
        <v>4000</v>
      </c>
      <c r="S160" s="36">
        <f t="shared" si="150"/>
        <v>122035.03449999999</v>
      </c>
      <c r="T160" s="36">
        <v>119104.99825</v>
      </c>
      <c r="U160" s="36">
        <f t="shared" si="137"/>
        <v>2930.0362499999901</v>
      </c>
      <c r="V160" s="36"/>
      <c r="W160" s="36">
        <v>236.04</v>
      </c>
      <c r="X160" s="36">
        <v>236.04</v>
      </c>
      <c r="Y160" s="36">
        <f t="shared" si="138"/>
        <v>0</v>
      </c>
      <c r="Z160" s="36"/>
      <c r="AA160" s="36"/>
      <c r="AB160" s="36"/>
    </row>
    <row r="161" spans="1:28" ht="20.100000000000001" customHeight="1">
      <c r="A161" s="33">
        <v>30</v>
      </c>
      <c r="B161" s="264" t="s">
        <v>291</v>
      </c>
      <c r="C161" s="264"/>
      <c r="D161" s="61" t="s">
        <v>287</v>
      </c>
      <c r="E161" s="66" t="s">
        <v>288</v>
      </c>
      <c r="F161" s="67">
        <f t="shared" si="151"/>
        <v>9050.14</v>
      </c>
      <c r="G161" s="27"/>
      <c r="H161" s="62">
        <f t="shared" si="129"/>
        <v>27150.42</v>
      </c>
      <c r="I161" s="62">
        <f t="shared" si="130"/>
        <v>678.76049999999998</v>
      </c>
      <c r="J161" s="62">
        <v>0</v>
      </c>
      <c r="K161" s="62">
        <f t="shared" si="131"/>
        <v>4525.07</v>
      </c>
      <c r="L161" s="36">
        <f t="shared" si="132"/>
        <v>31675.489999999998</v>
      </c>
      <c r="M161" s="62">
        <f t="shared" si="148"/>
        <v>9050.14</v>
      </c>
      <c r="N161" s="27"/>
      <c r="O161" s="27">
        <f>30000</f>
        <v>30000</v>
      </c>
      <c r="P161" s="62">
        <f t="shared" si="149"/>
        <v>905.01400000000001</v>
      </c>
      <c r="Q161" s="62">
        <v>5000</v>
      </c>
      <c r="R161" s="62">
        <f>4000</f>
        <v>4000</v>
      </c>
      <c r="S161" s="36">
        <f t="shared" si="150"/>
        <v>122035.03449999999</v>
      </c>
      <c r="T161" s="36">
        <v>119104.99825</v>
      </c>
      <c r="U161" s="36">
        <f t="shared" si="137"/>
        <v>2930.0362499999901</v>
      </c>
      <c r="V161" s="36"/>
      <c r="W161" s="36">
        <v>236.04</v>
      </c>
      <c r="X161" s="36">
        <v>236.04</v>
      </c>
      <c r="Y161" s="36">
        <f t="shared" si="138"/>
        <v>0</v>
      </c>
      <c r="Z161" s="36"/>
      <c r="AA161" s="36"/>
      <c r="AB161" s="36"/>
    </row>
    <row r="162" spans="1:28" ht="20.100000000000001" customHeight="1">
      <c r="A162" s="33">
        <v>31</v>
      </c>
      <c r="B162" s="264" t="s">
        <v>292</v>
      </c>
      <c r="C162" s="264"/>
      <c r="D162" s="61" t="s">
        <v>287</v>
      </c>
      <c r="E162" s="66" t="s">
        <v>288</v>
      </c>
      <c r="F162" s="67">
        <f t="shared" si="151"/>
        <v>9050.14</v>
      </c>
      <c r="G162" s="27"/>
      <c r="H162" s="62">
        <f t="shared" si="129"/>
        <v>27150.42</v>
      </c>
      <c r="I162" s="62">
        <f t="shared" si="130"/>
        <v>678.76049999999998</v>
      </c>
      <c r="J162" s="62">
        <v>0</v>
      </c>
      <c r="K162" s="62">
        <f t="shared" si="131"/>
        <v>4525.07</v>
      </c>
      <c r="L162" s="36">
        <f t="shared" si="132"/>
        <v>31675.489999999998</v>
      </c>
      <c r="M162" s="62">
        <f t="shared" si="148"/>
        <v>9050.14</v>
      </c>
      <c r="N162" s="27"/>
      <c r="O162" s="27">
        <f>30000</f>
        <v>30000</v>
      </c>
      <c r="P162" s="62">
        <f t="shared" si="149"/>
        <v>905.01400000000001</v>
      </c>
      <c r="Q162" s="62">
        <v>5000</v>
      </c>
      <c r="R162" s="62">
        <f>4000</f>
        <v>4000</v>
      </c>
      <c r="S162" s="36">
        <f t="shared" si="150"/>
        <v>122035.03449999999</v>
      </c>
      <c r="T162" s="36">
        <v>119104.99825</v>
      </c>
      <c r="U162" s="36">
        <f t="shared" si="137"/>
        <v>2930.0362499999901</v>
      </c>
      <c r="V162" s="36"/>
      <c r="W162" s="36">
        <v>236.04</v>
      </c>
      <c r="X162" s="36">
        <v>236.04</v>
      </c>
      <c r="Y162" s="36">
        <f t="shared" si="138"/>
        <v>0</v>
      </c>
      <c r="Z162" s="36"/>
      <c r="AA162" s="36"/>
      <c r="AB162" s="36"/>
    </row>
    <row r="163" spans="1:28" ht="20.100000000000001" customHeight="1">
      <c r="A163" s="33">
        <v>32</v>
      </c>
      <c r="B163" s="264" t="s">
        <v>293</v>
      </c>
      <c r="C163" s="264"/>
      <c r="D163" s="61" t="s">
        <v>287</v>
      </c>
      <c r="E163" s="66" t="s">
        <v>288</v>
      </c>
      <c r="F163" s="67">
        <f t="shared" si="151"/>
        <v>9050.14</v>
      </c>
      <c r="G163" s="27"/>
      <c r="H163" s="62">
        <f t="shared" si="129"/>
        <v>27150.42</v>
      </c>
      <c r="I163" s="62">
        <f t="shared" si="130"/>
        <v>678.76049999999998</v>
      </c>
      <c r="J163" s="62">
        <v>0</v>
      </c>
      <c r="K163" s="62">
        <f t="shared" si="131"/>
        <v>4525.07</v>
      </c>
      <c r="L163" s="36">
        <f t="shared" si="132"/>
        <v>31675.489999999998</v>
      </c>
      <c r="M163" s="62">
        <f t="shared" si="148"/>
        <v>9050.14</v>
      </c>
      <c r="N163" s="27"/>
      <c r="O163" s="27">
        <f>30000</f>
        <v>30000</v>
      </c>
      <c r="P163" s="62">
        <f t="shared" si="149"/>
        <v>905.01400000000001</v>
      </c>
      <c r="Q163" s="62">
        <v>5000</v>
      </c>
      <c r="R163" s="62">
        <f>4000</f>
        <v>4000</v>
      </c>
      <c r="S163" s="36">
        <f t="shared" si="150"/>
        <v>122035.03449999999</v>
      </c>
      <c r="T163" s="36">
        <v>119104.99825</v>
      </c>
      <c r="U163" s="36">
        <f t="shared" si="137"/>
        <v>2930.0362499999901</v>
      </c>
      <c r="V163" s="36"/>
      <c r="W163" s="36">
        <v>236.04</v>
      </c>
      <c r="X163" s="36">
        <v>236.04</v>
      </c>
      <c r="Y163" s="36">
        <f t="shared" si="138"/>
        <v>0</v>
      </c>
      <c r="Z163" s="36"/>
      <c r="AA163" s="36"/>
      <c r="AB163" s="36"/>
    </row>
    <row r="164" spans="1:28" ht="20.100000000000001" customHeight="1">
      <c r="A164" s="33">
        <v>33</v>
      </c>
      <c r="B164" s="264" t="s">
        <v>294</v>
      </c>
      <c r="C164" s="264"/>
      <c r="D164" s="61" t="s">
        <v>287</v>
      </c>
      <c r="E164" s="66" t="s">
        <v>288</v>
      </c>
      <c r="F164" s="67">
        <f t="shared" si="151"/>
        <v>9050.14</v>
      </c>
      <c r="G164" s="27"/>
      <c r="H164" s="62">
        <f t="shared" si="129"/>
        <v>27150.42</v>
      </c>
      <c r="I164" s="62">
        <f t="shared" si="130"/>
        <v>678.76049999999998</v>
      </c>
      <c r="J164" s="62">
        <v>0</v>
      </c>
      <c r="K164" s="62">
        <f t="shared" si="131"/>
        <v>4525.07</v>
      </c>
      <c r="L164" s="36">
        <f t="shared" si="132"/>
        <v>31675.489999999998</v>
      </c>
      <c r="M164" s="62">
        <f t="shared" si="148"/>
        <v>9050.14</v>
      </c>
      <c r="N164" s="27"/>
      <c r="O164" s="27">
        <f>30000</f>
        <v>30000</v>
      </c>
      <c r="P164" s="62">
        <f t="shared" si="149"/>
        <v>905.01400000000001</v>
      </c>
      <c r="Q164" s="62">
        <v>5000</v>
      </c>
      <c r="R164" s="62">
        <f>4000</f>
        <v>4000</v>
      </c>
      <c r="S164" s="36">
        <f t="shared" si="150"/>
        <v>122035.03449999999</v>
      </c>
      <c r="T164" s="36">
        <v>119104.99825</v>
      </c>
      <c r="U164" s="36">
        <f t="shared" si="137"/>
        <v>2930.0362499999901</v>
      </c>
      <c r="V164" s="36"/>
      <c r="W164" s="36">
        <v>236.04</v>
      </c>
      <c r="X164" s="36">
        <v>236.04</v>
      </c>
      <c r="Y164" s="36">
        <f t="shared" si="138"/>
        <v>0</v>
      </c>
      <c r="Z164" s="36"/>
      <c r="AA164" s="36"/>
      <c r="AB164" s="36"/>
    </row>
    <row r="165" spans="1:28" ht="20.100000000000001" customHeight="1">
      <c r="A165" s="33">
        <v>34</v>
      </c>
      <c r="B165" s="264" t="s">
        <v>295</v>
      </c>
      <c r="C165" s="264"/>
      <c r="D165" s="61" t="s">
        <v>296</v>
      </c>
      <c r="E165" s="66" t="s">
        <v>297</v>
      </c>
      <c r="F165" s="62">
        <f>5769.6</f>
        <v>5769.6</v>
      </c>
      <c r="G165" s="27"/>
      <c r="H165" s="62">
        <f t="shared" si="129"/>
        <v>17308.800000000003</v>
      </c>
      <c r="I165" s="62">
        <f t="shared" si="130"/>
        <v>432.72</v>
      </c>
      <c r="J165" s="62">
        <v>0</v>
      </c>
      <c r="K165" s="62">
        <f t="shared" si="131"/>
        <v>2884.8</v>
      </c>
      <c r="L165" s="36">
        <f t="shared" si="132"/>
        <v>20193.600000000002</v>
      </c>
      <c r="M165" s="62">
        <f t="shared" si="148"/>
        <v>5769.6</v>
      </c>
      <c r="N165" s="27"/>
      <c r="O165" s="27">
        <f>20000</f>
        <v>20000</v>
      </c>
      <c r="P165" s="62">
        <f t="shared" si="149"/>
        <v>576.96</v>
      </c>
      <c r="Q165" s="62">
        <v>5000</v>
      </c>
      <c r="R165" s="62">
        <f>7000</f>
        <v>7000</v>
      </c>
      <c r="S165" s="36">
        <f t="shared" si="150"/>
        <v>84936.08</v>
      </c>
      <c r="T165" s="36">
        <v>83370.091</v>
      </c>
      <c r="U165" s="36">
        <f t="shared" si="137"/>
        <v>1565.9890000000014</v>
      </c>
      <c r="V165" s="36"/>
      <c r="W165" s="36">
        <v>236.04</v>
      </c>
      <c r="X165" s="36">
        <v>236.04</v>
      </c>
      <c r="Y165" s="36">
        <f t="shared" si="138"/>
        <v>0</v>
      </c>
      <c r="Z165" s="36"/>
      <c r="AA165" s="36"/>
      <c r="AB165" s="36"/>
    </row>
    <row r="166" spans="1:28" ht="20.100000000000001" customHeight="1">
      <c r="A166" s="33">
        <v>35</v>
      </c>
      <c r="B166" s="264" t="s">
        <v>298</v>
      </c>
      <c r="C166" s="264"/>
      <c r="D166" s="61" t="s">
        <v>296</v>
      </c>
      <c r="E166" s="66" t="s">
        <v>297</v>
      </c>
      <c r="F166" s="62">
        <f t="shared" ref="F166:F171" si="152">5769.6</f>
        <v>5769.6</v>
      </c>
      <c r="G166" s="27"/>
      <c r="H166" s="62">
        <f t="shared" si="129"/>
        <v>17308.800000000003</v>
      </c>
      <c r="I166" s="62">
        <f t="shared" si="130"/>
        <v>432.72</v>
      </c>
      <c r="J166" s="62">
        <v>0</v>
      </c>
      <c r="K166" s="62">
        <f t="shared" si="131"/>
        <v>2884.8</v>
      </c>
      <c r="L166" s="36">
        <f t="shared" si="132"/>
        <v>20193.600000000002</v>
      </c>
      <c r="M166" s="62">
        <f t="shared" si="148"/>
        <v>5769.6</v>
      </c>
      <c r="N166" s="27"/>
      <c r="O166" s="27">
        <f>20000</f>
        <v>20000</v>
      </c>
      <c r="P166" s="62">
        <f t="shared" si="149"/>
        <v>576.96</v>
      </c>
      <c r="Q166" s="62">
        <v>5000</v>
      </c>
      <c r="R166" s="62">
        <f>4000</f>
        <v>4000</v>
      </c>
      <c r="S166" s="36">
        <f t="shared" si="150"/>
        <v>81936.08</v>
      </c>
      <c r="T166" s="36">
        <v>80370.091</v>
      </c>
      <c r="U166" s="36">
        <f t="shared" si="137"/>
        <v>1565.9890000000014</v>
      </c>
      <c r="V166" s="36"/>
      <c r="W166" s="36">
        <v>236.04</v>
      </c>
      <c r="X166" s="36">
        <v>236.04</v>
      </c>
      <c r="Y166" s="36">
        <f t="shared" si="138"/>
        <v>0</v>
      </c>
      <c r="Z166" s="36"/>
      <c r="AA166" s="36"/>
      <c r="AB166" s="36"/>
    </row>
    <row r="167" spans="1:28" ht="20.100000000000001" customHeight="1">
      <c r="A167" s="33">
        <v>36</v>
      </c>
      <c r="B167" s="264" t="s">
        <v>299</v>
      </c>
      <c r="C167" s="264"/>
      <c r="D167" s="61" t="s">
        <v>296</v>
      </c>
      <c r="E167" s="66" t="s">
        <v>297</v>
      </c>
      <c r="F167" s="62">
        <f t="shared" si="152"/>
        <v>5769.6</v>
      </c>
      <c r="G167" s="27"/>
      <c r="H167" s="62">
        <f t="shared" si="129"/>
        <v>17308.800000000003</v>
      </c>
      <c r="I167" s="62">
        <f t="shared" si="130"/>
        <v>432.72</v>
      </c>
      <c r="J167" s="62">
        <v>0</v>
      </c>
      <c r="K167" s="62">
        <f t="shared" si="131"/>
        <v>2884.8</v>
      </c>
      <c r="L167" s="36">
        <f t="shared" si="132"/>
        <v>20193.600000000002</v>
      </c>
      <c r="M167" s="62">
        <f t="shared" si="148"/>
        <v>5769.6</v>
      </c>
      <c r="N167" s="27"/>
      <c r="O167" s="27">
        <f>20000</f>
        <v>20000</v>
      </c>
      <c r="P167" s="62">
        <f t="shared" si="149"/>
        <v>576.96</v>
      </c>
      <c r="Q167" s="62">
        <v>5000</v>
      </c>
      <c r="R167" s="62">
        <f>4000</f>
        <v>4000</v>
      </c>
      <c r="S167" s="36">
        <f t="shared" si="150"/>
        <v>81936.08</v>
      </c>
      <c r="T167" s="36">
        <v>80370.091</v>
      </c>
      <c r="U167" s="36">
        <f t="shared" si="137"/>
        <v>1565.9890000000014</v>
      </c>
      <c r="V167" s="36"/>
      <c r="W167" s="36">
        <v>236.04</v>
      </c>
      <c r="X167" s="36">
        <v>236.04</v>
      </c>
      <c r="Y167" s="36">
        <f t="shared" si="138"/>
        <v>0</v>
      </c>
      <c r="Z167" s="36"/>
      <c r="AA167" s="36"/>
      <c r="AB167" s="36"/>
    </row>
    <row r="168" spans="1:28" ht="20.100000000000001" customHeight="1">
      <c r="A168" s="33">
        <v>37</v>
      </c>
      <c r="B168" s="33" t="s">
        <v>300</v>
      </c>
      <c r="C168" s="33"/>
      <c r="D168" s="61" t="s">
        <v>296</v>
      </c>
      <c r="E168" s="66" t="s">
        <v>297</v>
      </c>
      <c r="F168" s="62">
        <f t="shared" si="152"/>
        <v>5769.6</v>
      </c>
      <c r="G168" s="27"/>
      <c r="H168" s="62">
        <f t="shared" si="129"/>
        <v>17308.800000000003</v>
      </c>
      <c r="I168" s="62">
        <f t="shared" si="130"/>
        <v>432.72</v>
      </c>
      <c r="J168" s="62">
        <v>0</v>
      </c>
      <c r="K168" s="62">
        <f t="shared" si="131"/>
        <v>2884.8</v>
      </c>
      <c r="L168" s="36">
        <f t="shared" si="132"/>
        <v>20193.600000000002</v>
      </c>
      <c r="M168" s="62">
        <f>F167*100%</f>
        <v>5769.6</v>
      </c>
      <c r="N168" s="27"/>
      <c r="O168" s="27">
        <f>20000</f>
        <v>20000</v>
      </c>
      <c r="P168" s="62">
        <f t="shared" si="149"/>
        <v>576.96</v>
      </c>
      <c r="Q168" s="62">
        <v>5000</v>
      </c>
      <c r="R168" s="62">
        <f>7000</f>
        <v>7000</v>
      </c>
      <c r="S168" s="36">
        <f t="shared" si="150"/>
        <v>84936.08</v>
      </c>
      <c r="T168" s="36">
        <v>83370.091</v>
      </c>
      <c r="U168" s="36">
        <f t="shared" si="137"/>
        <v>1565.9890000000014</v>
      </c>
      <c r="V168" s="36"/>
      <c r="W168" s="36">
        <v>236.04</v>
      </c>
      <c r="X168" s="36">
        <v>236.04</v>
      </c>
      <c r="Y168" s="36">
        <f t="shared" si="138"/>
        <v>0</v>
      </c>
      <c r="Z168" s="36"/>
      <c r="AA168" s="36"/>
      <c r="AB168" s="36"/>
    </row>
    <row r="169" spans="1:28" ht="20.100000000000001" customHeight="1">
      <c r="A169" s="33">
        <v>38</v>
      </c>
      <c r="B169" s="257" t="s">
        <v>301</v>
      </c>
      <c r="C169" s="258"/>
      <c r="D169" s="61" t="s">
        <v>296</v>
      </c>
      <c r="E169" s="66" t="s">
        <v>297</v>
      </c>
      <c r="F169" s="62">
        <f t="shared" si="152"/>
        <v>5769.6</v>
      </c>
      <c r="G169" s="27"/>
      <c r="H169" s="62">
        <f t="shared" si="129"/>
        <v>17308.800000000003</v>
      </c>
      <c r="I169" s="62">
        <f t="shared" si="130"/>
        <v>432.72</v>
      </c>
      <c r="J169" s="62"/>
      <c r="K169" s="62">
        <f t="shared" si="131"/>
        <v>2884.8</v>
      </c>
      <c r="L169" s="36">
        <f t="shared" si="132"/>
        <v>20193.600000000002</v>
      </c>
      <c r="M169" s="62">
        <f t="shared" ref="M169:M186" si="153">F169*100%</f>
        <v>5769.6</v>
      </c>
      <c r="N169" s="27"/>
      <c r="O169" s="27">
        <f>20000</f>
        <v>20000</v>
      </c>
      <c r="P169" s="62">
        <f t="shared" si="149"/>
        <v>576.96</v>
      </c>
      <c r="Q169" s="62">
        <v>5000</v>
      </c>
      <c r="R169" s="62">
        <f>4000</f>
        <v>4000</v>
      </c>
      <c r="S169" s="36">
        <f t="shared" si="150"/>
        <v>81936.08</v>
      </c>
      <c r="T169" s="36">
        <v>80370.091</v>
      </c>
      <c r="U169" s="36">
        <f t="shared" si="137"/>
        <v>1565.9890000000014</v>
      </c>
      <c r="V169" s="36"/>
      <c r="W169" s="36">
        <v>236.04</v>
      </c>
      <c r="X169" s="36">
        <v>236.04</v>
      </c>
      <c r="Y169" s="36">
        <f t="shared" si="138"/>
        <v>0</v>
      </c>
      <c r="Z169" s="36"/>
      <c r="AA169" s="36"/>
      <c r="AB169" s="36"/>
    </row>
    <row r="170" spans="1:28" ht="20.100000000000001" customHeight="1">
      <c r="A170" s="33">
        <v>39</v>
      </c>
      <c r="B170" s="61" t="s">
        <v>302</v>
      </c>
      <c r="C170" s="33"/>
      <c r="D170" s="61" t="s">
        <v>296</v>
      </c>
      <c r="E170" s="66" t="s">
        <v>297</v>
      </c>
      <c r="F170" s="62">
        <f t="shared" si="152"/>
        <v>5769.6</v>
      </c>
      <c r="G170" s="27"/>
      <c r="H170" s="62">
        <f t="shared" si="129"/>
        <v>17308.800000000003</v>
      </c>
      <c r="I170" s="62">
        <f t="shared" si="130"/>
        <v>432.72</v>
      </c>
      <c r="J170" s="62"/>
      <c r="K170" s="62">
        <f t="shared" si="131"/>
        <v>2884.8</v>
      </c>
      <c r="L170" s="36">
        <f t="shared" si="132"/>
        <v>20193.600000000002</v>
      </c>
      <c r="M170" s="62">
        <f t="shared" si="153"/>
        <v>5769.6</v>
      </c>
      <c r="N170" s="27"/>
      <c r="O170" s="27">
        <f>20000</f>
        <v>20000</v>
      </c>
      <c r="P170" s="62">
        <f t="shared" si="149"/>
        <v>576.96</v>
      </c>
      <c r="Q170" s="62">
        <v>5000</v>
      </c>
      <c r="R170" s="62">
        <f>4000</f>
        <v>4000</v>
      </c>
      <c r="S170" s="36">
        <f t="shared" si="150"/>
        <v>81936.08</v>
      </c>
      <c r="T170" s="36">
        <v>80370.091</v>
      </c>
      <c r="U170" s="36">
        <f t="shared" si="137"/>
        <v>1565.9890000000014</v>
      </c>
      <c r="V170" s="36"/>
      <c r="W170" s="36">
        <v>236.04</v>
      </c>
      <c r="X170" s="36">
        <v>236.04</v>
      </c>
      <c r="Y170" s="36">
        <f t="shared" si="138"/>
        <v>0</v>
      </c>
      <c r="Z170" s="36"/>
      <c r="AA170" s="36"/>
      <c r="AB170" s="36"/>
    </row>
    <row r="171" spans="1:28" ht="20.100000000000001" customHeight="1">
      <c r="A171" s="33">
        <v>40</v>
      </c>
      <c r="B171" s="61" t="s">
        <v>303</v>
      </c>
      <c r="C171" s="33"/>
      <c r="D171" s="61" t="s">
        <v>296</v>
      </c>
      <c r="E171" s="66" t="s">
        <v>297</v>
      </c>
      <c r="F171" s="62">
        <f t="shared" si="152"/>
        <v>5769.6</v>
      </c>
      <c r="G171" s="27"/>
      <c r="H171" s="62">
        <f t="shared" si="129"/>
        <v>17308.800000000003</v>
      </c>
      <c r="I171" s="62">
        <f t="shared" si="130"/>
        <v>432.72</v>
      </c>
      <c r="J171" s="62"/>
      <c r="K171" s="62">
        <f t="shared" si="131"/>
        <v>2884.8</v>
      </c>
      <c r="L171" s="36">
        <f t="shared" si="132"/>
        <v>20193.600000000002</v>
      </c>
      <c r="M171" s="62">
        <f t="shared" si="153"/>
        <v>5769.6</v>
      </c>
      <c r="N171" s="27"/>
      <c r="O171" s="27">
        <f>20000</f>
        <v>20000</v>
      </c>
      <c r="P171" s="62">
        <f t="shared" si="149"/>
        <v>576.96</v>
      </c>
      <c r="Q171" s="62">
        <v>5000</v>
      </c>
      <c r="R171" s="62">
        <f>7000</f>
        <v>7000</v>
      </c>
      <c r="S171" s="36">
        <f t="shared" si="150"/>
        <v>84936.08</v>
      </c>
      <c r="T171" s="36">
        <v>83370.091</v>
      </c>
      <c r="U171" s="36">
        <f t="shared" si="137"/>
        <v>1565.9890000000014</v>
      </c>
      <c r="V171" s="36"/>
      <c r="W171" s="36">
        <v>236.04</v>
      </c>
      <c r="X171" s="36">
        <v>236.04</v>
      </c>
      <c r="Y171" s="36">
        <f t="shared" si="138"/>
        <v>0</v>
      </c>
      <c r="Z171" s="36"/>
      <c r="AA171" s="36"/>
      <c r="AB171" s="36"/>
    </row>
    <row r="172" spans="1:28" ht="20.100000000000001" customHeight="1">
      <c r="A172" s="33">
        <v>41</v>
      </c>
      <c r="B172" s="257" t="s">
        <v>304</v>
      </c>
      <c r="C172" s="258"/>
      <c r="D172" s="61" t="s">
        <v>296</v>
      </c>
      <c r="E172" s="66" t="s">
        <v>305</v>
      </c>
      <c r="F172" s="62">
        <f t="shared" ref="F172:F173" si="154">5257.44</f>
        <v>5257.44</v>
      </c>
      <c r="G172" s="27"/>
      <c r="H172" s="62">
        <f t="shared" si="129"/>
        <v>15772.32</v>
      </c>
      <c r="I172" s="62">
        <f t="shared" si="130"/>
        <v>394.30799999999994</v>
      </c>
      <c r="J172" s="62"/>
      <c r="K172" s="62">
        <f t="shared" si="131"/>
        <v>2628.72</v>
      </c>
      <c r="L172" s="36">
        <f t="shared" si="132"/>
        <v>18401.039999999997</v>
      </c>
      <c r="M172" s="62">
        <f t="shared" si="153"/>
        <v>5257.44</v>
      </c>
      <c r="N172" s="27"/>
      <c r="O172" s="27">
        <f>20000</f>
        <v>20000</v>
      </c>
      <c r="P172" s="62">
        <f t="shared" si="149"/>
        <v>525.74400000000003</v>
      </c>
      <c r="Q172" s="62">
        <v>5000</v>
      </c>
      <c r="R172" s="62">
        <f>7000</f>
        <v>7000</v>
      </c>
      <c r="S172" s="36">
        <f t="shared" si="150"/>
        <v>80237.012000000002</v>
      </c>
      <c r="T172" s="36">
        <v>78671.023000000016</v>
      </c>
      <c r="U172" s="36">
        <f t="shared" si="137"/>
        <v>1565.9889999999868</v>
      </c>
      <c r="V172" s="36"/>
      <c r="W172" s="36">
        <v>236.04</v>
      </c>
      <c r="X172" s="36">
        <v>236.04</v>
      </c>
      <c r="Y172" s="36">
        <f t="shared" si="138"/>
        <v>0</v>
      </c>
      <c r="Z172" s="36"/>
      <c r="AA172" s="36"/>
      <c r="AB172" s="36"/>
    </row>
    <row r="173" spans="1:28" ht="20.100000000000001" customHeight="1">
      <c r="A173" s="33">
        <v>42</v>
      </c>
      <c r="B173" s="257" t="s">
        <v>306</v>
      </c>
      <c r="C173" s="258"/>
      <c r="D173" s="61" t="s">
        <v>296</v>
      </c>
      <c r="E173" s="66" t="s">
        <v>305</v>
      </c>
      <c r="F173" s="62">
        <f t="shared" si="154"/>
        <v>5257.44</v>
      </c>
      <c r="G173" s="27"/>
      <c r="H173" s="62">
        <f t="shared" si="129"/>
        <v>15772.32</v>
      </c>
      <c r="I173" s="62">
        <f t="shared" si="130"/>
        <v>394.30799999999994</v>
      </c>
      <c r="J173" s="62"/>
      <c r="K173" s="62">
        <f t="shared" si="131"/>
        <v>2628.72</v>
      </c>
      <c r="L173" s="36">
        <f t="shared" si="132"/>
        <v>18401.039999999997</v>
      </c>
      <c r="M173" s="62">
        <f t="shared" si="153"/>
        <v>5257.44</v>
      </c>
      <c r="N173" s="27"/>
      <c r="O173" s="27">
        <f>20000</f>
        <v>20000</v>
      </c>
      <c r="P173" s="62">
        <f t="shared" si="149"/>
        <v>525.74400000000003</v>
      </c>
      <c r="Q173" s="62">
        <v>5000</v>
      </c>
      <c r="R173" s="62">
        <f>7000</f>
        <v>7000</v>
      </c>
      <c r="S173" s="36">
        <f t="shared" si="150"/>
        <v>80237.012000000002</v>
      </c>
      <c r="T173" s="36">
        <v>78671.023000000016</v>
      </c>
      <c r="U173" s="36">
        <f t="shared" si="137"/>
        <v>1565.9889999999868</v>
      </c>
      <c r="V173" s="36"/>
      <c r="W173" s="36">
        <v>236.04</v>
      </c>
      <c r="X173" s="36">
        <v>236.04</v>
      </c>
      <c r="Y173" s="36">
        <f t="shared" si="138"/>
        <v>0</v>
      </c>
      <c r="Z173" s="36"/>
      <c r="AA173" s="36"/>
      <c r="AB173" s="36"/>
    </row>
    <row r="174" spans="1:28" ht="20.100000000000001" customHeight="1">
      <c r="A174" s="33">
        <v>43</v>
      </c>
      <c r="B174" s="61" t="s">
        <v>307</v>
      </c>
      <c r="C174" s="33"/>
      <c r="D174" s="61" t="s">
        <v>296</v>
      </c>
      <c r="E174" s="66" t="s">
        <v>308</v>
      </c>
      <c r="F174" s="62">
        <f>5428.12</f>
        <v>5428.12</v>
      </c>
      <c r="G174" s="27"/>
      <c r="H174" s="62">
        <f t="shared" si="129"/>
        <v>16284.36</v>
      </c>
      <c r="I174" s="62">
        <f t="shared" si="130"/>
        <v>407.10899999999998</v>
      </c>
      <c r="J174" s="62"/>
      <c r="K174" s="62">
        <f t="shared" si="131"/>
        <v>2714.06</v>
      </c>
      <c r="L174" s="36">
        <f t="shared" si="132"/>
        <v>18998.419999999998</v>
      </c>
      <c r="M174" s="62">
        <f t="shared" si="153"/>
        <v>5428.12</v>
      </c>
      <c r="N174" s="27"/>
      <c r="O174" s="27">
        <f>20000</f>
        <v>20000</v>
      </c>
      <c r="P174" s="62">
        <f t="shared" si="149"/>
        <v>542.81200000000001</v>
      </c>
      <c r="Q174" s="62">
        <v>5000</v>
      </c>
      <c r="R174" s="62">
        <f>7000</f>
        <v>7000</v>
      </c>
      <c r="S174" s="36">
        <f t="shared" si="150"/>
        <v>81803.001000000018</v>
      </c>
      <c r="T174" s="36">
        <v>80237.012000000002</v>
      </c>
      <c r="U174" s="36">
        <f t="shared" si="137"/>
        <v>1565.9890000000159</v>
      </c>
      <c r="V174" s="36"/>
      <c r="W174" s="36">
        <f>236.04</f>
        <v>236.04</v>
      </c>
      <c r="X174" s="36">
        <v>236.04</v>
      </c>
      <c r="Y174" s="36">
        <f t="shared" si="138"/>
        <v>0</v>
      </c>
      <c r="Z174" s="36"/>
      <c r="AA174" s="36"/>
      <c r="AB174" s="36"/>
    </row>
    <row r="175" spans="1:28" ht="20.100000000000001" customHeight="1">
      <c r="A175" s="33">
        <v>44</v>
      </c>
      <c r="B175" s="257" t="s">
        <v>309</v>
      </c>
      <c r="C175" s="258"/>
      <c r="D175" s="61" t="s">
        <v>296</v>
      </c>
      <c r="E175" s="66" t="s">
        <v>310</v>
      </c>
      <c r="F175" s="62">
        <f>5086.76</f>
        <v>5086.76</v>
      </c>
      <c r="G175" s="27"/>
      <c r="H175" s="62">
        <f t="shared" si="129"/>
        <v>15260.28</v>
      </c>
      <c r="I175" s="62">
        <f t="shared" si="130"/>
        <v>381.50700000000001</v>
      </c>
      <c r="J175" s="62"/>
      <c r="K175" s="62">
        <f t="shared" si="131"/>
        <v>2543.38</v>
      </c>
      <c r="L175" s="36">
        <f t="shared" si="132"/>
        <v>17803.66</v>
      </c>
      <c r="M175" s="62">
        <f t="shared" si="153"/>
        <v>5086.76</v>
      </c>
      <c r="N175" s="27"/>
      <c r="O175" s="27">
        <f>20000</f>
        <v>20000</v>
      </c>
      <c r="P175" s="62">
        <f t="shared" si="149"/>
        <v>508.67600000000004</v>
      </c>
      <c r="Q175" s="62">
        <v>5000</v>
      </c>
      <c r="R175" s="62">
        <f>7000</f>
        <v>7000</v>
      </c>
      <c r="S175" s="36">
        <f t="shared" si="150"/>
        <v>78671.023000000016</v>
      </c>
      <c r="T175" s="36">
        <v>77104.024750000011</v>
      </c>
      <c r="U175" s="36">
        <f t="shared" si="137"/>
        <v>1566.9982500000042</v>
      </c>
      <c r="V175" s="36"/>
      <c r="W175" s="36">
        <v>236.04</v>
      </c>
      <c r="X175" s="36">
        <v>236.04</v>
      </c>
      <c r="Y175" s="36">
        <f t="shared" si="138"/>
        <v>0</v>
      </c>
      <c r="Z175" s="36"/>
      <c r="AA175" s="36"/>
      <c r="AB175" s="36"/>
    </row>
    <row r="176" spans="1:28" ht="20.100000000000001" customHeight="1">
      <c r="A176" s="33">
        <v>45</v>
      </c>
      <c r="B176" s="257" t="s">
        <v>311</v>
      </c>
      <c r="C176" s="258"/>
      <c r="D176" s="61" t="s">
        <v>312</v>
      </c>
      <c r="E176" s="66" t="s">
        <v>313</v>
      </c>
      <c r="F176" s="62">
        <f>4915.94</f>
        <v>4915.9399999999996</v>
      </c>
      <c r="G176" s="27"/>
      <c r="H176" s="62">
        <f t="shared" si="129"/>
        <v>14747.82</v>
      </c>
      <c r="I176" s="62">
        <f t="shared" si="130"/>
        <v>368.69549999999998</v>
      </c>
      <c r="J176" s="62"/>
      <c r="K176" s="62">
        <f t="shared" si="131"/>
        <v>2457.9699999999998</v>
      </c>
      <c r="L176" s="36">
        <f t="shared" si="132"/>
        <v>17205.789999999997</v>
      </c>
      <c r="M176" s="62">
        <f t="shared" si="153"/>
        <v>4915.9399999999996</v>
      </c>
      <c r="N176" s="27"/>
      <c r="O176" s="27">
        <f>20000</f>
        <v>20000</v>
      </c>
      <c r="P176" s="62">
        <f t="shared" si="149"/>
        <v>491.59399999999999</v>
      </c>
      <c r="Q176" s="62">
        <v>5000</v>
      </c>
      <c r="R176" s="62">
        <f>7000</f>
        <v>7000</v>
      </c>
      <c r="S176" s="36">
        <f t="shared" si="150"/>
        <v>77103.749500000005</v>
      </c>
      <c r="T176" s="36">
        <v>75538.03575000001</v>
      </c>
      <c r="U176" s="36">
        <f t="shared" si="137"/>
        <v>1565.7137499999953</v>
      </c>
      <c r="V176" s="36"/>
      <c r="W176" s="36">
        <v>236.04</v>
      </c>
      <c r="X176" s="36">
        <v>236.04</v>
      </c>
      <c r="Y176" s="36">
        <f t="shared" si="138"/>
        <v>0</v>
      </c>
      <c r="Z176" s="36"/>
      <c r="AA176" s="36"/>
      <c r="AB176" s="36"/>
    </row>
    <row r="177" spans="1:28" ht="20.100000000000001" customHeight="1">
      <c r="A177" s="33">
        <v>46</v>
      </c>
      <c r="B177" s="257" t="s">
        <v>314</v>
      </c>
      <c r="C177" s="258"/>
      <c r="D177" s="61" t="s">
        <v>312</v>
      </c>
      <c r="E177" s="66" t="s">
        <v>313</v>
      </c>
      <c r="F177" s="62">
        <f t="shared" ref="F177:F180" si="155">4915.94</f>
        <v>4915.9399999999996</v>
      </c>
      <c r="G177" s="27"/>
      <c r="H177" s="62">
        <f t="shared" si="129"/>
        <v>14747.82</v>
      </c>
      <c r="I177" s="62">
        <f t="shared" si="130"/>
        <v>368.69549999999998</v>
      </c>
      <c r="J177" s="62"/>
      <c r="K177" s="62">
        <f t="shared" si="131"/>
        <v>2457.9699999999998</v>
      </c>
      <c r="L177" s="36">
        <f t="shared" si="132"/>
        <v>17205.789999999997</v>
      </c>
      <c r="M177" s="62">
        <f t="shared" si="153"/>
        <v>4915.9399999999996</v>
      </c>
      <c r="N177" s="27"/>
      <c r="O177" s="27">
        <f>20000</f>
        <v>20000</v>
      </c>
      <c r="P177" s="62">
        <f t="shared" si="149"/>
        <v>491.59399999999999</v>
      </c>
      <c r="Q177" s="62">
        <v>5000</v>
      </c>
      <c r="R177" s="62">
        <f>4000</f>
        <v>4000</v>
      </c>
      <c r="S177" s="36">
        <f t="shared" si="150"/>
        <v>74103.749500000005</v>
      </c>
      <c r="T177" s="36">
        <v>72538.03575000001</v>
      </c>
      <c r="U177" s="36">
        <f t="shared" si="137"/>
        <v>1565.7137499999953</v>
      </c>
      <c r="V177" s="36"/>
      <c r="W177" s="36">
        <v>236.04</v>
      </c>
      <c r="X177" s="36">
        <v>236.04</v>
      </c>
      <c r="Y177" s="36">
        <f t="shared" si="138"/>
        <v>0</v>
      </c>
      <c r="Z177" s="36"/>
      <c r="AA177" s="36"/>
      <c r="AB177" s="36"/>
    </row>
    <row r="178" spans="1:28" ht="20.100000000000001" customHeight="1">
      <c r="A178" s="33">
        <v>47</v>
      </c>
      <c r="B178" s="257" t="s">
        <v>315</v>
      </c>
      <c r="C178" s="258"/>
      <c r="D178" s="61" t="s">
        <v>312</v>
      </c>
      <c r="E178" s="66" t="s">
        <v>313</v>
      </c>
      <c r="F178" s="62">
        <f t="shared" si="155"/>
        <v>4915.9399999999996</v>
      </c>
      <c r="G178" s="27"/>
      <c r="H178" s="62">
        <f t="shared" si="129"/>
        <v>14747.82</v>
      </c>
      <c r="I178" s="62">
        <f t="shared" si="130"/>
        <v>368.69549999999998</v>
      </c>
      <c r="J178" s="62"/>
      <c r="K178" s="62">
        <f t="shared" si="131"/>
        <v>2457.9699999999998</v>
      </c>
      <c r="L178" s="36">
        <f t="shared" si="132"/>
        <v>17205.789999999997</v>
      </c>
      <c r="M178" s="62">
        <f t="shared" si="153"/>
        <v>4915.9399999999996</v>
      </c>
      <c r="N178" s="27"/>
      <c r="O178" s="27">
        <f>20000</f>
        <v>20000</v>
      </c>
      <c r="P178" s="62">
        <f t="shared" si="149"/>
        <v>491.59399999999999</v>
      </c>
      <c r="Q178" s="62">
        <v>5000</v>
      </c>
      <c r="R178" s="62">
        <f>7000</f>
        <v>7000</v>
      </c>
      <c r="S178" s="36">
        <f t="shared" si="150"/>
        <v>77103.749500000005</v>
      </c>
      <c r="T178" s="36">
        <v>75538.03575000001</v>
      </c>
      <c r="U178" s="36">
        <f t="shared" si="137"/>
        <v>1565.7137499999953</v>
      </c>
      <c r="V178" s="36"/>
      <c r="W178" s="36">
        <v>236.04</v>
      </c>
      <c r="X178" s="36">
        <v>236.04</v>
      </c>
      <c r="Y178" s="36">
        <f t="shared" si="138"/>
        <v>0</v>
      </c>
      <c r="Z178" s="36"/>
      <c r="AA178" s="36"/>
      <c r="AB178" s="36"/>
    </row>
    <row r="179" spans="1:28" ht="20.100000000000001" customHeight="1">
      <c r="A179" s="33">
        <v>48</v>
      </c>
      <c r="B179" s="257" t="s">
        <v>316</v>
      </c>
      <c r="C179" s="258"/>
      <c r="D179" s="61" t="s">
        <v>312</v>
      </c>
      <c r="E179" s="66" t="s">
        <v>313</v>
      </c>
      <c r="F179" s="62">
        <f t="shared" si="155"/>
        <v>4915.9399999999996</v>
      </c>
      <c r="G179" s="27"/>
      <c r="H179" s="62">
        <f t="shared" si="129"/>
        <v>14747.82</v>
      </c>
      <c r="I179" s="62">
        <f t="shared" si="130"/>
        <v>368.69549999999998</v>
      </c>
      <c r="J179" s="62"/>
      <c r="K179" s="62">
        <f t="shared" si="131"/>
        <v>2457.9699999999998</v>
      </c>
      <c r="L179" s="36">
        <f t="shared" si="132"/>
        <v>17205.789999999997</v>
      </c>
      <c r="M179" s="62">
        <f t="shared" si="153"/>
        <v>4915.9399999999996</v>
      </c>
      <c r="N179" s="27"/>
      <c r="O179" s="27">
        <f>20000</f>
        <v>20000</v>
      </c>
      <c r="P179" s="62">
        <f t="shared" si="149"/>
        <v>491.59399999999999</v>
      </c>
      <c r="Q179" s="62">
        <v>5000</v>
      </c>
      <c r="R179" s="62">
        <f>4000</f>
        <v>4000</v>
      </c>
      <c r="S179" s="36">
        <f t="shared" si="150"/>
        <v>74103.749500000005</v>
      </c>
      <c r="T179" s="36">
        <v>72538.03575000001</v>
      </c>
      <c r="U179" s="36">
        <f t="shared" si="137"/>
        <v>1565.7137499999953</v>
      </c>
      <c r="V179" s="36"/>
      <c r="W179" s="36">
        <v>236.04</v>
      </c>
      <c r="X179" s="36">
        <v>236.04</v>
      </c>
      <c r="Y179" s="36">
        <f t="shared" si="138"/>
        <v>0</v>
      </c>
      <c r="Z179" s="36"/>
      <c r="AA179" s="36"/>
      <c r="AB179" s="36"/>
    </row>
    <row r="180" spans="1:28" ht="20.100000000000001" customHeight="1">
      <c r="A180" s="33">
        <v>49</v>
      </c>
      <c r="B180" s="257" t="s">
        <v>317</v>
      </c>
      <c r="C180" s="258"/>
      <c r="D180" s="61" t="s">
        <v>312</v>
      </c>
      <c r="E180" s="66" t="s">
        <v>313</v>
      </c>
      <c r="F180" s="62">
        <f t="shared" si="155"/>
        <v>4915.9399999999996</v>
      </c>
      <c r="G180" s="27"/>
      <c r="H180" s="62">
        <f t="shared" si="129"/>
        <v>14747.82</v>
      </c>
      <c r="I180" s="62">
        <f t="shared" si="130"/>
        <v>368.69549999999998</v>
      </c>
      <c r="J180" s="62"/>
      <c r="K180" s="62">
        <f t="shared" si="131"/>
        <v>2457.9699999999998</v>
      </c>
      <c r="L180" s="36">
        <f t="shared" si="132"/>
        <v>17205.789999999997</v>
      </c>
      <c r="M180" s="62">
        <f t="shared" si="153"/>
        <v>4915.9399999999996</v>
      </c>
      <c r="N180" s="27"/>
      <c r="O180" s="27">
        <f>20000</f>
        <v>20000</v>
      </c>
      <c r="P180" s="62">
        <f t="shared" si="149"/>
        <v>491.59399999999999</v>
      </c>
      <c r="Q180" s="62">
        <v>5000</v>
      </c>
      <c r="R180" s="62">
        <f>7000</f>
        <v>7000</v>
      </c>
      <c r="S180" s="36">
        <f t="shared" si="150"/>
        <v>77103.749500000005</v>
      </c>
      <c r="T180" s="36">
        <v>75538.03575000001</v>
      </c>
      <c r="U180" s="36">
        <f t="shared" si="137"/>
        <v>1565.7137499999953</v>
      </c>
      <c r="V180" s="36"/>
      <c r="W180" s="36">
        <v>236.04</v>
      </c>
      <c r="X180" s="36">
        <v>236.04</v>
      </c>
      <c r="Y180" s="36">
        <f t="shared" si="138"/>
        <v>0</v>
      </c>
      <c r="Z180" s="36"/>
      <c r="AA180" s="36"/>
      <c r="AB180" s="36"/>
    </row>
    <row r="181" spans="1:28" ht="20.100000000000001" customHeight="1">
      <c r="A181" s="33">
        <v>50</v>
      </c>
      <c r="B181" s="259" t="s">
        <v>318</v>
      </c>
      <c r="C181" s="260"/>
      <c r="D181" s="61" t="s">
        <v>312</v>
      </c>
      <c r="E181" s="66" t="s">
        <v>319</v>
      </c>
      <c r="F181" s="62">
        <f>4836.5</f>
        <v>4836.5</v>
      </c>
      <c r="G181" s="27"/>
      <c r="H181" s="62">
        <f t="shared" si="129"/>
        <v>14509.5</v>
      </c>
      <c r="I181" s="62">
        <f t="shared" si="130"/>
        <v>362.73750000000001</v>
      </c>
      <c r="J181" s="62"/>
      <c r="K181" s="62">
        <f t="shared" si="131"/>
        <v>2418.25</v>
      </c>
      <c r="L181" s="36">
        <f t="shared" si="132"/>
        <v>16927.75</v>
      </c>
      <c r="M181" s="62">
        <f t="shared" si="153"/>
        <v>4836.5</v>
      </c>
      <c r="N181" s="27"/>
      <c r="O181" s="27">
        <f>15000</f>
        <v>15000</v>
      </c>
      <c r="P181" s="62">
        <f t="shared" si="149"/>
        <v>483.65000000000003</v>
      </c>
      <c r="Q181" s="62">
        <v>5000</v>
      </c>
      <c r="R181" s="62">
        <f>7000</f>
        <v>7000</v>
      </c>
      <c r="S181" s="36">
        <f t="shared" si="150"/>
        <v>71374.887500000012</v>
      </c>
      <c r="T181" s="36">
        <v>67328.070250000004</v>
      </c>
      <c r="U181" s="36">
        <f t="shared" si="137"/>
        <v>4046.8172500000073</v>
      </c>
      <c r="V181" s="36"/>
      <c r="W181" s="36">
        <v>236.04</v>
      </c>
      <c r="X181" s="36">
        <v>236.04</v>
      </c>
      <c r="Y181" s="36">
        <f t="shared" si="138"/>
        <v>0</v>
      </c>
      <c r="Z181" s="36"/>
      <c r="AA181" s="36"/>
      <c r="AB181" s="36"/>
    </row>
    <row r="182" spans="1:28" ht="20.100000000000001" customHeight="1">
      <c r="A182" s="33">
        <v>51</v>
      </c>
      <c r="B182" s="261" t="s">
        <v>320</v>
      </c>
      <c r="C182" s="262"/>
      <c r="D182" s="61" t="s">
        <v>312</v>
      </c>
      <c r="E182" s="66" t="s">
        <v>319</v>
      </c>
      <c r="F182" s="62">
        <f t="shared" ref="F182:F183" si="156">4836.5</f>
        <v>4836.5</v>
      </c>
      <c r="G182" s="27"/>
      <c r="H182" s="62">
        <f t="shared" si="129"/>
        <v>14509.5</v>
      </c>
      <c r="I182" s="62">
        <f t="shared" si="130"/>
        <v>362.73750000000001</v>
      </c>
      <c r="J182" s="62"/>
      <c r="K182" s="62">
        <f t="shared" si="131"/>
        <v>2418.25</v>
      </c>
      <c r="L182" s="36">
        <f t="shared" si="132"/>
        <v>16927.75</v>
      </c>
      <c r="M182" s="62">
        <f t="shared" si="153"/>
        <v>4836.5</v>
      </c>
      <c r="N182" s="27"/>
      <c r="O182" s="27">
        <f>15000</f>
        <v>15000</v>
      </c>
      <c r="P182" s="62">
        <f t="shared" si="149"/>
        <v>483.65000000000003</v>
      </c>
      <c r="Q182" s="62">
        <v>5000</v>
      </c>
      <c r="R182" s="62">
        <f>7000</f>
        <v>7000</v>
      </c>
      <c r="S182" s="36">
        <f t="shared" si="150"/>
        <v>71374.887500000012</v>
      </c>
      <c r="T182" s="36">
        <v>67328.070250000004</v>
      </c>
      <c r="U182" s="36">
        <f t="shared" si="137"/>
        <v>4046.8172500000073</v>
      </c>
      <c r="V182" s="36"/>
      <c r="W182" s="36">
        <v>236.04</v>
      </c>
      <c r="X182" s="36">
        <v>236.04</v>
      </c>
      <c r="Y182" s="36">
        <f t="shared" si="138"/>
        <v>0</v>
      </c>
      <c r="Z182" s="36"/>
      <c r="AA182" s="36"/>
      <c r="AB182" s="36"/>
    </row>
    <row r="183" spans="1:28" ht="20.100000000000001" customHeight="1">
      <c r="A183" s="33">
        <v>52</v>
      </c>
      <c r="B183" s="102" t="s">
        <v>321</v>
      </c>
      <c r="C183" s="90"/>
      <c r="D183" s="61" t="s">
        <v>312</v>
      </c>
      <c r="E183" s="66" t="s">
        <v>319</v>
      </c>
      <c r="F183" s="62">
        <f t="shared" si="156"/>
        <v>4836.5</v>
      </c>
      <c r="G183" s="27"/>
      <c r="H183" s="62">
        <f t="shared" si="129"/>
        <v>14509.5</v>
      </c>
      <c r="I183" s="62">
        <f t="shared" si="130"/>
        <v>362.73750000000001</v>
      </c>
      <c r="J183" s="62"/>
      <c r="K183" s="62">
        <f t="shared" si="131"/>
        <v>2418.25</v>
      </c>
      <c r="L183" s="36">
        <f t="shared" si="132"/>
        <v>16927.75</v>
      </c>
      <c r="M183" s="62">
        <f t="shared" si="153"/>
        <v>4836.5</v>
      </c>
      <c r="N183" s="27"/>
      <c r="O183" s="27">
        <f>15000</f>
        <v>15000</v>
      </c>
      <c r="P183" s="62">
        <f t="shared" si="149"/>
        <v>483.65000000000003</v>
      </c>
      <c r="Q183" s="62">
        <v>5000</v>
      </c>
      <c r="R183" s="62">
        <f>4000</f>
        <v>4000</v>
      </c>
      <c r="S183" s="36">
        <f t="shared" ref="S183:S184" si="157">SUM(F183:R183)</f>
        <v>68374.887500000012</v>
      </c>
      <c r="T183" s="36">
        <v>64328.070250000004</v>
      </c>
      <c r="U183" s="36">
        <f t="shared" si="137"/>
        <v>4046.8172500000073</v>
      </c>
      <c r="V183" s="36"/>
      <c r="W183" s="36">
        <v>236.04</v>
      </c>
      <c r="X183" s="36">
        <v>236.04</v>
      </c>
      <c r="Y183" s="36">
        <f t="shared" si="138"/>
        <v>0</v>
      </c>
      <c r="Z183" s="36"/>
      <c r="AA183" s="36"/>
      <c r="AB183" s="36"/>
    </row>
    <row r="184" spans="1:28" ht="20.100000000000001" customHeight="1">
      <c r="A184" s="33">
        <v>53</v>
      </c>
      <c r="B184" s="102" t="s">
        <v>322</v>
      </c>
      <c r="C184" s="90"/>
      <c r="D184" s="61" t="s">
        <v>312</v>
      </c>
      <c r="E184" s="66" t="s">
        <v>323</v>
      </c>
      <c r="F184" s="62">
        <f>4915.94</f>
        <v>4915.9399999999996</v>
      </c>
      <c r="G184" s="27"/>
      <c r="H184" s="62">
        <f t="shared" si="129"/>
        <v>14747.82</v>
      </c>
      <c r="I184" s="62">
        <f t="shared" si="130"/>
        <v>368.69549999999998</v>
      </c>
      <c r="J184" s="62"/>
      <c r="K184" s="62">
        <f t="shared" si="131"/>
        <v>2457.9699999999998</v>
      </c>
      <c r="L184" s="36">
        <f t="shared" si="132"/>
        <v>17205.789999999997</v>
      </c>
      <c r="M184" s="62">
        <f t="shared" si="153"/>
        <v>4915.9399999999996</v>
      </c>
      <c r="N184" s="27"/>
      <c r="O184" s="27">
        <f>20000</f>
        <v>20000</v>
      </c>
      <c r="P184" s="62">
        <f t="shared" si="149"/>
        <v>491.59399999999999</v>
      </c>
      <c r="Q184" s="62">
        <v>5000</v>
      </c>
      <c r="R184" s="62">
        <f>4000</f>
        <v>4000</v>
      </c>
      <c r="S184" s="36">
        <f t="shared" si="157"/>
        <v>74103.749500000005</v>
      </c>
      <c r="T184" s="36">
        <v>72538.03575000001</v>
      </c>
      <c r="U184" s="36">
        <f t="shared" si="137"/>
        <v>1565.7137499999953</v>
      </c>
      <c r="V184" s="36"/>
      <c r="W184" s="36">
        <v>236.04</v>
      </c>
      <c r="X184" s="36">
        <v>236.04</v>
      </c>
      <c r="Y184" s="36">
        <f t="shared" si="138"/>
        <v>0</v>
      </c>
      <c r="Z184" s="36"/>
      <c r="AA184" s="36"/>
      <c r="AB184" s="36"/>
    </row>
    <row r="185" spans="1:28" ht="20.100000000000001" customHeight="1">
      <c r="A185" s="33">
        <v>54</v>
      </c>
      <c r="B185" s="102" t="s">
        <v>324</v>
      </c>
      <c r="C185" s="90"/>
      <c r="D185" s="61" t="s">
        <v>312</v>
      </c>
      <c r="E185" s="66" t="s">
        <v>325</v>
      </c>
      <c r="F185" s="140">
        <f>4248.5</f>
        <v>4248.5</v>
      </c>
      <c r="G185" s="27"/>
      <c r="H185" s="62">
        <f t="shared" si="129"/>
        <v>12745.5</v>
      </c>
      <c r="I185" s="62">
        <f t="shared" si="130"/>
        <v>318.63749999999999</v>
      </c>
      <c r="J185" s="62"/>
      <c r="K185" s="62">
        <f t="shared" si="131"/>
        <v>2124.25</v>
      </c>
      <c r="L185" s="36">
        <f t="shared" si="132"/>
        <v>14869.75</v>
      </c>
      <c r="M185" s="62">
        <f t="shared" si="153"/>
        <v>4248.5</v>
      </c>
      <c r="N185" s="27"/>
      <c r="O185" s="27">
        <f>15000</f>
        <v>15000</v>
      </c>
      <c r="P185" s="62">
        <f t="shared" si="149"/>
        <v>424.85</v>
      </c>
      <c r="Q185" s="62">
        <v>5000</v>
      </c>
      <c r="R185" s="62">
        <f>7000</f>
        <v>7000</v>
      </c>
      <c r="S185" s="36">
        <f>SUM(F185:R185)</f>
        <v>65979.987499999988</v>
      </c>
      <c r="T185" s="36">
        <v>64631.996500000001</v>
      </c>
      <c r="U185" s="36">
        <f t="shared" si="137"/>
        <v>1347.9909999999873</v>
      </c>
      <c r="V185" s="36"/>
      <c r="W185" s="36">
        <v>236.04</v>
      </c>
      <c r="X185" s="36">
        <v>236.04</v>
      </c>
      <c r="Y185" s="36">
        <f t="shared" si="138"/>
        <v>0</v>
      </c>
      <c r="Z185" s="36"/>
      <c r="AA185" s="36"/>
      <c r="AB185" s="36"/>
    </row>
    <row r="186" spans="1:28" ht="20.100000000000001" customHeight="1">
      <c r="A186" s="33">
        <v>55</v>
      </c>
      <c r="B186" s="102" t="s">
        <v>326</v>
      </c>
      <c r="C186" s="90"/>
      <c r="D186" s="61" t="s">
        <v>312</v>
      </c>
      <c r="E186" s="66" t="s">
        <v>323</v>
      </c>
      <c r="F186" s="62">
        <f>4915.94</f>
        <v>4915.9399999999996</v>
      </c>
      <c r="G186" s="27"/>
      <c r="H186" s="62">
        <f t="shared" si="129"/>
        <v>14747.82</v>
      </c>
      <c r="I186" s="62">
        <f t="shared" si="130"/>
        <v>368.69549999999998</v>
      </c>
      <c r="J186" s="62"/>
      <c r="K186" s="62">
        <f t="shared" si="131"/>
        <v>2457.9699999999998</v>
      </c>
      <c r="L186" s="36">
        <f t="shared" si="132"/>
        <v>17205.789999999997</v>
      </c>
      <c r="M186" s="62">
        <f t="shared" si="153"/>
        <v>4915.9399999999996</v>
      </c>
      <c r="N186" s="27"/>
      <c r="O186" s="27">
        <f>20000</f>
        <v>20000</v>
      </c>
      <c r="P186" s="62">
        <f t="shared" si="149"/>
        <v>491.59399999999999</v>
      </c>
      <c r="Q186" s="62">
        <v>5000</v>
      </c>
      <c r="R186" s="62">
        <f>7000</f>
        <v>7000</v>
      </c>
      <c r="S186" s="36">
        <f t="shared" ref="S186" si="158">SUM(F186:R186)</f>
        <v>77103.749500000005</v>
      </c>
      <c r="T186" s="36">
        <v>75538.03575000001</v>
      </c>
      <c r="U186" s="36">
        <f t="shared" si="137"/>
        <v>1565.7137499999953</v>
      </c>
      <c r="V186" s="36"/>
      <c r="W186" s="36">
        <v>236.04</v>
      </c>
      <c r="X186" s="36">
        <v>236.04</v>
      </c>
      <c r="Y186" s="36">
        <f t="shared" si="138"/>
        <v>0</v>
      </c>
      <c r="Z186" s="36"/>
      <c r="AA186" s="36"/>
      <c r="AB186" s="36"/>
    </row>
    <row r="187" spans="1:28" ht="20.100000000000001" customHeight="1">
      <c r="A187" s="33"/>
      <c r="B187" s="48" t="s">
        <v>34</v>
      </c>
      <c r="D187" s="49" t="s">
        <v>400</v>
      </c>
      <c r="E187" s="37"/>
      <c r="F187" s="95">
        <f t="shared" ref="F187:M187" si="159">SUM(F132:F186)</f>
        <v>833916.93999999925</v>
      </c>
      <c r="G187" s="95">
        <f t="shared" si="159"/>
        <v>0</v>
      </c>
      <c r="H187" s="95">
        <f t="shared" si="159"/>
        <v>2501750.8199999956</v>
      </c>
      <c r="I187" s="95">
        <f t="shared" si="159"/>
        <v>62543.770499999991</v>
      </c>
      <c r="J187" s="95">
        <f t="shared" si="159"/>
        <v>280855.33</v>
      </c>
      <c r="K187" s="95">
        <f t="shared" si="159"/>
        <v>416958.46999999962</v>
      </c>
      <c r="L187" s="95">
        <f t="shared" si="159"/>
        <v>2918709.2900000033</v>
      </c>
      <c r="M187" s="95">
        <f t="shared" si="159"/>
        <v>833916.93999999925</v>
      </c>
      <c r="N187" s="134"/>
      <c r="O187" s="134">
        <f>SUM(O132:O186)</f>
        <v>2300000</v>
      </c>
      <c r="P187" s="95">
        <f>SUM(P132:P186)</f>
        <v>83391.694000000018</v>
      </c>
      <c r="Q187" s="95">
        <f>SUM(Q132:Q186)</f>
        <v>505000</v>
      </c>
      <c r="R187" s="95">
        <f>SUM(R132:R186)</f>
        <v>211000</v>
      </c>
      <c r="S187" s="95">
        <f>SUM(S132:S186)</f>
        <v>10948043.254499998</v>
      </c>
      <c r="T187" s="95">
        <v>10834146.823000003</v>
      </c>
      <c r="U187" s="106">
        <f>SUM(U132:U186)</f>
        <v>105835.73524999988</v>
      </c>
      <c r="V187" s="95"/>
      <c r="W187" s="95">
        <f t="shared" ref="W187" si="160">SUM(W132:W186)</f>
        <v>234382.48000000027</v>
      </c>
      <c r="X187" s="95">
        <v>234382.48000000027</v>
      </c>
      <c r="Y187" s="95">
        <f t="shared" ref="Y187" si="161">SUM(Y132:Y186)</f>
        <v>0</v>
      </c>
      <c r="Z187" s="95"/>
      <c r="AA187" s="95"/>
      <c r="AB187" s="95"/>
    </row>
    <row r="188" spans="1:28" ht="20.100000000000001" customHeight="1">
      <c r="A188" s="33"/>
      <c r="B188" s="263" t="s">
        <v>328</v>
      </c>
      <c r="C188" s="263"/>
      <c r="D188" s="73">
        <f>D39+D43+D56+D61+D76+D86+D99+D106+D117+D129+D187</f>
        <v>148</v>
      </c>
      <c r="E188" s="40"/>
      <c r="F188" s="41">
        <f t="shared" ref="F188:U188" si="162">F39+F43+F56+F61+F76+F86+F99+F106+F117+F129+F187</f>
        <v>3775265.3499999996</v>
      </c>
      <c r="G188" s="41">
        <f t="shared" si="162"/>
        <v>0</v>
      </c>
      <c r="H188" s="41">
        <f t="shared" si="162"/>
        <v>11165307.299999993</v>
      </c>
      <c r="I188" s="41">
        <f t="shared" si="162"/>
        <v>319254.875</v>
      </c>
      <c r="J188" s="41">
        <f t="shared" si="162"/>
        <v>2311503.6900000004</v>
      </c>
      <c r="K188" s="41">
        <f t="shared" si="162"/>
        <v>1879608.2399999998</v>
      </c>
      <c r="L188" s="41">
        <f t="shared" si="162"/>
        <v>12651718.100000003</v>
      </c>
      <c r="M188" s="41">
        <f t="shared" si="162"/>
        <v>3735143.17</v>
      </c>
      <c r="N188" s="41">
        <f t="shared" si="162"/>
        <v>7680000</v>
      </c>
      <c r="O188" s="41">
        <f t="shared" si="162"/>
        <v>5010000</v>
      </c>
      <c r="P188" s="41">
        <f t="shared" si="162"/>
        <v>377526.54000000004</v>
      </c>
      <c r="Q188" s="41">
        <f t="shared" si="162"/>
        <v>2020000</v>
      </c>
      <c r="R188" s="41">
        <f t="shared" si="162"/>
        <v>1596903.6645499999</v>
      </c>
      <c r="S188" s="41">
        <f t="shared" si="162"/>
        <v>52522230.929550007</v>
      </c>
      <c r="T188" s="41">
        <f t="shared" si="162"/>
        <v>51639317.288800001</v>
      </c>
      <c r="U188" s="41">
        <f t="shared" si="162"/>
        <v>609580.94449999882</v>
      </c>
      <c r="V188" s="41"/>
      <c r="W188" s="41">
        <f>W39+W43+W56+W61+W76+W86+W99+W106+W117+W129+W187</f>
        <v>1514721.3</v>
      </c>
      <c r="X188" s="41">
        <v>1514721.3</v>
      </c>
      <c r="Y188" s="41">
        <f>Y39+Y43+Y56+Y61+Y76+Y86+Y99+Y106+Y117+Y129+Y187</f>
        <v>0</v>
      </c>
      <c r="Z188" s="41"/>
      <c r="AA188" s="41"/>
      <c r="AB188" s="41"/>
    </row>
    <row r="189" spans="1:28" ht="20.100000000000001" customHeight="1">
      <c r="A189" s="33"/>
      <c r="B189" s="256"/>
      <c r="C189" s="256"/>
      <c r="D189" s="46"/>
      <c r="E189" s="70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</row>
    <row r="190" spans="1:28" ht="20.100000000000001" customHeight="1">
      <c r="A190" s="33"/>
      <c r="B190" s="256"/>
      <c r="C190" s="256"/>
      <c r="D190" s="242" t="s">
        <v>329</v>
      </c>
      <c r="E190" s="242"/>
      <c r="F190" s="242"/>
      <c r="G190" s="242"/>
      <c r="H190" s="242"/>
      <c r="I190" s="242"/>
      <c r="J190" s="242"/>
      <c r="K190" s="241" t="s">
        <v>330</v>
      </c>
      <c r="L190" s="241"/>
      <c r="M190" s="241"/>
      <c r="N190" s="40"/>
      <c r="O190" s="40"/>
      <c r="P190" s="241" t="s">
        <v>331</v>
      </c>
      <c r="Q190" s="241"/>
      <c r="R190" s="241"/>
      <c r="S190" s="241"/>
      <c r="T190" s="40"/>
      <c r="U190" s="40"/>
      <c r="V190" s="40"/>
      <c r="W190" s="40"/>
      <c r="X190" s="40"/>
      <c r="Y190" s="71"/>
      <c r="Z190" s="71"/>
      <c r="AA190" s="71"/>
      <c r="AB190" s="71"/>
    </row>
    <row r="191" spans="1:28" ht="20.100000000000001" customHeight="1">
      <c r="A191" s="33"/>
      <c r="B191" s="256"/>
      <c r="C191" s="256"/>
      <c r="D191" s="242"/>
      <c r="E191" s="242"/>
      <c r="F191" s="242"/>
      <c r="G191" s="242"/>
      <c r="H191" s="242"/>
      <c r="I191" s="242"/>
      <c r="J191" s="242"/>
      <c r="K191" s="241"/>
      <c r="L191" s="241"/>
      <c r="M191" s="241"/>
      <c r="N191" s="40"/>
      <c r="O191" s="40"/>
      <c r="P191" s="241"/>
      <c r="Q191" s="241"/>
      <c r="R191" s="241"/>
      <c r="S191" s="241"/>
      <c r="T191" s="40"/>
      <c r="U191" s="40"/>
      <c r="V191" s="40"/>
      <c r="W191" s="40"/>
      <c r="X191" s="40"/>
      <c r="Y191" s="71"/>
      <c r="Z191" s="71"/>
      <c r="AA191" s="71"/>
      <c r="AB191" s="71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0"/>
  <sheetViews>
    <sheetView view="pageBreakPreview" zoomScaleNormal="100" zoomScaleSheetLayoutView="100" workbookViewId="0">
      <pane xSplit="4" ySplit="9" topLeftCell="E187" activePane="bottomRight" state="frozen"/>
      <selection pane="bottomRight" activeCell="F188" sqref="F188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12.42578125" style="1" hidden="1" customWidth="1"/>
    <col min="5" max="5" width="11.140625" style="1" customWidth="1"/>
    <col min="6" max="7" width="19.5703125" style="1" customWidth="1"/>
    <col min="8" max="8" width="19.42578125" style="1" customWidth="1"/>
    <col min="9" max="9" width="23" style="1" customWidth="1"/>
    <col min="10" max="10" width="0.140625" style="1" customWidth="1"/>
    <col min="11" max="16384" width="9.140625" style="1"/>
  </cols>
  <sheetData>
    <row r="1" spans="1:11" ht="29.25" customHeight="1">
      <c r="B1" s="45"/>
      <c r="C1" s="45"/>
      <c r="D1" s="45"/>
      <c r="E1" s="45"/>
      <c r="K1" s="1" t="s">
        <v>0</v>
      </c>
    </row>
    <row r="2" spans="1:11" ht="5.25" customHeight="1"/>
    <row r="3" spans="1:11" ht="20.100000000000001" customHeight="1">
      <c r="B3" s="240" t="s">
        <v>401</v>
      </c>
      <c r="C3" s="240"/>
      <c r="D3" s="240"/>
      <c r="E3" s="240"/>
    </row>
    <row r="4" spans="1:11" ht="2.25" customHeight="1"/>
    <row r="5" spans="1:11" ht="20.100000000000001" customHeight="1">
      <c r="B5" s="240" t="s">
        <v>2</v>
      </c>
      <c r="C5" s="240"/>
      <c r="D5" s="56"/>
      <c r="E5" s="56"/>
    </row>
    <row r="6" spans="1:11" ht="35.450000000000003" customHeight="1">
      <c r="A6" s="33"/>
      <c r="B6" s="285"/>
      <c r="C6" s="285"/>
      <c r="D6" s="58" t="s">
        <v>5</v>
      </c>
      <c r="E6" s="197" t="s">
        <v>6</v>
      </c>
      <c r="F6" s="33"/>
      <c r="G6" s="33"/>
      <c r="H6" s="33"/>
      <c r="I6" s="33"/>
    </row>
    <row r="7" spans="1:11" ht="48" customHeight="1">
      <c r="A7" s="33"/>
      <c r="B7" s="286"/>
      <c r="C7" s="286"/>
      <c r="D7" s="58"/>
      <c r="E7" s="197" t="s">
        <v>17</v>
      </c>
      <c r="F7" s="33"/>
      <c r="G7" s="33" t="s">
        <v>402</v>
      </c>
      <c r="H7" s="33" t="s">
        <v>403</v>
      </c>
      <c r="I7" s="33" t="s">
        <v>404</v>
      </c>
    </row>
    <row r="8" spans="1:11" ht="20.100000000000001" customHeight="1">
      <c r="A8" s="21" t="s">
        <v>35</v>
      </c>
      <c r="B8" s="287" t="s">
        <v>36</v>
      </c>
      <c r="C8" s="287"/>
      <c r="D8" s="48"/>
      <c r="E8" s="198"/>
      <c r="F8" s="3" t="s">
        <v>37</v>
      </c>
      <c r="G8" s="3"/>
      <c r="H8" s="3" t="s">
        <v>37</v>
      </c>
      <c r="I8" s="3" t="s">
        <v>37</v>
      </c>
    </row>
    <row r="9" spans="1:11" ht="20.100000000000001" customHeight="1">
      <c r="A9" s="3">
        <v>1</v>
      </c>
      <c r="B9" s="257" t="s">
        <v>38</v>
      </c>
      <c r="C9" s="258"/>
      <c r="D9" s="61" t="s">
        <v>39</v>
      </c>
      <c r="E9" s="97" t="s">
        <v>40</v>
      </c>
      <c r="F9" s="12">
        <f>2000000</f>
        <v>2000000</v>
      </c>
      <c r="G9" s="12">
        <f t="shared" ref="G9:G18" si="0">F9</f>
        <v>2000000</v>
      </c>
      <c r="H9" s="12"/>
      <c r="I9" s="33"/>
    </row>
    <row r="10" spans="1:11" ht="20.100000000000001" customHeight="1">
      <c r="A10" s="3">
        <v>2</v>
      </c>
      <c r="B10" s="257" t="s">
        <v>41</v>
      </c>
      <c r="C10" s="258"/>
      <c r="D10" s="61" t="s">
        <v>42</v>
      </c>
      <c r="E10" s="199" t="s">
        <v>43</v>
      </c>
      <c r="F10" s="12">
        <f>1000000</f>
        <v>1000000</v>
      </c>
      <c r="G10" s="12">
        <f t="shared" si="0"/>
        <v>1000000</v>
      </c>
      <c r="H10" s="12"/>
      <c r="I10" s="33"/>
    </row>
    <row r="11" spans="1:11" ht="20.100000000000001" customHeight="1">
      <c r="A11" s="3">
        <v>3</v>
      </c>
      <c r="B11" s="257" t="s">
        <v>44</v>
      </c>
      <c r="C11" s="258"/>
      <c r="D11" s="33" t="s">
        <v>45</v>
      </c>
      <c r="E11" s="194" t="s">
        <v>46</v>
      </c>
      <c r="F11" s="12">
        <f t="shared" ref="F11:F18" si="1">700000</f>
        <v>700000</v>
      </c>
      <c r="G11" s="12">
        <f t="shared" si="0"/>
        <v>700000</v>
      </c>
      <c r="H11" s="12"/>
      <c r="I11" s="33"/>
    </row>
    <row r="12" spans="1:11" ht="20.100000000000001" customHeight="1">
      <c r="A12" s="3">
        <v>4</v>
      </c>
      <c r="B12" s="271" t="s">
        <v>47</v>
      </c>
      <c r="C12" s="272"/>
      <c r="D12" s="43" t="s">
        <v>48</v>
      </c>
      <c r="E12" s="200" t="s">
        <v>46</v>
      </c>
      <c r="F12" s="12">
        <f t="shared" si="1"/>
        <v>700000</v>
      </c>
      <c r="G12" s="12">
        <f t="shared" si="0"/>
        <v>700000</v>
      </c>
      <c r="H12" s="12"/>
      <c r="I12" s="33"/>
    </row>
    <row r="13" spans="1:11" ht="20.100000000000001" customHeight="1">
      <c r="A13" s="3">
        <v>5</v>
      </c>
      <c r="B13" s="257" t="s">
        <v>49</v>
      </c>
      <c r="C13" s="258"/>
      <c r="D13" s="61" t="s">
        <v>50</v>
      </c>
      <c r="E13" s="194" t="s">
        <v>51</v>
      </c>
      <c r="F13" s="12">
        <f>350000</f>
        <v>350000</v>
      </c>
      <c r="G13" s="12">
        <f t="shared" si="0"/>
        <v>350000</v>
      </c>
      <c r="H13" s="12"/>
      <c r="I13" s="33"/>
    </row>
    <row r="14" spans="1:11" ht="20.100000000000001" customHeight="1">
      <c r="A14" s="3">
        <v>6</v>
      </c>
      <c r="B14" s="271" t="s">
        <v>52</v>
      </c>
      <c r="C14" s="272"/>
      <c r="D14" s="33" t="s">
        <v>53</v>
      </c>
      <c r="E14" s="201" t="s">
        <v>54</v>
      </c>
      <c r="F14" s="12">
        <f t="shared" si="1"/>
        <v>700000</v>
      </c>
      <c r="G14" s="12">
        <f t="shared" si="0"/>
        <v>700000</v>
      </c>
      <c r="H14" s="12"/>
      <c r="I14" s="33"/>
    </row>
    <row r="15" spans="1:11" ht="20.100000000000001" customHeight="1">
      <c r="A15" s="3">
        <v>7</v>
      </c>
      <c r="B15" s="269" t="s">
        <v>55</v>
      </c>
      <c r="C15" s="270"/>
      <c r="D15" s="47" t="s">
        <v>56</v>
      </c>
      <c r="E15" s="202" t="s">
        <v>54</v>
      </c>
      <c r="F15" s="12">
        <f t="shared" si="1"/>
        <v>700000</v>
      </c>
      <c r="G15" s="12">
        <f t="shared" si="0"/>
        <v>700000</v>
      </c>
      <c r="H15" s="12"/>
      <c r="I15" s="33"/>
    </row>
    <row r="16" spans="1:11" ht="20.100000000000001" customHeight="1">
      <c r="A16" s="3">
        <v>8</v>
      </c>
      <c r="B16" s="271" t="s">
        <v>57</v>
      </c>
      <c r="C16" s="272"/>
      <c r="D16" s="33" t="s">
        <v>58</v>
      </c>
      <c r="E16" s="194" t="s">
        <v>54</v>
      </c>
      <c r="F16" s="12">
        <f t="shared" si="1"/>
        <v>700000</v>
      </c>
      <c r="G16" s="12">
        <f t="shared" si="0"/>
        <v>700000</v>
      </c>
      <c r="H16" s="12"/>
      <c r="I16" s="33"/>
    </row>
    <row r="17" spans="1:9" ht="20.100000000000001" customHeight="1">
      <c r="A17" s="3">
        <v>9</v>
      </c>
      <c r="B17" s="264" t="s">
        <v>59</v>
      </c>
      <c r="C17" s="264"/>
      <c r="D17" s="61" t="s">
        <v>60</v>
      </c>
      <c r="E17" s="199" t="s">
        <v>54</v>
      </c>
      <c r="F17" s="12">
        <f t="shared" si="1"/>
        <v>700000</v>
      </c>
      <c r="G17" s="12">
        <f t="shared" si="0"/>
        <v>700000</v>
      </c>
      <c r="H17" s="12"/>
      <c r="I17" s="33"/>
    </row>
    <row r="18" spans="1:9" ht="20.100000000000001" customHeight="1">
      <c r="A18" s="3">
        <v>10</v>
      </c>
      <c r="B18" s="97" t="s">
        <v>61</v>
      </c>
      <c r="C18" s="98"/>
      <c r="D18" s="61" t="s">
        <v>62</v>
      </c>
      <c r="E18" s="11" t="s">
        <v>63</v>
      </c>
      <c r="F18" s="12">
        <f t="shared" si="1"/>
        <v>700000</v>
      </c>
      <c r="G18" s="12">
        <f t="shared" si="0"/>
        <v>700000</v>
      </c>
      <c r="H18" s="12"/>
      <c r="I18" s="33"/>
    </row>
    <row r="19" spans="1:9" ht="20.100000000000001" customHeight="1">
      <c r="A19" s="3">
        <v>11</v>
      </c>
      <c r="B19" s="271" t="s">
        <v>64</v>
      </c>
      <c r="C19" s="272"/>
      <c r="D19" s="43" t="s">
        <v>65</v>
      </c>
      <c r="E19" s="203" t="s">
        <v>66</v>
      </c>
      <c r="F19" s="12">
        <v>500000</v>
      </c>
      <c r="G19" s="12"/>
      <c r="H19" s="12">
        <v>500000</v>
      </c>
      <c r="I19" s="33"/>
    </row>
    <row r="20" spans="1:9" ht="19.5" customHeight="1">
      <c r="A20" s="3">
        <v>12</v>
      </c>
      <c r="B20" s="271" t="s">
        <v>67</v>
      </c>
      <c r="C20" s="272"/>
      <c r="D20" s="43" t="s">
        <v>68</v>
      </c>
      <c r="E20" s="194" t="s">
        <v>66</v>
      </c>
      <c r="F20" s="12">
        <v>500000</v>
      </c>
      <c r="G20" s="12"/>
      <c r="H20" s="12">
        <v>500000</v>
      </c>
      <c r="I20" s="33"/>
    </row>
    <row r="21" spans="1:9" ht="19.5" customHeight="1">
      <c r="A21" s="3">
        <v>13</v>
      </c>
      <c r="B21" s="271" t="s">
        <v>69</v>
      </c>
      <c r="C21" s="272"/>
      <c r="D21" s="33" t="s">
        <v>70</v>
      </c>
      <c r="E21" s="194" t="s">
        <v>66</v>
      </c>
      <c r="F21" s="12">
        <v>500000</v>
      </c>
      <c r="G21" s="12"/>
      <c r="H21" s="12">
        <v>500000</v>
      </c>
      <c r="I21" s="33"/>
    </row>
    <row r="22" spans="1:9" ht="20.100000000000001" customHeight="1">
      <c r="A22" s="3">
        <v>14</v>
      </c>
      <c r="B22" s="257" t="s">
        <v>71</v>
      </c>
      <c r="C22" s="258"/>
      <c r="D22" s="43" t="s">
        <v>72</v>
      </c>
      <c r="E22" s="199" t="s">
        <v>73</v>
      </c>
      <c r="F22" s="12">
        <v>500000</v>
      </c>
      <c r="G22" s="12"/>
      <c r="H22" s="12">
        <v>500000</v>
      </c>
      <c r="I22" s="33"/>
    </row>
    <row r="23" spans="1:9" ht="20.100000000000001" customHeight="1">
      <c r="A23" s="3">
        <v>15</v>
      </c>
      <c r="B23" s="271" t="s">
        <v>74</v>
      </c>
      <c r="C23" s="272"/>
      <c r="D23" s="33" t="s">
        <v>393</v>
      </c>
      <c r="E23" s="199" t="s">
        <v>76</v>
      </c>
      <c r="F23" s="12">
        <v>500000</v>
      </c>
      <c r="G23" s="12"/>
      <c r="H23" s="12">
        <v>500000</v>
      </c>
      <c r="I23" s="33"/>
    </row>
    <row r="24" spans="1:9" ht="20.100000000000001" customHeight="1">
      <c r="A24" s="3">
        <v>16</v>
      </c>
      <c r="B24" s="257" t="s">
        <v>77</v>
      </c>
      <c r="C24" s="258"/>
      <c r="D24" s="61" t="s">
        <v>78</v>
      </c>
      <c r="E24" s="199" t="s">
        <v>79</v>
      </c>
      <c r="F24" s="12">
        <v>500000</v>
      </c>
      <c r="G24" s="12"/>
      <c r="H24" s="12">
        <v>500000</v>
      </c>
      <c r="I24" s="33"/>
    </row>
    <row r="25" spans="1:9" ht="20.100000000000001" customHeight="1">
      <c r="A25" s="3">
        <v>17</v>
      </c>
      <c r="B25" s="257" t="s">
        <v>80</v>
      </c>
      <c r="C25" s="258"/>
      <c r="D25" s="61" t="s">
        <v>81</v>
      </c>
      <c r="E25" s="199" t="s">
        <v>82</v>
      </c>
      <c r="F25" s="12">
        <v>300000</v>
      </c>
      <c r="G25" s="12"/>
      <c r="H25" s="12">
        <v>300000</v>
      </c>
      <c r="I25" s="33"/>
    </row>
    <row r="26" spans="1:9" ht="18.75" customHeight="1">
      <c r="A26" s="3">
        <v>18</v>
      </c>
      <c r="B26" s="257" t="s">
        <v>83</v>
      </c>
      <c r="C26" s="258"/>
      <c r="D26" s="61" t="s">
        <v>84</v>
      </c>
      <c r="E26" s="199" t="s">
        <v>85</v>
      </c>
      <c r="F26" s="12">
        <f>400000</f>
        <v>400000</v>
      </c>
      <c r="G26" s="12"/>
      <c r="H26" s="12">
        <f>400000</f>
        <v>400000</v>
      </c>
      <c r="I26" s="33"/>
    </row>
    <row r="27" spans="1:9" ht="18.75" customHeight="1">
      <c r="A27" s="3">
        <v>19</v>
      </c>
      <c r="B27" s="97" t="s">
        <v>86</v>
      </c>
      <c r="C27" s="98"/>
      <c r="D27" s="33" t="s">
        <v>87</v>
      </c>
      <c r="E27" s="199" t="s">
        <v>103</v>
      </c>
      <c r="F27" s="12">
        <v>300000</v>
      </c>
      <c r="G27" s="12"/>
      <c r="H27" s="211">
        <f>500000</f>
        <v>500000</v>
      </c>
      <c r="I27" s="33"/>
    </row>
    <row r="28" spans="1:9" ht="18.75" customHeight="1">
      <c r="A28" s="3">
        <v>20</v>
      </c>
      <c r="B28" s="97" t="s">
        <v>88</v>
      </c>
      <c r="C28" s="98"/>
      <c r="D28" s="61" t="s">
        <v>89</v>
      </c>
      <c r="E28" s="199" t="s">
        <v>90</v>
      </c>
      <c r="F28" s="12">
        <v>300000</v>
      </c>
      <c r="G28" s="12"/>
      <c r="H28" s="33"/>
      <c r="I28" s="12">
        <v>300000</v>
      </c>
    </row>
    <row r="29" spans="1:9" ht="18.75" customHeight="1">
      <c r="A29" s="3">
        <v>21</v>
      </c>
      <c r="B29" s="97" t="s">
        <v>91</v>
      </c>
      <c r="C29" s="98"/>
      <c r="D29" s="61" t="s">
        <v>92</v>
      </c>
      <c r="E29" s="199" t="s">
        <v>93</v>
      </c>
      <c r="F29" s="12">
        <v>300000</v>
      </c>
      <c r="G29" s="12"/>
      <c r="H29" s="33"/>
      <c r="I29" s="12">
        <v>300000</v>
      </c>
    </row>
    <row r="30" spans="1:9" ht="18.75" customHeight="1">
      <c r="A30" s="3">
        <v>22</v>
      </c>
      <c r="B30" s="97" t="s">
        <v>94</v>
      </c>
      <c r="C30" s="98"/>
      <c r="D30" s="61" t="s">
        <v>92</v>
      </c>
      <c r="E30" s="199" t="s">
        <v>95</v>
      </c>
      <c r="F30" s="12">
        <v>300000</v>
      </c>
      <c r="G30" s="12"/>
      <c r="H30" s="12">
        <v>300000</v>
      </c>
      <c r="I30" s="33"/>
    </row>
    <row r="31" spans="1:9" ht="18.75" customHeight="1">
      <c r="A31" s="3">
        <v>23</v>
      </c>
      <c r="B31" s="264" t="s">
        <v>96</v>
      </c>
      <c r="C31" s="264"/>
      <c r="D31" s="33" t="s">
        <v>97</v>
      </c>
      <c r="E31" s="199" t="s">
        <v>98</v>
      </c>
      <c r="F31" s="12">
        <v>500000</v>
      </c>
      <c r="G31" s="12"/>
      <c r="H31" s="12">
        <v>500000</v>
      </c>
      <c r="I31" s="33"/>
    </row>
    <row r="32" spans="1:9" ht="18.75" customHeight="1">
      <c r="A32" s="3">
        <v>24</v>
      </c>
      <c r="B32" s="257" t="s">
        <v>99</v>
      </c>
      <c r="C32" s="258"/>
      <c r="D32" s="33" t="s">
        <v>100</v>
      </c>
      <c r="E32" s="199" t="s">
        <v>82</v>
      </c>
      <c r="F32" s="12">
        <v>300000</v>
      </c>
      <c r="G32" s="12"/>
      <c r="H32" s="12">
        <v>300000</v>
      </c>
      <c r="I32" s="33"/>
    </row>
    <row r="33" spans="1:9" ht="18.75" customHeight="1">
      <c r="A33" s="3">
        <v>25</v>
      </c>
      <c r="B33" s="97" t="s">
        <v>101</v>
      </c>
      <c r="C33" s="98"/>
      <c r="D33" s="33" t="s">
        <v>102</v>
      </c>
      <c r="E33" s="199" t="s">
        <v>103</v>
      </c>
      <c r="F33" s="12">
        <v>300000</v>
      </c>
      <c r="G33" s="12"/>
      <c r="H33" s="12">
        <v>300000</v>
      </c>
      <c r="I33" s="33"/>
    </row>
    <row r="34" spans="1:9" ht="18.75" customHeight="1">
      <c r="A34" s="3">
        <v>26</v>
      </c>
      <c r="B34" s="257" t="s">
        <v>104</v>
      </c>
      <c r="C34" s="258"/>
      <c r="D34" s="61" t="s">
        <v>105</v>
      </c>
      <c r="E34" s="199" t="s">
        <v>106</v>
      </c>
      <c r="F34" s="12">
        <v>300000</v>
      </c>
      <c r="G34" s="12"/>
      <c r="H34" s="33"/>
      <c r="I34" s="12">
        <v>300000</v>
      </c>
    </row>
    <row r="35" spans="1:9" ht="18.75" customHeight="1">
      <c r="A35" s="3">
        <v>27</v>
      </c>
      <c r="B35" s="97" t="s">
        <v>107</v>
      </c>
      <c r="C35" s="98"/>
      <c r="D35" s="61" t="s">
        <v>105</v>
      </c>
      <c r="E35" s="199" t="s">
        <v>108</v>
      </c>
      <c r="F35" s="12">
        <v>300000</v>
      </c>
      <c r="G35" s="12"/>
      <c r="H35" s="33"/>
      <c r="I35" s="12">
        <v>300000</v>
      </c>
    </row>
    <row r="36" spans="1:9" ht="18.75" customHeight="1">
      <c r="A36" s="3">
        <v>28</v>
      </c>
      <c r="B36" s="269" t="s">
        <v>109</v>
      </c>
      <c r="C36" s="270"/>
      <c r="D36" s="47" t="s">
        <v>110</v>
      </c>
      <c r="E36" s="199" t="s">
        <v>111</v>
      </c>
      <c r="F36" s="12">
        <v>300000</v>
      </c>
      <c r="G36" s="12"/>
      <c r="H36" s="33"/>
      <c r="I36" s="12">
        <v>300000</v>
      </c>
    </row>
    <row r="37" spans="1:9" ht="18.75" customHeight="1">
      <c r="A37" s="3">
        <v>29</v>
      </c>
      <c r="B37" s="135" t="s">
        <v>112</v>
      </c>
      <c r="C37" s="136"/>
      <c r="D37" s="47" t="s">
        <v>113</v>
      </c>
      <c r="E37" s="199" t="s">
        <v>93</v>
      </c>
      <c r="F37" s="12">
        <v>300000</v>
      </c>
      <c r="G37" s="12"/>
      <c r="H37" s="33"/>
      <c r="I37" s="12">
        <v>300000</v>
      </c>
    </row>
    <row r="38" spans="1:9" ht="18.75" customHeight="1">
      <c r="A38" s="3">
        <v>30</v>
      </c>
      <c r="B38" s="135" t="s">
        <v>114</v>
      </c>
      <c r="C38" s="136"/>
      <c r="D38" s="47" t="s">
        <v>113</v>
      </c>
      <c r="E38" s="199" t="s">
        <v>93</v>
      </c>
      <c r="F38" s="12">
        <v>300000</v>
      </c>
      <c r="G38" s="12"/>
      <c r="H38" s="33"/>
      <c r="I38" s="12">
        <v>300000</v>
      </c>
    </row>
    <row r="39" spans="1:9" ht="18.75" customHeight="1">
      <c r="A39" s="3"/>
      <c r="B39" s="267" t="s">
        <v>34</v>
      </c>
      <c r="C39" s="267"/>
      <c r="D39" s="7">
        <v>30</v>
      </c>
      <c r="E39" s="199"/>
      <c r="F39" s="93">
        <f>SUM(F9:F38)</f>
        <v>15750000</v>
      </c>
      <c r="G39" s="93">
        <f>SUM(G9:G38)</f>
        <v>8250000</v>
      </c>
      <c r="H39" s="28">
        <f>SUM(H9:H38)</f>
        <v>5600000</v>
      </c>
      <c r="I39" s="28">
        <f>SUM(I9:I38)</f>
        <v>2100000</v>
      </c>
    </row>
    <row r="40" spans="1:9" ht="18.75" customHeight="1">
      <c r="A40" s="3"/>
      <c r="B40" s="96"/>
      <c r="C40" s="96"/>
      <c r="D40" s="33"/>
      <c r="E40" s="199"/>
      <c r="F40" s="33"/>
      <c r="G40" s="33"/>
      <c r="H40" s="33"/>
      <c r="I40" s="33"/>
    </row>
    <row r="41" spans="1:9" ht="18.75" customHeight="1">
      <c r="A41" s="3"/>
      <c r="B41" s="267" t="s">
        <v>115</v>
      </c>
      <c r="C41" s="267"/>
      <c r="D41" s="33"/>
      <c r="E41" s="199"/>
      <c r="F41" s="33"/>
      <c r="G41" s="33"/>
      <c r="H41" s="33"/>
      <c r="I41" s="33"/>
    </row>
    <row r="42" spans="1:9" ht="18.75" customHeight="1">
      <c r="A42" s="3">
        <v>1</v>
      </c>
      <c r="B42" s="97" t="s">
        <v>116</v>
      </c>
      <c r="C42" s="98"/>
      <c r="D42" s="33" t="s">
        <v>117</v>
      </c>
      <c r="E42" s="194" t="s">
        <v>118</v>
      </c>
      <c r="F42" s="27">
        <f>1000000</f>
        <v>1000000</v>
      </c>
      <c r="G42" s="27">
        <f>F42</f>
        <v>1000000</v>
      </c>
      <c r="H42" s="27"/>
      <c r="I42" s="33"/>
    </row>
    <row r="43" spans="1:9" ht="19.5" customHeight="1">
      <c r="A43" s="3"/>
      <c r="B43" s="33"/>
      <c r="C43" s="21" t="s">
        <v>34</v>
      </c>
      <c r="D43" s="7">
        <v>1</v>
      </c>
      <c r="E43" s="194"/>
      <c r="F43" s="93">
        <f>SUM(F42)</f>
        <v>1000000</v>
      </c>
      <c r="G43" s="93">
        <f>SUM(G42)</f>
        <v>1000000</v>
      </c>
      <c r="H43" s="13"/>
      <c r="I43" s="33"/>
    </row>
    <row r="44" spans="1:9" ht="20.100000000000001" customHeight="1">
      <c r="A44" s="3"/>
      <c r="B44" s="281"/>
      <c r="C44" s="282"/>
      <c r="D44" s="33"/>
      <c r="E44" s="194"/>
      <c r="F44" s="33"/>
      <c r="G44" s="33"/>
      <c r="H44" s="33"/>
      <c r="I44" s="33"/>
    </row>
    <row r="45" spans="1:9" ht="20.100000000000001" customHeight="1">
      <c r="A45" s="3"/>
      <c r="B45" s="283" t="s">
        <v>121</v>
      </c>
      <c r="C45" s="284"/>
      <c r="D45" s="50"/>
      <c r="E45" s="122"/>
      <c r="F45" s="33"/>
      <c r="G45" s="33"/>
      <c r="H45" s="33"/>
      <c r="I45" s="33"/>
    </row>
    <row r="46" spans="1:9" ht="20.100000000000001" customHeight="1">
      <c r="A46" s="3">
        <v>1</v>
      </c>
      <c r="B46" s="257" t="s">
        <v>122</v>
      </c>
      <c r="C46" s="258"/>
      <c r="D46" s="33" t="s">
        <v>123</v>
      </c>
      <c r="E46" s="194" t="s">
        <v>43</v>
      </c>
      <c r="F46" s="27">
        <f>1000000</f>
        <v>1000000</v>
      </c>
      <c r="G46" s="27">
        <f>F46</f>
        <v>1000000</v>
      </c>
      <c r="H46" s="27"/>
      <c r="I46" s="27">
        <v>0</v>
      </c>
    </row>
    <row r="47" spans="1:9" ht="20.100000000000001" customHeight="1">
      <c r="A47" s="3">
        <v>2</v>
      </c>
      <c r="B47" s="257" t="s">
        <v>124</v>
      </c>
      <c r="C47" s="258"/>
      <c r="D47" s="33" t="s">
        <v>125</v>
      </c>
      <c r="E47" s="194" t="s">
        <v>54</v>
      </c>
      <c r="F47" s="27">
        <v>700000</v>
      </c>
      <c r="G47" s="27">
        <f>F47</f>
        <v>700000</v>
      </c>
      <c r="H47" s="27"/>
      <c r="I47" s="27">
        <v>0</v>
      </c>
    </row>
    <row r="48" spans="1:9" ht="20.100000000000001" customHeight="1">
      <c r="A48" s="3">
        <v>3</v>
      </c>
      <c r="B48" s="257" t="s">
        <v>126</v>
      </c>
      <c r="C48" s="258"/>
      <c r="D48" s="33" t="s">
        <v>127</v>
      </c>
      <c r="E48" s="194" t="s">
        <v>54</v>
      </c>
      <c r="F48" s="27">
        <v>700000</v>
      </c>
      <c r="G48" s="27">
        <f>F48</f>
        <v>700000</v>
      </c>
      <c r="H48" s="27"/>
      <c r="I48" s="27">
        <v>0</v>
      </c>
    </row>
    <row r="49" spans="1:9" ht="20.100000000000001" customHeight="1">
      <c r="A49" s="3">
        <v>4</v>
      </c>
      <c r="B49" s="257" t="s">
        <v>128</v>
      </c>
      <c r="C49" s="258"/>
      <c r="D49" s="33" t="s">
        <v>127</v>
      </c>
      <c r="E49" s="194" t="s">
        <v>129</v>
      </c>
      <c r="F49" s="27">
        <v>700000</v>
      </c>
      <c r="G49" s="27">
        <f>F49</f>
        <v>700000</v>
      </c>
      <c r="H49" s="27"/>
      <c r="I49" s="27">
        <v>0</v>
      </c>
    </row>
    <row r="50" spans="1:9" ht="20.100000000000001" customHeight="1">
      <c r="A50" s="3">
        <v>5</v>
      </c>
      <c r="B50" s="257" t="s">
        <v>130</v>
      </c>
      <c r="C50" s="258"/>
      <c r="D50" s="33" t="s">
        <v>131</v>
      </c>
      <c r="E50" s="194" t="s">
        <v>132</v>
      </c>
      <c r="F50" s="27">
        <v>500000</v>
      </c>
      <c r="G50" s="27"/>
      <c r="H50" s="27">
        <v>500000</v>
      </c>
      <c r="I50" s="27">
        <v>0</v>
      </c>
    </row>
    <row r="51" spans="1:9" ht="20.100000000000001" customHeight="1">
      <c r="A51" s="3">
        <v>6</v>
      </c>
      <c r="B51" s="257" t="s">
        <v>133</v>
      </c>
      <c r="C51" s="258"/>
      <c r="D51" s="33" t="s">
        <v>131</v>
      </c>
      <c r="E51" s="194" t="s">
        <v>66</v>
      </c>
      <c r="F51" s="27">
        <v>500000</v>
      </c>
      <c r="G51" s="27"/>
      <c r="H51" s="27">
        <v>500000</v>
      </c>
      <c r="I51" s="27">
        <v>0</v>
      </c>
    </row>
    <row r="52" spans="1:9" ht="20.100000000000001" customHeight="1">
      <c r="A52" s="3">
        <v>7</v>
      </c>
      <c r="B52" s="265" t="s">
        <v>134</v>
      </c>
      <c r="C52" s="266"/>
      <c r="D52" s="33" t="s">
        <v>135</v>
      </c>
      <c r="E52" s="204" t="s">
        <v>66</v>
      </c>
      <c r="F52" s="27">
        <v>500000</v>
      </c>
      <c r="G52" s="27"/>
      <c r="H52" s="27">
        <v>500000</v>
      </c>
      <c r="I52" s="27">
        <v>0</v>
      </c>
    </row>
    <row r="53" spans="1:9" ht="20.100000000000001" customHeight="1">
      <c r="A53" s="3">
        <v>8</v>
      </c>
      <c r="B53" s="257" t="s">
        <v>136</v>
      </c>
      <c r="C53" s="258"/>
      <c r="D53" s="33" t="s">
        <v>137</v>
      </c>
      <c r="E53" s="194" t="s">
        <v>138</v>
      </c>
      <c r="F53" s="27">
        <v>500000</v>
      </c>
      <c r="G53" s="27"/>
      <c r="H53" s="27">
        <v>500000</v>
      </c>
      <c r="I53" s="27">
        <v>0</v>
      </c>
    </row>
    <row r="54" spans="1:9" ht="20.100000000000001" customHeight="1">
      <c r="A54" s="3">
        <v>10</v>
      </c>
      <c r="B54" s="269" t="s">
        <v>139</v>
      </c>
      <c r="C54" s="270"/>
      <c r="D54" s="33" t="s">
        <v>140</v>
      </c>
      <c r="E54" s="202" t="s">
        <v>98</v>
      </c>
      <c r="F54" s="27">
        <v>500000</v>
      </c>
      <c r="G54" s="27"/>
      <c r="H54" s="27">
        <v>500000</v>
      </c>
      <c r="I54" s="27">
        <v>0</v>
      </c>
    </row>
    <row r="55" spans="1:9" ht="20.100000000000001" customHeight="1">
      <c r="A55" s="3"/>
      <c r="B55" s="273" t="s">
        <v>34</v>
      </c>
      <c r="C55" s="274"/>
      <c r="D55" s="30">
        <v>10</v>
      </c>
      <c r="E55" s="205"/>
      <c r="F55" s="134">
        <f>SUM(F46:F54)</f>
        <v>5600000</v>
      </c>
      <c r="G55" s="134">
        <f>SUM(G46:G54)</f>
        <v>3100000</v>
      </c>
      <c r="H55" s="13">
        <f>SUM(H46:H54)</f>
        <v>2500000</v>
      </c>
      <c r="I55" s="27"/>
    </row>
    <row r="56" spans="1:9" ht="20.100000000000001" customHeight="1">
      <c r="A56" s="3"/>
      <c r="B56" s="105"/>
      <c r="C56" s="105"/>
      <c r="D56" s="30"/>
      <c r="E56" s="205"/>
      <c r="F56" s="33"/>
      <c r="G56" s="33"/>
      <c r="H56" s="33"/>
      <c r="I56" s="33"/>
    </row>
    <row r="57" spans="1:9" ht="20.100000000000001" customHeight="1">
      <c r="A57" s="3"/>
      <c r="B57" s="273" t="s">
        <v>144</v>
      </c>
      <c r="C57" s="274"/>
      <c r="D57" s="30"/>
      <c r="E57" s="205"/>
      <c r="F57" s="33"/>
      <c r="G57" s="33"/>
      <c r="H57" s="33"/>
      <c r="I57" s="33"/>
    </row>
    <row r="58" spans="1:9" ht="20.100000000000001" customHeight="1">
      <c r="A58" s="3">
        <v>1</v>
      </c>
      <c r="B58" s="257" t="s">
        <v>145</v>
      </c>
      <c r="C58" s="258"/>
      <c r="D58" s="61" t="s">
        <v>146</v>
      </c>
      <c r="E58" s="199" t="s">
        <v>43</v>
      </c>
      <c r="F58" s="27">
        <f>500000</f>
        <v>500000</v>
      </c>
      <c r="G58" s="27">
        <f>F58</f>
        <v>500000</v>
      </c>
      <c r="H58" s="27"/>
      <c r="I58" s="12"/>
    </row>
    <row r="59" spans="1:9" ht="20.100000000000001" customHeight="1">
      <c r="A59" s="3">
        <v>2</v>
      </c>
      <c r="B59" s="97" t="s">
        <v>147</v>
      </c>
      <c r="C59" s="98"/>
      <c r="D59" s="61" t="s">
        <v>148</v>
      </c>
      <c r="E59" s="199" t="s">
        <v>149</v>
      </c>
      <c r="F59" s="27">
        <f>700000</f>
        <v>700000</v>
      </c>
      <c r="G59" s="27">
        <f>F59</f>
        <v>700000</v>
      </c>
      <c r="H59" s="27"/>
      <c r="I59" s="12"/>
    </row>
    <row r="60" spans="1:9" ht="20.100000000000001" customHeight="1">
      <c r="A60" s="3"/>
      <c r="B60" s="273" t="s">
        <v>34</v>
      </c>
      <c r="C60" s="274"/>
      <c r="D60" s="30">
        <v>2</v>
      </c>
      <c r="E60" s="205"/>
      <c r="F60" s="93">
        <f>SUM(F58:F59)</f>
        <v>1200000</v>
      </c>
      <c r="G60" s="93">
        <f>SUM(G58:G59)</f>
        <v>1200000</v>
      </c>
      <c r="H60" s="13"/>
      <c r="I60" s="12"/>
    </row>
    <row r="61" spans="1:9" ht="20.100000000000001" customHeight="1">
      <c r="A61" s="3"/>
      <c r="B61" s="273"/>
      <c r="C61" s="274"/>
      <c r="D61" s="30"/>
      <c r="E61" s="205"/>
      <c r="F61" s="33"/>
      <c r="G61" s="33"/>
      <c r="H61" s="33"/>
      <c r="I61" s="33"/>
    </row>
    <row r="62" spans="1:9" ht="20.100000000000001" customHeight="1">
      <c r="A62" s="3"/>
      <c r="B62" s="273" t="s">
        <v>150</v>
      </c>
      <c r="C62" s="274"/>
      <c r="D62" s="30"/>
      <c r="E62" s="205"/>
      <c r="F62" s="33"/>
      <c r="G62" s="33"/>
      <c r="H62" s="33"/>
      <c r="I62" s="33"/>
    </row>
    <row r="63" spans="1:9" ht="20.100000000000001" customHeight="1">
      <c r="A63" s="3">
        <v>1</v>
      </c>
      <c r="B63" s="269" t="s">
        <v>151</v>
      </c>
      <c r="C63" s="270"/>
      <c r="D63" s="47" t="s">
        <v>152</v>
      </c>
      <c r="E63" s="202" t="s">
        <v>43</v>
      </c>
      <c r="F63" s="27">
        <f>500000</f>
        <v>500000</v>
      </c>
      <c r="G63" s="27">
        <f>F63</f>
        <v>500000</v>
      </c>
      <c r="H63" s="27"/>
      <c r="I63" s="33"/>
    </row>
    <row r="64" spans="1:9" ht="20.100000000000001" customHeight="1">
      <c r="A64" s="3">
        <v>2</v>
      </c>
      <c r="B64" s="135" t="s">
        <v>153</v>
      </c>
      <c r="C64" s="136"/>
      <c r="D64" s="47" t="s">
        <v>56</v>
      </c>
      <c r="E64" s="199" t="s">
        <v>63</v>
      </c>
      <c r="F64" s="27">
        <v>350000</v>
      </c>
      <c r="G64" s="27">
        <f>F64</f>
        <v>350000</v>
      </c>
      <c r="H64" s="27"/>
      <c r="I64" s="33"/>
    </row>
    <row r="65" spans="1:9" ht="20.100000000000001" customHeight="1">
      <c r="A65" s="3">
        <v>3</v>
      </c>
      <c r="B65" s="269" t="s">
        <v>154</v>
      </c>
      <c r="C65" s="270"/>
      <c r="D65" s="20" t="s">
        <v>140</v>
      </c>
      <c r="E65" s="202" t="s">
        <v>73</v>
      </c>
      <c r="F65" s="27">
        <v>500000</v>
      </c>
      <c r="G65" s="27"/>
      <c r="H65" s="27">
        <v>500000</v>
      </c>
      <c r="I65" s="33"/>
    </row>
    <row r="66" spans="1:9" ht="20.100000000000001" customHeight="1">
      <c r="A66" s="3">
        <v>4</v>
      </c>
      <c r="B66" s="269" t="s">
        <v>155</v>
      </c>
      <c r="C66" s="270"/>
      <c r="D66" s="33" t="s">
        <v>137</v>
      </c>
      <c r="E66" s="202" t="s">
        <v>98</v>
      </c>
      <c r="F66" s="27">
        <v>500000</v>
      </c>
      <c r="G66" s="27"/>
      <c r="H66" s="27">
        <v>500000</v>
      </c>
      <c r="I66" s="33"/>
    </row>
    <row r="67" spans="1:9" ht="20.100000000000001" customHeight="1">
      <c r="A67" s="3">
        <v>5</v>
      </c>
      <c r="B67" s="135" t="s">
        <v>156</v>
      </c>
      <c r="C67" s="136"/>
      <c r="D67" s="47" t="s">
        <v>137</v>
      </c>
      <c r="E67" s="199" t="s">
        <v>79</v>
      </c>
      <c r="F67" s="27">
        <v>500000</v>
      </c>
      <c r="G67" s="27"/>
      <c r="H67" s="27">
        <v>500000</v>
      </c>
      <c r="I67" s="33"/>
    </row>
    <row r="68" spans="1:9" ht="20.100000000000001" customHeight="1">
      <c r="A68" s="3">
        <v>6</v>
      </c>
      <c r="B68" s="271" t="s">
        <v>157</v>
      </c>
      <c r="C68" s="272"/>
      <c r="D68" s="47" t="s">
        <v>135</v>
      </c>
      <c r="E68" s="199" t="s">
        <v>66</v>
      </c>
      <c r="F68" s="27">
        <v>500000</v>
      </c>
      <c r="G68" s="27"/>
      <c r="H68" s="27">
        <v>500000</v>
      </c>
      <c r="I68" s="33"/>
    </row>
    <row r="69" spans="1:9" ht="20.100000000000001" customHeight="1">
      <c r="A69" s="3">
        <v>7</v>
      </c>
      <c r="B69" s="269" t="s">
        <v>158</v>
      </c>
      <c r="C69" s="270"/>
      <c r="D69" s="20" t="s">
        <v>142</v>
      </c>
      <c r="E69" s="202" t="s">
        <v>159</v>
      </c>
      <c r="F69" s="27">
        <f>300000</f>
        <v>300000</v>
      </c>
      <c r="G69" s="27"/>
      <c r="H69" s="27">
        <f>300000</f>
        <v>300000</v>
      </c>
      <c r="I69" s="33"/>
    </row>
    <row r="70" spans="1:9" ht="20.100000000000001" customHeight="1">
      <c r="A70" s="3">
        <v>8</v>
      </c>
      <c r="B70" s="264" t="s">
        <v>160</v>
      </c>
      <c r="C70" s="264"/>
      <c r="D70" s="47" t="s">
        <v>142</v>
      </c>
      <c r="E70" s="199" t="s">
        <v>85</v>
      </c>
      <c r="F70" s="27">
        <v>400000</v>
      </c>
      <c r="G70" s="27"/>
      <c r="H70" s="27">
        <v>400000</v>
      </c>
      <c r="I70" s="33"/>
    </row>
    <row r="71" spans="1:9" ht="20.100000000000001" customHeight="1">
      <c r="A71" s="3">
        <v>9</v>
      </c>
      <c r="B71" s="257" t="s">
        <v>165</v>
      </c>
      <c r="C71" s="258"/>
      <c r="D71" s="33" t="s">
        <v>166</v>
      </c>
      <c r="E71" s="194" t="s">
        <v>82</v>
      </c>
      <c r="F71" s="27">
        <f t="shared" ref="F71:I74" si="2">300000</f>
        <v>300000</v>
      </c>
      <c r="G71" s="27"/>
      <c r="H71" s="27">
        <f t="shared" si="2"/>
        <v>300000</v>
      </c>
      <c r="I71" s="33"/>
    </row>
    <row r="72" spans="1:9" ht="20.100000000000001" customHeight="1">
      <c r="A72" s="3">
        <v>10</v>
      </c>
      <c r="B72" s="269" t="s">
        <v>167</v>
      </c>
      <c r="C72" s="270"/>
      <c r="D72" s="47" t="s">
        <v>142</v>
      </c>
      <c r="E72" s="194" t="s">
        <v>168</v>
      </c>
      <c r="F72" s="27">
        <f t="shared" si="2"/>
        <v>300000</v>
      </c>
      <c r="G72" s="27"/>
      <c r="H72" s="27">
        <f t="shared" si="2"/>
        <v>300000</v>
      </c>
      <c r="I72" s="33"/>
    </row>
    <row r="73" spans="1:9" ht="20.100000000000001" customHeight="1">
      <c r="A73" s="3">
        <v>11</v>
      </c>
      <c r="B73" s="269" t="s">
        <v>169</v>
      </c>
      <c r="C73" s="270"/>
      <c r="D73" s="47" t="s">
        <v>170</v>
      </c>
      <c r="E73" s="194" t="s">
        <v>93</v>
      </c>
      <c r="F73" s="27">
        <f t="shared" si="2"/>
        <v>300000</v>
      </c>
      <c r="G73" s="27"/>
      <c r="H73" s="33"/>
      <c r="I73" s="27">
        <f t="shared" si="2"/>
        <v>300000</v>
      </c>
    </row>
    <row r="74" spans="1:9" ht="20.100000000000001" customHeight="1">
      <c r="A74" s="3">
        <v>12</v>
      </c>
      <c r="B74" s="271" t="s">
        <v>171</v>
      </c>
      <c r="C74" s="272"/>
      <c r="D74" s="47" t="s">
        <v>170</v>
      </c>
      <c r="E74" s="194" t="s">
        <v>93</v>
      </c>
      <c r="F74" s="27">
        <f t="shared" si="2"/>
        <v>300000</v>
      </c>
      <c r="G74" s="27"/>
      <c r="H74" s="33"/>
      <c r="I74" s="27">
        <f t="shared" si="2"/>
        <v>300000</v>
      </c>
    </row>
    <row r="75" spans="1:9" ht="20.100000000000001" customHeight="1">
      <c r="A75" s="3"/>
      <c r="B75" s="273" t="s">
        <v>34</v>
      </c>
      <c r="C75" s="274"/>
      <c r="D75" s="30">
        <v>12</v>
      </c>
      <c r="E75" s="205"/>
      <c r="F75" s="134">
        <f>SUM(F63:F74)</f>
        <v>4750000</v>
      </c>
      <c r="G75" s="134">
        <f>SUM(G63:G74)</f>
        <v>850000</v>
      </c>
      <c r="H75" s="93">
        <f>SUM(H63:H74)</f>
        <v>3300000</v>
      </c>
      <c r="I75" s="28">
        <f>SUM(I63:I74)</f>
        <v>600000</v>
      </c>
    </row>
    <row r="76" spans="1:9" ht="20.100000000000001" customHeight="1">
      <c r="A76" s="3"/>
      <c r="B76" s="99"/>
      <c r="C76" s="100"/>
      <c r="D76" s="30"/>
      <c r="E76" s="205"/>
      <c r="F76" s="33"/>
      <c r="G76" s="33"/>
      <c r="H76" s="33"/>
      <c r="I76" s="33"/>
    </row>
    <row r="77" spans="1:9" ht="20.100000000000001" customHeight="1">
      <c r="A77" s="3"/>
      <c r="B77" s="273" t="s">
        <v>172</v>
      </c>
      <c r="C77" s="274"/>
      <c r="D77" s="30"/>
      <c r="E77" s="205"/>
      <c r="F77" s="33"/>
      <c r="G77" s="33"/>
      <c r="H77" s="33"/>
      <c r="I77" s="33"/>
    </row>
    <row r="78" spans="1:9" ht="20.100000000000001" customHeight="1">
      <c r="A78" s="3">
        <v>1</v>
      </c>
      <c r="B78" s="257" t="s">
        <v>173</v>
      </c>
      <c r="C78" s="258"/>
      <c r="D78" s="33" t="s">
        <v>174</v>
      </c>
      <c r="E78" s="194" t="s">
        <v>43</v>
      </c>
      <c r="F78" s="27">
        <v>1000000</v>
      </c>
      <c r="G78" s="27">
        <f>F78</f>
        <v>1000000</v>
      </c>
      <c r="H78" s="27"/>
      <c r="I78" s="33"/>
    </row>
    <row r="79" spans="1:9" ht="20.100000000000001" customHeight="1">
      <c r="A79" s="3">
        <v>2</v>
      </c>
      <c r="B79" s="1" t="s">
        <v>175</v>
      </c>
      <c r="D79" s="1" t="s">
        <v>176</v>
      </c>
      <c r="E79" s="199" t="s">
        <v>63</v>
      </c>
      <c r="F79" s="27">
        <f>700000</f>
        <v>700000</v>
      </c>
      <c r="G79" s="27">
        <f>F79</f>
        <v>700000</v>
      </c>
      <c r="H79" s="27"/>
      <c r="I79" s="33"/>
    </row>
    <row r="80" spans="1:9" ht="20.100000000000001" customHeight="1">
      <c r="A80" s="3">
        <v>3</v>
      </c>
      <c r="B80" s="1" t="s">
        <v>177</v>
      </c>
      <c r="D80" s="1" t="s">
        <v>178</v>
      </c>
      <c r="E80" s="199" t="s">
        <v>63</v>
      </c>
      <c r="F80" s="27">
        <f>350000</f>
        <v>350000</v>
      </c>
      <c r="G80" s="27">
        <f>F80</f>
        <v>350000</v>
      </c>
      <c r="H80" s="27"/>
      <c r="I80" s="33"/>
    </row>
    <row r="81" spans="1:9" ht="20.100000000000001" customHeight="1">
      <c r="A81" s="3">
        <v>4</v>
      </c>
      <c r="B81" s="257" t="s">
        <v>179</v>
      </c>
      <c r="C81" s="258"/>
      <c r="D81" s="33" t="s">
        <v>140</v>
      </c>
      <c r="E81" s="199" t="s">
        <v>98</v>
      </c>
      <c r="F81" s="27">
        <f>500000</f>
        <v>500000</v>
      </c>
      <c r="G81" s="27"/>
      <c r="H81" s="27">
        <f>500000</f>
        <v>500000</v>
      </c>
      <c r="I81" s="33"/>
    </row>
    <row r="82" spans="1:9" ht="20.100000000000001" customHeight="1">
      <c r="A82" s="3">
        <v>5</v>
      </c>
      <c r="B82" s="257" t="s">
        <v>180</v>
      </c>
      <c r="C82" s="258"/>
      <c r="D82" s="33" t="s">
        <v>166</v>
      </c>
      <c r="E82" s="194" t="s">
        <v>168</v>
      </c>
      <c r="F82" s="27">
        <v>300000</v>
      </c>
      <c r="G82" s="27"/>
      <c r="H82" s="27">
        <v>300000</v>
      </c>
      <c r="I82" s="33"/>
    </row>
    <row r="83" spans="1:9" ht="20.100000000000001" customHeight="1">
      <c r="A83" s="3">
        <v>6</v>
      </c>
      <c r="B83" s="97" t="s">
        <v>181</v>
      </c>
      <c r="C83" s="98"/>
      <c r="D83" s="33" t="s">
        <v>182</v>
      </c>
      <c r="E83" s="194" t="s">
        <v>111</v>
      </c>
      <c r="F83" s="27">
        <v>300000</v>
      </c>
      <c r="G83" s="27"/>
      <c r="H83" s="33"/>
      <c r="I83" s="27">
        <v>300000</v>
      </c>
    </row>
    <row r="84" spans="1:9" ht="20.100000000000001" customHeight="1">
      <c r="A84" s="3">
        <v>7</v>
      </c>
      <c r="B84" s="97" t="s">
        <v>183</v>
      </c>
      <c r="C84" s="98"/>
      <c r="D84" s="33" t="s">
        <v>184</v>
      </c>
      <c r="E84" s="194" t="s">
        <v>93</v>
      </c>
      <c r="F84" s="27">
        <v>300000</v>
      </c>
      <c r="G84" s="27"/>
      <c r="H84" s="33"/>
      <c r="I84" s="27">
        <v>300000</v>
      </c>
    </row>
    <row r="85" spans="1:9" ht="20.100000000000001" customHeight="1">
      <c r="A85" s="3"/>
      <c r="B85" s="273" t="s">
        <v>34</v>
      </c>
      <c r="C85" s="274"/>
      <c r="D85" s="30">
        <v>7</v>
      </c>
      <c r="E85" s="205"/>
      <c r="F85" s="134">
        <f>SUM(F78:F84)</f>
        <v>3450000</v>
      </c>
      <c r="G85" s="134">
        <f>SUM(G78:G84)</f>
        <v>2050000</v>
      </c>
      <c r="H85" s="134">
        <f>SUM(H78:H84)</f>
        <v>800000</v>
      </c>
      <c r="I85" s="28">
        <f>SUM(I78:I84)</f>
        <v>600000</v>
      </c>
    </row>
    <row r="86" spans="1:9" ht="20.100000000000001" customHeight="1">
      <c r="A86" s="3"/>
      <c r="B86" s="275"/>
      <c r="C86" s="276"/>
      <c r="D86" s="7"/>
      <c r="E86" s="206"/>
      <c r="F86" s="33"/>
      <c r="G86" s="33"/>
      <c r="H86" s="33"/>
      <c r="I86" s="33"/>
    </row>
    <row r="87" spans="1:9" ht="20.100000000000001" customHeight="1">
      <c r="A87" s="3"/>
      <c r="B87" s="277" t="s">
        <v>185</v>
      </c>
      <c r="C87" s="278"/>
      <c r="D87" s="69"/>
      <c r="E87" s="206"/>
      <c r="F87" s="33"/>
      <c r="G87" s="33"/>
      <c r="H87" s="33"/>
      <c r="I87" s="33"/>
    </row>
    <row r="88" spans="1:9" ht="20.100000000000001" customHeight="1">
      <c r="A88" s="3">
        <v>1</v>
      </c>
      <c r="B88" s="257" t="s">
        <v>186</v>
      </c>
      <c r="C88" s="258"/>
      <c r="D88" s="33" t="s">
        <v>187</v>
      </c>
      <c r="E88" s="194" t="s">
        <v>46</v>
      </c>
      <c r="F88" s="27">
        <f t="shared" ref="F88:F90" si="3">700000</f>
        <v>700000</v>
      </c>
      <c r="G88" s="27">
        <f>F88</f>
        <v>700000</v>
      </c>
      <c r="H88" s="27"/>
      <c r="I88" s="33"/>
    </row>
    <row r="89" spans="1:9" ht="20.100000000000001" customHeight="1">
      <c r="A89" s="3">
        <v>2</v>
      </c>
      <c r="B89" s="257" t="s">
        <v>188</v>
      </c>
      <c r="C89" s="258"/>
      <c r="D89" s="33" t="s">
        <v>127</v>
      </c>
      <c r="E89" s="194" t="s">
        <v>54</v>
      </c>
      <c r="F89" s="27">
        <f t="shared" si="3"/>
        <v>700000</v>
      </c>
      <c r="G89" s="27">
        <f>F89</f>
        <v>700000</v>
      </c>
      <c r="H89" s="27"/>
      <c r="I89" s="33"/>
    </row>
    <row r="90" spans="1:9" ht="20.100000000000001" customHeight="1">
      <c r="A90" s="3">
        <v>3</v>
      </c>
      <c r="B90" s="257" t="s">
        <v>189</v>
      </c>
      <c r="C90" s="258"/>
      <c r="D90" s="33" t="s">
        <v>127</v>
      </c>
      <c r="E90" s="194" t="s">
        <v>54</v>
      </c>
      <c r="F90" s="27">
        <f t="shared" si="3"/>
        <v>700000</v>
      </c>
      <c r="G90" s="27">
        <f>F90</f>
        <v>700000</v>
      </c>
      <c r="H90" s="27"/>
      <c r="I90" s="33"/>
    </row>
    <row r="91" spans="1:9" ht="20.100000000000001" customHeight="1">
      <c r="A91" s="3">
        <v>5</v>
      </c>
      <c r="B91" s="271" t="s">
        <v>190</v>
      </c>
      <c r="C91" s="272"/>
      <c r="D91" s="33" t="s">
        <v>135</v>
      </c>
      <c r="E91" s="194" t="s">
        <v>191</v>
      </c>
      <c r="F91" s="27">
        <f t="shared" ref="F91:H94" si="4">500000</f>
        <v>500000</v>
      </c>
      <c r="G91" s="27"/>
      <c r="H91" s="27">
        <f t="shared" si="4"/>
        <v>500000</v>
      </c>
      <c r="I91" s="33"/>
    </row>
    <row r="92" spans="1:9" ht="20.100000000000001" customHeight="1">
      <c r="A92" s="3">
        <v>6</v>
      </c>
      <c r="B92" s="269" t="s">
        <v>192</v>
      </c>
      <c r="C92" s="270"/>
      <c r="D92" s="33" t="s">
        <v>131</v>
      </c>
      <c r="E92" s="194" t="s">
        <v>66</v>
      </c>
      <c r="F92" s="27">
        <f t="shared" si="4"/>
        <v>500000</v>
      </c>
      <c r="G92" s="27"/>
      <c r="H92" s="27">
        <f t="shared" si="4"/>
        <v>500000</v>
      </c>
      <c r="I92" s="33"/>
    </row>
    <row r="93" spans="1:9" ht="21.6" customHeight="1">
      <c r="A93" s="3">
        <v>8</v>
      </c>
      <c r="B93" s="264" t="s">
        <v>195</v>
      </c>
      <c r="C93" s="264"/>
      <c r="D93" s="33" t="s">
        <v>140</v>
      </c>
      <c r="E93" s="199" t="s">
        <v>98</v>
      </c>
      <c r="F93" s="27">
        <f t="shared" si="4"/>
        <v>500000</v>
      </c>
      <c r="G93" s="27"/>
      <c r="H93" s="27">
        <f t="shared" si="4"/>
        <v>500000</v>
      </c>
      <c r="I93" s="33"/>
    </row>
    <row r="94" spans="1:9" ht="21.6" customHeight="1">
      <c r="A94" s="3">
        <v>9</v>
      </c>
      <c r="B94" s="257" t="s">
        <v>196</v>
      </c>
      <c r="C94" s="258"/>
      <c r="D94" s="61" t="s">
        <v>137</v>
      </c>
      <c r="E94" s="199" t="s">
        <v>79</v>
      </c>
      <c r="F94" s="27">
        <f t="shared" si="4"/>
        <v>500000</v>
      </c>
      <c r="G94" s="27"/>
      <c r="H94" s="27">
        <f t="shared" si="4"/>
        <v>500000</v>
      </c>
      <c r="I94" s="33"/>
    </row>
    <row r="95" spans="1:9" ht="21.6" customHeight="1">
      <c r="A95" s="3">
        <v>10</v>
      </c>
      <c r="B95" s="257" t="s">
        <v>197</v>
      </c>
      <c r="C95" s="258"/>
      <c r="D95" s="61" t="s">
        <v>137</v>
      </c>
      <c r="E95" s="199" t="s">
        <v>79</v>
      </c>
      <c r="F95" s="27">
        <f>250000</f>
        <v>250000</v>
      </c>
      <c r="G95" s="27"/>
      <c r="H95" s="27">
        <f>250000</f>
        <v>250000</v>
      </c>
      <c r="I95" s="33"/>
    </row>
    <row r="96" spans="1:9" ht="20.100000000000001" customHeight="1">
      <c r="A96" s="3"/>
      <c r="B96" s="267" t="s">
        <v>34</v>
      </c>
      <c r="C96" s="267"/>
      <c r="D96" s="7">
        <v>10</v>
      </c>
      <c r="E96" s="206"/>
      <c r="F96" s="93">
        <f>SUM(F88:F95)</f>
        <v>4350000</v>
      </c>
      <c r="G96" s="93">
        <f>SUM(G88:G95)</f>
        <v>2100000</v>
      </c>
      <c r="H96" s="93">
        <f>SUM(H88:H95)</f>
        <v>2250000</v>
      </c>
      <c r="I96" s="33"/>
    </row>
    <row r="97" spans="1:9" ht="20.100000000000001" customHeight="1">
      <c r="A97" s="3"/>
      <c r="B97" s="96"/>
      <c r="C97" s="96"/>
      <c r="D97" s="7"/>
      <c r="E97" s="206"/>
      <c r="F97" s="33"/>
      <c r="G97" s="33"/>
      <c r="H97" s="33"/>
      <c r="I97" s="33"/>
    </row>
    <row r="98" spans="1:9" ht="20.100000000000001" customHeight="1">
      <c r="A98" s="3"/>
      <c r="B98" s="267" t="s">
        <v>199</v>
      </c>
      <c r="C98" s="267"/>
      <c r="D98" s="7"/>
      <c r="E98" s="206"/>
      <c r="F98" s="33"/>
      <c r="G98" s="33"/>
      <c r="H98" s="33"/>
      <c r="I98" s="33"/>
    </row>
    <row r="99" spans="1:9" ht="20.100000000000001" customHeight="1">
      <c r="A99" s="3">
        <v>1</v>
      </c>
      <c r="B99" s="97" t="s">
        <v>200</v>
      </c>
      <c r="C99" s="98"/>
      <c r="D99" s="3" t="s">
        <v>201</v>
      </c>
      <c r="E99" s="199" t="s">
        <v>46</v>
      </c>
      <c r="F99" s="27">
        <f>700000</f>
        <v>700000</v>
      </c>
      <c r="G99" s="27">
        <f>F99</f>
        <v>700000</v>
      </c>
      <c r="H99" s="27"/>
      <c r="I99" s="33"/>
    </row>
    <row r="100" spans="1:9" ht="20.100000000000001" customHeight="1">
      <c r="A100" s="3">
        <v>2</v>
      </c>
      <c r="B100" s="269" t="s">
        <v>202</v>
      </c>
      <c r="C100" s="270"/>
      <c r="D100" s="20" t="s">
        <v>203</v>
      </c>
      <c r="E100" s="202" t="s">
        <v>66</v>
      </c>
      <c r="F100" s="27">
        <v>500000</v>
      </c>
      <c r="G100" s="27"/>
      <c r="H100" s="27">
        <v>500000</v>
      </c>
      <c r="I100" s="33"/>
    </row>
    <row r="101" spans="1:9" ht="20.100000000000001" customHeight="1">
      <c r="A101" s="3">
        <v>3</v>
      </c>
      <c r="B101" s="135" t="s">
        <v>204</v>
      </c>
      <c r="C101" s="136"/>
      <c r="D101" s="20" t="s">
        <v>205</v>
      </c>
      <c r="E101" s="199" t="s">
        <v>79</v>
      </c>
      <c r="F101" s="27">
        <v>500000</v>
      </c>
      <c r="G101" s="27"/>
      <c r="H101" s="27">
        <v>500000</v>
      </c>
      <c r="I101" s="33"/>
    </row>
    <row r="102" spans="1:9" ht="20.100000000000001" customHeight="1">
      <c r="A102" s="3">
        <v>4</v>
      </c>
      <c r="B102" s="257" t="s">
        <v>206</v>
      </c>
      <c r="C102" s="258"/>
      <c r="D102" s="33" t="s">
        <v>207</v>
      </c>
      <c r="E102" s="199" t="s">
        <v>208</v>
      </c>
      <c r="F102" s="27">
        <v>300000</v>
      </c>
      <c r="G102" s="27"/>
      <c r="H102" s="27">
        <v>300000</v>
      </c>
      <c r="I102" s="33"/>
    </row>
    <row r="103" spans="1:9" ht="20.100000000000001" customHeight="1">
      <c r="A103" s="33"/>
      <c r="B103" s="267" t="s">
        <v>34</v>
      </c>
      <c r="C103" s="267"/>
      <c r="D103" s="7">
        <v>4</v>
      </c>
      <c r="E103" s="195"/>
      <c r="F103" s="134">
        <f>SUM(F99:F102)</f>
        <v>2000000</v>
      </c>
      <c r="G103" s="134">
        <f>SUM(G99:G102)</f>
        <v>700000</v>
      </c>
      <c r="H103" s="93">
        <f>SUM(H99:H102)</f>
        <v>1300000</v>
      </c>
      <c r="I103" s="33"/>
    </row>
    <row r="104" spans="1:9" ht="20.100000000000001" customHeight="1">
      <c r="A104" s="33"/>
      <c r="B104" s="96"/>
      <c r="C104" s="96"/>
      <c r="D104" s="7"/>
      <c r="E104" s="195"/>
      <c r="F104" s="33"/>
      <c r="G104" s="33"/>
      <c r="H104" s="33"/>
      <c r="I104" s="33"/>
    </row>
    <row r="105" spans="1:9" ht="20.100000000000001" customHeight="1">
      <c r="A105" s="33"/>
      <c r="B105" s="267" t="s">
        <v>209</v>
      </c>
      <c r="C105" s="267"/>
      <c r="D105" s="33"/>
      <c r="E105" s="130"/>
      <c r="F105" s="33"/>
      <c r="G105" s="33"/>
      <c r="H105" s="33"/>
      <c r="I105" s="33"/>
    </row>
    <row r="106" spans="1:9" ht="20.100000000000001" customHeight="1">
      <c r="A106" s="33">
        <v>1</v>
      </c>
      <c r="B106" s="257" t="s">
        <v>210</v>
      </c>
      <c r="C106" s="258"/>
      <c r="D106" s="61" t="s">
        <v>211</v>
      </c>
      <c r="E106" s="199" t="s">
        <v>43</v>
      </c>
      <c r="F106" s="27">
        <f>1000000</f>
        <v>1000000</v>
      </c>
      <c r="G106" s="27">
        <f>F106</f>
        <v>1000000</v>
      </c>
      <c r="H106" s="27"/>
      <c r="I106" s="33"/>
    </row>
    <row r="107" spans="1:9" ht="20.100000000000001" customHeight="1">
      <c r="A107" s="33">
        <v>2</v>
      </c>
      <c r="B107" s="311" t="s">
        <v>212</v>
      </c>
      <c r="C107" s="312"/>
      <c r="D107" s="33" t="s">
        <v>213</v>
      </c>
      <c r="E107" s="194" t="s">
        <v>54</v>
      </c>
      <c r="F107" s="27">
        <f>700000</f>
        <v>700000</v>
      </c>
      <c r="G107" s="27">
        <f>F107</f>
        <v>700000</v>
      </c>
      <c r="H107" s="27"/>
      <c r="I107" s="33"/>
    </row>
    <row r="108" spans="1:9" ht="20.100000000000001" customHeight="1">
      <c r="A108" s="33">
        <v>3</v>
      </c>
      <c r="B108" s="257" t="s">
        <v>214</v>
      </c>
      <c r="C108" s="258"/>
      <c r="D108" s="33" t="s">
        <v>215</v>
      </c>
      <c r="E108" s="194" t="s">
        <v>73</v>
      </c>
      <c r="F108" s="27">
        <f>500000</f>
        <v>500000</v>
      </c>
      <c r="G108" s="27"/>
      <c r="H108" s="27">
        <f>500000</f>
        <v>500000</v>
      </c>
      <c r="I108" s="33"/>
    </row>
    <row r="109" spans="1:9" ht="20.100000000000001" customHeight="1">
      <c r="A109" s="33">
        <v>4</v>
      </c>
      <c r="B109" s="269" t="s">
        <v>216</v>
      </c>
      <c r="C109" s="270"/>
      <c r="D109" s="33" t="s">
        <v>215</v>
      </c>
      <c r="E109" s="202" t="s">
        <v>138</v>
      </c>
      <c r="F109" s="27">
        <f>500000</f>
        <v>500000</v>
      </c>
      <c r="G109" s="27"/>
      <c r="H109" s="27">
        <f>500000</f>
        <v>500000</v>
      </c>
      <c r="I109" s="33"/>
    </row>
    <row r="110" spans="1:9" ht="20.100000000000001" customHeight="1">
      <c r="A110" s="33">
        <v>5</v>
      </c>
      <c r="B110" s="257" t="s">
        <v>217</v>
      </c>
      <c r="C110" s="258"/>
      <c r="D110" s="1" t="s">
        <v>218</v>
      </c>
      <c r="E110" s="199" t="s">
        <v>106</v>
      </c>
      <c r="F110" s="27">
        <v>300000</v>
      </c>
      <c r="G110" s="27"/>
      <c r="H110" s="33"/>
      <c r="I110" s="27">
        <v>300000</v>
      </c>
    </row>
    <row r="111" spans="1:9" ht="20.100000000000001" customHeight="1">
      <c r="A111" s="33">
        <v>6</v>
      </c>
      <c r="B111" s="135" t="s">
        <v>219</v>
      </c>
      <c r="C111" s="136"/>
      <c r="D111" s="1" t="s">
        <v>218</v>
      </c>
      <c r="E111" s="194" t="s">
        <v>111</v>
      </c>
      <c r="F111" s="27">
        <v>300000</v>
      </c>
      <c r="G111" s="27"/>
      <c r="H111" s="33"/>
      <c r="I111" s="27">
        <v>300000</v>
      </c>
    </row>
    <row r="112" spans="1:9" ht="20.100000000000001" customHeight="1">
      <c r="A112" s="33">
        <v>7</v>
      </c>
      <c r="B112" s="97" t="s">
        <v>220</v>
      </c>
      <c r="C112" s="98"/>
      <c r="D112" s="1" t="s">
        <v>218</v>
      </c>
      <c r="E112" s="199" t="s">
        <v>93</v>
      </c>
      <c r="F112" s="27">
        <v>300000</v>
      </c>
      <c r="G112" s="27"/>
      <c r="H112" s="33"/>
      <c r="I112" s="27">
        <v>300000</v>
      </c>
    </row>
    <row r="113" spans="1:9" ht="20.100000000000001" customHeight="1">
      <c r="A113" s="33">
        <v>8</v>
      </c>
      <c r="B113" s="97" t="s">
        <v>221</v>
      </c>
      <c r="C113" s="98"/>
      <c r="D113" s="1" t="s">
        <v>218</v>
      </c>
      <c r="E113" s="199" t="s">
        <v>93</v>
      </c>
      <c r="F113" s="27">
        <v>300000</v>
      </c>
      <c r="G113" s="27"/>
      <c r="H113" s="33"/>
      <c r="I113" s="27">
        <v>300000</v>
      </c>
    </row>
    <row r="114" spans="1:9" ht="20.100000000000001" customHeight="1">
      <c r="A114" s="33"/>
      <c r="B114" s="267" t="s">
        <v>34</v>
      </c>
      <c r="C114" s="267"/>
      <c r="D114" s="3">
        <v>8</v>
      </c>
      <c r="E114" s="130"/>
      <c r="F114" s="93">
        <f>SUM(F106:F113)</f>
        <v>3900000</v>
      </c>
      <c r="G114" s="93">
        <f>SUM(G106:G113)</f>
        <v>1700000</v>
      </c>
      <c r="H114" s="28">
        <f>SUM(H106:H113)</f>
        <v>1000000</v>
      </c>
      <c r="I114" s="28">
        <f>SUM(I106:I113)</f>
        <v>1200000</v>
      </c>
    </row>
    <row r="115" spans="1:9" ht="20.100000000000001" customHeight="1">
      <c r="A115" s="33"/>
      <c r="B115" s="96"/>
      <c r="C115" s="96"/>
      <c r="D115" s="3"/>
      <c r="E115" s="130"/>
      <c r="F115" s="33"/>
      <c r="G115" s="33"/>
      <c r="H115" s="33"/>
      <c r="I115" s="33"/>
    </row>
    <row r="116" spans="1:9" ht="20.100000000000001" customHeight="1">
      <c r="A116" s="33"/>
      <c r="B116" s="267" t="s">
        <v>222</v>
      </c>
      <c r="C116" s="267"/>
      <c r="D116" s="7"/>
      <c r="E116" s="206"/>
      <c r="F116" s="33"/>
      <c r="G116" s="33"/>
      <c r="H116" s="33"/>
      <c r="I116" s="33"/>
    </row>
    <row r="117" spans="1:9" ht="20.100000000000001" customHeight="1">
      <c r="A117" s="33">
        <v>1</v>
      </c>
      <c r="B117" s="264" t="s">
        <v>223</v>
      </c>
      <c r="C117" s="264"/>
      <c r="D117" s="61" t="s">
        <v>224</v>
      </c>
      <c r="E117" s="199" t="s">
        <v>43</v>
      </c>
      <c r="F117" s="27">
        <f>1000000</f>
        <v>1000000</v>
      </c>
      <c r="G117" s="27">
        <f>F117</f>
        <v>1000000</v>
      </c>
      <c r="H117" s="27"/>
      <c r="I117" s="33"/>
    </row>
    <row r="118" spans="1:9" ht="20.100000000000001" customHeight="1">
      <c r="A118" s="33">
        <v>2</v>
      </c>
      <c r="B118" s="264" t="s">
        <v>225</v>
      </c>
      <c r="C118" s="264"/>
      <c r="D118" s="61" t="s">
        <v>226</v>
      </c>
      <c r="E118" s="199" t="s">
        <v>227</v>
      </c>
      <c r="F118" s="27">
        <f>700000</f>
        <v>700000</v>
      </c>
      <c r="G118" s="27">
        <f>F118</f>
        <v>700000</v>
      </c>
      <c r="H118" s="27"/>
      <c r="I118" s="33"/>
    </row>
    <row r="119" spans="1:9" ht="20.100000000000001" customHeight="1">
      <c r="A119" s="33">
        <v>3</v>
      </c>
      <c r="B119" s="264" t="s">
        <v>228</v>
      </c>
      <c r="C119" s="264"/>
      <c r="D119" s="61" t="s">
        <v>229</v>
      </c>
      <c r="E119" s="199" t="s">
        <v>54</v>
      </c>
      <c r="F119" s="27">
        <f t="shared" ref="F119:F121" si="5">700000</f>
        <v>700000</v>
      </c>
      <c r="G119" s="27">
        <f>F119</f>
        <v>700000</v>
      </c>
      <c r="H119" s="27"/>
      <c r="I119" s="33"/>
    </row>
    <row r="120" spans="1:9" ht="20.100000000000001" customHeight="1">
      <c r="A120" s="33">
        <v>4</v>
      </c>
      <c r="B120" s="268" t="s">
        <v>230</v>
      </c>
      <c r="C120" s="268"/>
      <c r="D120" s="61" t="s">
        <v>229</v>
      </c>
      <c r="E120" s="199" t="s">
        <v>54</v>
      </c>
      <c r="F120" s="27">
        <f t="shared" si="5"/>
        <v>700000</v>
      </c>
      <c r="G120" s="27">
        <f>F120</f>
        <v>700000</v>
      </c>
      <c r="H120" s="27"/>
      <c r="I120" s="33"/>
    </row>
    <row r="121" spans="1:9" ht="20.100000000000001" customHeight="1">
      <c r="A121" s="33">
        <v>5</v>
      </c>
      <c r="B121" s="1" t="s">
        <v>231</v>
      </c>
      <c r="D121" s="61" t="s">
        <v>229</v>
      </c>
      <c r="E121" s="199" t="s">
        <v>232</v>
      </c>
      <c r="F121" s="27">
        <f t="shared" si="5"/>
        <v>700000</v>
      </c>
      <c r="G121" s="27">
        <f>F121</f>
        <v>700000</v>
      </c>
      <c r="H121" s="27"/>
      <c r="I121" s="33"/>
    </row>
    <row r="122" spans="1:9" ht="20.100000000000001" customHeight="1">
      <c r="A122" s="33">
        <v>6</v>
      </c>
      <c r="B122" s="313" t="s">
        <v>233</v>
      </c>
      <c r="C122" s="313"/>
      <c r="D122" s="61" t="s">
        <v>234</v>
      </c>
      <c r="E122" s="199" t="s">
        <v>138</v>
      </c>
      <c r="F122" s="27">
        <f>500000</f>
        <v>500000</v>
      </c>
      <c r="G122" s="27"/>
      <c r="H122" s="27">
        <f>500000</f>
        <v>500000</v>
      </c>
      <c r="I122" s="33"/>
    </row>
    <row r="123" spans="1:9" ht="20.100000000000001" customHeight="1">
      <c r="A123" s="33">
        <v>7</v>
      </c>
      <c r="B123" s="264" t="s">
        <v>235</v>
      </c>
      <c r="C123" s="264"/>
      <c r="D123" s="61" t="s">
        <v>236</v>
      </c>
      <c r="E123" s="199" t="s">
        <v>98</v>
      </c>
      <c r="F123" s="27">
        <f t="shared" ref="F123:H125" si="6">500000</f>
        <v>500000</v>
      </c>
      <c r="G123" s="27"/>
      <c r="H123" s="27">
        <f t="shared" si="6"/>
        <v>500000</v>
      </c>
      <c r="I123" s="33"/>
    </row>
    <row r="124" spans="1:9" ht="20.100000000000001" customHeight="1">
      <c r="A124" s="33">
        <v>8</v>
      </c>
      <c r="B124" s="264" t="s">
        <v>237</v>
      </c>
      <c r="C124" s="264"/>
      <c r="D124" s="61" t="s">
        <v>238</v>
      </c>
      <c r="E124" s="199" t="s">
        <v>98</v>
      </c>
      <c r="F124" s="27">
        <f t="shared" si="6"/>
        <v>500000</v>
      </c>
      <c r="G124" s="27"/>
      <c r="H124" s="27">
        <f t="shared" si="6"/>
        <v>500000</v>
      </c>
      <c r="I124" s="33"/>
    </row>
    <row r="125" spans="1:9" ht="20.100000000000001" customHeight="1">
      <c r="A125" s="33">
        <v>9</v>
      </c>
      <c r="B125" s="97" t="s">
        <v>239</v>
      </c>
      <c r="C125" s="98"/>
      <c r="D125" s="61" t="s">
        <v>234</v>
      </c>
      <c r="E125" s="199" t="s">
        <v>240</v>
      </c>
      <c r="F125" s="27">
        <f t="shared" si="6"/>
        <v>500000</v>
      </c>
      <c r="G125" s="27"/>
      <c r="H125" s="27">
        <f t="shared" si="6"/>
        <v>500000</v>
      </c>
      <c r="I125" s="33"/>
    </row>
    <row r="126" spans="1:9" ht="20.100000000000001" customHeight="1">
      <c r="A126" s="33"/>
      <c r="B126" s="267" t="s">
        <v>34</v>
      </c>
      <c r="C126" s="267"/>
      <c r="D126" s="91" t="s">
        <v>241</v>
      </c>
      <c r="E126" s="199"/>
      <c r="F126" s="93">
        <f>SUM(F117:F125)</f>
        <v>5800000</v>
      </c>
      <c r="G126" s="93">
        <f>SUM(G117:G125)</f>
        <v>3800000</v>
      </c>
      <c r="H126" s="93">
        <f>SUM(H117:H125)</f>
        <v>2000000</v>
      </c>
      <c r="I126" s="33"/>
    </row>
    <row r="127" spans="1:9" ht="20.100000000000001" customHeight="1">
      <c r="A127" s="33"/>
      <c r="B127" s="96"/>
      <c r="C127" s="96"/>
      <c r="D127" s="91"/>
      <c r="E127" s="199"/>
      <c r="F127" s="33"/>
      <c r="G127" s="33"/>
      <c r="H127" s="33"/>
      <c r="I127" s="33"/>
    </row>
    <row r="128" spans="1:9" ht="20.100000000000001" customHeight="1">
      <c r="A128" s="33"/>
      <c r="B128" s="267" t="s">
        <v>242</v>
      </c>
      <c r="C128" s="267"/>
      <c r="D128" s="61"/>
      <c r="E128" s="199"/>
      <c r="F128" s="33"/>
      <c r="G128" s="33"/>
      <c r="H128" s="33"/>
      <c r="I128" s="33"/>
    </row>
    <row r="129" spans="1:9" ht="20.100000000000001" customHeight="1">
      <c r="A129" s="33">
        <v>1</v>
      </c>
      <c r="B129" s="264" t="s">
        <v>243</v>
      </c>
      <c r="C129" s="264"/>
      <c r="D129" s="61" t="s">
        <v>244</v>
      </c>
      <c r="E129" s="199" t="s">
        <v>43</v>
      </c>
      <c r="F129" s="27">
        <f>1000000</f>
        <v>1000000</v>
      </c>
      <c r="G129" s="27">
        <f>F129</f>
        <v>1000000</v>
      </c>
      <c r="H129" s="27"/>
      <c r="I129" s="33"/>
    </row>
    <row r="130" spans="1:9" ht="20.100000000000001" customHeight="1">
      <c r="A130" s="33">
        <v>2</v>
      </c>
      <c r="B130" s="264" t="s">
        <v>245</v>
      </c>
      <c r="C130" s="264"/>
      <c r="D130" s="61" t="s">
        <v>246</v>
      </c>
      <c r="E130" s="199" t="s">
        <v>43</v>
      </c>
      <c r="F130" s="27">
        <f>500000</f>
        <v>500000</v>
      </c>
      <c r="G130" s="27">
        <f>F130</f>
        <v>500000</v>
      </c>
      <c r="H130" s="27"/>
      <c r="I130" s="33"/>
    </row>
    <row r="131" spans="1:9" ht="20.100000000000001" customHeight="1">
      <c r="A131" s="33">
        <v>3</v>
      </c>
      <c r="B131" s="313" t="s">
        <v>247</v>
      </c>
      <c r="C131" s="313"/>
      <c r="D131" s="61" t="s">
        <v>248</v>
      </c>
      <c r="E131" s="199" t="s">
        <v>227</v>
      </c>
      <c r="F131" s="27">
        <f>350000</f>
        <v>350000</v>
      </c>
      <c r="G131" s="27">
        <f>F131</f>
        <v>350000</v>
      </c>
      <c r="H131" s="27"/>
      <c r="I131" s="33"/>
    </row>
    <row r="132" spans="1:9" ht="20.100000000000001" customHeight="1">
      <c r="A132" s="33">
        <v>4</v>
      </c>
      <c r="B132" s="265" t="s">
        <v>249</v>
      </c>
      <c r="C132" s="266"/>
      <c r="D132" s="20" t="s">
        <v>250</v>
      </c>
      <c r="E132" s="204" t="s">
        <v>54</v>
      </c>
      <c r="F132" s="27">
        <f t="shared" ref="F132:F133" si="7">700000</f>
        <v>700000</v>
      </c>
      <c r="G132" s="27">
        <f>F132</f>
        <v>700000</v>
      </c>
      <c r="H132" s="27"/>
      <c r="I132" s="33"/>
    </row>
    <row r="133" spans="1:9" ht="20.100000000000001" customHeight="1">
      <c r="A133" s="33">
        <v>5</v>
      </c>
      <c r="B133" s="265" t="s">
        <v>251</v>
      </c>
      <c r="C133" s="266"/>
      <c r="D133" s="20" t="s">
        <v>252</v>
      </c>
      <c r="E133" s="204" t="s">
        <v>54</v>
      </c>
      <c r="F133" s="27">
        <f t="shared" si="7"/>
        <v>700000</v>
      </c>
      <c r="G133" s="27">
        <f>F133</f>
        <v>700000</v>
      </c>
      <c r="H133" s="27"/>
      <c r="I133" s="33"/>
    </row>
    <row r="134" spans="1:9" ht="20.100000000000001" customHeight="1">
      <c r="A134" s="33">
        <v>6</v>
      </c>
      <c r="B134" s="264" t="s">
        <v>253</v>
      </c>
      <c r="C134" s="264"/>
      <c r="D134" s="61" t="s">
        <v>254</v>
      </c>
      <c r="E134" s="199" t="s">
        <v>66</v>
      </c>
      <c r="F134" s="27">
        <f>500000</f>
        <v>500000</v>
      </c>
      <c r="G134" s="27"/>
      <c r="H134" s="27">
        <f>500000</f>
        <v>500000</v>
      </c>
      <c r="I134" s="33"/>
    </row>
    <row r="135" spans="1:9" ht="20.100000000000001" customHeight="1">
      <c r="A135" s="33">
        <v>7</v>
      </c>
      <c r="B135" s="264" t="s">
        <v>255</v>
      </c>
      <c r="C135" s="264"/>
      <c r="D135" s="33" t="s">
        <v>256</v>
      </c>
      <c r="E135" s="199" t="s">
        <v>66</v>
      </c>
      <c r="F135" s="27">
        <f t="shared" ref="F135:H136" si="8">500000</f>
        <v>500000</v>
      </c>
      <c r="G135" s="27"/>
      <c r="H135" s="27">
        <f t="shared" si="8"/>
        <v>500000</v>
      </c>
      <c r="I135" s="33"/>
    </row>
    <row r="136" spans="1:9" ht="20.100000000000001" customHeight="1">
      <c r="A136" s="33">
        <v>9</v>
      </c>
      <c r="B136" s="264" t="s">
        <v>257</v>
      </c>
      <c r="C136" s="264"/>
      <c r="D136" s="33" t="s">
        <v>258</v>
      </c>
      <c r="E136" s="199" t="s">
        <v>98</v>
      </c>
      <c r="F136" s="27">
        <f t="shared" si="8"/>
        <v>500000</v>
      </c>
      <c r="G136" s="27"/>
      <c r="H136" s="27">
        <f t="shared" si="8"/>
        <v>500000</v>
      </c>
      <c r="I136" s="33"/>
    </row>
    <row r="137" spans="1:9" ht="20.100000000000001" customHeight="1">
      <c r="A137" s="33">
        <v>10</v>
      </c>
      <c r="B137" s="257" t="s">
        <v>259</v>
      </c>
      <c r="C137" s="258"/>
      <c r="D137" s="61" t="s">
        <v>260</v>
      </c>
      <c r="E137" s="199" t="s">
        <v>85</v>
      </c>
      <c r="F137" s="27">
        <v>400000</v>
      </c>
      <c r="G137" s="27"/>
      <c r="H137" s="27">
        <v>400000</v>
      </c>
      <c r="I137" s="33"/>
    </row>
    <row r="138" spans="1:9" ht="20.100000000000001" customHeight="1">
      <c r="A138" s="33">
        <v>11</v>
      </c>
      <c r="B138" s="264" t="s">
        <v>261</v>
      </c>
      <c r="C138" s="264"/>
      <c r="D138" s="61" t="s">
        <v>260</v>
      </c>
      <c r="E138" s="199" t="s">
        <v>85</v>
      </c>
      <c r="F138" s="27">
        <v>400000</v>
      </c>
      <c r="G138" s="27"/>
      <c r="H138" s="27">
        <v>400000</v>
      </c>
      <c r="I138" s="33"/>
    </row>
    <row r="139" spans="1:9" ht="20.100000000000001" customHeight="1">
      <c r="A139" s="33">
        <v>12</v>
      </c>
      <c r="B139" s="257" t="s">
        <v>262</v>
      </c>
      <c r="C139" s="258"/>
      <c r="D139" s="33" t="s">
        <v>258</v>
      </c>
      <c r="E139" s="199" t="s">
        <v>85</v>
      </c>
      <c r="F139" s="27">
        <v>400000</v>
      </c>
      <c r="G139" s="27"/>
      <c r="H139" s="27">
        <v>400000</v>
      </c>
      <c r="I139" s="33"/>
    </row>
    <row r="140" spans="1:9" ht="20.100000000000001" customHeight="1">
      <c r="A140" s="33">
        <v>13</v>
      </c>
      <c r="B140" s="257" t="s">
        <v>263</v>
      </c>
      <c r="C140" s="258"/>
      <c r="D140" s="33" t="s">
        <v>264</v>
      </c>
      <c r="E140" s="199" t="s">
        <v>82</v>
      </c>
      <c r="F140" s="27">
        <v>300000</v>
      </c>
      <c r="G140" s="27"/>
      <c r="H140" s="27">
        <v>300000</v>
      </c>
      <c r="I140" s="33"/>
    </row>
    <row r="141" spans="1:9" ht="20.100000000000001" customHeight="1">
      <c r="A141" s="33">
        <v>14</v>
      </c>
      <c r="B141" s="257" t="s">
        <v>265</v>
      </c>
      <c r="C141" s="258"/>
      <c r="D141" s="61" t="s">
        <v>266</v>
      </c>
      <c r="E141" s="199" t="s">
        <v>103</v>
      </c>
      <c r="F141" s="27">
        <v>300000</v>
      </c>
      <c r="G141" s="27"/>
      <c r="H141" s="27">
        <v>300000</v>
      </c>
      <c r="I141" s="33"/>
    </row>
    <row r="142" spans="1:9" ht="20.100000000000001" customHeight="1">
      <c r="A142" s="33">
        <v>15</v>
      </c>
      <c r="B142" s="257" t="s">
        <v>267</v>
      </c>
      <c r="C142" s="258"/>
      <c r="D142" s="61" t="s">
        <v>268</v>
      </c>
      <c r="E142" s="199" t="s">
        <v>82</v>
      </c>
      <c r="F142" s="27">
        <v>300000</v>
      </c>
      <c r="G142" s="27"/>
      <c r="H142" s="27">
        <v>300000</v>
      </c>
      <c r="I142" s="33"/>
    </row>
    <row r="143" spans="1:9" ht="20.100000000000001" customHeight="1">
      <c r="A143" s="33">
        <v>16</v>
      </c>
      <c r="B143" s="257" t="s">
        <v>269</v>
      </c>
      <c r="C143" s="258"/>
      <c r="D143" s="33" t="s">
        <v>264</v>
      </c>
      <c r="E143" s="199" t="s">
        <v>95</v>
      </c>
      <c r="F143" s="27">
        <v>300000</v>
      </c>
      <c r="G143" s="27"/>
      <c r="H143" s="27">
        <v>300000</v>
      </c>
      <c r="I143" s="33"/>
    </row>
    <row r="144" spans="1:9" ht="20.100000000000001" customHeight="1">
      <c r="A144" s="33">
        <v>17</v>
      </c>
      <c r="B144" s="257" t="s">
        <v>270</v>
      </c>
      <c r="C144" s="258"/>
      <c r="D144" s="33" t="s">
        <v>264</v>
      </c>
      <c r="E144" s="199" t="s">
        <v>95</v>
      </c>
      <c r="F144" s="27">
        <v>300000</v>
      </c>
      <c r="G144" s="27"/>
      <c r="H144" s="27">
        <v>300000</v>
      </c>
      <c r="I144" s="33"/>
    </row>
    <row r="145" spans="1:9" ht="20.100000000000001" customHeight="1">
      <c r="A145" s="33">
        <v>18</v>
      </c>
      <c r="B145" s="257" t="s">
        <v>271</v>
      </c>
      <c r="C145" s="258"/>
      <c r="D145" s="33" t="s">
        <v>264</v>
      </c>
      <c r="E145" s="199" t="s">
        <v>95</v>
      </c>
      <c r="F145" s="27">
        <v>300000</v>
      </c>
      <c r="G145" s="27"/>
      <c r="H145" s="27">
        <v>300000</v>
      </c>
      <c r="I145" s="33"/>
    </row>
    <row r="146" spans="1:9" ht="20.100000000000001" customHeight="1">
      <c r="A146" s="33">
        <v>19</v>
      </c>
      <c r="B146" s="257" t="s">
        <v>274</v>
      </c>
      <c r="C146" s="258"/>
      <c r="D146" s="61" t="s">
        <v>268</v>
      </c>
      <c r="E146" s="199" t="s">
        <v>106</v>
      </c>
      <c r="F146" s="27">
        <v>300000</v>
      </c>
      <c r="G146" s="27"/>
      <c r="H146" s="33"/>
      <c r="I146" s="27">
        <v>300000</v>
      </c>
    </row>
    <row r="147" spans="1:9" ht="20.100000000000001" customHeight="1">
      <c r="A147" s="33">
        <v>20</v>
      </c>
      <c r="B147" s="257" t="s">
        <v>275</v>
      </c>
      <c r="C147" s="258"/>
      <c r="D147" s="61" t="s">
        <v>276</v>
      </c>
      <c r="E147" s="199" t="s">
        <v>106</v>
      </c>
      <c r="F147" s="27">
        <v>300000</v>
      </c>
      <c r="G147" s="27"/>
      <c r="H147" s="33"/>
      <c r="I147" s="27">
        <v>300000</v>
      </c>
    </row>
    <row r="148" spans="1:9" ht="20.100000000000001" customHeight="1">
      <c r="A148" s="33">
        <v>21</v>
      </c>
      <c r="B148" s="257" t="s">
        <v>277</v>
      </c>
      <c r="C148" s="258"/>
      <c r="D148" s="61" t="s">
        <v>268</v>
      </c>
      <c r="E148" s="199" t="s">
        <v>106</v>
      </c>
      <c r="F148" s="27">
        <v>300000</v>
      </c>
      <c r="G148" s="27"/>
      <c r="H148" s="33"/>
      <c r="I148" s="27">
        <v>300000</v>
      </c>
    </row>
    <row r="149" spans="1:9" ht="20.100000000000001" customHeight="1">
      <c r="A149" s="33">
        <v>22</v>
      </c>
      <c r="B149" s="257" t="s">
        <v>278</v>
      </c>
      <c r="C149" s="258"/>
      <c r="D149" s="61" t="s">
        <v>279</v>
      </c>
      <c r="E149" s="199" t="s">
        <v>106</v>
      </c>
      <c r="F149" s="27">
        <v>300000</v>
      </c>
      <c r="G149" s="27"/>
      <c r="H149" s="33"/>
      <c r="I149" s="27">
        <v>300000</v>
      </c>
    </row>
    <row r="150" spans="1:9" ht="20.100000000000001" customHeight="1">
      <c r="A150" s="33">
        <v>23</v>
      </c>
      <c r="B150" s="97" t="s">
        <v>280</v>
      </c>
      <c r="C150" s="98"/>
      <c r="D150" s="61" t="s">
        <v>281</v>
      </c>
      <c r="E150" s="199" t="s">
        <v>108</v>
      </c>
      <c r="F150" s="27">
        <v>300000</v>
      </c>
      <c r="G150" s="27"/>
      <c r="H150" s="33"/>
      <c r="I150" s="27">
        <v>300000</v>
      </c>
    </row>
    <row r="151" spans="1:9" ht="20.100000000000001" customHeight="1">
      <c r="A151" s="33">
        <v>24</v>
      </c>
      <c r="B151" s="97" t="s">
        <v>282</v>
      </c>
      <c r="C151" s="98"/>
      <c r="D151" s="61" t="s">
        <v>268</v>
      </c>
      <c r="E151" s="199" t="s">
        <v>93</v>
      </c>
      <c r="F151" s="27">
        <v>300000</v>
      </c>
      <c r="G151" s="27"/>
      <c r="H151" s="33"/>
      <c r="I151" s="27">
        <v>300000</v>
      </c>
    </row>
    <row r="152" spans="1:9" ht="20.100000000000001" customHeight="1">
      <c r="A152" s="33">
        <v>25</v>
      </c>
      <c r="B152" s="97" t="s">
        <v>283</v>
      </c>
      <c r="C152" s="98"/>
      <c r="D152" s="61" t="s">
        <v>281</v>
      </c>
      <c r="E152" s="199" t="s">
        <v>93</v>
      </c>
      <c r="F152" s="27">
        <v>300000</v>
      </c>
      <c r="G152" s="27"/>
      <c r="H152" s="33"/>
      <c r="I152" s="27">
        <v>300000</v>
      </c>
    </row>
    <row r="153" spans="1:9" ht="20.100000000000001" customHeight="1">
      <c r="A153" s="33">
        <v>26</v>
      </c>
      <c r="B153" s="97" t="s">
        <v>284</v>
      </c>
      <c r="C153" s="98"/>
      <c r="D153" s="61" t="s">
        <v>268</v>
      </c>
      <c r="E153" s="199" t="s">
        <v>93</v>
      </c>
      <c r="F153" s="27">
        <v>300000</v>
      </c>
      <c r="G153" s="27"/>
      <c r="H153" s="33"/>
      <c r="I153" s="27">
        <v>300000</v>
      </c>
    </row>
    <row r="154" spans="1:9" ht="20.100000000000001" customHeight="1">
      <c r="A154" s="33">
        <v>27</v>
      </c>
      <c r="B154" s="264" t="s">
        <v>286</v>
      </c>
      <c r="C154" s="264"/>
      <c r="D154" s="61" t="s">
        <v>287</v>
      </c>
      <c r="E154" s="199" t="s">
        <v>288</v>
      </c>
      <c r="F154" s="27">
        <f>100000</f>
        <v>100000</v>
      </c>
      <c r="G154" s="27"/>
      <c r="H154" s="33"/>
      <c r="I154" s="27">
        <f>100000</f>
        <v>100000</v>
      </c>
    </row>
    <row r="155" spans="1:9" ht="20.100000000000001" customHeight="1">
      <c r="A155" s="33">
        <v>28</v>
      </c>
      <c r="B155" s="264" t="s">
        <v>289</v>
      </c>
      <c r="C155" s="264"/>
      <c r="D155" s="61" t="s">
        <v>287</v>
      </c>
      <c r="E155" s="199" t="s">
        <v>288</v>
      </c>
      <c r="F155" s="27">
        <f t="shared" ref="F155:I182" si="9">100000</f>
        <v>100000</v>
      </c>
      <c r="G155" s="27"/>
      <c r="H155" s="33"/>
      <c r="I155" s="27">
        <f t="shared" si="9"/>
        <v>100000</v>
      </c>
    </row>
    <row r="156" spans="1:9" ht="20.100000000000001" customHeight="1">
      <c r="A156" s="33">
        <v>29</v>
      </c>
      <c r="B156" s="264" t="s">
        <v>290</v>
      </c>
      <c r="C156" s="264"/>
      <c r="D156" s="61" t="s">
        <v>287</v>
      </c>
      <c r="E156" s="199" t="s">
        <v>288</v>
      </c>
      <c r="F156" s="27">
        <f t="shared" si="9"/>
        <v>100000</v>
      </c>
      <c r="G156" s="27"/>
      <c r="H156" s="33"/>
      <c r="I156" s="27">
        <f t="shared" si="9"/>
        <v>100000</v>
      </c>
    </row>
    <row r="157" spans="1:9" ht="20.100000000000001" customHeight="1">
      <c r="A157" s="33">
        <v>30</v>
      </c>
      <c r="B157" s="264" t="s">
        <v>291</v>
      </c>
      <c r="C157" s="264"/>
      <c r="D157" s="61" t="s">
        <v>287</v>
      </c>
      <c r="E157" s="199" t="s">
        <v>288</v>
      </c>
      <c r="F157" s="27">
        <f t="shared" si="9"/>
        <v>100000</v>
      </c>
      <c r="G157" s="27"/>
      <c r="H157" s="33"/>
      <c r="I157" s="27">
        <f t="shared" si="9"/>
        <v>100000</v>
      </c>
    </row>
    <row r="158" spans="1:9" ht="20.100000000000001" customHeight="1">
      <c r="A158" s="33">
        <v>31</v>
      </c>
      <c r="B158" s="264" t="s">
        <v>292</v>
      </c>
      <c r="C158" s="264"/>
      <c r="D158" s="61" t="s">
        <v>287</v>
      </c>
      <c r="E158" s="199" t="s">
        <v>288</v>
      </c>
      <c r="F158" s="27">
        <f t="shared" si="9"/>
        <v>100000</v>
      </c>
      <c r="G158" s="27"/>
      <c r="H158" s="33"/>
      <c r="I158" s="27">
        <f t="shared" si="9"/>
        <v>100000</v>
      </c>
    </row>
    <row r="159" spans="1:9" ht="20.100000000000001" customHeight="1">
      <c r="A159" s="33">
        <v>32</v>
      </c>
      <c r="B159" s="264" t="s">
        <v>293</v>
      </c>
      <c r="C159" s="264"/>
      <c r="D159" s="61" t="s">
        <v>287</v>
      </c>
      <c r="E159" s="199" t="s">
        <v>288</v>
      </c>
      <c r="F159" s="27">
        <f t="shared" si="9"/>
        <v>100000</v>
      </c>
      <c r="G159" s="27"/>
      <c r="H159" s="33"/>
      <c r="I159" s="27">
        <f t="shared" si="9"/>
        <v>100000</v>
      </c>
    </row>
    <row r="160" spans="1:9" ht="20.100000000000001" customHeight="1">
      <c r="A160" s="33">
        <v>33</v>
      </c>
      <c r="B160" s="264" t="s">
        <v>294</v>
      </c>
      <c r="C160" s="264"/>
      <c r="D160" s="61" t="s">
        <v>287</v>
      </c>
      <c r="E160" s="199" t="s">
        <v>288</v>
      </c>
      <c r="F160" s="27">
        <f t="shared" si="9"/>
        <v>100000</v>
      </c>
      <c r="G160" s="27"/>
      <c r="H160" s="33"/>
      <c r="I160" s="27">
        <f t="shared" si="9"/>
        <v>100000</v>
      </c>
    </row>
    <row r="161" spans="1:9" ht="20.100000000000001" customHeight="1">
      <c r="A161" s="33">
        <v>34</v>
      </c>
      <c r="B161" s="264" t="s">
        <v>295</v>
      </c>
      <c r="C161" s="264"/>
      <c r="D161" s="61" t="s">
        <v>296</v>
      </c>
      <c r="E161" s="199" t="s">
        <v>297</v>
      </c>
      <c r="F161" s="27">
        <f t="shared" si="9"/>
        <v>100000</v>
      </c>
      <c r="G161" s="27"/>
      <c r="H161" s="33"/>
      <c r="I161" s="27">
        <f t="shared" si="9"/>
        <v>100000</v>
      </c>
    </row>
    <row r="162" spans="1:9" ht="20.100000000000001" customHeight="1">
      <c r="A162" s="33">
        <v>35</v>
      </c>
      <c r="B162" s="264" t="s">
        <v>298</v>
      </c>
      <c r="C162" s="264"/>
      <c r="D162" s="61" t="s">
        <v>296</v>
      </c>
      <c r="E162" s="199" t="s">
        <v>297</v>
      </c>
      <c r="F162" s="27">
        <f t="shared" si="9"/>
        <v>100000</v>
      </c>
      <c r="G162" s="27"/>
      <c r="H162" s="33"/>
      <c r="I162" s="27">
        <f t="shared" si="9"/>
        <v>100000</v>
      </c>
    </row>
    <row r="163" spans="1:9" ht="20.100000000000001" customHeight="1">
      <c r="A163" s="33">
        <v>36</v>
      </c>
      <c r="B163" s="264" t="s">
        <v>299</v>
      </c>
      <c r="C163" s="264"/>
      <c r="D163" s="61" t="s">
        <v>296</v>
      </c>
      <c r="E163" s="199" t="s">
        <v>297</v>
      </c>
      <c r="F163" s="27">
        <f t="shared" si="9"/>
        <v>100000</v>
      </c>
      <c r="G163" s="27"/>
      <c r="H163" s="33"/>
      <c r="I163" s="27">
        <f t="shared" si="9"/>
        <v>100000</v>
      </c>
    </row>
    <row r="164" spans="1:9" ht="20.100000000000001" customHeight="1">
      <c r="A164" s="33">
        <v>37</v>
      </c>
      <c r="B164" s="33" t="s">
        <v>300</v>
      </c>
      <c r="C164" s="33"/>
      <c r="D164" s="61" t="s">
        <v>296</v>
      </c>
      <c r="E164" s="199" t="s">
        <v>297</v>
      </c>
      <c r="F164" s="27">
        <f t="shared" si="9"/>
        <v>100000</v>
      </c>
      <c r="G164" s="27"/>
      <c r="H164" s="33"/>
      <c r="I164" s="27">
        <f t="shared" si="9"/>
        <v>100000</v>
      </c>
    </row>
    <row r="165" spans="1:9" ht="20.100000000000001" customHeight="1">
      <c r="A165" s="33">
        <v>38</v>
      </c>
      <c r="B165" s="257" t="s">
        <v>301</v>
      </c>
      <c r="C165" s="258"/>
      <c r="D165" s="61" t="s">
        <v>296</v>
      </c>
      <c r="E165" s="199" t="s">
        <v>297</v>
      </c>
      <c r="F165" s="27">
        <f t="shared" si="9"/>
        <v>100000</v>
      </c>
      <c r="G165" s="27"/>
      <c r="H165" s="33"/>
      <c r="I165" s="27">
        <f t="shared" si="9"/>
        <v>100000</v>
      </c>
    </row>
    <row r="166" spans="1:9" ht="20.100000000000001" customHeight="1">
      <c r="A166" s="33">
        <v>39</v>
      </c>
      <c r="B166" s="61" t="s">
        <v>302</v>
      </c>
      <c r="C166" s="33"/>
      <c r="D166" s="61" t="s">
        <v>296</v>
      </c>
      <c r="E166" s="199" t="s">
        <v>297</v>
      </c>
      <c r="F166" s="27">
        <f t="shared" si="9"/>
        <v>100000</v>
      </c>
      <c r="G166" s="27"/>
      <c r="H166" s="33"/>
      <c r="I166" s="27">
        <f t="shared" si="9"/>
        <v>100000</v>
      </c>
    </row>
    <row r="167" spans="1:9" ht="20.100000000000001" customHeight="1">
      <c r="A167" s="33">
        <v>40</v>
      </c>
      <c r="B167" s="61" t="s">
        <v>303</v>
      </c>
      <c r="C167" s="33"/>
      <c r="D167" s="61" t="s">
        <v>296</v>
      </c>
      <c r="E167" s="199" t="s">
        <v>297</v>
      </c>
      <c r="F167" s="27">
        <f t="shared" si="9"/>
        <v>100000</v>
      </c>
      <c r="G167" s="27"/>
      <c r="H167" s="33"/>
      <c r="I167" s="27">
        <f t="shared" si="9"/>
        <v>100000</v>
      </c>
    </row>
    <row r="168" spans="1:9" ht="20.100000000000001" customHeight="1">
      <c r="A168" s="33">
        <v>41</v>
      </c>
      <c r="B168" s="257" t="s">
        <v>304</v>
      </c>
      <c r="C168" s="258"/>
      <c r="D168" s="61" t="s">
        <v>296</v>
      </c>
      <c r="E168" s="199" t="s">
        <v>305</v>
      </c>
      <c r="F168" s="27">
        <f t="shared" si="9"/>
        <v>100000</v>
      </c>
      <c r="G168" s="27"/>
      <c r="H168" s="33"/>
      <c r="I168" s="27">
        <f t="shared" si="9"/>
        <v>100000</v>
      </c>
    </row>
    <row r="169" spans="1:9" ht="20.100000000000001" customHeight="1">
      <c r="A169" s="33">
        <v>42</v>
      </c>
      <c r="B169" s="257" t="s">
        <v>306</v>
      </c>
      <c r="C169" s="258"/>
      <c r="D169" s="61" t="s">
        <v>296</v>
      </c>
      <c r="E169" s="199" t="s">
        <v>305</v>
      </c>
      <c r="F169" s="27">
        <f t="shared" si="9"/>
        <v>100000</v>
      </c>
      <c r="G169" s="27"/>
      <c r="H169" s="33"/>
      <c r="I169" s="27">
        <f t="shared" si="9"/>
        <v>100000</v>
      </c>
    </row>
    <row r="170" spans="1:9" ht="20.100000000000001" customHeight="1">
      <c r="A170" s="33">
        <v>43</v>
      </c>
      <c r="B170" s="61" t="s">
        <v>307</v>
      </c>
      <c r="C170" s="33"/>
      <c r="D170" s="61" t="s">
        <v>296</v>
      </c>
      <c r="E170" s="199" t="s">
        <v>308</v>
      </c>
      <c r="F170" s="27">
        <f t="shared" si="9"/>
        <v>100000</v>
      </c>
      <c r="G170" s="27"/>
      <c r="H170" s="33"/>
      <c r="I170" s="27">
        <f t="shared" si="9"/>
        <v>100000</v>
      </c>
    </row>
    <row r="171" spans="1:9" ht="20.100000000000001" customHeight="1">
      <c r="A171" s="33">
        <v>44</v>
      </c>
      <c r="B171" s="257" t="s">
        <v>309</v>
      </c>
      <c r="C171" s="258"/>
      <c r="D171" s="61" t="s">
        <v>296</v>
      </c>
      <c r="E171" s="199" t="s">
        <v>310</v>
      </c>
      <c r="F171" s="27">
        <f t="shared" si="9"/>
        <v>100000</v>
      </c>
      <c r="G171" s="27"/>
      <c r="H171" s="33"/>
      <c r="I171" s="27">
        <f t="shared" si="9"/>
        <v>100000</v>
      </c>
    </row>
    <row r="172" spans="1:9" ht="20.100000000000001" customHeight="1">
      <c r="A172" s="33">
        <v>45</v>
      </c>
      <c r="B172" s="257" t="s">
        <v>311</v>
      </c>
      <c r="C172" s="258"/>
      <c r="D172" s="61" t="s">
        <v>312</v>
      </c>
      <c r="E172" s="199" t="s">
        <v>313</v>
      </c>
      <c r="F172" s="27">
        <f t="shared" si="9"/>
        <v>100000</v>
      </c>
      <c r="G172" s="27"/>
      <c r="H172" s="33"/>
      <c r="I172" s="27">
        <f t="shared" si="9"/>
        <v>100000</v>
      </c>
    </row>
    <row r="173" spans="1:9" ht="20.100000000000001" customHeight="1">
      <c r="A173" s="33">
        <v>46</v>
      </c>
      <c r="B173" s="257" t="s">
        <v>314</v>
      </c>
      <c r="C173" s="258"/>
      <c r="D173" s="61" t="s">
        <v>312</v>
      </c>
      <c r="E173" s="199" t="s">
        <v>313</v>
      </c>
      <c r="F173" s="27">
        <f t="shared" si="9"/>
        <v>100000</v>
      </c>
      <c r="G173" s="27"/>
      <c r="H173" s="33"/>
      <c r="I173" s="27">
        <f t="shared" si="9"/>
        <v>100000</v>
      </c>
    </row>
    <row r="174" spans="1:9" ht="20.100000000000001" customHeight="1">
      <c r="A174" s="33">
        <v>47</v>
      </c>
      <c r="B174" s="257" t="s">
        <v>315</v>
      </c>
      <c r="C174" s="258"/>
      <c r="D174" s="61" t="s">
        <v>312</v>
      </c>
      <c r="E174" s="199" t="s">
        <v>313</v>
      </c>
      <c r="F174" s="27">
        <f t="shared" si="9"/>
        <v>100000</v>
      </c>
      <c r="G174" s="27"/>
      <c r="H174" s="33"/>
      <c r="I174" s="27">
        <f t="shared" si="9"/>
        <v>100000</v>
      </c>
    </row>
    <row r="175" spans="1:9" ht="20.100000000000001" customHeight="1">
      <c r="A175" s="33">
        <v>48</v>
      </c>
      <c r="B175" s="257" t="s">
        <v>316</v>
      </c>
      <c r="C175" s="258"/>
      <c r="D175" s="61" t="s">
        <v>312</v>
      </c>
      <c r="E175" s="199" t="s">
        <v>313</v>
      </c>
      <c r="F175" s="27">
        <f t="shared" si="9"/>
        <v>100000</v>
      </c>
      <c r="G175" s="27"/>
      <c r="H175" s="33"/>
      <c r="I175" s="27">
        <f t="shared" si="9"/>
        <v>100000</v>
      </c>
    </row>
    <row r="176" spans="1:9" ht="20.100000000000001" customHeight="1">
      <c r="A176" s="33">
        <v>49</v>
      </c>
      <c r="B176" s="257" t="s">
        <v>317</v>
      </c>
      <c r="C176" s="258"/>
      <c r="D176" s="61" t="s">
        <v>312</v>
      </c>
      <c r="E176" s="199" t="s">
        <v>313</v>
      </c>
      <c r="F176" s="27">
        <f t="shared" si="9"/>
        <v>100000</v>
      </c>
      <c r="G176" s="27"/>
      <c r="H176" s="33"/>
      <c r="I176" s="27">
        <f t="shared" si="9"/>
        <v>100000</v>
      </c>
    </row>
    <row r="177" spans="1:9" ht="20.100000000000001" customHeight="1">
      <c r="A177" s="33">
        <v>50</v>
      </c>
      <c r="B177" s="259" t="s">
        <v>318</v>
      </c>
      <c r="C177" s="260"/>
      <c r="D177" s="61" t="s">
        <v>312</v>
      </c>
      <c r="E177" s="199" t="s">
        <v>319</v>
      </c>
      <c r="F177" s="27">
        <f t="shared" si="9"/>
        <v>100000</v>
      </c>
      <c r="G177" s="27"/>
      <c r="H177" s="33"/>
      <c r="I177" s="27">
        <f t="shared" si="9"/>
        <v>100000</v>
      </c>
    </row>
    <row r="178" spans="1:9" ht="20.100000000000001" customHeight="1">
      <c r="A178" s="33">
        <v>51</v>
      </c>
      <c r="B178" s="261" t="s">
        <v>320</v>
      </c>
      <c r="C178" s="262"/>
      <c r="D178" s="61" t="s">
        <v>312</v>
      </c>
      <c r="E178" s="199" t="s">
        <v>319</v>
      </c>
      <c r="F178" s="27">
        <f t="shared" si="9"/>
        <v>100000</v>
      </c>
      <c r="G178" s="27"/>
      <c r="H178" s="33"/>
      <c r="I178" s="27">
        <f t="shared" si="9"/>
        <v>100000</v>
      </c>
    </row>
    <row r="179" spans="1:9" ht="20.100000000000001" customHeight="1">
      <c r="A179" s="33">
        <v>52</v>
      </c>
      <c r="B179" s="102" t="s">
        <v>321</v>
      </c>
      <c r="C179" s="90"/>
      <c r="D179" s="61" t="s">
        <v>312</v>
      </c>
      <c r="E179" s="199" t="s">
        <v>319</v>
      </c>
      <c r="F179" s="27">
        <f t="shared" si="9"/>
        <v>100000</v>
      </c>
      <c r="G179" s="27"/>
      <c r="H179" s="33"/>
      <c r="I179" s="27">
        <f t="shared" si="9"/>
        <v>100000</v>
      </c>
    </row>
    <row r="180" spans="1:9" ht="20.100000000000001" customHeight="1">
      <c r="A180" s="33">
        <v>53</v>
      </c>
      <c r="B180" s="102" t="s">
        <v>322</v>
      </c>
      <c r="C180" s="90"/>
      <c r="D180" s="61" t="s">
        <v>312</v>
      </c>
      <c r="E180" s="199" t="s">
        <v>323</v>
      </c>
      <c r="F180" s="27">
        <f t="shared" si="9"/>
        <v>100000</v>
      </c>
      <c r="G180" s="27"/>
      <c r="H180" s="33"/>
      <c r="I180" s="27">
        <f t="shared" si="9"/>
        <v>100000</v>
      </c>
    </row>
    <row r="181" spans="1:9" ht="20.100000000000001" customHeight="1">
      <c r="A181" s="33">
        <v>54</v>
      </c>
      <c r="B181" s="102" t="s">
        <v>324</v>
      </c>
      <c r="C181" s="90"/>
      <c r="D181" s="61" t="s">
        <v>312</v>
      </c>
      <c r="E181" s="199" t="s">
        <v>325</v>
      </c>
      <c r="F181" s="27">
        <f t="shared" si="9"/>
        <v>100000</v>
      </c>
      <c r="G181" s="27"/>
      <c r="H181" s="33"/>
      <c r="I181" s="27">
        <f t="shared" si="9"/>
        <v>100000</v>
      </c>
    </row>
    <row r="182" spans="1:9" ht="20.100000000000001" customHeight="1">
      <c r="A182" s="33">
        <v>55</v>
      </c>
      <c r="B182" s="102" t="s">
        <v>326</v>
      </c>
      <c r="C182" s="90"/>
      <c r="D182" s="61" t="s">
        <v>312</v>
      </c>
      <c r="E182" s="199" t="s">
        <v>323</v>
      </c>
      <c r="F182" s="27">
        <f t="shared" si="9"/>
        <v>100000</v>
      </c>
      <c r="G182" s="27"/>
      <c r="H182" s="33"/>
      <c r="I182" s="27">
        <f t="shared" si="9"/>
        <v>100000</v>
      </c>
    </row>
    <row r="183" spans="1:9" ht="20.100000000000001" customHeight="1">
      <c r="A183" s="33"/>
      <c r="B183" s="48" t="s">
        <v>34</v>
      </c>
      <c r="D183" s="49" t="s">
        <v>400</v>
      </c>
      <c r="E183" s="207"/>
      <c r="F183" s="134">
        <f>SUM(F129:F182)</f>
        <v>13050000</v>
      </c>
      <c r="G183" s="134">
        <f>SUM(G129:G182)</f>
        <v>3250000</v>
      </c>
      <c r="H183" s="134">
        <f>SUM(H129:H182)</f>
        <v>4500000</v>
      </c>
      <c r="I183" s="28">
        <f>SUM(I129:I182)</f>
        <v>5300000</v>
      </c>
    </row>
    <row r="184" spans="1:9" ht="20.100000000000001" customHeight="1">
      <c r="A184" s="33"/>
      <c r="B184" s="263" t="s">
        <v>328</v>
      </c>
      <c r="C184" s="263"/>
      <c r="D184" s="73">
        <f>D39+D43+D55+D60+D75+D85+D96+D103+D114+D126+D183</f>
        <v>148</v>
      </c>
      <c r="E184" s="208"/>
      <c r="F184" s="210">
        <f>F183+F126+F114+F103+F96+F85+F75+F60+F55+F43+F39</f>
        <v>60850000</v>
      </c>
      <c r="G184" s="210">
        <f t="shared" ref="G184:H184" si="10">G183+G126+G114+G103+G96+G85+G75+G60+G55+G43+G39</f>
        <v>28000000</v>
      </c>
      <c r="H184" s="210">
        <f t="shared" si="10"/>
        <v>23250000</v>
      </c>
      <c r="I184" s="210">
        <f t="shared" ref="I184" si="11">I183+I126+I114+I103+I96+I85+I75+I60+I55+I43+I39</f>
        <v>9800000</v>
      </c>
    </row>
    <row r="185" spans="1:9" ht="20.100000000000001" customHeight="1">
      <c r="A185" s="33"/>
      <c r="B185" s="256"/>
      <c r="C185" s="256"/>
      <c r="D185" s="46"/>
      <c r="E185" s="209"/>
      <c r="F185" s="33"/>
      <c r="G185" s="33"/>
      <c r="H185" s="33"/>
      <c r="I185" s="33"/>
    </row>
    <row r="186" spans="1:9" ht="20.100000000000001" customHeight="1">
      <c r="A186" s="33"/>
      <c r="B186" s="256"/>
      <c r="C186" s="256"/>
      <c r="D186" s="242" t="s">
        <v>329</v>
      </c>
      <c r="E186" s="288"/>
      <c r="F186" s="159">
        <f>H186+I186+200000</f>
        <v>6550000</v>
      </c>
      <c r="G186" s="33"/>
      <c r="H186" s="27">
        <f>850000+300000</f>
        <v>1150000</v>
      </c>
      <c r="I186" s="27">
        <f>5200000</f>
        <v>5200000</v>
      </c>
    </row>
    <row r="187" spans="1:9" ht="20.100000000000001" customHeight="1">
      <c r="A187" s="33"/>
      <c r="B187" s="256"/>
      <c r="C187" s="256"/>
      <c r="D187" s="242"/>
      <c r="E187" s="288"/>
      <c r="F187" s="179">
        <f>SUM(F184:F186)</f>
        <v>67400000</v>
      </c>
      <c r="G187" s="179">
        <f>G184</f>
        <v>28000000</v>
      </c>
      <c r="H187" s="179">
        <f>SUM(H184:H186)</f>
        <v>24400000</v>
      </c>
      <c r="I187" s="179">
        <f>SUM(I184:I186)</f>
        <v>15000000</v>
      </c>
    </row>
    <row r="188" spans="1:9" ht="20.100000000000001" customHeight="1">
      <c r="B188" s="4"/>
      <c r="C188" s="4"/>
      <c r="D188" s="4"/>
      <c r="E188" s="4"/>
    </row>
    <row r="189" spans="1:9" ht="20.100000000000001" customHeight="1">
      <c r="B189" s="4"/>
      <c r="C189" s="4"/>
      <c r="D189" s="4"/>
      <c r="E189" s="4"/>
      <c r="G189" s="107">
        <f>H187+G184</f>
        <v>52400000</v>
      </c>
    </row>
    <row r="190" spans="1:9" ht="20.100000000000001" customHeight="1">
      <c r="C190" s="4"/>
      <c r="D190" s="4"/>
      <c r="E190" s="4"/>
      <c r="G190" s="107">
        <f>G187+H187+I187</f>
        <v>67400000</v>
      </c>
    </row>
  </sheetData>
  <mergeCells count="141">
    <mergeCell ref="B3:E3"/>
    <mergeCell ref="B5:C5"/>
    <mergeCell ref="B6:C6"/>
    <mergeCell ref="B7:C7"/>
    <mergeCell ref="B8:C8"/>
    <mergeCell ref="B14:C14"/>
    <mergeCell ref="B15:C15"/>
    <mergeCell ref="B16:C16"/>
    <mergeCell ref="B17:C17"/>
    <mergeCell ref="B19:C19"/>
    <mergeCell ref="B20:C20"/>
    <mergeCell ref="B9:C9"/>
    <mergeCell ref="B10:C10"/>
    <mergeCell ref="B11:C11"/>
    <mergeCell ref="B12:C12"/>
    <mergeCell ref="B13:C13"/>
    <mergeCell ref="B31:C31"/>
    <mergeCell ref="B32:C32"/>
    <mergeCell ref="B34:C34"/>
    <mergeCell ref="B36:C36"/>
    <mergeCell ref="B39:C39"/>
    <mergeCell ref="B41:C41"/>
    <mergeCell ref="B21:C21"/>
    <mergeCell ref="B22:C22"/>
    <mergeCell ref="B23:C23"/>
    <mergeCell ref="B24:C24"/>
    <mergeCell ref="B25:C25"/>
    <mergeCell ref="B26:C26"/>
    <mergeCell ref="B50:C50"/>
    <mergeCell ref="B51:C51"/>
    <mergeCell ref="B52:C52"/>
    <mergeCell ref="B53:C53"/>
    <mergeCell ref="B54:C54"/>
    <mergeCell ref="B44:C44"/>
    <mergeCell ref="B45:C45"/>
    <mergeCell ref="B46:C46"/>
    <mergeCell ref="B47:C47"/>
    <mergeCell ref="B48:C48"/>
    <mergeCell ref="B49:C49"/>
    <mergeCell ref="B63:C63"/>
    <mergeCell ref="B65:C65"/>
    <mergeCell ref="B66:C66"/>
    <mergeCell ref="B68:C68"/>
    <mergeCell ref="B69:C69"/>
    <mergeCell ref="B70:C70"/>
    <mergeCell ref="B55:C55"/>
    <mergeCell ref="B57:C57"/>
    <mergeCell ref="B58:C58"/>
    <mergeCell ref="B60:C60"/>
    <mergeCell ref="B61:C61"/>
    <mergeCell ref="B62:C62"/>
    <mergeCell ref="B78:C78"/>
    <mergeCell ref="B81:C81"/>
    <mergeCell ref="B82:C82"/>
    <mergeCell ref="B85:C85"/>
    <mergeCell ref="B86:C86"/>
    <mergeCell ref="B87:C87"/>
    <mergeCell ref="B71:C71"/>
    <mergeCell ref="B72:C72"/>
    <mergeCell ref="B73:C73"/>
    <mergeCell ref="B74:C74"/>
    <mergeCell ref="B75:C75"/>
    <mergeCell ref="B77:C77"/>
    <mergeCell ref="B93:C93"/>
    <mergeCell ref="B94:C94"/>
    <mergeCell ref="B95:C95"/>
    <mergeCell ref="B96:C96"/>
    <mergeCell ref="B98:C98"/>
    <mergeCell ref="B88:C88"/>
    <mergeCell ref="B89:C89"/>
    <mergeCell ref="B90:C90"/>
    <mergeCell ref="B91:C91"/>
    <mergeCell ref="B92:C92"/>
    <mergeCell ref="B108:C108"/>
    <mergeCell ref="B109:C109"/>
    <mergeCell ref="B110:C110"/>
    <mergeCell ref="B114:C114"/>
    <mergeCell ref="B116:C116"/>
    <mergeCell ref="B117:C117"/>
    <mergeCell ref="B100:C100"/>
    <mergeCell ref="B102:C102"/>
    <mergeCell ref="B103:C103"/>
    <mergeCell ref="B105:C105"/>
    <mergeCell ref="B106:C106"/>
    <mergeCell ref="B107:C107"/>
    <mergeCell ref="B126:C126"/>
    <mergeCell ref="B128:C128"/>
    <mergeCell ref="B129:C129"/>
    <mergeCell ref="B130:C130"/>
    <mergeCell ref="B131:C131"/>
    <mergeCell ref="B132:C132"/>
    <mergeCell ref="B118:C118"/>
    <mergeCell ref="B119:C119"/>
    <mergeCell ref="B120:C120"/>
    <mergeCell ref="B122:C122"/>
    <mergeCell ref="B123:C123"/>
    <mergeCell ref="B124:C124"/>
    <mergeCell ref="B138:C138"/>
    <mergeCell ref="B139:C139"/>
    <mergeCell ref="B140:C140"/>
    <mergeCell ref="B141:C141"/>
    <mergeCell ref="B142:C142"/>
    <mergeCell ref="B143:C143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7:C157"/>
    <mergeCell ref="B158:C158"/>
    <mergeCell ref="B159:C159"/>
    <mergeCell ref="B144:C144"/>
    <mergeCell ref="B145:C145"/>
    <mergeCell ref="B146:C146"/>
    <mergeCell ref="B147:C147"/>
    <mergeCell ref="B148:C148"/>
    <mergeCell ref="B149:C149"/>
    <mergeCell ref="B169:C169"/>
    <mergeCell ref="B171:C171"/>
    <mergeCell ref="B172:C172"/>
    <mergeCell ref="B173:C173"/>
    <mergeCell ref="B174:C174"/>
    <mergeCell ref="B175:C175"/>
    <mergeCell ref="B160:C160"/>
    <mergeCell ref="B161:C161"/>
    <mergeCell ref="B162:C162"/>
    <mergeCell ref="B163:C163"/>
    <mergeCell ref="B165:C165"/>
    <mergeCell ref="B168:C168"/>
    <mergeCell ref="B187:C187"/>
    <mergeCell ref="D186:D187"/>
    <mergeCell ref="E186:E187"/>
    <mergeCell ref="B176:C176"/>
    <mergeCell ref="B177:C177"/>
    <mergeCell ref="B178:C178"/>
    <mergeCell ref="B184:C184"/>
    <mergeCell ref="B185:C185"/>
    <mergeCell ref="B186:C186"/>
  </mergeCells>
  <pageMargins left="0.98425196850393704" right="0.98425196850393704" top="0.98425196850393704" bottom="0.98425196850393704" header="0.51181102362204722" footer="0.51181102362204722"/>
  <pageSetup paperSize="9" scale="62" orientation="portrait" horizontalDpi="1200" verticalDpi="1200" r:id="rId1"/>
  <headerFooter alignWithMargins="0"/>
  <rowBreaks count="4" manualBreakCount="4">
    <brk id="39" max="9" man="1"/>
    <brk id="76" max="9" man="1"/>
    <brk id="115" max="9" man="1"/>
    <brk id="161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6"/>
  <sheetViews>
    <sheetView view="pageBreakPreview" zoomScaleNormal="100" zoomScaleSheetLayoutView="100" workbookViewId="0">
      <pane xSplit="4" ySplit="8" topLeftCell="E9" activePane="bottomRight" state="frozen"/>
      <selection pane="bottomRight" activeCell="D22" sqref="D22:D2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140625" style="1" customWidth="1"/>
    <col min="5" max="5" width="12.85546875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hidden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5" width="19.7109375" style="1" hidden="1" customWidth="1"/>
    <col min="26" max="26" width="3.5703125" style="1" hidden="1" customWidth="1"/>
    <col min="27" max="27" width="21" style="1" customWidth="1"/>
    <col min="28" max="16384" width="9.140625" style="1"/>
  </cols>
  <sheetData>
    <row r="1" spans="1:32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F1" s="1" t="s">
        <v>0</v>
      </c>
    </row>
    <row r="2" spans="1:32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2" ht="20.100000000000001" customHeight="1">
      <c r="B3" s="240" t="s">
        <v>405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2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2" ht="20.100000000000001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39" t="s">
        <v>3</v>
      </c>
      <c r="V5" s="239"/>
      <c r="W5" s="239"/>
      <c r="X5" s="239"/>
      <c r="Y5" s="239"/>
      <c r="Z5" s="56"/>
      <c r="AA5" s="56"/>
    </row>
    <row r="6" spans="1:32" ht="35.450000000000003" customHeight="1">
      <c r="A6" s="33"/>
      <c r="B6" s="285"/>
      <c r="C6" s="285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/>
      <c r="U6" s="2"/>
      <c r="V6" s="2"/>
      <c r="W6" s="2"/>
      <c r="X6" s="7"/>
      <c r="Y6" s="7"/>
      <c r="Z6" s="158" t="s">
        <v>406</v>
      </c>
      <c r="AA6" s="158" t="s">
        <v>37</v>
      </c>
    </row>
    <row r="7" spans="1:32" ht="48" customHeight="1">
      <c r="A7" s="33"/>
      <c r="B7" s="286"/>
      <c r="C7" s="286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2" ht="20.100000000000001" customHeight="1">
      <c r="A8" s="21" t="s">
        <v>35</v>
      </c>
      <c r="B8" s="287" t="s">
        <v>36</v>
      </c>
      <c r="C8" s="287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2" ht="20.100000000000001" customHeight="1">
      <c r="A9" s="3"/>
      <c r="B9" s="283" t="s">
        <v>121</v>
      </c>
      <c r="C9" s="284"/>
      <c r="D9" s="50"/>
      <c r="E9" s="2"/>
      <c r="F9" s="68"/>
      <c r="G9" s="68"/>
      <c r="H9" s="68"/>
      <c r="I9" s="36"/>
      <c r="J9" s="36"/>
      <c r="K9" s="36"/>
      <c r="L9" s="36"/>
      <c r="M9" s="36"/>
      <c r="N9" s="27"/>
      <c r="O9" s="27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32" ht="20.100000000000001" customHeight="1">
      <c r="A10" s="3">
        <v>1</v>
      </c>
      <c r="B10" s="257" t="s">
        <v>126</v>
      </c>
      <c r="C10" s="258"/>
      <c r="D10" s="33" t="s">
        <v>127</v>
      </c>
      <c r="E10" s="3" t="s">
        <v>54</v>
      </c>
      <c r="F10" s="62">
        <f>33507.5</f>
        <v>33507.5</v>
      </c>
      <c r="G10" s="62"/>
      <c r="H10" s="62">
        <f>F10*300%</f>
        <v>100522.5</v>
      </c>
      <c r="I10" s="62">
        <f>F10*7.5%</f>
        <v>2513.0625</v>
      </c>
      <c r="J10" s="62">
        <v>40122.19</v>
      </c>
      <c r="K10" s="62">
        <f>F10*50%</f>
        <v>16753.75</v>
      </c>
      <c r="L10" s="62">
        <f>F10*350%</f>
        <v>117276.25</v>
      </c>
      <c r="M10" s="62">
        <f>F10*100%</f>
        <v>33507.5</v>
      </c>
      <c r="N10" s="27">
        <f>160000</f>
        <v>160000</v>
      </c>
      <c r="O10" s="27"/>
      <c r="P10" s="62">
        <f>F10*10%</f>
        <v>3350.75</v>
      </c>
      <c r="Q10" s="62">
        <v>20000</v>
      </c>
      <c r="R10" s="62"/>
      <c r="S10" s="36">
        <f>SUM(F10:R10)</f>
        <v>527553.50249999994</v>
      </c>
      <c r="T10" s="36"/>
      <c r="U10" s="36"/>
      <c r="V10" s="36"/>
      <c r="W10" s="36"/>
      <c r="X10" s="62"/>
      <c r="Y10" s="36">
        <f t="shared" ref="Y10" si="0">X10+W10+V10+U10+T10</f>
        <v>0</v>
      </c>
      <c r="Z10" s="36">
        <v>162099.21249999997</v>
      </c>
      <c r="AA10" s="36">
        <f>S10-Y10</f>
        <v>527553.50249999994</v>
      </c>
      <c r="AB10" s="34"/>
    </row>
    <row r="11" spans="1:32" ht="20.100000000000001" customHeight="1">
      <c r="A11" s="3"/>
      <c r="B11" s="273" t="s">
        <v>34</v>
      </c>
      <c r="C11" s="274"/>
      <c r="D11" s="30">
        <v>1</v>
      </c>
      <c r="E11" s="30"/>
      <c r="F11" s="92">
        <f t="shared" ref="F11:N11" si="1">SUM(F10:F10)</f>
        <v>33507.5</v>
      </c>
      <c r="G11" s="92">
        <f t="shared" si="1"/>
        <v>0</v>
      </c>
      <c r="H11" s="92">
        <f t="shared" si="1"/>
        <v>100522.5</v>
      </c>
      <c r="I11" s="92">
        <f t="shared" si="1"/>
        <v>2513.0625</v>
      </c>
      <c r="J11" s="92">
        <f t="shared" si="1"/>
        <v>40122.19</v>
      </c>
      <c r="K11" s="92">
        <f t="shared" si="1"/>
        <v>16753.75</v>
      </c>
      <c r="L11" s="92">
        <f t="shared" si="1"/>
        <v>117276.25</v>
      </c>
      <c r="M11" s="92">
        <f t="shared" si="1"/>
        <v>33507.5</v>
      </c>
      <c r="N11" s="134">
        <f t="shared" si="1"/>
        <v>160000</v>
      </c>
      <c r="O11" s="134"/>
      <c r="P11" s="92">
        <f>SUM(P10:P10)</f>
        <v>3350.75</v>
      </c>
      <c r="Q11" s="92">
        <f>SUM(Q10:Q10)</f>
        <v>20000</v>
      </c>
      <c r="R11" s="92">
        <f>SUM(R10:R10)</f>
        <v>0</v>
      </c>
      <c r="S11" s="92">
        <f>SUM(S10:S10)</f>
        <v>527553.50249999994</v>
      </c>
      <c r="T11" s="92"/>
      <c r="U11" s="92"/>
      <c r="V11" s="92"/>
      <c r="W11" s="92">
        <f>SUM(W10:W10)</f>
        <v>0</v>
      </c>
      <c r="X11" s="92"/>
      <c r="Y11" s="92">
        <f>SUM(Y10:Y10)</f>
        <v>0</v>
      </c>
      <c r="Z11" s="92">
        <v>3633581.7579999999</v>
      </c>
      <c r="AA11" s="92">
        <f>SUM(AA10:AA10)</f>
        <v>527553.50249999994</v>
      </c>
      <c r="AB11" s="34"/>
    </row>
    <row r="12" spans="1:32" ht="20.100000000000001" customHeight="1">
      <c r="A12" s="33"/>
      <c r="B12" s="96"/>
      <c r="C12" s="96"/>
      <c r="D12" s="3"/>
      <c r="E12" s="33"/>
      <c r="F12" s="13"/>
      <c r="G12" s="21"/>
      <c r="H12" s="13"/>
      <c r="I12" s="13"/>
      <c r="J12" s="13"/>
      <c r="K12" s="13"/>
      <c r="L12" s="13"/>
      <c r="M12" s="13"/>
      <c r="N12" s="27"/>
      <c r="O12" s="27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ht="20.100000000000001" customHeight="1">
      <c r="A13" s="33"/>
      <c r="B13" s="267" t="s">
        <v>222</v>
      </c>
      <c r="C13" s="267"/>
      <c r="D13" s="7"/>
      <c r="E13" s="7"/>
      <c r="F13" s="39"/>
      <c r="G13" s="39"/>
      <c r="H13" s="39"/>
      <c r="I13" s="39"/>
      <c r="J13" s="39"/>
      <c r="K13" s="39"/>
      <c r="L13" s="39"/>
      <c r="M13" s="39"/>
      <c r="N13" s="27"/>
      <c r="O13" s="27"/>
      <c r="P13" s="39"/>
      <c r="Q13" s="39"/>
      <c r="R13" s="39"/>
      <c r="S13" s="63"/>
      <c r="T13" s="63"/>
      <c r="U13" s="63"/>
      <c r="V13" s="63"/>
      <c r="W13" s="63"/>
      <c r="X13" s="39"/>
      <c r="Y13" s="36"/>
      <c r="Z13" s="36"/>
      <c r="AA13" s="36"/>
    </row>
    <row r="14" spans="1:32" ht="20.100000000000001" customHeight="1">
      <c r="A14" s="33">
        <v>2</v>
      </c>
      <c r="B14" s="268" t="s">
        <v>230</v>
      </c>
      <c r="C14" s="268"/>
      <c r="D14" s="61" t="s">
        <v>229</v>
      </c>
      <c r="E14" s="66" t="s">
        <v>129</v>
      </c>
      <c r="F14" s="62">
        <f>32263.2</f>
        <v>32263.200000000001</v>
      </c>
      <c r="G14" s="62"/>
      <c r="H14" s="62">
        <f>F14*300%</f>
        <v>96789.6</v>
      </c>
      <c r="I14" s="62">
        <f>F14*7.5%</f>
        <v>2419.7399999999998</v>
      </c>
      <c r="J14" s="62">
        <f>40122.19</f>
        <v>40122.19</v>
      </c>
      <c r="K14" s="62">
        <f>F14*50%</f>
        <v>16131.6</v>
      </c>
      <c r="L14" s="36">
        <f>F14*350%</f>
        <v>112921.2</v>
      </c>
      <c r="M14" s="62">
        <f>F14*100%</f>
        <v>32263.200000000001</v>
      </c>
      <c r="N14" s="27"/>
      <c r="O14" s="27">
        <f t="shared" ref="O14" si="2">80000</f>
        <v>80000</v>
      </c>
      <c r="P14" s="62">
        <f>F14*10%</f>
        <v>3226.32</v>
      </c>
      <c r="Q14" s="62">
        <v>20000</v>
      </c>
      <c r="R14" s="62">
        <f>100000</f>
        <v>100000</v>
      </c>
      <c r="S14" s="36">
        <f>SUM(F14:R14)</f>
        <v>536137.05000000005</v>
      </c>
      <c r="T14" s="36"/>
      <c r="U14" s="36"/>
      <c r="V14" s="36"/>
      <c r="W14" s="36"/>
      <c r="X14" s="36"/>
      <c r="Y14" s="36">
        <f>X14+W14+V14+U14+T14</f>
        <v>0</v>
      </c>
      <c r="Z14" s="36">
        <v>339782.14</v>
      </c>
      <c r="AA14" s="36">
        <f>S14-Y14</f>
        <v>536137.05000000005</v>
      </c>
      <c r="AB14" s="34"/>
    </row>
    <row r="15" spans="1:32" ht="20.100000000000001" customHeight="1">
      <c r="A15" s="33"/>
      <c r="B15" s="267" t="s">
        <v>34</v>
      </c>
      <c r="C15" s="267"/>
      <c r="D15" s="91" t="s">
        <v>407</v>
      </c>
      <c r="E15" s="66"/>
      <c r="F15" s="39">
        <f>SUM(F14:F14)</f>
        <v>32263.200000000001</v>
      </c>
      <c r="G15" s="39"/>
      <c r="H15" s="39">
        <f t="shared" ref="H15:M15" si="3">SUM(H14:H14)</f>
        <v>96789.6</v>
      </c>
      <c r="I15" s="39">
        <f t="shared" si="3"/>
        <v>2419.7399999999998</v>
      </c>
      <c r="J15" s="39">
        <f t="shared" si="3"/>
        <v>40122.19</v>
      </c>
      <c r="K15" s="39">
        <f t="shared" si="3"/>
        <v>16131.6</v>
      </c>
      <c r="L15" s="63">
        <f t="shared" si="3"/>
        <v>112921.2</v>
      </c>
      <c r="M15" s="39">
        <f t="shared" si="3"/>
        <v>32263.200000000001</v>
      </c>
      <c r="N15" s="134"/>
      <c r="O15" s="134">
        <f>SUM(O14:O14)</f>
        <v>80000</v>
      </c>
      <c r="P15" s="39">
        <f>SUM(P14:P14)</f>
        <v>3226.32</v>
      </c>
      <c r="Q15" s="39">
        <f>SUM(Q14:Q14)</f>
        <v>20000</v>
      </c>
      <c r="R15" s="39">
        <f>SUM(R14:R14)</f>
        <v>100000</v>
      </c>
      <c r="S15" s="63">
        <f>SUM(S14:S14)</f>
        <v>536137.05000000005</v>
      </c>
      <c r="T15" s="63"/>
      <c r="U15" s="63"/>
      <c r="V15" s="63"/>
      <c r="W15" s="63"/>
      <c r="X15" s="39"/>
      <c r="Y15" s="63">
        <f>SUM(Y14:Y14)</f>
        <v>0</v>
      </c>
      <c r="Z15" s="63">
        <v>2792106.4194999998</v>
      </c>
      <c r="AA15" s="63">
        <f>SUM(AA14:AA14)</f>
        <v>536137.05000000005</v>
      </c>
      <c r="AB15" s="34"/>
    </row>
    <row r="16" spans="1:32" ht="20.100000000000001" customHeight="1">
      <c r="A16" s="33"/>
      <c r="B16" s="96"/>
      <c r="C16" s="96"/>
      <c r="D16" s="91"/>
      <c r="E16" s="66"/>
      <c r="F16" s="39"/>
      <c r="G16" s="39"/>
      <c r="H16" s="39"/>
      <c r="I16" s="39"/>
      <c r="J16" s="39"/>
      <c r="K16" s="39"/>
      <c r="L16" s="63"/>
      <c r="M16" s="39"/>
      <c r="N16" s="27"/>
      <c r="O16" s="27"/>
      <c r="P16" s="39"/>
      <c r="Q16" s="39"/>
      <c r="R16" s="39"/>
      <c r="S16" s="63"/>
      <c r="T16" s="63"/>
      <c r="U16" s="63"/>
      <c r="V16" s="63"/>
      <c r="W16" s="63"/>
      <c r="X16" s="39"/>
      <c r="Y16" s="63"/>
      <c r="Z16" s="63"/>
      <c r="AA16" s="63"/>
    </row>
    <row r="17" spans="1:28" ht="20.100000000000001" customHeight="1">
      <c r="A17" s="33"/>
      <c r="B17" s="267" t="s">
        <v>242</v>
      </c>
      <c r="C17" s="267"/>
      <c r="D17" s="61"/>
      <c r="E17" s="66"/>
      <c r="F17" s="62"/>
      <c r="G17" s="62"/>
      <c r="H17" s="62"/>
      <c r="I17" s="62"/>
      <c r="J17" s="62"/>
      <c r="K17" s="62"/>
      <c r="L17" s="36"/>
      <c r="M17" s="62"/>
      <c r="N17" s="27"/>
      <c r="O17" s="27"/>
      <c r="P17" s="62"/>
      <c r="Q17" s="62"/>
      <c r="R17" s="62"/>
      <c r="S17" s="36"/>
      <c r="T17" s="36"/>
      <c r="U17" s="36"/>
      <c r="V17" s="36"/>
      <c r="W17" s="36"/>
      <c r="X17" s="62"/>
      <c r="Y17" s="36"/>
      <c r="Z17" s="36"/>
      <c r="AA17" s="36"/>
    </row>
    <row r="18" spans="1:28" ht="20.100000000000001" customHeight="1">
      <c r="A18" s="33">
        <v>3</v>
      </c>
      <c r="B18" s="264" t="s">
        <v>255</v>
      </c>
      <c r="C18" s="264"/>
      <c r="D18" s="33" t="s">
        <v>256</v>
      </c>
      <c r="E18" s="66" t="s">
        <v>395</v>
      </c>
      <c r="F18" s="62">
        <f>25854.1</f>
        <v>25854.1</v>
      </c>
      <c r="G18" s="62"/>
      <c r="H18" s="62">
        <f t="shared" ref="H18" si="4">F18*300%</f>
        <v>77562.299999999988</v>
      </c>
      <c r="I18" s="62">
        <f t="shared" ref="I18" si="5">F18*7.5%</f>
        <v>1939.0574999999999</v>
      </c>
      <c r="J18" s="62">
        <v>0</v>
      </c>
      <c r="K18" s="62">
        <f t="shared" ref="K18" si="6">F18*50%</f>
        <v>12927.05</v>
      </c>
      <c r="L18" s="36">
        <f t="shared" ref="L18" si="7">F18*350%</f>
        <v>90489.349999999991</v>
      </c>
      <c r="M18" s="62">
        <f t="shared" ref="M18" si="8">F18*100%</f>
        <v>25854.1</v>
      </c>
      <c r="N18" s="27"/>
      <c r="O18" s="27">
        <v>70000</v>
      </c>
      <c r="P18" s="62">
        <f t="shared" ref="P18" si="9">F18*10%</f>
        <v>2585.41</v>
      </c>
      <c r="Q18" s="26">
        <v>20000</v>
      </c>
      <c r="R18" s="62">
        <v>0</v>
      </c>
      <c r="S18" s="36">
        <f t="shared" ref="S18" si="10">SUM(F18:R18)</f>
        <v>327211.36749999999</v>
      </c>
      <c r="T18" s="36"/>
      <c r="U18" s="36"/>
      <c r="V18" s="36"/>
      <c r="W18" s="36"/>
      <c r="X18" s="62"/>
      <c r="Y18" s="36">
        <f t="shared" ref="Y18" si="11">X18+W18+V18+U18+T18</f>
        <v>0</v>
      </c>
      <c r="Z18" s="36">
        <v>185530.19125</v>
      </c>
      <c r="AA18" s="36">
        <f t="shared" ref="AA18" si="12">S18-Y18</f>
        <v>327211.36749999999</v>
      </c>
      <c r="AB18" s="34"/>
    </row>
    <row r="19" spans="1:28" ht="20.100000000000001" customHeight="1">
      <c r="A19" s="33"/>
      <c r="B19" s="48" t="s">
        <v>34</v>
      </c>
      <c r="D19" s="49" t="s">
        <v>407</v>
      </c>
      <c r="E19" s="37"/>
      <c r="F19" s="95">
        <f t="shared" ref="F19:M19" si="13">SUM(F18:F18)</f>
        <v>25854.1</v>
      </c>
      <c r="G19" s="95">
        <f t="shared" si="13"/>
        <v>0</v>
      </c>
      <c r="H19" s="95">
        <f t="shared" si="13"/>
        <v>77562.299999999988</v>
      </c>
      <c r="I19" s="95">
        <f t="shared" si="13"/>
        <v>1939.0574999999999</v>
      </c>
      <c r="J19" s="95">
        <f t="shared" si="13"/>
        <v>0</v>
      </c>
      <c r="K19" s="95">
        <f t="shared" si="13"/>
        <v>12927.05</v>
      </c>
      <c r="L19" s="95">
        <f t="shared" si="13"/>
        <v>90489.349999999991</v>
      </c>
      <c r="M19" s="95">
        <f t="shared" si="13"/>
        <v>25854.1</v>
      </c>
      <c r="N19" s="134"/>
      <c r="O19" s="134">
        <f>SUM(O18:O18)</f>
        <v>70000</v>
      </c>
      <c r="P19" s="95">
        <f>SUM(P18:P18)</f>
        <v>2585.41</v>
      </c>
      <c r="Q19" s="95">
        <f>SUM(Q18:Q18)</f>
        <v>20000</v>
      </c>
      <c r="R19" s="95">
        <f>SUM(R18:R18)</f>
        <v>0</v>
      </c>
      <c r="S19" s="95">
        <f>SUM(S18:S18)</f>
        <v>327211.36749999999</v>
      </c>
      <c r="T19" s="95"/>
      <c r="U19" s="95">
        <f>SUM(U18:U18)</f>
        <v>0</v>
      </c>
      <c r="V19" s="95">
        <f>SUM(V18:V18)</f>
        <v>0</v>
      </c>
      <c r="W19" s="95"/>
      <c r="X19" s="95"/>
      <c r="Y19" s="95">
        <f>SUM(Y18:Y18)</f>
        <v>0</v>
      </c>
      <c r="Z19" s="95">
        <v>8517692.7194999997</v>
      </c>
      <c r="AA19" s="95">
        <f>SUM(AA18:AA18)</f>
        <v>327211.36749999999</v>
      </c>
      <c r="AB19" s="34"/>
    </row>
    <row r="20" spans="1:28" ht="20.100000000000001" customHeight="1">
      <c r="A20" s="33"/>
      <c r="B20" s="263" t="s">
        <v>328</v>
      </c>
      <c r="C20" s="263"/>
      <c r="D20" s="73">
        <v>3</v>
      </c>
      <c r="E20" s="40"/>
      <c r="F20" s="41">
        <f>SUM(F19,F15,F11)</f>
        <v>91624.8</v>
      </c>
      <c r="G20" s="41">
        <f>SUM(G19,G11)</f>
        <v>0</v>
      </c>
      <c r="H20" s="41">
        <f t="shared" ref="H20:M20" si="14">SUM(H19,H15,H11)</f>
        <v>274874.40000000002</v>
      </c>
      <c r="I20" s="41">
        <f t="shared" si="14"/>
        <v>6871.86</v>
      </c>
      <c r="J20" s="41">
        <f t="shared" si="14"/>
        <v>80244.38</v>
      </c>
      <c r="K20" s="41">
        <f t="shared" si="14"/>
        <v>45812.4</v>
      </c>
      <c r="L20" s="41">
        <f t="shared" si="14"/>
        <v>320686.8</v>
      </c>
      <c r="M20" s="41">
        <f t="shared" si="14"/>
        <v>91624.8</v>
      </c>
      <c r="N20" s="41">
        <f>SUM(N11)</f>
        <v>160000</v>
      </c>
      <c r="O20" s="41">
        <f>SUM(O19,O15)</f>
        <v>150000</v>
      </c>
      <c r="P20" s="41">
        <f>SUM(P19,P15,P11)</f>
        <v>9162.48</v>
      </c>
      <c r="Q20" s="41">
        <f>SUM(Q19,Q15,Q11)</f>
        <v>60000</v>
      </c>
      <c r="R20" s="41">
        <f>SUM(R19,R15,R11)</f>
        <v>100000</v>
      </c>
      <c r="S20" s="41">
        <f>SUM(S19,S15,S11)</f>
        <v>1390901.92</v>
      </c>
      <c r="T20" s="41"/>
      <c r="U20" s="41">
        <f>SUM(U19,U15,U11)</f>
        <v>0</v>
      </c>
      <c r="V20" s="41">
        <f>SUM(V19,V15,V11)</f>
        <v>0</v>
      </c>
      <c r="W20" s="41">
        <f>SUM(W19,W15,W11)</f>
        <v>0</v>
      </c>
      <c r="X20" s="41">
        <f>SUM(X19,X15,X11)</f>
        <v>0</v>
      </c>
      <c r="Y20" s="41">
        <f>SUM(Y19,Y15,Y11)</f>
        <v>0</v>
      </c>
      <c r="Z20" s="41">
        <f>SUM(Z10:Z19)</f>
        <v>15630792.440749999</v>
      </c>
      <c r="AA20" s="41">
        <f>SUM(AA19,AA15,AA11)</f>
        <v>1390901.92</v>
      </c>
      <c r="AB20" s="34"/>
    </row>
    <row r="21" spans="1:28" ht="20.100000000000001" customHeight="1">
      <c r="A21" s="33"/>
      <c r="B21" s="256"/>
      <c r="C21" s="256"/>
      <c r="D21" s="46"/>
      <c r="E21" s="70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</row>
    <row r="22" spans="1:28" ht="20.100000000000001" customHeight="1">
      <c r="A22" s="33"/>
      <c r="B22" s="256"/>
      <c r="C22" s="256"/>
      <c r="D22" s="242"/>
      <c r="E22" s="242"/>
      <c r="F22" s="242"/>
      <c r="G22" s="242"/>
      <c r="H22" s="242"/>
      <c r="I22" s="242"/>
      <c r="J22" s="242"/>
      <c r="K22" s="241" t="s">
        <v>330</v>
      </c>
      <c r="L22" s="241"/>
      <c r="M22" s="241"/>
      <c r="N22" s="40"/>
      <c r="O22" s="40"/>
      <c r="P22" s="241" t="s">
        <v>331</v>
      </c>
      <c r="Q22" s="241"/>
      <c r="R22" s="241"/>
      <c r="S22" s="241"/>
      <c r="T22" s="40"/>
      <c r="U22" s="40"/>
      <c r="V22" s="40"/>
      <c r="W22" s="40"/>
      <c r="X22" s="71"/>
      <c r="Y22" s="71"/>
      <c r="Z22" s="71"/>
      <c r="AA22" s="71"/>
    </row>
    <row r="23" spans="1:28" ht="20.100000000000001" customHeight="1">
      <c r="A23" s="33"/>
      <c r="B23" s="256"/>
      <c r="C23" s="256"/>
      <c r="D23" s="242"/>
      <c r="E23" s="242"/>
      <c r="F23" s="242"/>
      <c r="G23" s="242"/>
      <c r="H23" s="242"/>
      <c r="I23" s="242"/>
      <c r="J23" s="242"/>
      <c r="K23" s="241"/>
      <c r="L23" s="241"/>
      <c r="M23" s="241"/>
      <c r="N23" s="40"/>
      <c r="O23" s="40"/>
      <c r="P23" s="241"/>
      <c r="Q23" s="241"/>
      <c r="R23" s="241"/>
      <c r="S23" s="241"/>
      <c r="T23" s="40"/>
      <c r="U23" s="40"/>
      <c r="V23" s="40"/>
      <c r="W23" s="40"/>
      <c r="X23" s="71"/>
      <c r="Y23" s="71"/>
      <c r="Z23" s="71"/>
      <c r="AA23" s="71"/>
    </row>
    <row r="24" spans="1:28" ht="20.100000000000001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8" ht="20.100000000000001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8" ht="20.100000000000001" customHeigh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</sheetData>
  <mergeCells count="24">
    <mergeCell ref="P22:P23"/>
    <mergeCell ref="Q22:S23"/>
    <mergeCell ref="B20:C20"/>
    <mergeCell ref="B21:C21"/>
    <mergeCell ref="B22:C22"/>
    <mergeCell ref="B23:C23"/>
    <mergeCell ref="D22:D23"/>
    <mergeCell ref="E22:J23"/>
    <mergeCell ref="K22:K23"/>
    <mergeCell ref="L22:M23"/>
    <mergeCell ref="B3:E3"/>
    <mergeCell ref="B5:C5"/>
    <mergeCell ref="B18:C18"/>
    <mergeCell ref="B15:C15"/>
    <mergeCell ref="B17:C17"/>
    <mergeCell ref="B14:C14"/>
    <mergeCell ref="B13:C13"/>
    <mergeCell ref="U5:Y5"/>
    <mergeCell ref="B6:C6"/>
    <mergeCell ref="B7:C7"/>
    <mergeCell ref="B8:C8"/>
    <mergeCell ref="B11:C11"/>
    <mergeCell ref="B9:C9"/>
    <mergeCell ref="B10:C10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2"/>
  <sheetViews>
    <sheetView view="pageBreakPreview" zoomScaleNormal="100" zoomScaleSheetLayoutView="100" workbookViewId="0">
      <pane xSplit="3" ySplit="9" topLeftCell="D178" activePane="bottomRight" state="frozen"/>
      <selection pane="bottomRight" activeCell="E185" sqref="E18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8.42578125" style="1" customWidth="1"/>
    <col min="3" max="3" width="24.7109375" style="1" customWidth="1"/>
    <col min="4" max="4" width="7.5703125" style="1" customWidth="1"/>
    <col min="5" max="5" width="19.7109375" style="1" customWidth="1"/>
    <col min="6" max="6" width="16.85546875" style="1" bestFit="1" customWidth="1"/>
    <col min="7" max="16384" width="9.140625" style="1"/>
  </cols>
  <sheetData>
    <row r="1" spans="1:10" ht="29.25" customHeight="1">
      <c r="B1" s="45"/>
      <c r="C1" s="45"/>
      <c r="D1" s="45"/>
      <c r="J1" s="1" t="s">
        <v>0</v>
      </c>
    </row>
    <row r="2" spans="1:10" ht="5.25" customHeight="1">
      <c r="E2" s="51"/>
    </row>
    <row r="3" spans="1:10" ht="20.100000000000001" customHeight="1">
      <c r="B3" s="240" t="s">
        <v>1</v>
      </c>
      <c r="C3" s="240"/>
      <c r="D3" s="240"/>
      <c r="E3" s="54"/>
    </row>
    <row r="4" spans="1:10" ht="2.25" customHeight="1"/>
    <row r="5" spans="1:10" ht="20.100000000000001" customHeight="1">
      <c r="B5" s="52" t="s">
        <v>2</v>
      </c>
      <c r="C5" s="56"/>
      <c r="D5" s="56"/>
      <c r="E5" s="56" t="s">
        <v>4</v>
      </c>
    </row>
    <row r="6" spans="1:10" ht="35.450000000000003" customHeight="1">
      <c r="A6" s="33"/>
      <c r="B6" s="58"/>
      <c r="C6" s="58" t="s">
        <v>5</v>
      </c>
      <c r="D6" s="58" t="s">
        <v>6</v>
      </c>
      <c r="E6" s="158" t="s">
        <v>16</v>
      </c>
    </row>
    <row r="7" spans="1:10" ht="48" customHeight="1">
      <c r="A7" s="33"/>
      <c r="B7" s="21"/>
      <c r="C7" s="58"/>
      <c r="D7" s="58" t="s">
        <v>17</v>
      </c>
      <c r="E7" s="2"/>
    </row>
    <row r="8" spans="1:10" ht="20.100000000000001" customHeight="1">
      <c r="A8" s="21" t="s">
        <v>35</v>
      </c>
      <c r="B8" s="212" t="s">
        <v>36</v>
      </c>
      <c r="C8" s="48"/>
      <c r="D8" s="48"/>
      <c r="E8" s="60"/>
    </row>
    <row r="9" spans="1:10" ht="20.100000000000001" customHeight="1">
      <c r="A9" s="3">
        <v>1</v>
      </c>
      <c r="B9" s="223" t="s">
        <v>38</v>
      </c>
      <c r="C9" s="61" t="s">
        <v>39</v>
      </c>
      <c r="D9" s="61" t="s">
        <v>40</v>
      </c>
      <c r="E9" s="36">
        <f>300000</f>
        <v>300000</v>
      </c>
      <c r="F9" s="34"/>
    </row>
    <row r="10" spans="1:10" ht="20.100000000000001" customHeight="1">
      <c r="A10" s="3">
        <v>2</v>
      </c>
      <c r="B10" s="223" t="s">
        <v>41</v>
      </c>
      <c r="C10" s="61" t="s">
        <v>42</v>
      </c>
      <c r="D10" s="66" t="s">
        <v>43</v>
      </c>
      <c r="E10" s="36">
        <v>150000</v>
      </c>
      <c r="F10" s="34"/>
    </row>
    <row r="11" spans="1:10" ht="20.100000000000001" customHeight="1">
      <c r="A11" s="3">
        <v>3</v>
      </c>
      <c r="B11" s="223" t="s">
        <v>44</v>
      </c>
      <c r="C11" s="33" t="s">
        <v>45</v>
      </c>
      <c r="D11" s="3" t="s">
        <v>46</v>
      </c>
      <c r="E11" s="36">
        <v>70000</v>
      </c>
      <c r="F11" s="34"/>
    </row>
    <row r="12" spans="1:10" ht="20.100000000000001" customHeight="1">
      <c r="A12" s="3">
        <v>4</v>
      </c>
      <c r="B12" s="224" t="s">
        <v>47</v>
      </c>
      <c r="C12" s="43" t="s">
        <v>48</v>
      </c>
      <c r="D12" s="75" t="s">
        <v>46</v>
      </c>
      <c r="E12" s="36">
        <v>70000</v>
      </c>
      <c r="F12" s="34"/>
    </row>
    <row r="13" spans="1:10" ht="20.100000000000001" customHeight="1">
      <c r="A13" s="3">
        <v>5</v>
      </c>
      <c r="B13" s="223" t="s">
        <v>49</v>
      </c>
      <c r="C13" s="61" t="s">
        <v>50</v>
      </c>
      <c r="D13" s="3" t="s">
        <v>51</v>
      </c>
      <c r="E13" s="36">
        <v>70000</v>
      </c>
      <c r="F13" s="34"/>
    </row>
    <row r="14" spans="1:10" ht="20.100000000000001" customHeight="1">
      <c r="A14" s="3">
        <v>6</v>
      </c>
      <c r="B14" s="224" t="s">
        <v>52</v>
      </c>
      <c r="C14" s="33" t="s">
        <v>53</v>
      </c>
      <c r="D14" s="38" t="s">
        <v>54</v>
      </c>
      <c r="E14" s="36">
        <v>70000</v>
      </c>
      <c r="F14" s="34"/>
    </row>
    <row r="15" spans="1:10" ht="20.100000000000001" customHeight="1">
      <c r="A15" s="3">
        <v>7</v>
      </c>
      <c r="B15" s="225" t="s">
        <v>55</v>
      </c>
      <c r="C15" s="47" t="s">
        <v>56</v>
      </c>
      <c r="D15" s="29" t="s">
        <v>54</v>
      </c>
      <c r="E15" s="26">
        <v>70000</v>
      </c>
      <c r="F15" s="34"/>
    </row>
    <row r="16" spans="1:10" ht="20.100000000000001" customHeight="1">
      <c r="A16" s="3">
        <v>8</v>
      </c>
      <c r="B16" s="224" t="s">
        <v>57</v>
      </c>
      <c r="C16" s="33" t="s">
        <v>58</v>
      </c>
      <c r="D16" s="3" t="s">
        <v>54</v>
      </c>
      <c r="E16" s="36">
        <v>70000</v>
      </c>
      <c r="F16" s="34"/>
    </row>
    <row r="17" spans="1:6" ht="20.100000000000001" customHeight="1">
      <c r="A17" s="3">
        <v>9</v>
      </c>
      <c r="B17" s="226" t="s">
        <v>59</v>
      </c>
      <c r="C17" s="61" t="s">
        <v>60</v>
      </c>
      <c r="D17" s="66" t="s">
        <v>54</v>
      </c>
      <c r="E17" s="36">
        <v>70000</v>
      </c>
      <c r="F17" s="34"/>
    </row>
    <row r="18" spans="1:6" ht="20.100000000000001" customHeight="1">
      <c r="A18" s="3">
        <v>10</v>
      </c>
      <c r="B18" s="214" t="s">
        <v>61</v>
      </c>
      <c r="C18" s="61" t="s">
        <v>62</v>
      </c>
      <c r="D18" s="11" t="s">
        <v>63</v>
      </c>
      <c r="E18" s="36">
        <v>70000</v>
      </c>
      <c r="F18" s="34"/>
    </row>
    <row r="19" spans="1:6" ht="20.100000000000001" customHeight="1">
      <c r="A19" s="3">
        <v>11</v>
      </c>
      <c r="B19" s="227" t="s">
        <v>64</v>
      </c>
      <c r="C19" s="43" t="s">
        <v>65</v>
      </c>
      <c r="D19" s="44" t="s">
        <v>66</v>
      </c>
      <c r="E19" s="36">
        <v>50000</v>
      </c>
      <c r="F19" s="34"/>
    </row>
    <row r="20" spans="1:6" ht="19.5" customHeight="1">
      <c r="A20" s="3">
        <v>12</v>
      </c>
      <c r="B20" s="224" t="s">
        <v>67</v>
      </c>
      <c r="C20" s="43" t="s">
        <v>68</v>
      </c>
      <c r="D20" s="3" t="s">
        <v>66</v>
      </c>
      <c r="E20" s="36">
        <v>50000</v>
      </c>
      <c r="F20" s="34"/>
    </row>
    <row r="21" spans="1:6" ht="19.5" customHeight="1">
      <c r="A21" s="3">
        <v>13</v>
      </c>
      <c r="B21" s="224" t="s">
        <v>69</v>
      </c>
      <c r="C21" s="33" t="s">
        <v>70</v>
      </c>
      <c r="D21" s="3" t="s">
        <v>66</v>
      </c>
      <c r="E21" s="36">
        <v>50000</v>
      </c>
      <c r="F21" s="34"/>
    </row>
    <row r="22" spans="1:6" ht="20.100000000000001" customHeight="1">
      <c r="A22" s="3">
        <v>14</v>
      </c>
      <c r="B22" s="223" t="s">
        <v>71</v>
      </c>
      <c r="C22" s="43" t="s">
        <v>72</v>
      </c>
      <c r="D22" s="66" t="s">
        <v>73</v>
      </c>
      <c r="E22" s="36">
        <v>50000</v>
      </c>
      <c r="F22" s="34"/>
    </row>
    <row r="23" spans="1:6" ht="20.100000000000001" customHeight="1">
      <c r="A23" s="3">
        <v>15</v>
      </c>
      <c r="B23" s="224" t="s">
        <v>74</v>
      </c>
      <c r="C23" s="33" t="s">
        <v>75</v>
      </c>
      <c r="D23" s="66" t="s">
        <v>408</v>
      </c>
      <c r="E23" s="36">
        <v>70000</v>
      </c>
      <c r="F23" s="34"/>
    </row>
    <row r="24" spans="1:6" ht="20.100000000000001" customHeight="1">
      <c r="A24" s="3">
        <v>16</v>
      </c>
      <c r="B24" s="223" t="s">
        <v>77</v>
      </c>
      <c r="C24" s="61" t="s">
        <v>78</v>
      </c>
      <c r="D24" s="66" t="s">
        <v>79</v>
      </c>
      <c r="E24" s="36">
        <v>50000</v>
      </c>
      <c r="F24" s="34"/>
    </row>
    <row r="25" spans="1:6" ht="20.100000000000001" customHeight="1">
      <c r="A25" s="3">
        <v>17</v>
      </c>
      <c r="B25" s="223" t="s">
        <v>80</v>
      </c>
      <c r="C25" s="61" t="s">
        <v>81</v>
      </c>
      <c r="D25" s="66" t="s">
        <v>82</v>
      </c>
      <c r="E25" s="36">
        <v>30000</v>
      </c>
      <c r="F25" s="34"/>
    </row>
    <row r="26" spans="1:6" ht="18.75" customHeight="1">
      <c r="A26" s="3">
        <v>18</v>
      </c>
      <c r="B26" s="223" t="s">
        <v>83</v>
      </c>
      <c r="C26" s="61" t="s">
        <v>84</v>
      </c>
      <c r="D26" s="66" t="s">
        <v>85</v>
      </c>
      <c r="E26" s="36">
        <v>30000</v>
      </c>
      <c r="F26" s="34"/>
    </row>
    <row r="27" spans="1:6" ht="18.75" customHeight="1">
      <c r="A27" s="3">
        <v>19</v>
      </c>
      <c r="B27" s="214" t="s">
        <v>86</v>
      </c>
      <c r="C27" s="33" t="s">
        <v>87</v>
      </c>
      <c r="D27" s="66" t="s">
        <v>76</v>
      </c>
      <c r="E27" s="26">
        <v>50000</v>
      </c>
      <c r="F27" s="34"/>
    </row>
    <row r="28" spans="1:6" ht="18.75" customHeight="1">
      <c r="A28" s="3">
        <v>20</v>
      </c>
      <c r="B28" s="214" t="s">
        <v>88</v>
      </c>
      <c r="C28" s="61" t="s">
        <v>89</v>
      </c>
      <c r="D28" s="66" t="s">
        <v>90</v>
      </c>
      <c r="E28" s="36">
        <v>30000</v>
      </c>
      <c r="F28" s="34"/>
    </row>
    <row r="29" spans="1:6" ht="18.75" customHeight="1">
      <c r="A29" s="3">
        <v>21</v>
      </c>
      <c r="B29" s="214" t="s">
        <v>91</v>
      </c>
      <c r="C29" s="61" t="s">
        <v>92</v>
      </c>
      <c r="D29" s="66" t="s">
        <v>93</v>
      </c>
      <c r="E29" s="26">
        <v>30000</v>
      </c>
      <c r="F29" s="34"/>
    </row>
    <row r="30" spans="1:6" ht="18.75" customHeight="1">
      <c r="A30" s="3">
        <v>22</v>
      </c>
      <c r="B30" s="214" t="s">
        <v>94</v>
      </c>
      <c r="C30" s="61" t="s">
        <v>92</v>
      </c>
      <c r="D30" s="66" t="s">
        <v>95</v>
      </c>
      <c r="E30" s="26">
        <v>30000</v>
      </c>
      <c r="F30" s="34"/>
    </row>
    <row r="31" spans="1:6" ht="18.75" customHeight="1">
      <c r="A31" s="3">
        <v>23</v>
      </c>
      <c r="B31" s="226" t="s">
        <v>96</v>
      </c>
      <c r="C31" s="33" t="s">
        <v>97</v>
      </c>
      <c r="D31" s="66" t="s">
        <v>98</v>
      </c>
      <c r="E31" s="36">
        <v>50000</v>
      </c>
      <c r="F31" s="34"/>
    </row>
    <row r="32" spans="1:6" ht="18.75" customHeight="1">
      <c r="A32" s="3">
        <v>24</v>
      </c>
      <c r="B32" s="223" t="s">
        <v>99</v>
      </c>
      <c r="C32" s="33" t="s">
        <v>100</v>
      </c>
      <c r="D32" s="66" t="s">
        <v>82</v>
      </c>
      <c r="E32" s="36">
        <v>30000</v>
      </c>
      <c r="F32" s="34"/>
    </row>
    <row r="33" spans="1:6" ht="18.75" customHeight="1">
      <c r="A33" s="3">
        <v>25</v>
      </c>
      <c r="B33" s="214" t="s">
        <v>101</v>
      </c>
      <c r="C33" s="33" t="s">
        <v>102</v>
      </c>
      <c r="D33" s="66" t="s">
        <v>103</v>
      </c>
      <c r="E33" s="36">
        <v>30000</v>
      </c>
      <c r="F33" s="34"/>
    </row>
    <row r="34" spans="1:6" ht="18.75" customHeight="1">
      <c r="A34" s="3">
        <v>26</v>
      </c>
      <c r="B34" s="223" t="s">
        <v>104</v>
      </c>
      <c r="C34" s="61" t="s">
        <v>105</v>
      </c>
      <c r="D34" s="66" t="s">
        <v>106</v>
      </c>
      <c r="E34" s="36">
        <v>30000</v>
      </c>
      <c r="F34" s="34"/>
    </row>
    <row r="35" spans="1:6" ht="18.75" customHeight="1">
      <c r="A35" s="3">
        <v>27</v>
      </c>
      <c r="B35" s="214" t="s">
        <v>107</v>
      </c>
      <c r="C35" s="61" t="s">
        <v>105</v>
      </c>
      <c r="D35" s="66" t="s">
        <v>108</v>
      </c>
      <c r="E35" s="36">
        <v>30000</v>
      </c>
      <c r="F35" s="34"/>
    </row>
    <row r="36" spans="1:6" ht="18.75" customHeight="1">
      <c r="A36" s="3">
        <v>28</v>
      </c>
      <c r="B36" s="225" t="s">
        <v>109</v>
      </c>
      <c r="C36" s="47" t="s">
        <v>110</v>
      </c>
      <c r="D36" s="66" t="s">
        <v>111</v>
      </c>
      <c r="E36" s="36">
        <v>30000</v>
      </c>
      <c r="F36" s="34"/>
    </row>
    <row r="37" spans="1:6" ht="18.75" customHeight="1">
      <c r="A37" s="3">
        <v>29</v>
      </c>
      <c r="B37" s="215" t="s">
        <v>112</v>
      </c>
      <c r="C37" s="47" t="s">
        <v>113</v>
      </c>
      <c r="D37" s="66" t="s">
        <v>93</v>
      </c>
      <c r="E37" s="36">
        <v>30000</v>
      </c>
      <c r="F37" s="34"/>
    </row>
    <row r="38" spans="1:6" ht="18.75" customHeight="1">
      <c r="A38" s="3">
        <v>30</v>
      </c>
      <c r="B38" s="215" t="s">
        <v>114</v>
      </c>
      <c r="C38" s="47" t="s">
        <v>113</v>
      </c>
      <c r="D38" s="66" t="s">
        <v>93</v>
      </c>
      <c r="E38" s="36">
        <v>30000</v>
      </c>
      <c r="F38" s="34"/>
    </row>
    <row r="39" spans="1:6" ht="18.75" customHeight="1">
      <c r="A39" s="3"/>
      <c r="B39" s="228" t="s">
        <v>34</v>
      </c>
      <c r="C39" s="7">
        <v>30</v>
      </c>
      <c r="D39" s="66"/>
      <c r="E39" s="68">
        <f>SUM(E9:E38)</f>
        <v>1790000</v>
      </c>
      <c r="F39" s="34"/>
    </row>
    <row r="40" spans="1:6" ht="18.75" customHeight="1">
      <c r="A40" s="3"/>
      <c r="B40" s="216"/>
      <c r="C40" s="33"/>
      <c r="D40" s="66"/>
      <c r="E40" s="68"/>
    </row>
    <row r="41" spans="1:6" ht="18.75" customHeight="1">
      <c r="A41" s="3"/>
      <c r="B41" s="228" t="s">
        <v>115</v>
      </c>
      <c r="C41" s="33"/>
      <c r="D41" s="66"/>
      <c r="E41" s="36"/>
    </row>
    <row r="42" spans="1:6" ht="18.75" customHeight="1">
      <c r="A42" s="3">
        <v>1</v>
      </c>
      <c r="B42" s="214" t="s">
        <v>116</v>
      </c>
      <c r="C42" s="33" t="s">
        <v>117</v>
      </c>
      <c r="D42" s="3" t="s">
        <v>118</v>
      </c>
      <c r="E42" s="36">
        <v>150000</v>
      </c>
    </row>
    <row r="43" spans="1:6" ht="19.5" customHeight="1">
      <c r="A43" s="3"/>
      <c r="B43" s="217"/>
      <c r="C43" s="7">
        <v>1</v>
      </c>
      <c r="D43" s="3"/>
      <c r="E43" s="68">
        <f>SUM(E42:E42)</f>
        <v>150000</v>
      </c>
      <c r="F43" s="34"/>
    </row>
    <row r="44" spans="1:6" ht="20.100000000000001" customHeight="1">
      <c r="A44" s="3"/>
      <c r="B44" s="224"/>
      <c r="C44" s="33"/>
      <c r="D44" s="3"/>
      <c r="E44" s="36"/>
    </row>
    <row r="45" spans="1:6" ht="20.100000000000001" customHeight="1">
      <c r="A45" s="3"/>
      <c r="B45" s="229" t="s">
        <v>121</v>
      </c>
      <c r="C45" s="50"/>
      <c r="D45" s="2"/>
      <c r="E45" s="36"/>
    </row>
    <row r="46" spans="1:6" ht="20.100000000000001" customHeight="1">
      <c r="A46" s="3">
        <v>1</v>
      </c>
      <c r="B46" s="223" t="s">
        <v>122</v>
      </c>
      <c r="C46" s="33" t="s">
        <v>123</v>
      </c>
      <c r="D46" s="3" t="s">
        <v>43</v>
      </c>
      <c r="E46" s="36">
        <v>150000</v>
      </c>
    </row>
    <row r="47" spans="1:6" ht="20.100000000000001" customHeight="1">
      <c r="A47" s="3">
        <v>2</v>
      </c>
      <c r="B47" s="223" t="s">
        <v>124</v>
      </c>
      <c r="C47" s="33" t="s">
        <v>125</v>
      </c>
      <c r="D47" s="3" t="s">
        <v>54</v>
      </c>
      <c r="E47" s="36">
        <v>70000</v>
      </c>
    </row>
    <row r="48" spans="1:6" ht="20.100000000000001" customHeight="1">
      <c r="A48" s="3">
        <v>3</v>
      </c>
      <c r="B48" s="223" t="s">
        <v>126</v>
      </c>
      <c r="C48" s="33" t="s">
        <v>127</v>
      </c>
      <c r="D48" s="3" t="s">
        <v>54</v>
      </c>
      <c r="E48" s="36">
        <v>70000</v>
      </c>
    </row>
    <row r="49" spans="1:6" ht="20.100000000000001" customHeight="1">
      <c r="A49" s="3">
        <v>4</v>
      </c>
      <c r="B49" s="223" t="s">
        <v>128</v>
      </c>
      <c r="C49" s="33" t="s">
        <v>127</v>
      </c>
      <c r="D49" s="3" t="s">
        <v>129</v>
      </c>
      <c r="E49" s="36">
        <v>70000</v>
      </c>
    </row>
    <row r="50" spans="1:6" ht="20.100000000000001" customHeight="1">
      <c r="A50" s="3">
        <v>5</v>
      </c>
      <c r="B50" s="223" t="s">
        <v>130</v>
      </c>
      <c r="C50" s="33" t="s">
        <v>131</v>
      </c>
      <c r="D50" s="3" t="s">
        <v>132</v>
      </c>
      <c r="E50" s="36">
        <v>50000</v>
      </c>
    </row>
    <row r="51" spans="1:6" ht="20.100000000000001" customHeight="1">
      <c r="A51" s="3">
        <v>6</v>
      </c>
      <c r="B51" s="223" t="s">
        <v>133</v>
      </c>
      <c r="C51" s="33" t="s">
        <v>131</v>
      </c>
      <c r="D51" s="3" t="s">
        <v>66</v>
      </c>
      <c r="E51" s="36">
        <v>50000</v>
      </c>
    </row>
    <row r="52" spans="1:6" ht="20.100000000000001" customHeight="1">
      <c r="A52" s="3">
        <v>7</v>
      </c>
      <c r="B52" s="230" t="s">
        <v>134</v>
      </c>
      <c r="C52" s="33" t="s">
        <v>135</v>
      </c>
      <c r="D52" s="25" t="s">
        <v>66</v>
      </c>
      <c r="E52" s="36">
        <v>50000</v>
      </c>
    </row>
    <row r="53" spans="1:6" ht="20.100000000000001" customHeight="1">
      <c r="A53" s="3">
        <v>8</v>
      </c>
      <c r="B53" s="223" t="s">
        <v>136</v>
      </c>
      <c r="C53" s="33" t="s">
        <v>137</v>
      </c>
      <c r="D53" s="3" t="s">
        <v>138</v>
      </c>
      <c r="E53" s="36">
        <v>50000</v>
      </c>
    </row>
    <row r="54" spans="1:6" ht="20.100000000000001" customHeight="1">
      <c r="A54" s="3">
        <v>9</v>
      </c>
      <c r="B54" s="225" t="s">
        <v>139</v>
      </c>
      <c r="C54" s="33" t="s">
        <v>140</v>
      </c>
      <c r="D54" s="29" t="s">
        <v>98</v>
      </c>
      <c r="E54" s="36">
        <v>50000</v>
      </c>
    </row>
    <row r="55" spans="1:6" ht="20.100000000000001" customHeight="1">
      <c r="A55" s="3"/>
      <c r="B55" s="231" t="s">
        <v>34</v>
      </c>
      <c r="C55" s="30">
        <v>9</v>
      </c>
      <c r="D55" s="30"/>
      <c r="E55" s="92">
        <f>SUM(E46:E54)</f>
        <v>610000</v>
      </c>
      <c r="F55" s="34"/>
    </row>
    <row r="56" spans="1:6" ht="20.100000000000001" customHeight="1">
      <c r="A56" s="3"/>
      <c r="B56" s="218"/>
      <c r="C56" s="30"/>
      <c r="D56" s="30"/>
      <c r="E56" s="31"/>
    </row>
    <row r="57" spans="1:6" ht="20.100000000000001" customHeight="1">
      <c r="A57" s="3"/>
      <c r="B57" s="231" t="s">
        <v>144</v>
      </c>
      <c r="C57" s="30"/>
      <c r="D57" s="30"/>
      <c r="E57" s="31"/>
    </row>
    <row r="58" spans="1:6" ht="20.100000000000001" customHeight="1">
      <c r="A58" s="3">
        <v>1</v>
      </c>
      <c r="B58" s="223" t="s">
        <v>145</v>
      </c>
      <c r="C58" s="61" t="s">
        <v>146</v>
      </c>
      <c r="D58" s="66" t="s">
        <v>43</v>
      </c>
      <c r="E58" s="36">
        <f>150000</f>
        <v>150000</v>
      </c>
    </row>
    <row r="59" spans="1:6" ht="20.100000000000001" customHeight="1">
      <c r="A59" s="3">
        <v>2</v>
      </c>
      <c r="B59" s="214" t="s">
        <v>147</v>
      </c>
      <c r="C59" s="61" t="s">
        <v>148</v>
      </c>
      <c r="D59" s="66" t="s">
        <v>149</v>
      </c>
      <c r="E59" s="36">
        <v>70000</v>
      </c>
    </row>
    <row r="60" spans="1:6" ht="20.100000000000001" customHeight="1">
      <c r="A60" s="3"/>
      <c r="B60" s="231" t="s">
        <v>34</v>
      </c>
      <c r="C60" s="30">
        <v>2</v>
      </c>
      <c r="D60" s="30"/>
      <c r="E60" s="92">
        <f>SUM(E58:E59)</f>
        <v>220000</v>
      </c>
      <c r="F60" s="34"/>
    </row>
    <row r="61" spans="1:6" ht="20.100000000000001" customHeight="1">
      <c r="A61" s="3"/>
      <c r="B61" s="231"/>
      <c r="C61" s="30"/>
      <c r="D61" s="30"/>
      <c r="E61" s="31"/>
    </row>
    <row r="62" spans="1:6" ht="20.100000000000001" customHeight="1">
      <c r="A62" s="3"/>
      <c r="B62" s="231" t="s">
        <v>150</v>
      </c>
      <c r="C62" s="30"/>
      <c r="D62" s="30"/>
      <c r="E62" s="31"/>
    </row>
    <row r="63" spans="1:6" ht="20.100000000000001" customHeight="1">
      <c r="A63" s="3">
        <v>1</v>
      </c>
      <c r="B63" s="225" t="s">
        <v>151</v>
      </c>
      <c r="C63" s="47" t="s">
        <v>152</v>
      </c>
      <c r="D63" s="29" t="s">
        <v>43</v>
      </c>
      <c r="E63" s="26">
        <v>150000</v>
      </c>
    </row>
    <row r="64" spans="1:6" ht="20.100000000000001" customHeight="1">
      <c r="A64" s="3">
        <v>2</v>
      </c>
      <c r="B64" s="215" t="s">
        <v>153</v>
      </c>
      <c r="C64" s="47" t="s">
        <v>56</v>
      </c>
      <c r="D64" s="66" t="s">
        <v>63</v>
      </c>
      <c r="E64" s="36">
        <v>70000</v>
      </c>
    </row>
    <row r="65" spans="1:6" ht="20.100000000000001" customHeight="1">
      <c r="A65" s="3">
        <v>3</v>
      </c>
      <c r="B65" s="225" t="s">
        <v>155</v>
      </c>
      <c r="C65" s="33" t="s">
        <v>137</v>
      </c>
      <c r="D65" s="29" t="s">
        <v>98</v>
      </c>
      <c r="E65" s="36">
        <v>50000</v>
      </c>
    </row>
    <row r="66" spans="1:6" ht="20.100000000000001" customHeight="1">
      <c r="A66" s="3">
        <v>4</v>
      </c>
      <c r="B66" s="215" t="s">
        <v>156</v>
      </c>
      <c r="C66" s="47" t="s">
        <v>137</v>
      </c>
      <c r="D66" s="66" t="s">
        <v>79</v>
      </c>
      <c r="E66" s="36">
        <v>50000</v>
      </c>
    </row>
    <row r="67" spans="1:6" ht="20.100000000000001" customHeight="1">
      <c r="A67" s="3">
        <v>5</v>
      </c>
      <c r="B67" s="224" t="s">
        <v>157</v>
      </c>
      <c r="C67" s="47" t="s">
        <v>135</v>
      </c>
      <c r="D67" s="66" t="s">
        <v>66</v>
      </c>
      <c r="E67" s="36">
        <v>50000</v>
      </c>
    </row>
    <row r="68" spans="1:6" ht="20.100000000000001" customHeight="1">
      <c r="A68" s="3">
        <v>6</v>
      </c>
      <c r="B68" s="225" t="s">
        <v>158</v>
      </c>
      <c r="C68" s="20" t="s">
        <v>142</v>
      </c>
      <c r="D68" s="29" t="s">
        <v>159</v>
      </c>
      <c r="E68" s="36">
        <v>30000</v>
      </c>
    </row>
    <row r="69" spans="1:6" ht="20.100000000000001" customHeight="1">
      <c r="A69" s="3">
        <v>7</v>
      </c>
      <c r="B69" s="226" t="s">
        <v>160</v>
      </c>
      <c r="C69" s="47" t="s">
        <v>142</v>
      </c>
      <c r="D69" s="66" t="s">
        <v>85</v>
      </c>
      <c r="E69" s="36">
        <v>30000</v>
      </c>
    </row>
    <row r="70" spans="1:6" ht="20.100000000000001" customHeight="1">
      <c r="A70" s="3">
        <v>8</v>
      </c>
      <c r="B70" s="223" t="s">
        <v>165</v>
      </c>
      <c r="C70" s="33" t="s">
        <v>166</v>
      </c>
      <c r="D70" s="3" t="s">
        <v>82</v>
      </c>
      <c r="E70" s="36">
        <v>30000</v>
      </c>
    </row>
    <row r="71" spans="1:6" ht="20.100000000000001" customHeight="1">
      <c r="A71" s="3">
        <v>9</v>
      </c>
      <c r="B71" s="225" t="s">
        <v>167</v>
      </c>
      <c r="C71" s="47" t="s">
        <v>142</v>
      </c>
      <c r="D71" s="3" t="s">
        <v>168</v>
      </c>
      <c r="E71" s="36">
        <v>30000</v>
      </c>
    </row>
    <row r="72" spans="1:6" ht="20.100000000000001" customHeight="1">
      <c r="A72" s="3">
        <v>10</v>
      </c>
      <c r="B72" s="225" t="s">
        <v>169</v>
      </c>
      <c r="C72" s="47" t="s">
        <v>170</v>
      </c>
      <c r="D72" s="3" t="s">
        <v>93</v>
      </c>
      <c r="E72" s="36">
        <v>30000</v>
      </c>
    </row>
    <row r="73" spans="1:6" ht="20.100000000000001" customHeight="1">
      <c r="A73" s="3">
        <v>11</v>
      </c>
      <c r="B73" s="224" t="s">
        <v>171</v>
      </c>
      <c r="C73" s="47" t="s">
        <v>170</v>
      </c>
      <c r="D73" s="3" t="s">
        <v>93</v>
      </c>
      <c r="E73" s="36">
        <v>30000</v>
      </c>
    </row>
    <row r="74" spans="1:6" ht="20.100000000000001" customHeight="1">
      <c r="A74" s="3"/>
      <c r="B74" s="231" t="s">
        <v>34</v>
      </c>
      <c r="C74" s="30">
        <v>11</v>
      </c>
      <c r="D74" s="30"/>
      <c r="E74" s="106">
        <f>SUM(E63:E73)</f>
        <v>550000</v>
      </c>
      <c r="F74" s="34"/>
    </row>
    <row r="75" spans="1:6" ht="20.100000000000001" customHeight="1">
      <c r="A75" s="3"/>
      <c r="B75" s="219"/>
      <c r="C75" s="30"/>
      <c r="D75" s="30"/>
      <c r="E75" s="31"/>
    </row>
    <row r="76" spans="1:6" ht="20.100000000000001" customHeight="1">
      <c r="A76" s="3"/>
      <c r="B76" s="231" t="s">
        <v>172</v>
      </c>
      <c r="C76" s="30"/>
      <c r="D76" s="30"/>
      <c r="E76" s="31"/>
    </row>
    <row r="77" spans="1:6" ht="20.100000000000001" customHeight="1">
      <c r="A77" s="3">
        <v>1</v>
      </c>
      <c r="B77" s="223" t="s">
        <v>173</v>
      </c>
      <c r="C77" s="33" t="s">
        <v>174</v>
      </c>
      <c r="D77" s="3" t="s">
        <v>43</v>
      </c>
      <c r="E77" s="36">
        <f>150000</f>
        <v>150000</v>
      </c>
    </row>
    <row r="78" spans="1:6" ht="20.100000000000001" customHeight="1">
      <c r="A78" s="3">
        <v>2</v>
      </c>
      <c r="B78" s="220" t="s">
        <v>175</v>
      </c>
      <c r="C78" s="1" t="s">
        <v>176</v>
      </c>
      <c r="D78" s="66" t="s">
        <v>63</v>
      </c>
      <c r="E78" s="36">
        <v>70000</v>
      </c>
    </row>
    <row r="79" spans="1:6" ht="20.100000000000001" customHeight="1">
      <c r="A79" s="3">
        <v>3</v>
      </c>
      <c r="B79" s="220" t="s">
        <v>177</v>
      </c>
      <c r="C79" s="1" t="s">
        <v>178</v>
      </c>
      <c r="D79" s="66" t="s">
        <v>63</v>
      </c>
      <c r="E79" s="36">
        <v>70000</v>
      </c>
    </row>
    <row r="80" spans="1:6" ht="20.100000000000001" customHeight="1">
      <c r="A80" s="3">
        <v>4</v>
      </c>
      <c r="B80" s="223" t="s">
        <v>179</v>
      </c>
      <c r="C80" s="33" t="s">
        <v>140</v>
      </c>
      <c r="D80" s="66" t="s">
        <v>98</v>
      </c>
      <c r="E80" s="36">
        <v>50000</v>
      </c>
    </row>
    <row r="81" spans="1:6" ht="20.100000000000001" customHeight="1">
      <c r="A81" s="3">
        <v>5</v>
      </c>
      <c r="B81" s="223" t="s">
        <v>180</v>
      </c>
      <c r="C81" s="33" t="s">
        <v>166</v>
      </c>
      <c r="D81" s="3" t="s">
        <v>168</v>
      </c>
      <c r="E81" s="36">
        <v>30000</v>
      </c>
    </row>
    <row r="82" spans="1:6" ht="20.100000000000001" customHeight="1">
      <c r="A82" s="3">
        <v>6</v>
      </c>
      <c r="B82" s="214" t="s">
        <v>181</v>
      </c>
      <c r="C82" s="33" t="s">
        <v>182</v>
      </c>
      <c r="D82" s="3" t="s">
        <v>111</v>
      </c>
      <c r="E82" s="36">
        <v>30000</v>
      </c>
    </row>
    <row r="83" spans="1:6" ht="20.100000000000001" customHeight="1">
      <c r="A83" s="3">
        <v>7</v>
      </c>
      <c r="B83" s="214" t="s">
        <v>183</v>
      </c>
      <c r="C83" s="33" t="s">
        <v>184</v>
      </c>
      <c r="D83" s="3" t="s">
        <v>93</v>
      </c>
      <c r="E83" s="36">
        <v>30000</v>
      </c>
    </row>
    <row r="84" spans="1:6" ht="20.100000000000001" customHeight="1">
      <c r="A84" s="3"/>
      <c r="B84" s="231" t="s">
        <v>34</v>
      </c>
      <c r="C84" s="30">
        <v>7</v>
      </c>
      <c r="D84" s="30"/>
      <c r="E84" s="92">
        <f>SUM(E77:E83)</f>
        <v>430000</v>
      </c>
      <c r="F84" s="34"/>
    </row>
    <row r="85" spans="1:6" ht="20.100000000000001" customHeight="1">
      <c r="A85" s="3"/>
      <c r="B85" s="232"/>
      <c r="C85" s="7"/>
      <c r="D85" s="7"/>
      <c r="E85" s="36"/>
    </row>
    <row r="86" spans="1:6" ht="20.100000000000001" customHeight="1">
      <c r="A86" s="3"/>
      <c r="B86" s="232" t="s">
        <v>185</v>
      </c>
      <c r="C86" s="69"/>
      <c r="D86" s="7"/>
      <c r="E86" s="36"/>
    </row>
    <row r="87" spans="1:6" ht="20.100000000000001" customHeight="1">
      <c r="A87" s="3">
        <v>1</v>
      </c>
      <c r="B87" s="223" t="s">
        <v>186</v>
      </c>
      <c r="C87" s="33" t="s">
        <v>187</v>
      </c>
      <c r="D87" s="3" t="s">
        <v>46</v>
      </c>
      <c r="E87" s="36">
        <v>70000</v>
      </c>
    </row>
    <row r="88" spans="1:6" ht="20.100000000000001" customHeight="1">
      <c r="A88" s="3">
        <v>2</v>
      </c>
      <c r="B88" s="223" t="s">
        <v>188</v>
      </c>
      <c r="C88" s="33" t="s">
        <v>127</v>
      </c>
      <c r="D88" s="3" t="s">
        <v>54</v>
      </c>
      <c r="E88" s="36">
        <v>70000</v>
      </c>
    </row>
    <row r="89" spans="1:6" ht="20.100000000000001" customHeight="1">
      <c r="A89" s="3">
        <v>3</v>
      </c>
      <c r="B89" s="223" t="s">
        <v>189</v>
      </c>
      <c r="C89" s="33" t="s">
        <v>127</v>
      </c>
      <c r="D89" s="3" t="s">
        <v>54</v>
      </c>
      <c r="E89" s="36">
        <v>70000</v>
      </c>
    </row>
    <row r="90" spans="1:6" ht="20.100000000000001" customHeight="1">
      <c r="A90" s="3">
        <v>4</v>
      </c>
      <c r="B90" s="224" t="s">
        <v>190</v>
      </c>
      <c r="C90" s="33" t="s">
        <v>135</v>
      </c>
      <c r="D90" s="3" t="s">
        <v>191</v>
      </c>
      <c r="E90" s="26">
        <v>50000</v>
      </c>
    </row>
    <row r="91" spans="1:6" ht="20.100000000000001" customHeight="1">
      <c r="A91" s="3">
        <v>5</v>
      </c>
      <c r="B91" s="225" t="s">
        <v>192</v>
      </c>
      <c r="C91" s="33" t="s">
        <v>131</v>
      </c>
      <c r="D91" s="3" t="s">
        <v>66</v>
      </c>
      <c r="E91" s="26">
        <v>50000</v>
      </c>
    </row>
    <row r="92" spans="1:6" ht="21.6" customHeight="1">
      <c r="A92" s="3">
        <v>6</v>
      </c>
      <c r="B92" s="226" t="s">
        <v>195</v>
      </c>
      <c r="C92" s="33" t="s">
        <v>140</v>
      </c>
      <c r="D92" s="66" t="s">
        <v>98</v>
      </c>
      <c r="E92" s="26">
        <v>50000</v>
      </c>
    </row>
    <row r="93" spans="1:6" ht="21.6" customHeight="1">
      <c r="A93" s="3">
        <v>7</v>
      </c>
      <c r="B93" s="223" t="s">
        <v>196</v>
      </c>
      <c r="C93" s="61" t="s">
        <v>137</v>
      </c>
      <c r="D93" s="66" t="s">
        <v>79</v>
      </c>
      <c r="E93" s="26">
        <v>50000</v>
      </c>
    </row>
    <row r="94" spans="1:6" ht="21.6" customHeight="1">
      <c r="A94" s="3">
        <v>8</v>
      </c>
      <c r="B94" s="223" t="s">
        <v>197</v>
      </c>
      <c r="C94" s="61" t="s">
        <v>137</v>
      </c>
      <c r="D94" s="66" t="s">
        <v>79</v>
      </c>
      <c r="E94" s="26">
        <v>50000</v>
      </c>
    </row>
    <row r="95" spans="1:6" ht="20.100000000000001" customHeight="1">
      <c r="A95" s="3"/>
      <c r="B95" s="228" t="s">
        <v>34</v>
      </c>
      <c r="C95" s="7">
        <v>9</v>
      </c>
      <c r="D95" s="7"/>
      <c r="E95" s="95">
        <f t="shared" ref="E95" si="0">SUM(E87:E94)</f>
        <v>460000</v>
      </c>
      <c r="F95" s="34"/>
    </row>
    <row r="96" spans="1:6" ht="20.100000000000001" customHeight="1">
      <c r="A96" s="3"/>
      <c r="B96" s="216"/>
      <c r="C96" s="7"/>
      <c r="D96" s="7"/>
      <c r="E96" s="39"/>
    </row>
    <row r="97" spans="1:6" ht="20.100000000000001" customHeight="1">
      <c r="A97" s="3"/>
      <c r="B97" s="228" t="s">
        <v>199</v>
      </c>
      <c r="C97" s="7"/>
      <c r="D97" s="7"/>
      <c r="E97" s="39"/>
    </row>
    <row r="98" spans="1:6" ht="20.100000000000001" customHeight="1">
      <c r="A98" s="3">
        <v>1</v>
      </c>
      <c r="B98" s="214" t="s">
        <v>200</v>
      </c>
      <c r="C98" s="3" t="s">
        <v>201</v>
      </c>
      <c r="D98" s="66" t="s">
        <v>46</v>
      </c>
      <c r="E98" s="36">
        <v>70000</v>
      </c>
    </row>
    <row r="99" spans="1:6" ht="20.100000000000001" customHeight="1">
      <c r="A99" s="3">
        <v>2</v>
      </c>
      <c r="B99" s="225" t="s">
        <v>202</v>
      </c>
      <c r="C99" s="20" t="s">
        <v>203</v>
      </c>
      <c r="D99" s="29" t="s">
        <v>66</v>
      </c>
      <c r="E99" s="26">
        <v>50000</v>
      </c>
      <c r="F99" s="34"/>
    </row>
    <row r="100" spans="1:6" ht="20.100000000000001" customHeight="1">
      <c r="A100" s="3">
        <v>3</v>
      </c>
      <c r="B100" s="215" t="s">
        <v>204</v>
      </c>
      <c r="C100" s="20" t="s">
        <v>205</v>
      </c>
      <c r="D100" s="66" t="s">
        <v>79</v>
      </c>
      <c r="E100" s="26">
        <v>50000</v>
      </c>
      <c r="F100" s="34"/>
    </row>
    <row r="101" spans="1:6" ht="20.100000000000001" customHeight="1">
      <c r="A101" s="3">
        <v>4</v>
      </c>
      <c r="B101" s="223" t="s">
        <v>206</v>
      </c>
      <c r="C101" s="33" t="s">
        <v>207</v>
      </c>
      <c r="D101" s="66" t="s">
        <v>208</v>
      </c>
      <c r="E101" s="36">
        <v>30000</v>
      </c>
      <c r="F101" s="34"/>
    </row>
    <row r="102" spans="1:6" ht="20.100000000000001" customHeight="1">
      <c r="A102" s="33"/>
      <c r="B102" s="228" t="s">
        <v>34</v>
      </c>
      <c r="C102" s="7">
        <v>4</v>
      </c>
      <c r="D102" s="91"/>
      <c r="E102" s="92">
        <f t="shared" ref="E102" si="1">SUM(E98:E101)</f>
        <v>200000</v>
      </c>
      <c r="F102" s="34"/>
    </row>
    <row r="103" spans="1:6" ht="20.100000000000001" customHeight="1">
      <c r="A103" s="33"/>
      <c r="B103" s="216"/>
      <c r="C103" s="7"/>
      <c r="D103" s="91"/>
      <c r="E103" s="31"/>
    </row>
    <row r="104" spans="1:6" ht="20.100000000000001" customHeight="1">
      <c r="A104" s="33"/>
      <c r="B104" s="228" t="s">
        <v>209</v>
      </c>
      <c r="C104" s="33"/>
      <c r="D104" s="33"/>
      <c r="E104" s="33"/>
    </row>
    <row r="105" spans="1:6" ht="20.100000000000001" customHeight="1">
      <c r="A105" s="33">
        <v>1</v>
      </c>
      <c r="B105" s="223" t="s">
        <v>210</v>
      </c>
      <c r="C105" s="61" t="s">
        <v>211</v>
      </c>
      <c r="D105" s="66" t="s">
        <v>43</v>
      </c>
      <c r="E105" s="36">
        <v>150000</v>
      </c>
    </row>
    <row r="106" spans="1:6" ht="20.100000000000001" customHeight="1">
      <c r="A106" s="33">
        <v>2</v>
      </c>
      <c r="B106" s="223" t="s">
        <v>212</v>
      </c>
      <c r="C106" s="33" t="s">
        <v>213</v>
      </c>
      <c r="D106" s="3" t="s">
        <v>54</v>
      </c>
      <c r="E106" s="36">
        <v>70000</v>
      </c>
    </row>
    <row r="107" spans="1:6" ht="20.100000000000001" customHeight="1">
      <c r="A107" s="33">
        <v>3</v>
      </c>
      <c r="B107" s="223" t="s">
        <v>214</v>
      </c>
      <c r="C107" s="33" t="s">
        <v>215</v>
      </c>
      <c r="D107" s="3" t="s">
        <v>73</v>
      </c>
      <c r="E107" s="36">
        <v>50000</v>
      </c>
    </row>
    <row r="108" spans="1:6" ht="20.100000000000001" customHeight="1">
      <c r="A108" s="33">
        <v>4</v>
      </c>
      <c r="B108" s="225" t="s">
        <v>216</v>
      </c>
      <c r="C108" s="33" t="s">
        <v>215</v>
      </c>
      <c r="D108" s="29" t="s">
        <v>138</v>
      </c>
      <c r="E108" s="36">
        <v>50000</v>
      </c>
    </row>
    <row r="109" spans="1:6" ht="20.100000000000001" customHeight="1">
      <c r="A109" s="33">
        <v>5</v>
      </c>
      <c r="B109" s="223" t="s">
        <v>217</v>
      </c>
      <c r="C109" s="1" t="s">
        <v>218</v>
      </c>
      <c r="D109" s="66" t="s">
        <v>106</v>
      </c>
      <c r="E109" s="36">
        <v>30000</v>
      </c>
    </row>
    <row r="110" spans="1:6" ht="20.100000000000001" customHeight="1">
      <c r="A110" s="33">
        <v>6</v>
      </c>
      <c r="B110" s="215" t="s">
        <v>219</v>
      </c>
      <c r="C110" s="1" t="s">
        <v>218</v>
      </c>
      <c r="D110" s="3" t="s">
        <v>111</v>
      </c>
      <c r="E110" s="36">
        <v>30000</v>
      </c>
    </row>
    <row r="111" spans="1:6" ht="20.100000000000001" customHeight="1">
      <c r="A111" s="33">
        <v>7</v>
      </c>
      <c r="B111" s="214" t="s">
        <v>220</v>
      </c>
      <c r="C111" s="1" t="s">
        <v>218</v>
      </c>
      <c r="D111" s="66" t="s">
        <v>93</v>
      </c>
      <c r="E111" s="36">
        <v>30000</v>
      </c>
    </row>
    <row r="112" spans="1:6" ht="20.100000000000001" customHeight="1">
      <c r="A112" s="33">
        <v>8</v>
      </c>
      <c r="B112" s="214" t="s">
        <v>221</v>
      </c>
      <c r="C112" s="1" t="s">
        <v>218</v>
      </c>
      <c r="D112" s="66" t="s">
        <v>93</v>
      </c>
      <c r="E112" s="36">
        <v>30000</v>
      </c>
    </row>
    <row r="113" spans="1:6" ht="20.100000000000001" customHeight="1">
      <c r="A113" s="33"/>
      <c r="B113" s="228" t="s">
        <v>34</v>
      </c>
      <c r="C113" s="3">
        <v>8</v>
      </c>
      <c r="D113" s="33"/>
      <c r="E113" s="93">
        <f t="shared" ref="E113" si="2">SUM(E105:E112)</f>
        <v>440000</v>
      </c>
      <c r="F113" s="34"/>
    </row>
    <row r="114" spans="1:6" ht="20.100000000000001" customHeight="1">
      <c r="A114" s="33"/>
      <c r="B114" s="216"/>
      <c r="C114" s="3"/>
      <c r="D114" s="33"/>
      <c r="E114" s="13"/>
    </row>
    <row r="115" spans="1:6" ht="20.100000000000001" customHeight="1">
      <c r="A115" s="33"/>
      <c r="B115" s="228" t="s">
        <v>222</v>
      </c>
      <c r="C115" s="7"/>
      <c r="D115" s="7"/>
      <c r="E115" s="36"/>
    </row>
    <row r="116" spans="1:6" ht="20.100000000000001" customHeight="1">
      <c r="A116" s="33">
        <v>1</v>
      </c>
      <c r="B116" s="226" t="s">
        <v>223</v>
      </c>
      <c r="C116" s="61" t="s">
        <v>224</v>
      </c>
      <c r="D116" s="66" t="s">
        <v>43</v>
      </c>
      <c r="E116" s="36">
        <v>150000</v>
      </c>
    </row>
    <row r="117" spans="1:6" ht="20.100000000000001" customHeight="1">
      <c r="A117" s="33">
        <v>2</v>
      </c>
      <c r="B117" s="226" t="s">
        <v>225</v>
      </c>
      <c r="C117" s="61" t="s">
        <v>226</v>
      </c>
      <c r="D117" s="66" t="s">
        <v>227</v>
      </c>
      <c r="E117" s="36">
        <v>70000</v>
      </c>
    </row>
    <row r="118" spans="1:6" ht="20.100000000000001" customHeight="1">
      <c r="A118" s="33">
        <v>3</v>
      </c>
      <c r="B118" s="226" t="s">
        <v>228</v>
      </c>
      <c r="C118" s="61" t="s">
        <v>229</v>
      </c>
      <c r="D118" s="66" t="s">
        <v>54</v>
      </c>
      <c r="E118" s="36">
        <v>70000</v>
      </c>
    </row>
    <row r="119" spans="1:6" ht="20.100000000000001" customHeight="1">
      <c r="A119" s="33">
        <v>4</v>
      </c>
      <c r="B119" s="217" t="s">
        <v>230</v>
      </c>
      <c r="C119" s="61" t="s">
        <v>229</v>
      </c>
      <c r="D119" s="66" t="s">
        <v>54</v>
      </c>
      <c r="E119" s="36">
        <v>70000</v>
      </c>
    </row>
    <row r="120" spans="1:6" ht="20.100000000000001" customHeight="1">
      <c r="A120" s="33">
        <v>5</v>
      </c>
      <c r="B120" s="220" t="s">
        <v>231</v>
      </c>
      <c r="C120" s="61" t="s">
        <v>229</v>
      </c>
      <c r="D120" s="66" t="s">
        <v>232</v>
      </c>
      <c r="E120" s="36">
        <v>70000</v>
      </c>
    </row>
    <row r="121" spans="1:6" ht="20.100000000000001" customHeight="1">
      <c r="A121" s="33">
        <v>6</v>
      </c>
      <c r="B121" s="226" t="s">
        <v>233</v>
      </c>
      <c r="C121" s="61" t="s">
        <v>234</v>
      </c>
      <c r="D121" s="66" t="s">
        <v>138</v>
      </c>
      <c r="E121" s="36">
        <v>50000</v>
      </c>
    </row>
    <row r="122" spans="1:6" ht="20.100000000000001" customHeight="1">
      <c r="A122" s="33">
        <v>7</v>
      </c>
      <c r="B122" s="226" t="s">
        <v>235</v>
      </c>
      <c r="C122" s="61" t="s">
        <v>236</v>
      </c>
      <c r="D122" s="66" t="s">
        <v>98</v>
      </c>
      <c r="E122" s="36">
        <v>50000</v>
      </c>
    </row>
    <row r="123" spans="1:6" ht="20.100000000000001" customHeight="1">
      <c r="A123" s="33">
        <v>8</v>
      </c>
      <c r="B123" s="226" t="s">
        <v>237</v>
      </c>
      <c r="C123" s="61" t="s">
        <v>238</v>
      </c>
      <c r="D123" s="66" t="s">
        <v>98</v>
      </c>
      <c r="E123" s="36">
        <v>50000</v>
      </c>
    </row>
    <row r="124" spans="1:6" ht="20.100000000000001" customHeight="1">
      <c r="A124" s="33">
        <v>9</v>
      </c>
      <c r="B124" s="214" t="s">
        <v>239</v>
      </c>
      <c r="C124" s="61" t="s">
        <v>234</v>
      </c>
      <c r="D124" s="66" t="s">
        <v>240</v>
      </c>
      <c r="E124" s="36">
        <v>50000</v>
      </c>
    </row>
    <row r="125" spans="1:6" ht="20.100000000000001" customHeight="1">
      <c r="A125" s="33"/>
      <c r="B125" s="228" t="s">
        <v>34</v>
      </c>
      <c r="C125" s="91" t="s">
        <v>241</v>
      </c>
      <c r="D125" s="66"/>
      <c r="E125" s="63">
        <f t="shared" ref="E125" si="3">SUM(E116:E124)</f>
        <v>630000</v>
      </c>
      <c r="F125" s="34"/>
    </row>
    <row r="126" spans="1:6" ht="20.100000000000001" customHeight="1">
      <c r="A126" s="33"/>
      <c r="B126" s="216"/>
      <c r="C126" s="91"/>
      <c r="D126" s="66"/>
      <c r="E126" s="63"/>
    </row>
    <row r="127" spans="1:6" ht="20.100000000000001" customHeight="1">
      <c r="A127" s="33"/>
      <c r="B127" s="228" t="s">
        <v>242</v>
      </c>
      <c r="C127" s="61"/>
      <c r="D127" s="66"/>
      <c r="E127" s="36"/>
    </row>
    <row r="128" spans="1:6" ht="20.100000000000001" customHeight="1">
      <c r="A128" s="33">
        <v>1</v>
      </c>
      <c r="B128" s="226" t="s">
        <v>243</v>
      </c>
      <c r="C128" s="61" t="s">
        <v>244</v>
      </c>
      <c r="D128" s="66" t="s">
        <v>43</v>
      </c>
      <c r="E128" s="36">
        <v>150000</v>
      </c>
    </row>
    <row r="129" spans="1:5" ht="20.100000000000001" customHeight="1">
      <c r="A129" s="33">
        <v>2</v>
      </c>
      <c r="B129" s="226" t="s">
        <v>245</v>
      </c>
      <c r="C129" s="61" t="s">
        <v>246</v>
      </c>
      <c r="D129" s="66" t="s">
        <v>43</v>
      </c>
      <c r="E129" s="36">
        <v>150000</v>
      </c>
    </row>
    <row r="130" spans="1:5" ht="20.100000000000001" customHeight="1">
      <c r="A130" s="33">
        <v>3</v>
      </c>
      <c r="B130" s="226" t="s">
        <v>247</v>
      </c>
      <c r="C130" s="61" t="s">
        <v>248</v>
      </c>
      <c r="D130" s="66" t="s">
        <v>227</v>
      </c>
      <c r="E130" s="36">
        <v>70000</v>
      </c>
    </row>
    <row r="131" spans="1:5" ht="20.100000000000001" customHeight="1">
      <c r="A131" s="33">
        <v>4</v>
      </c>
      <c r="B131" s="230" t="s">
        <v>249</v>
      </c>
      <c r="C131" s="20" t="s">
        <v>250</v>
      </c>
      <c r="D131" s="25" t="s">
        <v>54</v>
      </c>
      <c r="E131" s="36">
        <v>70000</v>
      </c>
    </row>
    <row r="132" spans="1:5" ht="20.100000000000001" customHeight="1">
      <c r="A132" s="33">
        <v>5</v>
      </c>
      <c r="B132" s="230" t="s">
        <v>251</v>
      </c>
      <c r="C132" s="20" t="s">
        <v>252</v>
      </c>
      <c r="D132" s="25" t="s">
        <v>54</v>
      </c>
      <c r="E132" s="36">
        <v>70000</v>
      </c>
    </row>
    <row r="133" spans="1:5" ht="20.100000000000001" customHeight="1">
      <c r="A133" s="33">
        <v>6</v>
      </c>
      <c r="B133" s="226" t="s">
        <v>253</v>
      </c>
      <c r="C133" s="61" t="s">
        <v>254</v>
      </c>
      <c r="D133" s="66" t="s">
        <v>66</v>
      </c>
      <c r="E133" s="36">
        <f>50000</f>
        <v>50000</v>
      </c>
    </row>
    <row r="134" spans="1:5" ht="20.100000000000001" customHeight="1">
      <c r="A134" s="33">
        <v>7</v>
      </c>
      <c r="B134" s="226" t="s">
        <v>255</v>
      </c>
      <c r="C134" s="33" t="s">
        <v>256</v>
      </c>
      <c r="D134" s="66" t="s">
        <v>66</v>
      </c>
      <c r="E134" s="36">
        <f>50000</f>
        <v>50000</v>
      </c>
    </row>
    <row r="135" spans="1:5" ht="20.100000000000001" customHeight="1">
      <c r="A135" s="33">
        <v>8</v>
      </c>
      <c r="B135" s="226" t="s">
        <v>257</v>
      </c>
      <c r="C135" s="33" t="s">
        <v>258</v>
      </c>
      <c r="D135" s="66" t="s">
        <v>98</v>
      </c>
      <c r="E135" s="36">
        <f>50000</f>
        <v>50000</v>
      </c>
    </row>
    <row r="136" spans="1:5" ht="20.100000000000001" customHeight="1">
      <c r="A136" s="33">
        <v>9</v>
      </c>
      <c r="B136" s="223" t="s">
        <v>259</v>
      </c>
      <c r="C136" s="61" t="s">
        <v>260</v>
      </c>
      <c r="D136" s="66" t="s">
        <v>85</v>
      </c>
      <c r="E136" s="36">
        <v>30000</v>
      </c>
    </row>
    <row r="137" spans="1:5" ht="20.100000000000001" customHeight="1">
      <c r="A137" s="33">
        <v>10</v>
      </c>
      <c r="B137" s="226" t="s">
        <v>261</v>
      </c>
      <c r="C137" s="61" t="s">
        <v>260</v>
      </c>
      <c r="D137" s="66" t="s">
        <v>85</v>
      </c>
      <c r="E137" s="36">
        <v>30000</v>
      </c>
    </row>
    <row r="138" spans="1:5" ht="20.100000000000001" customHeight="1">
      <c r="A138" s="33">
        <v>11</v>
      </c>
      <c r="B138" s="223" t="s">
        <v>262</v>
      </c>
      <c r="C138" s="33" t="s">
        <v>258</v>
      </c>
      <c r="D138" s="66" t="s">
        <v>85</v>
      </c>
      <c r="E138" s="36">
        <v>30000</v>
      </c>
    </row>
    <row r="139" spans="1:5" ht="20.100000000000001" customHeight="1">
      <c r="A139" s="33">
        <v>12</v>
      </c>
      <c r="B139" s="223" t="s">
        <v>263</v>
      </c>
      <c r="C139" s="33" t="s">
        <v>264</v>
      </c>
      <c r="D139" s="66" t="s">
        <v>82</v>
      </c>
      <c r="E139" s="36">
        <v>30000</v>
      </c>
    </row>
    <row r="140" spans="1:5" ht="20.100000000000001" customHeight="1">
      <c r="A140" s="33">
        <v>13</v>
      </c>
      <c r="B140" s="223" t="s">
        <v>265</v>
      </c>
      <c r="C140" s="61" t="s">
        <v>266</v>
      </c>
      <c r="D140" s="66" t="s">
        <v>103</v>
      </c>
      <c r="E140" s="36">
        <v>30000</v>
      </c>
    </row>
    <row r="141" spans="1:5" ht="20.100000000000001" customHeight="1">
      <c r="A141" s="33">
        <v>14</v>
      </c>
      <c r="B141" s="223" t="s">
        <v>267</v>
      </c>
      <c r="C141" s="61" t="s">
        <v>268</v>
      </c>
      <c r="D141" s="66" t="s">
        <v>82</v>
      </c>
      <c r="E141" s="36">
        <v>30000</v>
      </c>
    </row>
    <row r="142" spans="1:5" ht="20.100000000000001" customHeight="1">
      <c r="A142" s="33">
        <v>15</v>
      </c>
      <c r="B142" s="223" t="s">
        <v>269</v>
      </c>
      <c r="C142" s="33" t="s">
        <v>264</v>
      </c>
      <c r="D142" s="66" t="s">
        <v>95</v>
      </c>
      <c r="E142" s="36">
        <v>30000</v>
      </c>
    </row>
    <row r="143" spans="1:5" ht="20.100000000000001" customHeight="1">
      <c r="A143" s="33">
        <v>16</v>
      </c>
      <c r="B143" s="223" t="s">
        <v>270</v>
      </c>
      <c r="C143" s="33" t="s">
        <v>264</v>
      </c>
      <c r="D143" s="66" t="s">
        <v>95</v>
      </c>
      <c r="E143" s="36">
        <v>30000</v>
      </c>
    </row>
    <row r="144" spans="1:5" ht="20.100000000000001" customHeight="1">
      <c r="A144" s="33">
        <v>17</v>
      </c>
      <c r="B144" s="223" t="s">
        <v>271</v>
      </c>
      <c r="C144" s="33" t="s">
        <v>264</v>
      </c>
      <c r="D144" s="66" t="s">
        <v>95</v>
      </c>
      <c r="E144" s="36">
        <v>30000</v>
      </c>
    </row>
    <row r="145" spans="1:5" ht="20.100000000000001" customHeight="1">
      <c r="A145" s="33">
        <v>18</v>
      </c>
      <c r="B145" s="223" t="s">
        <v>274</v>
      </c>
      <c r="C145" s="61" t="s">
        <v>268</v>
      </c>
      <c r="D145" s="66" t="s">
        <v>106</v>
      </c>
      <c r="E145" s="36">
        <v>30000</v>
      </c>
    </row>
    <row r="146" spans="1:5" ht="20.100000000000001" customHeight="1">
      <c r="A146" s="33">
        <v>19</v>
      </c>
      <c r="B146" s="223" t="s">
        <v>275</v>
      </c>
      <c r="C146" s="61" t="s">
        <v>276</v>
      </c>
      <c r="D146" s="66" t="s">
        <v>106</v>
      </c>
      <c r="E146" s="36">
        <v>30000</v>
      </c>
    </row>
    <row r="147" spans="1:5" ht="20.100000000000001" customHeight="1">
      <c r="A147" s="33">
        <v>20</v>
      </c>
      <c r="B147" s="223" t="s">
        <v>277</v>
      </c>
      <c r="C147" s="61" t="s">
        <v>268</v>
      </c>
      <c r="D147" s="66" t="s">
        <v>106</v>
      </c>
      <c r="E147" s="36">
        <v>30000</v>
      </c>
    </row>
    <row r="148" spans="1:5" ht="20.100000000000001" customHeight="1">
      <c r="A148" s="33">
        <v>21</v>
      </c>
      <c r="B148" s="223" t="s">
        <v>278</v>
      </c>
      <c r="C148" s="61" t="s">
        <v>279</v>
      </c>
      <c r="D148" s="66" t="s">
        <v>106</v>
      </c>
      <c r="E148" s="36">
        <v>30000</v>
      </c>
    </row>
    <row r="149" spans="1:5" ht="20.100000000000001" customHeight="1">
      <c r="A149" s="33">
        <v>22</v>
      </c>
      <c r="B149" s="214" t="s">
        <v>280</v>
      </c>
      <c r="C149" s="61" t="s">
        <v>281</v>
      </c>
      <c r="D149" s="66" t="s">
        <v>108</v>
      </c>
      <c r="E149" s="36">
        <v>30000</v>
      </c>
    </row>
    <row r="150" spans="1:5" ht="20.100000000000001" customHeight="1">
      <c r="A150" s="33">
        <v>23</v>
      </c>
      <c r="B150" s="214" t="s">
        <v>282</v>
      </c>
      <c r="C150" s="61" t="s">
        <v>268</v>
      </c>
      <c r="D150" s="66" t="s">
        <v>93</v>
      </c>
      <c r="E150" s="36">
        <v>30000</v>
      </c>
    </row>
    <row r="151" spans="1:5" ht="20.100000000000001" customHeight="1">
      <c r="A151" s="33">
        <v>24</v>
      </c>
      <c r="B151" s="214" t="s">
        <v>283</v>
      </c>
      <c r="C151" s="61" t="s">
        <v>281</v>
      </c>
      <c r="D151" s="66" t="s">
        <v>93</v>
      </c>
      <c r="E151" s="36">
        <v>30000</v>
      </c>
    </row>
    <row r="152" spans="1:5" ht="20.100000000000001" customHeight="1">
      <c r="A152" s="33">
        <v>25</v>
      </c>
      <c r="B152" s="214" t="s">
        <v>284</v>
      </c>
      <c r="C152" s="61" t="s">
        <v>268</v>
      </c>
      <c r="D152" s="66" t="s">
        <v>93</v>
      </c>
      <c r="E152" s="36">
        <v>30000</v>
      </c>
    </row>
    <row r="153" spans="1:5" ht="20.100000000000001" customHeight="1">
      <c r="A153" s="33">
        <v>26</v>
      </c>
      <c r="B153" s="226" t="s">
        <v>286</v>
      </c>
      <c r="C153" s="61" t="s">
        <v>287</v>
      </c>
      <c r="D153" s="66" t="s">
        <v>288</v>
      </c>
      <c r="E153" s="36">
        <v>20000</v>
      </c>
    </row>
    <row r="154" spans="1:5" ht="20.100000000000001" customHeight="1">
      <c r="A154" s="33">
        <v>27</v>
      </c>
      <c r="B154" s="226" t="s">
        <v>289</v>
      </c>
      <c r="C154" s="61" t="s">
        <v>287</v>
      </c>
      <c r="D154" s="66" t="s">
        <v>288</v>
      </c>
      <c r="E154" s="36">
        <v>20000</v>
      </c>
    </row>
    <row r="155" spans="1:5" ht="20.100000000000001" customHeight="1">
      <c r="A155" s="33">
        <v>28</v>
      </c>
      <c r="B155" s="226" t="s">
        <v>290</v>
      </c>
      <c r="C155" s="61" t="s">
        <v>287</v>
      </c>
      <c r="D155" s="66" t="s">
        <v>288</v>
      </c>
      <c r="E155" s="36">
        <v>20000</v>
      </c>
    </row>
    <row r="156" spans="1:5" ht="20.100000000000001" customHeight="1">
      <c r="A156" s="33">
        <v>29</v>
      </c>
      <c r="B156" s="226" t="s">
        <v>291</v>
      </c>
      <c r="C156" s="61" t="s">
        <v>287</v>
      </c>
      <c r="D156" s="66" t="s">
        <v>288</v>
      </c>
      <c r="E156" s="36">
        <v>20000</v>
      </c>
    </row>
    <row r="157" spans="1:5" ht="20.100000000000001" customHeight="1">
      <c r="A157" s="33">
        <v>30</v>
      </c>
      <c r="B157" s="226" t="s">
        <v>292</v>
      </c>
      <c r="C157" s="61" t="s">
        <v>287</v>
      </c>
      <c r="D157" s="66" t="s">
        <v>288</v>
      </c>
      <c r="E157" s="36">
        <v>20000</v>
      </c>
    </row>
    <row r="158" spans="1:5" ht="20.100000000000001" customHeight="1">
      <c r="A158" s="33">
        <v>31</v>
      </c>
      <c r="B158" s="226" t="s">
        <v>293</v>
      </c>
      <c r="C158" s="61" t="s">
        <v>287</v>
      </c>
      <c r="D158" s="66" t="s">
        <v>288</v>
      </c>
      <c r="E158" s="36">
        <v>20000</v>
      </c>
    </row>
    <row r="159" spans="1:5" ht="20.100000000000001" customHeight="1">
      <c r="A159" s="33">
        <v>32</v>
      </c>
      <c r="B159" s="226" t="s">
        <v>294</v>
      </c>
      <c r="C159" s="61" t="s">
        <v>287</v>
      </c>
      <c r="D159" s="66" t="s">
        <v>288</v>
      </c>
      <c r="E159" s="36">
        <v>20000</v>
      </c>
    </row>
    <row r="160" spans="1:5" ht="20.100000000000001" customHeight="1">
      <c r="A160" s="33">
        <v>33</v>
      </c>
      <c r="B160" s="226" t="s">
        <v>295</v>
      </c>
      <c r="C160" s="61" t="s">
        <v>296</v>
      </c>
      <c r="D160" s="66" t="s">
        <v>297</v>
      </c>
      <c r="E160" s="36">
        <v>20000</v>
      </c>
    </row>
    <row r="161" spans="1:5" ht="20.100000000000001" customHeight="1">
      <c r="A161" s="33">
        <v>34</v>
      </c>
      <c r="B161" s="226" t="s">
        <v>298</v>
      </c>
      <c r="C161" s="61" t="s">
        <v>296</v>
      </c>
      <c r="D161" s="66" t="s">
        <v>297</v>
      </c>
      <c r="E161" s="36">
        <v>20000</v>
      </c>
    </row>
    <row r="162" spans="1:5" ht="20.100000000000001" customHeight="1">
      <c r="A162" s="33">
        <v>35</v>
      </c>
      <c r="B162" s="226" t="s">
        <v>299</v>
      </c>
      <c r="C162" s="61" t="s">
        <v>296</v>
      </c>
      <c r="D162" s="66" t="s">
        <v>297</v>
      </c>
      <c r="E162" s="36">
        <v>20000</v>
      </c>
    </row>
    <row r="163" spans="1:5" ht="20.100000000000001" customHeight="1">
      <c r="A163" s="33">
        <v>36</v>
      </c>
      <c r="B163" s="217" t="s">
        <v>300</v>
      </c>
      <c r="C163" s="61" t="s">
        <v>296</v>
      </c>
      <c r="D163" s="66" t="s">
        <v>297</v>
      </c>
      <c r="E163" s="36">
        <v>20000</v>
      </c>
    </row>
    <row r="164" spans="1:5" ht="20.100000000000001" customHeight="1">
      <c r="A164" s="33">
        <v>37</v>
      </c>
      <c r="B164" s="223" t="s">
        <v>301</v>
      </c>
      <c r="C164" s="61" t="s">
        <v>296</v>
      </c>
      <c r="D164" s="66" t="s">
        <v>297</v>
      </c>
      <c r="E164" s="36">
        <v>20000</v>
      </c>
    </row>
    <row r="165" spans="1:5" ht="20.100000000000001" customHeight="1">
      <c r="A165" s="33">
        <v>38</v>
      </c>
      <c r="B165" s="221" t="s">
        <v>302</v>
      </c>
      <c r="C165" s="61" t="s">
        <v>296</v>
      </c>
      <c r="D165" s="66" t="s">
        <v>297</v>
      </c>
      <c r="E165" s="36">
        <v>20000</v>
      </c>
    </row>
    <row r="166" spans="1:5" ht="20.100000000000001" customHeight="1">
      <c r="A166" s="33">
        <v>39</v>
      </c>
      <c r="B166" s="221" t="s">
        <v>303</v>
      </c>
      <c r="C166" s="61" t="s">
        <v>296</v>
      </c>
      <c r="D166" s="66" t="s">
        <v>297</v>
      </c>
      <c r="E166" s="36">
        <v>20000</v>
      </c>
    </row>
    <row r="167" spans="1:5" ht="20.100000000000001" customHeight="1">
      <c r="A167" s="33">
        <v>40</v>
      </c>
      <c r="B167" s="223" t="s">
        <v>304</v>
      </c>
      <c r="C167" s="61" t="s">
        <v>296</v>
      </c>
      <c r="D167" s="66" t="s">
        <v>305</v>
      </c>
      <c r="E167" s="36">
        <v>20000</v>
      </c>
    </row>
    <row r="168" spans="1:5" ht="20.100000000000001" customHeight="1">
      <c r="A168" s="33">
        <v>41</v>
      </c>
      <c r="B168" s="223" t="s">
        <v>306</v>
      </c>
      <c r="C168" s="61" t="s">
        <v>296</v>
      </c>
      <c r="D168" s="66" t="s">
        <v>305</v>
      </c>
      <c r="E168" s="36">
        <v>20000</v>
      </c>
    </row>
    <row r="169" spans="1:5" ht="20.100000000000001" customHeight="1">
      <c r="A169" s="33">
        <v>42</v>
      </c>
      <c r="B169" s="221" t="s">
        <v>307</v>
      </c>
      <c r="C169" s="61" t="s">
        <v>296</v>
      </c>
      <c r="D169" s="66" t="s">
        <v>308</v>
      </c>
      <c r="E169" s="36">
        <v>20000</v>
      </c>
    </row>
    <row r="170" spans="1:5" ht="20.100000000000001" customHeight="1">
      <c r="A170" s="33">
        <v>43</v>
      </c>
      <c r="B170" s="223" t="s">
        <v>309</v>
      </c>
      <c r="C170" s="61" t="s">
        <v>296</v>
      </c>
      <c r="D170" s="66" t="s">
        <v>310</v>
      </c>
      <c r="E170" s="36">
        <v>20000</v>
      </c>
    </row>
    <row r="171" spans="1:5" ht="20.100000000000001" customHeight="1">
      <c r="A171" s="33">
        <v>44</v>
      </c>
      <c r="B171" s="223" t="s">
        <v>311</v>
      </c>
      <c r="C171" s="61" t="s">
        <v>312</v>
      </c>
      <c r="D171" s="66" t="s">
        <v>313</v>
      </c>
      <c r="E171" s="36">
        <v>20000</v>
      </c>
    </row>
    <row r="172" spans="1:5" ht="20.100000000000001" customHeight="1">
      <c r="A172" s="33">
        <v>45</v>
      </c>
      <c r="B172" s="223" t="s">
        <v>314</v>
      </c>
      <c r="C172" s="61" t="s">
        <v>312</v>
      </c>
      <c r="D172" s="66" t="s">
        <v>313</v>
      </c>
      <c r="E172" s="36">
        <v>20000</v>
      </c>
    </row>
    <row r="173" spans="1:5" ht="20.100000000000001" customHeight="1">
      <c r="A173" s="33">
        <v>46</v>
      </c>
      <c r="B173" s="223" t="s">
        <v>315</v>
      </c>
      <c r="C173" s="61" t="s">
        <v>312</v>
      </c>
      <c r="D173" s="66" t="s">
        <v>313</v>
      </c>
      <c r="E173" s="36">
        <v>20000</v>
      </c>
    </row>
    <row r="174" spans="1:5" ht="20.100000000000001" customHeight="1">
      <c r="A174" s="33">
        <v>47</v>
      </c>
      <c r="B174" s="223" t="s">
        <v>316</v>
      </c>
      <c r="C174" s="61" t="s">
        <v>312</v>
      </c>
      <c r="D174" s="66" t="s">
        <v>313</v>
      </c>
      <c r="E174" s="36">
        <v>20000</v>
      </c>
    </row>
    <row r="175" spans="1:5" ht="20.100000000000001" customHeight="1">
      <c r="A175" s="33">
        <v>48</v>
      </c>
      <c r="B175" s="223" t="s">
        <v>317</v>
      </c>
      <c r="C175" s="61" t="s">
        <v>312</v>
      </c>
      <c r="D175" s="66" t="s">
        <v>313</v>
      </c>
      <c r="E175" s="36">
        <v>20000</v>
      </c>
    </row>
    <row r="176" spans="1:5" ht="20.100000000000001" customHeight="1">
      <c r="A176" s="33">
        <v>49</v>
      </c>
      <c r="B176" s="226" t="s">
        <v>318</v>
      </c>
      <c r="C176" s="61" t="s">
        <v>312</v>
      </c>
      <c r="D176" s="66" t="s">
        <v>319</v>
      </c>
      <c r="E176" s="36">
        <v>20000</v>
      </c>
    </row>
    <row r="177" spans="1:6" ht="20.100000000000001" customHeight="1">
      <c r="A177" s="33">
        <v>50</v>
      </c>
      <c r="B177" s="226" t="s">
        <v>320</v>
      </c>
      <c r="C177" s="61" t="s">
        <v>312</v>
      </c>
      <c r="D177" s="66" t="s">
        <v>319</v>
      </c>
      <c r="E177" s="36">
        <v>20000</v>
      </c>
    </row>
    <row r="178" spans="1:6" ht="20.100000000000001" customHeight="1">
      <c r="A178" s="33">
        <v>51</v>
      </c>
      <c r="B178" s="221" t="s">
        <v>321</v>
      </c>
      <c r="C178" s="61" t="s">
        <v>312</v>
      </c>
      <c r="D178" s="66" t="s">
        <v>319</v>
      </c>
      <c r="E178" s="36">
        <v>20000</v>
      </c>
    </row>
    <row r="179" spans="1:6" ht="20.100000000000001" customHeight="1">
      <c r="A179" s="33">
        <v>52</v>
      </c>
      <c r="B179" s="221" t="s">
        <v>322</v>
      </c>
      <c r="C179" s="61" t="s">
        <v>312</v>
      </c>
      <c r="D179" s="66" t="s">
        <v>323</v>
      </c>
      <c r="E179" s="36">
        <v>20000</v>
      </c>
    </row>
    <row r="180" spans="1:6" ht="20.100000000000001" customHeight="1">
      <c r="A180" s="33">
        <v>53</v>
      </c>
      <c r="B180" s="221" t="s">
        <v>324</v>
      </c>
      <c r="C180" s="61" t="s">
        <v>312</v>
      </c>
      <c r="D180" s="66" t="s">
        <v>325</v>
      </c>
      <c r="E180" s="36">
        <v>20000</v>
      </c>
    </row>
    <row r="181" spans="1:6" ht="20.100000000000001" customHeight="1">
      <c r="A181" s="33">
        <v>54</v>
      </c>
      <c r="B181" s="221" t="s">
        <v>326</v>
      </c>
      <c r="C181" s="61" t="s">
        <v>312</v>
      </c>
      <c r="D181" s="66" t="s">
        <v>323</v>
      </c>
      <c r="E181" s="36">
        <v>20000</v>
      </c>
    </row>
    <row r="182" spans="1:6" ht="20.100000000000001" customHeight="1">
      <c r="A182" s="33"/>
      <c r="B182" s="48" t="s">
        <v>34</v>
      </c>
      <c r="C182" s="49" t="s">
        <v>409</v>
      </c>
      <c r="D182" s="37"/>
      <c r="E182" s="95">
        <f>SUM(E128:E181)</f>
        <v>1750000</v>
      </c>
      <c r="F182" s="34"/>
    </row>
    <row r="183" spans="1:6" ht="20.100000000000001" customHeight="1">
      <c r="A183" s="33"/>
      <c r="B183" s="46" t="s">
        <v>410</v>
      </c>
      <c r="C183" s="73">
        <f>C39+C43+C55+C60+C74+C84+C95+C102+C113+C125+C182</f>
        <v>144</v>
      </c>
      <c r="D183" s="40"/>
      <c r="E183" s="41">
        <f>E39+E43+E55+E60+E74+E84+E95+E102+E113+E125+E182</f>
        <v>7230000</v>
      </c>
      <c r="F183" s="34"/>
    </row>
    <row r="184" spans="1:6" ht="20.100000000000001" customHeight="1">
      <c r="A184" s="33"/>
      <c r="B184" s="46" t="s">
        <v>411</v>
      </c>
      <c r="C184" s="46"/>
      <c r="D184" s="70"/>
      <c r="E184" s="71">
        <f>E183+'[4]Salah Welfare'!$K$77</f>
        <v>8690000</v>
      </c>
    </row>
    <row r="185" spans="1:6" ht="20.100000000000001" customHeight="1">
      <c r="A185" s="33"/>
      <c r="B185" s="70"/>
      <c r="C185" s="242"/>
      <c r="D185" s="242"/>
      <c r="E185" s="71"/>
    </row>
    <row r="186" spans="1:6" ht="20.100000000000001" customHeight="1">
      <c r="A186" s="33"/>
      <c r="B186" s="70"/>
      <c r="C186" s="242"/>
      <c r="D186" s="242"/>
      <c r="E186" s="71"/>
    </row>
    <row r="187" spans="1:6" ht="20.100000000000001" customHeight="1">
      <c r="B187" s="4"/>
      <c r="C187" s="4"/>
      <c r="D187" s="4"/>
      <c r="E187" s="4"/>
    </row>
    <row r="188" spans="1:6" ht="20.100000000000001" customHeight="1">
      <c r="B188" s="4"/>
      <c r="C188" s="4"/>
      <c r="D188" s="4"/>
      <c r="E188" s="4"/>
    </row>
    <row r="189" spans="1:6" ht="20.100000000000001" customHeight="1">
      <c r="C189" s="4"/>
      <c r="D189" s="4"/>
      <c r="E189" s="4"/>
    </row>
    <row r="221" spans="5:5" ht="20.100000000000001" customHeight="1">
      <c r="E221" s="1">
        <v>3.3333333333333297E+113</v>
      </c>
    </row>
    <row r="256" spans="5:5" ht="20.100000000000001" customHeight="1">
      <c r="E256" s="1">
        <v>3</v>
      </c>
    </row>
    <row r="271" spans="5:5" ht="20.100000000000001" customHeight="1">
      <c r="E271" s="238" t="s">
        <v>412</v>
      </c>
    </row>
    <row r="296" spans="5:5" ht="20.100000000000001" customHeight="1">
      <c r="E296" s="1" t="s">
        <v>413</v>
      </c>
    </row>
    <row r="982" spans="5:5" ht="20.100000000000001" customHeight="1">
      <c r="E982" s="1" t="s">
        <v>413</v>
      </c>
    </row>
    <row r="992" spans="5:5" ht="20.100000000000001" customHeight="1">
      <c r="E992" s="1" t="s">
        <v>413</v>
      </c>
    </row>
  </sheetData>
  <mergeCells count="3">
    <mergeCell ref="B3:D3"/>
    <mergeCell ref="C185:C186"/>
    <mergeCell ref="D185:D186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9" max="26" man="1"/>
    <brk id="74" max="26" man="1"/>
    <brk id="113" max="26" man="1"/>
    <brk id="153" max="2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25"/>
  <sheetViews>
    <sheetView workbookViewId="0">
      <selection activeCell="C26" sqref="C26"/>
    </sheetView>
  </sheetViews>
  <sheetFormatPr defaultRowHeight="12.75"/>
  <cols>
    <col min="2" max="2" width="19.42578125" customWidth="1"/>
    <col min="3" max="3" width="14.5703125" customWidth="1"/>
  </cols>
  <sheetData>
    <row r="2" spans="1:4" ht="15.75">
      <c r="A2" s="4" t="s">
        <v>414</v>
      </c>
      <c r="B2" s="4"/>
      <c r="C2" s="4"/>
      <c r="D2" s="4"/>
    </row>
    <row r="3" spans="1:4" ht="15.75">
      <c r="A3" s="4"/>
      <c r="B3" s="4"/>
      <c r="C3" s="4"/>
      <c r="D3" s="4"/>
    </row>
    <row r="4" spans="1:4" ht="15.75">
      <c r="A4" s="4">
        <v>1</v>
      </c>
      <c r="B4" s="4" t="s">
        <v>415</v>
      </c>
      <c r="C4" s="163">
        <f>100000</f>
        <v>100000</v>
      </c>
      <c r="D4" s="4"/>
    </row>
    <row r="5" spans="1:4" ht="15.75">
      <c r="A5" s="4">
        <v>2</v>
      </c>
      <c r="B5" s="4" t="s">
        <v>416</v>
      </c>
      <c r="C5" s="163">
        <v>50000</v>
      </c>
      <c r="D5" s="4"/>
    </row>
    <row r="6" spans="1:4" ht="15.75">
      <c r="A6" s="4">
        <v>3</v>
      </c>
      <c r="B6" s="4" t="s">
        <v>417</v>
      </c>
      <c r="C6" s="163">
        <v>100000</v>
      </c>
      <c r="D6" s="4"/>
    </row>
    <row r="7" spans="1:4" ht="15.75">
      <c r="A7" s="4">
        <v>4</v>
      </c>
      <c r="B7" s="4" t="s">
        <v>418</v>
      </c>
      <c r="C7" s="163">
        <f>50000</f>
        <v>50000</v>
      </c>
      <c r="D7" s="4"/>
    </row>
    <row r="8" spans="1:4" ht="15.75">
      <c r="A8" s="4">
        <v>5</v>
      </c>
      <c r="B8" s="4" t="s">
        <v>419</v>
      </c>
      <c r="C8" s="163">
        <f>140000</f>
        <v>140000</v>
      </c>
      <c r="D8" s="4"/>
    </row>
    <row r="9" spans="1:4" ht="15.75">
      <c r="A9" s="4">
        <v>6</v>
      </c>
      <c r="B9" s="4" t="s">
        <v>420</v>
      </c>
      <c r="C9" s="163">
        <f>10000</f>
        <v>10000</v>
      </c>
      <c r="D9" s="4"/>
    </row>
    <row r="10" spans="1:4" ht="15.75">
      <c r="A10" s="4"/>
      <c r="B10" s="4"/>
      <c r="C10" s="164">
        <f>SUM(C4:C9)</f>
        <v>450000</v>
      </c>
      <c r="D10" s="4"/>
    </row>
    <row r="11" spans="1:4" ht="15.75">
      <c r="B11" s="4" t="s">
        <v>421</v>
      </c>
      <c r="C11" s="88"/>
    </row>
    <row r="12" spans="1:4" ht="15.75">
      <c r="A12" s="4">
        <v>1</v>
      </c>
      <c r="B12" s="4" t="s">
        <v>420</v>
      </c>
      <c r="C12" s="88">
        <f>45283</f>
        <v>45283</v>
      </c>
    </row>
    <row r="13" spans="1:4" ht="15.75">
      <c r="A13" s="4">
        <v>2</v>
      </c>
      <c r="B13" s="4" t="s">
        <v>422</v>
      </c>
      <c r="C13" s="88">
        <f>35436</f>
        <v>35436</v>
      </c>
    </row>
    <row r="14" spans="1:4">
      <c r="C14" s="165">
        <f>SUM(C11:C13)</f>
        <v>80719</v>
      </c>
    </row>
    <row r="16" spans="1:4" ht="15.75">
      <c r="B16" s="4" t="s">
        <v>423</v>
      </c>
    </row>
    <row r="17" spans="2:3" ht="15.75">
      <c r="B17" s="4" t="s">
        <v>424</v>
      </c>
      <c r="C17" s="88">
        <f>33074.51</f>
        <v>33074.51</v>
      </c>
    </row>
    <row r="18" spans="2:3" ht="15.75">
      <c r="B18" s="4" t="s">
        <v>425</v>
      </c>
      <c r="C18" s="88">
        <f>148722.77</f>
        <v>148722.76999999999</v>
      </c>
    </row>
    <row r="19" spans="2:3">
      <c r="C19" s="165">
        <f>SUM(C17:C18)</f>
        <v>181797.28</v>
      </c>
    </row>
    <row r="21" spans="2:3" ht="15.75">
      <c r="B21" s="4" t="s">
        <v>426</v>
      </c>
    </row>
    <row r="22" spans="2:3" ht="15.75">
      <c r="B22" s="4" t="s">
        <v>427</v>
      </c>
      <c r="C22">
        <f>925433.08</f>
        <v>925433.08</v>
      </c>
    </row>
    <row r="23" spans="2:3" ht="15.75">
      <c r="B23" s="4" t="s">
        <v>428</v>
      </c>
      <c r="C23" s="88">
        <f>451465+90000</f>
        <v>541465</v>
      </c>
    </row>
    <row r="24" spans="2:3" ht="15.75">
      <c r="B24" s="4" t="s">
        <v>429</v>
      </c>
      <c r="C24" s="89">
        <f>C22-C23</f>
        <v>383968.07999999996</v>
      </c>
    </row>
    <row r="25" spans="2:3" ht="15.75">
      <c r="B25" s="4" t="s">
        <v>430</v>
      </c>
      <c r="C25" s="166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67"/>
  <sheetViews>
    <sheetView zoomScaleNormal="100" zoomScaleSheetLayoutView="100" workbookViewId="0">
      <pane xSplit="4" ySplit="8" topLeftCell="E9" activePane="bottomRight" state="frozen"/>
      <selection pane="bottomRight" activeCell="AD61" sqref="AD61:AE6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2.28515625" style="1" customWidth="1"/>
    <col min="4" max="4" width="30" style="1" customWidth="1"/>
    <col min="5" max="5" width="12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5.7109375" style="1" hidden="1" customWidth="1"/>
    <col min="16" max="16" width="35.7109375" style="1" hidden="1" customWidth="1"/>
    <col min="17" max="17" width="16" style="1" hidden="1" customWidth="1"/>
    <col min="18" max="18" width="20" style="1" hidden="1" customWidth="1"/>
    <col min="19" max="19" width="21.42578125" style="1" customWidth="1"/>
    <col min="20" max="20" width="21.42578125" style="1" hidden="1" customWidth="1"/>
    <col min="21" max="21" width="21.28515625" style="1" hidden="1" customWidth="1"/>
    <col min="22" max="22" width="20.42578125" style="1" hidden="1" customWidth="1"/>
    <col min="23" max="23" width="14.42578125" style="1" hidden="1" customWidth="1"/>
    <col min="24" max="24" width="19.5703125" style="1" hidden="1" customWidth="1"/>
    <col min="25" max="25" width="20.7109375" style="1" hidden="1" customWidth="1"/>
    <col min="26" max="26" width="23.85546875" style="1" hidden="1" customWidth="1"/>
    <col min="27" max="27" width="21" style="1" hidden="1" customWidth="1"/>
    <col min="28" max="28" width="9.7109375" style="1" customWidth="1"/>
    <col min="29" max="29" width="18.42578125" style="1" customWidth="1"/>
    <col min="30" max="30" width="19.85546875" style="1" customWidth="1"/>
    <col min="31" max="32" width="15.7109375" style="1" customWidth="1"/>
    <col min="33" max="33" width="14.140625" style="1" customWidth="1"/>
    <col min="34" max="34" width="15.5703125" style="1" customWidth="1"/>
    <col min="35" max="35" width="14.5703125" style="1" customWidth="1"/>
    <col min="36" max="36" width="9.140625" style="1"/>
    <col min="37" max="37" width="16.28515625" style="1" customWidth="1"/>
    <col min="38" max="16384" width="9.140625" style="1"/>
  </cols>
  <sheetData>
    <row r="1" spans="1:37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7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7" ht="20.100000000000001" customHeight="1">
      <c r="B3" s="240" t="s">
        <v>431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7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7" ht="20.100000000000001" customHeight="1">
      <c r="B5" s="240" t="s">
        <v>432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39" t="s">
        <v>3</v>
      </c>
      <c r="V5" s="239"/>
      <c r="W5" s="239"/>
      <c r="X5" s="239"/>
      <c r="Y5" s="239"/>
      <c r="Z5" s="56"/>
      <c r="AA5" s="56" t="s">
        <v>4</v>
      </c>
    </row>
    <row r="6" spans="1:37" ht="35.450000000000003" customHeight="1">
      <c r="A6" s="33"/>
      <c r="B6" s="285"/>
      <c r="C6" s="285"/>
      <c r="D6" s="58" t="s">
        <v>5</v>
      </c>
      <c r="E6" s="168" t="s">
        <v>433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387</v>
      </c>
      <c r="T6" s="2"/>
      <c r="U6" s="2"/>
      <c r="V6" s="2"/>
      <c r="W6" s="2"/>
      <c r="X6" s="7"/>
      <c r="Y6" s="7"/>
      <c r="Z6" s="7" t="s">
        <v>434</v>
      </c>
      <c r="AA6" s="158" t="s">
        <v>435</v>
      </c>
      <c r="AB6" s="168" t="s">
        <v>436</v>
      </c>
      <c r="AC6" s="2" t="s">
        <v>437</v>
      </c>
    </row>
    <row r="7" spans="1:37" ht="55.9" customHeight="1">
      <c r="A7" s="33"/>
      <c r="B7" s="286"/>
      <c r="C7" s="286"/>
      <c r="D7" s="58"/>
      <c r="E7" s="50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  <c r="AB7" s="174" t="s">
        <v>438</v>
      </c>
      <c r="AC7" s="2" t="s">
        <v>18</v>
      </c>
      <c r="AD7" s="173" t="s">
        <v>388</v>
      </c>
      <c r="AE7" s="173" t="s">
        <v>439</v>
      </c>
      <c r="AF7" s="173" t="s">
        <v>440</v>
      </c>
      <c r="AG7" s="57" t="s">
        <v>389</v>
      </c>
      <c r="AH7" s="57" t="s">
        <v>390</v>
      </c>
      <c r="AI7" s="57" t="s">
        <v>441</v>
      </c>
    </row>
    <row r="8" spans="1:37" ht="20.100000000000001" customHeight="1">
      <c r="A8" s="21" t="s">
        <v>35</v>
      </c>
      <c r="B8" s="287" t="s">
        <v>36</v>
      </c>
      <c r="C8" s="287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7" ht="20.100000000000001" customHeight="1">
      <c r="A9" s="3">
        <v>1</v>
      </c>
      <c r="B9" s="271" t="s">
        <v>64</v>
      </c>
      <c r="C9" s="272"/>
      <c r="D9" s="43" t="s">
        <v>442</v>
      </c>
      <c r="E9" s="44" t="s">
        <v>138</v>
      </c>
      <c r="F9" s="64">
        <f>25523.45</f>
        <v>25523.45</v>
      </c>
      <c r="G9" s="64"/>
      <c r="H9" s="64">
        <f t="shared" ref="H9:H10" si="0">F9*300%</f>
        <v>76570.350000000006</v>
      </c>
      <c r="I9" s="64">
        <f t="shared" ref="I9:I10" si="1">F9*7.5%</f>
        <v>1914.25875</v>
      </c>
      <c r="J9" s="64"/>
      <c r="K9" s="64">
        <f t="shared" ref="K9:K11" si="2">F9*50%</f>
        <v>12761.725</v>
      </c>
      <c r="L9" s="64">
        <f t="shared" ref="L9:L10" si="3">F9*350%</f>
        <v>89332.074999999997</v>
      </c>
      <c r="M9" s="64">
        <f t="shared" ref="M9:M10" si="4">F9*100%</f>
        <v>25523.45</v>
      </c>
      <c r="N9" s="27"/>
      <c r="O9" s="27">
        <f t="shared" ref="O9:O10" si="5">70000</f>
        <v>70000</v>
      </c>
      <c r="P9" s="64">
        <f t="shared" ref="P9:P10" si="6">F9*10%</f>
        <v>2552.3450000000003</v>
      </c>
      <c r="Q9" s="64">
        <v>15000</v>
      </c>
      <c r="R9" s="64">
        <v>50000</v>
      </c>
      <c r="S9" s="36">
        <f t="shared" ref="S9:S11" si="7">R9+Q9+P9+O9+N9+M9+L9+K9+J9+I9+H9+G9+F9</f>
        <v>369177.65375</v>
      </c>
      <c r="T9" s="65"/>
      <c r="U9" s="65">
        <v>50000</v>
      </c>
      <c r="V9" s="65">
        <f>150000</f>
        <v>150000</v>
      </c>
      <c r="W9" s="65">
        <v>0</v>
      </c>
      <c r="X9" s="65">
        <v>7709.76</v>
      </c>
      <c r="Y9" s="36">
        <f t="shared" ref="Y9:Y11" si="8">X9+W9+V9+U9+T9</f>
        <v>207709.76</v>
      </c>
      <c r="Z9" s="36">
        <v>160467.89374999999</v>
      </c>
      <c r="AA9" s="36">
        <f t="shared" ref="AA9:AA10" si="9">S9-Y9</f>
        <v>161467.89374999999</v>
      </c>
      <c r="AB9" s="34" t="s">
        <v>443</v>
      </c>
      <c r="AC9" s="42">
        <f>257211+70000+50000</f>
        <v>377211</v>
      </c>
      <c r="AD9" s="107">
        <f>AC9-S9</f>
        <v>8033.3462500000023</v>
      </c>
      <c r="AE9" s="107">
        <f>23/31*AD9</f>
        <v>5960.224637096776</v>
      </c>
      <c r="AF9" s="107">
        <f>AD9+AE9</f>
        <v>13993.570887096779</v>
      </c>
      <c r="AG9" s="62">
        <v>7709.76</v>
      </c>
      <c r="AH9" s="62">
        <v>7709.76</v>
      </c>
      <c r="AI9" s="177">
        <f>AH9-AG9</f>
        <v>0</v>
      </c>
      <c r="AK9" s="107">
        <f>AC9+AE9</f>
        <v>383171.22463709675</v>
      </c>
    </row>
    <row r="10" spans="1:37" ht="19.5" customHeight="1">
      <c r="A10" s="3">
        <v>2</v>
      </c>
      <c r="B10" s="271" t="s">
        <v>67</v>
      </c>
      <c r="C10" s="272"/>
      <c r="D10" s="33" t="s">
        <v>444</v>
      </c>
      <c r="E10" s="3" t="s">
        <v>73</v>
      </c>
      <c r="F10" s="62">
        <v>26339.3</v>
      </c>
      <c r="G10" s="62"/>
      <c r="H10" s="62">
        <f t="shared" si="0"/>
        <v>79017.899999999994</v>
      </c>
      <c r="I10" s="62">
        <f t="shared" si="1"/>
        <v>1975.4474999999998</v>
      </c>
      <c r="J10" s="62"/>
      <c r="K10" s="62">
        <f t="shared" si="2"/>
        <v>13169.65</v>
      </c>
      <c r="L10" s="36">
        <f t="shared" si="3"/>
        <v>92187.55</v>
      </c>
      <c r="M10" s="62">
        <f t="shared" si="4"/>
        <v>26339.3</v>
      </c>
      <c r="N10" s="27"/>
      <c r="O10" s="27">
        <f t="shared" si="5"/>
        <v>70000</v>
      </c>
      <c r="P10" s="62">
        <f t="shared" si="6"/>
        <v>2633.9300000000003</v>
      </c>
      <c r="Q10" s="62">
        <v>15000</v>
      </c>
      <c r="R10" s="62">
        <v>0</v>
      </c>
      <c r="S10" s="36">
        <f t="shared" si="7"/>
        <v>326663.07749999996</v>
      </c>
      <c r="T10" s="36"/>
      <c r="U10" s="36"/>
      <c r="V10" s="36"/>
      <c r="W10" s="36">
        <f>'[5]Jan 2021'!$H$28</f>
        <v>658.48250000000007</v>
      </c>
      <c r="X10" s="36">
        <v>7709.76</v>
      </c>
      <c r="Y10" s="36">
        <f t="shared" si="8"/>
        <v>8368.2425000000003</v>
      </c>
      <c r="Z10" s="36">
        <v>318294.83499999996</v>
      </c>
      <c r="AA10" s="36">
        <f t="shared" si="9"/>
        <v>318294.83499999996</v>
      </c>
      <c r="AB10" s="34" t="s">
        <v>443</v>
      </c>
      <c r="AC10" s="42">
        <f>257211+70000</f>
        <v>327211</v>
      </c>
      <c r="AD10" s="107">
        <f t="shared" ref="AD10:AD11" si="10">AC10-S10</f>
        <v>547.92250000004424</v>
      </c>
      <c r="AE10" s="107">
        <f t="shared" ref="AE10:AE12" si="11">23/31*AD10</f>
        <v>406.52314516132316</v>
      </c>
      <c r="AF10" s="107">
        <f t="shared" ref="AF10:AF12" si="12">AD10+AE10</f>
        <v>954.44564516136734</v>
      </c>
      <c r="AG10" s="62">
        <v>7709.76</v>
      </c>
      <c r="AH10" s="62">
        <v>7709.76</v>
      </c>
      <c r="AI10" s="177">
        <f t="shared" ref="AI10:AI12" si="13">AH10-AG10</f>
        <v>0</v>
      </c>
      <c r="AK10" s="107">
        <f>AC10+AE10</f>
        <v>327617.52314516134</v>
      </c>
    </row>
    <row r="11" spans="1:37" ht="19.5" customHeight="1">
      <c r="A11" s="3">
        <v>3</v>
      </c>
      <c r="B11" s="271" t="s">
        <v>69</v>
      </c>
      <c r="C11" s="272"/>
      <c r="D11" s="33" t="s">
        <v>445</v>
      </c>
      <c r="E11" s="3" t="s">
        <v>138</v>
      </c>
      <c r="F11" s="26">
        <f>25523.45</f>
        <v>25523.45</v>
      </c>
      <c r="G11" s="62"/>
      <c r="H11" s="62">
        <f>F11*300%</f>
        <v>76570.350000000006</v>
      </c>
      <c r="I11" s="62">
        <f>F11*7.5%</f>
        <v>1914.25875</v>
      </c>
      <c r="J11" s="62"/>
      <c r="K11" s="62">
        <f t="shared" si="2"/>
        <v>12761.725</v>
      </c>
      <c r="L11" s="36">
        <f>F11*350%</f>
        <v>89332.074999999997</v>
      </c>
      <c r="M11" s="62">
        <f>F11*100%</f>
        <v>25523.45</v>
      </c>
      <c r="N11" s="27">
        <f>120000</f>
        <v>120000</v>
      </c>
      <c r="O11" s="27"/>
      <c r="P11" s="62">
        <f>F11*10%</f>
        <v>2552.3450000000003</v>
      </c>
      <c r="Q11" s="62">
        <v>15000</v>
      </c>
      <c r="R11" s="62">
        <f>50000+100000</f>
        <v>150000</v>
      </c>
      <c r="S11" s="36">
        <f t="shared" si="7"/>
        <v>519177.65375</v>
      </c>
      <c r="T11" s="36"/>
      <c r="U11" s="36"/>
      <c r="V11" s="36"/>
      <c r="W11" s="36"/>
      <c r="X11" s="36">
        <f t="shared" ref="X11" si="14">7709.76</f>
        <v>7709.76</v>
      </c>
      <c r="Y11" s="36">
        <f t="shared" si="8"/>
        <v>7709.76</v>
      </c>
      <c r="Z11" s="36">
        <v>546467.89374999993</v>
      </c>
      <c r="AA11" s="36">
        <f>S11-Y11</f>
        <v>511467.89374999999</v>
      </c>
      <c r="AB11" s="34" t="s">
        <v>443</v>
      </c>
      <c r="AC11" s="42">
        <f>257211+140000+150000</f>
        <v>547211</v>
      </c>
      <c r="AD11" s="107">
        <f t="shared" si="10"/>
        <v>28033.346250000002</v>
      </c>
      <c r="AE11" s="107">
        <f t="shared" si="11"/>
        <v>20798.934314516129</v>
      </c>
      <c r="AF11" s="107">
        <f t="shared" si="12"/>
        <v>48832.280564516128</v>
      </c>
      <c r="AG11" s="62">
        <v>7709.76</v>
      </c>
      <c r="AH11" s="62">
        <v>7709.76</v>
      </c>
      <c r="AI11" s="177">
        <f t="shared" si="13"/>
        <v>0</v>
      </c>
    </row>
    <row r="12" spans="1:37" ht="19.5" customHeight="1">
      <c r="A12" s="3">
        <v>4</v>
      </c>
      <c r="B12" s="257" t="s">
        <v>83</v>
      </c>
      <c r="C12" s="258"/>
      <c r="D12" s="61" t="s">
        <v>89</v>
      </c>
      <c r="E12" s="66" t="s">
        <v>208</v>
      </c>
      <c r="F12" s="26"/>
      <c r="G12" s="62"/>
      <c r="H12" s="62"/>
      <c r="I12" s="62"/>
      <c r="J12" s="62"/>
      <c r="K12" s="62"/>
      <c r="L12" s="36"/>
      <c r="M12" s="62"/>
      <c r="N12" s="27"/>
      <c r="O12" s="27"/>
      <c r="P12" s="62"/>
      <c r="Q12" s="62"/>
      <c r="R12" s="62"/>
      <c r="S12" s="36">
        <v>246866.01625000002</v>
      </c>
      <c r="T12" s="36"/>
      <c r="U12" s="36"/>
      <c r="V12" s="36"/>
      <c r="W12" s="36"/>
      <c r="X12" s="36"/>
      <c r="Y12" s="36"/>
      <c r="Z12" s="36"/>
      <c r="AA12" s="36"/>
      <c r="AB12" s="61" t="s">
        <v>163</v>
      </c>
      <c r="AC12" s="42">
        <f>205372+60000</f>
        <v>265372</v>
      </c>
      <c r="AD12" s="107">
        <f>AC12-S12</f>
        <v>18505.983749999985</v>
      </c>
      <c r="AE12" s="107">
        <f t="shared" si="11"/>
        <v>13730.246008064505</v>
      </c>
      <c r="AF12" s="107">
        <f t="shared" si="12"/>
        <v>32236.229758064488</v>
      </c>
      <c r="AG12" s="62">
        <f>3369.51</f>
        <v>3369.51</v>
      </c>
      <c r="AH12" s="62">
        <f>3369.51</f>
        <v>3369.51</v>
      </c>
      <c r="AI12" s="177">
        <f t="shared" si="13"/>
        <v>0</v>
      </c>
    </row>
    <row r="13" spans="1:37" ht="18.75" customHeight="1">
      <c r="A13" s="3"/>
      <c r="B13" s="267" t="s">
        <v>34</v>
      </c>
      <c r="C13" s="267"/>
      <c r="D13" s="7">
        <v>4</v>
      </c>
      <c r="E13" s="66"/>
      <c r="F13" s="68">
        <f t="shared" ref="F13:S13" si="15">SUM(F9:F11)</f>
        <v>77386.2</v>
      </c>
      <c r="G13" s="68">
        <f t="shared" si="15"/>
        <v>0</v>
      </c>
      <c r="H13" s="68">
        <f t="shared" si="15"/>
        <v>232158.6</v>
      </c>
      <c r="I13" s="68">
        <f t="shared" si="15"/>
        <v>5803.9650000000001</v>
      </c>
      <c r="J13" s="68">
        <f t="shared" si="15"/>
        <v>0</v>
      </c>
      <c r="K13" s="68">
        <f t="shared" si="15"/>
        <v>38693.1</v>
      </c>
      <c r="L13" s="68">
        <f t="shared" si="15"/>
        <v>270851.7</v>
      </c>
      <c r="M13" s="68">
        <f t="shared" si="15"/>
        <v>77386.2</v>
      </c>
      <c r="N13" s="134">
        <f t="shared" si="15"/>
        <v>120000</v>
      </c>
      <c r="O13" s="134">
        <f t="shared" si="15"/>
        <v>140000</v>
      </c>
      <c r="P13" s="68">
        <f t="shared" si="15"/>
        <v>7738.6200000000008</v>
      </c>
      <c r="Q13" s="68">
        <f t="shared" si="15"/>
        <v>45000</v>
      </c>
      <c r="R13" s="68">
        <f t="shared" si="15"/>
        <v>200000</v>
      </c>
      <c r="S13" s="68">
        <f t="shared" si="15"/>
        <v>1215018.385</v>
      </c>
      <c r="T13" s="68"/>
      <c r="U13" s="68">
        <f>SUM(U9:U11)</f>
        <v>50000</v>
      </c>
      <c r="V13" s="68">
        <f>SUM(V9:V11)</f>
        <v>150000</v>
      </c>
      <c r="W13" s="68">
        <f>SUM(W9:W11)</f>
        <v>658.48250000000007</v>
      </c>
      <c r="X13" s="68">
        <f>SUM(X9:X11)</f>
        <v>23129.279999999999</v>
      </c>
      <c r="Y13" s="68">
        <f>SUM(Y9:Y11)</f>
        <v>223787.76250000001</v>
      </c>
      <c r="Z13" s="68">
        <v>9309597.9184999987</v>
      </c>
      <c r="AA13" s="68">
        <f>SUM(AA9:AA11)</f>
        <v>991230.62249999994</v>
      </c>
      <c r="AB13" s="34"/>
      <c r="AC13" s="171">
        <f t="shared" ref="AC13:AI13" si="16">SUM(AC9:AC12)</f>
        <v>1517005</v>
      </c>
      <c r="AD13" s="108">
        <f t="shared" si="16"/>
        <v>55120.598750000034</v>
      </c>
      <c r="AE13" s="108">
        <f t="shared" si="16"/>
        <v>40895.928104838735</v>
      </c>
      <c r="AF13" s="108">
        <f t="shared" si="16"/>
        <v>96016.526854838768</v>
      </c>
      <c r="AG13" s="171">
        <f t="shared" si="16"/>
        <v>26498.79</v>
      </c>
      <c r="AH13" s="171">
        <f t="shared" si="16"/>
        <v>26498.79</v>
      </c>
      <c r="AI13" s="177">
        <f t="shared" si="16"/>
        <v>0</v>
      </c>
    </row>
    <row r="14" spans="1:37" ht="18.75" customHeight="1">
      <c r="A14" s="3"/>
      <c r="B14" s="96"/>
      <c r="C14" s="96"/>
      <c r="D14" s="33"/>
      <c r="E14" s="66"/>
      <c r="F14" s="68"/>
      <c r="G14" s="68"/>
      <c r="H14" s="68"/>
      <c r="I14" s="68"/>
      <c r="J14" s="68"/>
      <c r="K14" s="68"/>
      <c r="L14" s="68"/>
      <c r="M14" s="68"/>
      <c r="N14" s="27"/>
      <c r="O14" s="2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7" ht="18.75" customHeight="1">
      <c r="A15" s="3"/>
      <c r="B15" s="267" t="s">
        <v>115</v>
      </c>
      <c r="C15" s="267"/>
      <c r="D15" s="33"/>
      <c r="E15" s="66"/>
      <c r="F15" s="62"/>
      <c r="G15" s="62"/>
      <c r="H15" s="62"/>
      <c r="I15" s="62"/>
      <c r="J15" s="62"/>
      <c r="K15" s="62"/>
      <c r="L15" s="36"/>
      <c r="M15" s="62"/>
      <c r="N15" s="27"/>
      <c r="O15" s="27"/>
      <c r="P15" s="62"/>
      <c r="Q15" s="62"/>
      <c r="R15" s="62"/>
      <c r="S15" s="36"/>
      <c r="T15" s="36"/>
      <c r="U15" s="36"/>
      <c r="V15" s="36"/>
      <c r="W15" s="36"/>
      <c r="X15" s="62"/>
      <c r="Y15" s="36"/>
      <c r="Z15" s="36"/>
      <c r="AA15" s="36"/>
    </row>
    <row r="16" spans="1:37" ht="19.5" customHeight="1">
      <c r="A16" s="3"/>
      <c r="B16" s="33"/>
      <c r="C16" s="21" t="s">
        <v>34</v>
      </c>
      <c r="D16" s="7"/>
      <c r="E16" s="3"/>
      <c r="F16" s="68" t="e">
        <f>SUM(#REF!)</f>
        <v>#REF!</v>
      </c>
      <c r="G16" s="68"/>
      <c r="H16" s="68" t="e">
        <f>SUM(#REF!)</f>
        <v>#REF!</v>
      </c>
      <c r="I16" s="68" t="e">
        <f>SUM(#REF!)</f>
        <v>#REF!</v>
      </c>
      <c r="J16" s="68" t="e">
        <f>SUM(#REF!)</f>
        <v>#REF!</v>
      </c>
      <c r="K16" s="68" t="e">
        <f>SUM(#REF!)</f>
        <v>#REF!</v>
      </c>
      <c r="L16" s="68" t="e">
        <f>SUM(#REF!)</f>
        <v>#REF!</v>
      </c>
      <c r="M16" s="68" t="e">
        <f>SUM(#REF!)</f>
        <v>#REF!</v>
      </c>
      <c r="N16" s="134" t="e">
        <f>SUM(#REF!)</f>
        <v>#REF!</v>
      </c>
      <c r="O16" s="134" t="e">
        <f>SUM(#REF!)</f>
        <v>#REF!</v>
      </c>
      <c r="P16" s="68" t="e">
        <f>SUM(#REF!)</f>
        <v>#REF!</v>
      </c>
      <c r="Q16" s="68"/>
      <c r="R16" s="68"/>
      <c r="S16" s="68"/>
      <c r="T16" s="68"/>
      <c r="U16" s="68" t="e">
        <f>SUM(#REF!)</f>
        <v>#REF!</v>
      </c>
      <c r="V16" s="68" t="e">
        <f>SUM(#REF!)</f>
        <v>#REF!</v>
      </c>
      <c r="W16" s="68" t="e">
        <f>SUM(#REF!)</f>
        <v>#REF!</v>
      </c>
      <c r="X16" s="68" t="e">
        <f>SUM(#REF!)</f>
        <v>#REF!</v>
      </c>
      <c r="Y16" s="68" t="e">
        <f>SUM(#REF!)</f>
        <v>#REF!</v>
      </c>
      <c r="Z16" s="68">
        <v>478180.45600000006</v>
      </c>
      <c r="AA16" s="68" t="e">
        <f>SUM(#REF!)</f>
        <v>#REF!</v>
      </c>
    </row>
    <row r="17" spans="1:37" ht="20.100000000000001" customHeight="1">
      <c r="A17" s="3"/>
      <c r="B17" s="283" t="s">
        <v>121</v>
      </c>
      <c r="C17" s="284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27"/>
      <c r="O17" s="2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37" ht="20.100000000000001" customHeight="1">
      <c r="A18" s="3">
        <v>1</v>
      </c>
      <c r="B18" s="257" t="s">
        <v>128</v>
      </c>
      <c r="C18" s="258"/>
      <c r="D18" s="33" t="s">
        <v>131</v>
      </c>
      <c r="E18" s="3" t="s">
        <v>132</v>
      </c>
      <c r="F18" s="62">
        <v>28489.81</v>
      </c>
      <c r="G18" s="62"/>
      <c r="H18" s="62">
        <f>F18*300%</f>
        <v>85469.430000000008</v>
      </c>
      <c r="I18" s="62">
        <f>F18*7.5%</f>
        <v>2136.7357499999998</v>
      </c>
      <c r="J18" s="62"/>
      <c r="K18" s="62">
        <f>F18*50%</f>
        <v>14244.905000000001</v>
      </c>
      <c r="L18" s="62">
        <f>F18*350%</f>
        <v>99714.335000000006</v>
      </c>
      <c r="M18" s="62">
        <f>F18*100%</f>
        <v>28489.81</v>
      </c>
      <c r="N18" s="27">
        <f>140000</f>
        <v>140000</v>
      </c>
      <c r="O18" s="27"/>
      <c r="P18" s="62">
        <f>F18*10%</f>
        <v>2848.9810000000002</v>
      </c>
      <c r="Q18" s="62">
        <v>20000</v>
      </c>
      <c r="R18" s="62"/>
      <c r="S18" s="36">
        <f>SUM(F18:R18)</f>
        <v>421394.00675000006</v>
      </c>
      <c r="T18" s="36"/>
      <c r="U18" s="36">
        <f>30000</f>
        <v>30000</v>
      </c>
      <c r="V18" s="36">
        <f>0</f>
        <v>0</v>
      </c>
      <c r="W18" s="36"/>
      <c r="X18" s="62">
        <v>7709.76</v>
      </c>
      <c r="Y18" s="36">
        <f t="shared" ref="Y18:Y19" si="17">X18+W18+V18+U18+T18</f>
        <v>37709.760000000002</v>
      </c>
      <c r="Z18" s="36">
        <v>383684.24675000005</v>
      </c>
      <c r="AA18" s="36">
        <f>S18-Y18</f>
        <v>383684.24675000005</v>
      </c>
      <c r="AB18" s="167" t="s">
        <v>232</v>
      </c>
      <c r="AC18" s="42">
        <f>344720+160000</f>
        <v>504720</v>
      </c>
      <c r="AD18" s="107">
        <f>AC18-S18</f>
        <v>83325.993249999941</v>
      </c>
      <c r="AE18" s="107">
        <f>23/31*AD18</f>
        <v>61822.511120967698</v>
      </c>
      <c r="AF18" s="107">
        <f>AE18+AD18</f>
        <v>145148.50437096762</v>
      </c>
      <c r="AG18" s="62">
        <v>7709.76</v>
      </c>
      <c r="AH18" s="62">
        <v>15548.33</v>
      </c>
      <c r="AI18" s="107">
        <f>AH18-AG18</f>
        <v>7838.57</v>
      </c>
    </row>
    <row r="19" spans="1:37" ht="20.100000000000001" customHeight="1">
      <c r="A19" s="3">
        <v>2</v>
      </c>
      <c r="B19" s="265" t="s">
        <v>134</v>
      </c>
      <c r="C19" s="266"/>
      <c r="D19" s="33" t="s">
        <v>137</v>
      </c>
      <c r="E19" s="25" t="s">
        <v>73</v>
      </c>
      <c r="F19" s="26">
        <f>26339.3</f>
        <v>26339.3</v>
      </c>
      <c r="G19" s="26"/>
      <c r="H19" s="26">
        <f>F19*300%</f>
        <v>79017.899999999994</v>
      </c>
      <c r="I19" s="26">
        <f>F19*7.5%</f>
        <v>1975.4474999999998</v>
      </c>
      <c r="J19" s="26"/>
      <c r="K19" s="26">
        <f>F19*50%</f>
        <v>13169.65</v>
      </c>
      <c r="L19" s="26">
        <f>F19*350%</f>
        <v>92187.55</v>
      </c>
      <c r="M19" s="26">
        <f>F19*100%</f>
        <v>26339.3</v>
      </c>
      <c r="N19" s="27">
        <f>120000</f>
        <v>120000</v>
      </c>
      <c r="O19" s="27"/>
      <c r="P19" s="26">
        <f>F19*10%</f>
        <v>2633.9300000000003</v>
      </c>
      <c r="Q19" s="26">
        <v>15000</v>
      </c>
      <c r="R19" s="26"/>
      <c r="S19" s="36">
        <f>SUM(F19:R19)</f>
        <v>376663.07749999996</v>
      </c>
      <c r="T19" s="36"/>
      <c r="U19" s="24"/>
      <c r="V19" s="24"/>
      <c r="W19" s="24">
        <v>0</v>
      </c>
      <c r="X19" s="24">
        <v>7709.76</v>
      </c>
      <c r="Y19" s="36">
        <f t="shared" si="17"/>
        <v>7709.76</v>
      </c>
      <c r="Z19" s="36">
        <v>368953.31749999995</v>
      </c>
      <c r="AA19" s="36">
        <f>S19-Y19</f>
        <v>368953.31749999995</v>
      </c>
      <c r="AB19" s="175" t="s">
        <v>395</v>
      </c>
      <c r="AC19" s="42">
        <f>257211+140000</f>
        <v>397211</v>
      </c>
      <c r="AD19" s="107">
        <f>AC19-S19</f>
        <v>20547.922500000044</v>
      </c>
      <c r="AE19" s="107">
        <f>23/31*AD19</f>
        <v>15245.232822580678</v>
      </c>
      <c r="AF19" s="107">
        <f>AE19+AD19</f>
        <v>35793.155322580722</v>
      </c>
      <c r="AG19" s="62">
        <v>7709.76</v>
      </c>
      <c r="AH19" s="62">
        <v>7709.76</v>
      </c>
      <c r="AI19" s="107">
        <f>AH19-AG19</f>
        <v>0</v>
      </c>
    </row>
    <row r="20" spans="1:37" ht="20.100000000000001" customHeight="1">
      <c r="A20" s="3"/>
      <c r="B20" s="273" t="s">
        <v>34</v>
      </c>
      <c r="C20" s="274"/>
      <c r="D20" s="30">
        <v>2</v>
      </c>
      <c r="E20" s="30"/>
      <c r="F20" s="92">
        <f>SUM(F18:F19)</f>
        <v>54829.11</v>
      </c>
      <c r="G20" s="92"/>
      <c r="H20" s="92">
        <f t="shared" ref="H20:N20" si="18">SUM(H18:H19)</f>
        <v>164487.33000000002</v>
      </c>
      <c r="I20" s="92">
        <f t="shared" si="18"/>
        <v>4112.18325</v>
      </c>
      <c r="J20" s="92">
        <f t="shared" si="18"/>
        <v>0</v>
      </c>
      <c r="K20" s="92">
        <f t="shared" si="18"/>
        <v>27414.555</v>
      </c>
      <c r="L20" s="92">
        <f t="shared" si="18"/>
        <v>191901.88500000001</v>
      </c>
      <c r="M20" s="92">
        <f t="shared" si="18"/>
        <v>54829.11</v>
      </c>
      <c r="N20" s="134">
        <f t="shared" si="18"/>
        <v>260000</v>
      </c>
      <c r="O20" s="134"/>
      <c r="P20" s="92">
        <f>SUM(P18:P19)</f>
        <v>5482.9110000000001</v>
      </c>
      <c r="Q20" s="92">
        <f>SUM(Q18:Q19)</f>
        <v>35000</v>
      </c>
      <c r="R20" s="92">
        <f>SUM(R18:R19)</f>
        <v>0</v>
      </c>
      <c r="S20" s="92">
        <f>SUM(S18:S19)</f>
        <v>798057.08425000007</v>
      </c>
      <c r="T20" s="92"/>
      <c r="U20" s="92">
        <f>SUM(U18:U19)</f>
        <v>30000</v>
      </c>
      <c r="V20" s="92">
        <f>SUM(V18:V19)</f>
        <v>0</v>
      </c>
      <c r="W20" s="92">
        <f>SUM(W18:W19)</f>
        <v>0</v>
      </c>
      <c r="X20" s="92">
        <f>SUM(X18:X19)</f>
        <v>15419.52</v>
      </c>
      <c r="Y20" s="92">
        <f>SUM(Y18:Y19)</f>
        <v>45419.520000000004</v>
      </c>
      <c r="Z20" s="92">
        <v>3862557.6452500001</v>
      </c>
      <c r="AA20" s="92">
        <f>SUM(AA18:AA19)</f>
        <v>752637.56425000005</v>
      </c>
      <c r="AB20" s="176"/>
      <c r="AC20" s="171">
        <f t="shared" ref="AC20:AI20" si="19">SUM(AC18:AC19)</f>
        <v>901931</v>
      </c>
      <c r="AD20" s="108">
        <f t="shared" si="19"/>
        <v>103873.91574999999</v>
      </c>
      <c r="AE20" s="108">
        <f t="shared" si="19"/>
        <v>77067.743943548383</v>
      </c>
      <c r="AF20" s="108">
        <f t="shared" si="19"/>
        <v>180941.65969354834</v>
      </c>
      <c r="AG20" s="171">
        <f t="shared" si="19"/>
        <v>15419.52</v>
      </c>
      <c r="AH20" s="171">
        <f t="shared" si="19"/>
        <v>23258.09</v>
      </c>
      <c r="AI20" s="108">
        <f t="shared" si="19"/>
        <v>7838.57</v>
      </c>
    </row>
    <row r="21" spans="1:37" ht="20.100000000000001" customHeight="1">
      <c r="A21" s="3"/>
      <c r="B21" s="105"/>
      <c r="C21" s="105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7"/>
      <c r="O21" s="27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176"/>
    </row>
    <row r="22" spans="1:37" ht="20.100000000000001" customHeight="1">
      <c r="A22" s="3"/>
      <c r="B22" s="273" t="s">
        <v>144</v>
      </c>
      <c r="C22" s="274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7"/>
      <c r="O22" s="27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176"/>
    </row>
    <row r="23" spans="1:37" ht="20.100000000000001" customHeight="1">
      <c r="A23" s="3"/>
      <c r="B23" s="273" t="s">
        <v>34</v>
      </c>
      <c r="C23" s="274"/>
      <c r="D23" s="30"/>
      <c r="E23" s="30"/>
      <c r="F23" s="92" t="e">
        <f>SUM(#REF!)</f>
        <v>#REF!</v>
      </c>
      <c r="G23" s="92"/>
      <c r="H23" s="92" t="e">
        <f>SUM(#REF!)</f>
        <v>#REF!</v>
      </c>
      <c r="I23" s="92" t="e">
        <f>SUM(#REF!)</f>
        <v>#REF!</v>
      </c>
      <c r="J23" s="92" t="e">
        <f>SUM(#REF!)</f>
        <v>#REF!</v>
      </c>
      <c r="K23" s="92" t="e">
        <f>SUM(#REF!)</f>
        <v>#REF!</v>
      </c>
      <c r="L23" s="92" t="e">
        <f>SUM(#REF!)</f>
        <v>#REF!</v>
      </c>
      <c r="M23" s="92" t="e">
        <f>SUM(#REF!)</f>
        <v>#REF!</v>
      </c>
      <c r="N23" s="134" t="e">
        <f>SUM(#REF!)</f>
        <v>#REF!</v>
      </c>
      <c r="O23" s="134" t="e">
        <f>SUM(#REF!)</f>
        <v>#REF!</v>
      </c>
      <c r="P23" s="92" t="e">
        <f>SUM(#REF!)</f>
        <v>#REF!</v>
      </c>
      <c r="Q23" s="92" t="e">
        <f>SUM(#REF!)</f>
        <v>#REF!</v>
      </c>
      <c r="R23" s="92" t="e">
        <f>SUM(#REF!)</f>
        <v>#REF!</v>
      </c>
      <c r="S23" s="92">
        <f>0</f>
        <v>0</v>
      </c>
      <c r="T23" s="92"/>
      <c r="U23" s="92" t="e">
        <f>SUM(#REF!)</f>
        <v>#REF!</v>
      </c>
      <c r="V23" s="92"/>
      <c r="W23" s="92" t="e">
        <f>SUM(#REF!)</f>
        <v>#REF!</v>
      </c>
      <c r="X23" s="92" t="e">
        <f>SUM(#REF!)</f>
        <v>#REF!</v>
      </c>
      <c r="Y23" s="92" t="e">
        <f>SUM(#REF!)</f>
        <v>#REF!</v>
      </c>
      <c r="Z23" s="92">
        <v>931604.15050000022</v>
      </c>
      <c r="AA23" s="92" t="e">
        <f>SUM(#REF!)</f>
        <v>#REF!</v>
      </c>
      <c r="AB23" s="176"/>
    </row>
    <row r="24" spans="1:37" ht="20.100000000000001" customHeight="1">
      <c r="A24" s="3"/>
      <c r="B24" s="273"/>
      <c r="C24" s="274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7"/>
      <c r="O24" s="27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76"/>
    </row>
    <row r="25" spans="1:37" ht="20.100000000000001" customHeight="1">
      <c r="A25" s="3"/>
      <c r="B25" s="273" t="s">
        <v>150</v>
      </c>
      <c r="C25" s="274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7"/>
      <c r="O25" s="27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176"/>
    </row>
    <row r="26" spans="1:37" ht="20.100000000000001" customHeight="1">
      <c r="A26" s="3">
        <v>1</v>
      </c>
      <c r="B26" s="271" t="s">
        <v>157</v>
      </c>
      <c r="C26" s="272"/>
      <c r="D26" s="47" t="s">
        <v>137</v>
      </c>
      <c r="E26" s="66" t="s">
        <v>73</v>
      </c>
      <c r="F26" s="62">
        <f>26339.3</f>
        <v>26339.3</v>
      </c>
      <c r="G26" s="62"/>
      <c r="H26" s="62">
        <f>F26*300%</f>
        <v>79017.899999999994</v>
      </c>
      <c r="I26" s="62">
        <f>F26*7.5%</f>
        <v>1975.4474999999998</v>
      </c>
      <c r="J26" s="62"/>
      <c r="K26" s="62">
        <f>F26*50%</f>
        <v>13169.65</v>
      </c>
      <c r="L26" s="36">
        <f>F26*350%</f>
        <v>92187.55</v>
      </c>
      <c r="M26" s="62">
        <f>F26*100%</f>
        <v>26339.3</v>
      </c>
      <c r="N26" s="27">
        <f t="shared" ref="N26" si="20">120000</f>
        <v>120000</v>
      </c>
      <c r="O26" s="27"/>
      <c r="P26" s="62">
        <f>F26*10%</f>
        <v>2633.9300000000003</v>
      </c>
      <c r="Q26" s="62">
        <v>15000</v>
      </c>
      <c r="R26" s="62"/>
      <c r="S26" s="36">
        <f>SUM(F26:R26)</f>
        <v>376663.07749999996</v>
      </c>
      <c r="T26" s="36"/>
      <c r="U26" s="36">
        <f>10000</f>
        <v>10000</v>
      </c>
      <c r="V26" s="36">
        <f>54585.66</f>
        <v>54585.66</v>
      </c>
      <c r="W26" s="36"/>
      <c r="X26" s="36">
        <f>7709.76</f>
        <v>7709.76</v>
      </c>
      <c r="Y26" s="26">
        <f t="shared" ref="Y26:Y27" si="21">X26+W26+V26+U26+T26</f>
        <v>72295.420000000013</v>
      </c>
      <c r="Z26" s="36">
        <v>303367.65749999997</v>
      </c>
      <c r="AA26" s="36">
        <f>S26-Y26</f>
        <v>304367.65749999997</v>
      </c>
      <c r="AB26" s="61" t="s">
        <v>395</v>
      </c>
      <c r="AC26" s="42">
        <f>257211+140000</f>
        <v>397211</v>
      </c>
      <c r="AD26" s="107">
        <f>AC26-S26</f>
        <v>20547.922500000044</v>
      </c>
      <c r="AE26" s="107">
        <f>23/31*AD26</f>
        <v>15245.232822580678</v>
      </c>
      <c r="AF26" s="107">
        <f>AE26+AD26</f>
        <v>35793.155322580722</v>
      </c>
      <c r="AG26" s="62">
        <v>7709.76</v>
      </c>
      <c r="AH26" s="178">
        <v>7709.76</v>
      </c>
      <c r="AI26" s="159">
        <f>AH26-AG26</f>
        <v>0</v>
      </c>
      <c r="AK26" s="107"/>
    </row>
    <row r="27" spans="1:37" ht="20.100000000000001" customHeight="1">
      <c r="A27" s="3">
        <v>2</v>
      </c>
      <c r="B27" s="264" t="s">
        <v>160</v>
      </c>
      <c r="C27" s="264"/>
      <c r="D27" s="47" t="s">
        <v>142</v>
      </c>
      <c r="E27" s="66" t="s">
        <v>208</v>
      </c>
      <c r="F27" s="62">
        <f>19276.95</f>
        <v>19276.95</v>
      </c>
      <c r="G27" s="62"/>
      <c r="H27" s="62">
        <f t="shared" ref="H27" si="22">F27*300%</f>
        <v>57830.850000000006</v>
      </c>
      <c r="I27" s="62">
        <f t="shared" ref="I27" si="23">F27*7.5%</f>
        <v>1445.77125</v>
      </c>
      <c r="J27" s="62">
        <v>0</v>
      </c>
      <c r="K27" s="62">
        <f t="shared" ref="K27" si="24">F27*50%</f>
        <v>9638.4750000000004</v>
      </c>
      <c r="L27" s="36">
        <f t="shared" ref="L27" si="25">F27*350%</f>
        <v>67469.324999999997</v>
      </c>
      <c r="M27" s="62">
        <f t="shared" ref="M27" si="26">F27*100%</f>
        <v>19276.95</v>
      </c>
      <c r="N27" s="27">
        <f t="shared" ref="N27" si="27">100000</f>
        <v>100000</v>
      </c>
      <c r="O27" s="27"/>
      <c r="P27" s="62">
        <f t="shared" ref="P27" si="28">F27*10%</f>
        <v>1927.6950000000002</v>
      </c>
      <c r="Q27" s="62">
        <v>10000</v>
      </c>
      <c r="R27" s="62">
        <v>0</v>
      </c>
      <c r="S27" s="36">
        <f t="shared" ref="S27" si="29">SUM(F27:R27)</f>
        <v>286866.01625000004</v>
      </c>
      <c r="T27" s="36"/>
      <c r="U27" s="36">
        <f>20000</f>
        <v>20000</v>
      </c>
      <c r="V27" s="36">
        <f>100000</f>
        <v>100000</v>
      </c>
      <c r="W27" s="36">
        <f>'[5]Jan 2021'!$H$43</f>
        <v>481.92375000000004</v>
      </c>
      <c r="X27" s="62">
        <f>3369.51</f>
        <v>3369.51</v>
      </c>
      <c r="Y27" s="26">
        <f t="shared" si="21"/>
        <v>123851.43375</v>
      </c>
      <c r="Z27" s="36">
        <v>163014.58250000005</v>
      </c>
      <c r="AA27" s="36">
        <f t="shared" ref="AA27" si="30">S27-Y27</f>
        <v>163014.58250000005</v>
      </c>
      <c r="AB27" s="61" t="s">
        <v>163</v>
      </c>
      <c r="AC27" s="172">
        <f>205372+110000</f>
        <v>315372</v>
      </c>
      <c r="AD27" s="107">
        <f>AC27-S27</f>
        <v>28505.983749999956</v>
      </c>
      <c r="AE27" s="107">
        <f>23/31*AD27</f>
        <v>21149.600846774159</v>
      </c>
      <c r="AF27" s="107">
        <f>AE27+AD27</f>
        <v>49655.584596774119</v>
      </c>
      <c r="AG27" s="62">
        <f>3369.51</f>
        <v>3369.51</v>
      </c>
      <c r="AH27" s="178">
        <f>3369.51</f>
        <v>3369.51</v>
      </c>
      <c r="AI27" s="159">
        <f>AH27-AG27</f>
        <v>0</v>
      </c>
      <c r="AK27" s="107">
        <f>AC27+AE27</f>
        <v>336521.60084677418</v>
      </c>
    </row>
    <row r="28" spans="1:37" ht="20.100000000000001" customHeight="1">
      <c r="A28" s="3"/>
      <c r="B28" s="273" t="s">
        <v>34</v>
      </c>
      <c r="C28" s="274"/>
      <c r="D28" s="30">
        <v>2</v>
      </c>
      <c r="E28" s="30"/>
      <c r="F28" s="92">
        <f>SUM(F26:F27)</f>
        <v>45616.25</v>
      </c>
      <c r="G28" s="92"/>
      <c r="H28" s="92">
        <f t="shared" ref="H28:N28" si="31">SUM(H26:H27)</f>
        <v>136848.75</v>
      </c>
      <c r="I28" s="92">
        <f t="shared" si="31"/>
        <v>3421.21875</v>
      </c>
      <c r="J28" s="92">
        <f t="shared" si="31"/>
        <v>0</v>
      </c>
      <c r="K28" s="92">
        <f t="shared" si="31"/>
        <v>22808.125</v>
      </c>
      <c r="L28" s="92">
        <f t="shared" si="31"/>
        <v>159656.875</v>
      </c>
      <c r="M28" s="92">
        <f t="shared" si="31"/>
        <v>45616.25</v>
      </c>
      <c r="N28" s="134">
        <f t="shared" si="31"/>
        <v>220000</v>
      </c>
      <c r="O28" s="134"/>
      <c r="P28" s="92">
        <f>SUM(P26:P27)</f>
        <v>4561.625</v>
      </c>
      <c r="Q28" s="92">
        <f>SUM(Q26:Q27)</f>
        <v>25000</v>
      </c>
      <c r="R28" s="92">
        <f>SUM(R26:R27)</f>
        <v>0</v>
      </c>
      <c r="S28" s="92">
        <f>SUM(S26:S27)</f>
        <v>663529.09375</v>
      </c>
      <c r="T28" s="92"/>
      <c r="U28" s="92">
        <f>SUM(U26:U27)</f>
        <v>30000</v>
      </c>
      <c r="V28" s="92">
        <f>SUM(V26:V27)</f>
        <v>154585.66</v>
      </c>
      <c r="W28" s="92">
        <f>SUM(W26:W27)</f>
        <v>481.92375000000004</v>
      </c>
      <c r="X28" s="92">
        <f>SUM(X26:X27)</f>
        <v>11079.27</v>
      </c>
      <c r="Y28" s="92">
        <f>SUM(Y26:Y27)</f>
        <v>196146.85375000001</v>
      </c>
      <c r="Z28" s="92">
        <v>3477220.8592499997</v>
      </c>
      <c r="AA28" s="92">
        <f>SUM(AA26:AA27)</f>
        <v>467382.24</v>
      </c>
      <c r="AC28" s="171">
        <f t="shared" ref="AC28:AI28" si="32">SUM(AC26:AC27)</f>
        <v>712583</v>
      </c>
      <c r="AD28" s="108">
        <f t="shared" si="32"/>
        <v>49053.90625</v>
      </c>
      <c r="AE28" s="108">
        <f t="shared" si="32"/>
        <v>36394.833669354834</v>
      </c>
      <c r="AF28" s="108">
        <f t="shared" si="32"/>
        <v>85448.739919354848</v>
      </c>
      <c r="AG28" s="171">
        <f t="shared" si="32"/>
        <v>11079.27</v>
      </c>
      <c r="AH28" s="171">
        <f t="shared" si="32"/>
        <v>11079.27</v>
      </c>
      <c r="AI28" s="179">
        <f t="shared" si="32"/>
        <v>0</v>
      </c>
    </row>
    <row r="29" spans="1:37" ht="20.100000000000001" customHeight="1">
      <c r="A29" s="3"/>
      <c r="B29" s="99"/>
      <c r="C29" s="100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7"/>
      <c r="O29" s="27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7" ht="20.100000000000001" customHeight="1">
      <c r="A30" s="3"/>
      <c r="B30" s="273" t="s">
        <v>172</v>
      </c>
      <c r="C30" s="274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7"/>
      <c r="O30" s="27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7" ht="20.100000000000001" customHeight="1">
      <c r="A31" s="3"/>
      <c r="B31" s="273" t="s">
        <v>34</v>
      </c>
      <c r="C31" s="274"/>
      <c r="D31" s="30"/>
      <c r="E31" s="30"/>
      <c r="F31" s="92" t="e">
        <f>SUM(#REF!)</f>
        <v>#REF!</v>
      </c>
      <c r="G31" s="92"/>
      <c r="H31" s="92" t="e">
        <f>SUM(#REF!)</f>
        <v>#REF!</v>
      </c>
      <c r="I31" s="92" t="e">
        <f>SUM(#REF!)</f>
        <v>#REF!</v>
      </c>
      <c r="J31" s="92" t="e">
        <f>SUM(#REF!)</f>
        <v>#REF!</v>
      </c>
      <c r="K31" s="92" t="e">
        <f>SUM(#REF!)</f>
        <v>#REF!</v>
      </c>
      <c r="L31" s="92" t="e">
        <f>SUM(#REF!)</f>
        <v>#REF!</v>
      </c>
      <c r="M31" s="92" t="e">
        <f>SUM(#REF!)</f>
        <v>#REF!</v>
      </c>
      <c r="N31" s="134" t="e">
        <f>SUM(#REF!)</f>
        <v>#REF!</v>
      </c>
      <c r="O31" s="134"/>
      <c r="P31" s="92" t="e">
        <f>SUM(#REF!)</f>
        <v>#REF!</v>
      </c>
      <c r="Q31" s="92" t="e">
        <f>SUM(#REF!)</f>
        <v>#REF!</v>
      </c>
      <c r="R31" s="92" t="e">
        <f>SUM(#REF!)</f>
        <v>#REF!</v>
      </c>
      <c r="S31" s="92">
        <f>0</f>
        <v>0</v>
      </c>
      <c r="T31" s="92"/>
      <c r="U31" s="92" t="e">
        <f>SUM(#REF!)</f>
        <v>#REF!</v>
      </c>
      <c r="V31" s="92" t="e">
        <f>SUM(#REF!)</f>
        <v>#REF!</v>
      </c>
      <c r="W31" s="92" t="e">
        <f>SUM(#REF!)</f>
        <v>#REF!</v>
      </c>
      <c r="X31" s="92" t="e">
        <f>SUM(#REF!)</f>
        <v>#REF!</v>
      </c>
      <c r="Y31" s="92" t="e">
        <f>SUM(#REF!)</f>
        <v>#REF!</v>
      </c>
      <c r="Z31" s="92">
        <v>3200748.9097500001</v>
      </c>
      <c r="AA31" s="92" t="e">
        <f>SUM(#REF!)</f>
        <v>#REF!</v>
      </c>
    </row>
    <row r="32" spans="1:37" ht="20.100000000000001" customHeight="1">
      <c r="A32" s="3"/>
      <c r="B32" s="275"/>
      <c r="C32" s="276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27"/>
      <c r="O32" s="27"/>
      <c r="P32" s="39"/>
      <c r="Q32" s="39"/>
      <c r="R32" s="39"/>
      <c r="S32" s="63"/>
      <c r="T32" s="63"/>
      <c r="U32" s="63"/>
      <c r="V32" s="63"/>
      <c r="W32" s="63"/>
      <c r="X32" s="39"/>
      <c r="Y32" s="36"/>
      <c r="Z32" s="36"/>
      <c r="AA32" s="36"/>
    </row>
    <row r="33" spans="1:35" ht="20.100000000000001" customHeight="1">
      <c r="A33" s="3"/>
      <c r="B33" s="277" t="s">
        <v>185</v>
      </c>
      <c r="C33" s="278"/>
      <c r="D33" s="69"/>
      <c r="E33" s="7"/>
      <c r="F33" s="39"/>
      <c r="G33" s="39"/>
      <c r="H33" s="39"/>
      <c r="I33" s="39"/>
      <c r="J33" s="39"/>
      <c r="K33" s="39"/>
      <c r="L33" s="39"/>
      <c r="M33" s="39"/>
      <c r="N33" s="27"/>
      <c r="O33" s="27"/>
      <c r="P33" s="39"/>
      <c r="Q33" s="39"/>
      <c r="R33" s="39"/>
      <c r="S33" s="63"/>
      <c r="T33" s="63"/>
      <c r="U33" s="63"/>
      <c r="V33" s="63"/>
      <c r="W33" s="63"/>
      <c r="X33" s="39"/>
      <c r="Y33" s="36"/>
      <c r="Z33" s="36"/>
      <c r="AA33" s="36"/>
    </row>
    <row r="34" spans="1:35" ht="20.100000000000001" customHeight="1">
      <c r="A34" s="3"/>
      <c r="B34" s="267" t="s">
        <v>34</v>
      </c>
      <c r="C34" s="267"/>
      <c r="D34" s="7"/>
      <c r="E34" s="7"/>
      <c r="F34" s="95" t="e">
        <f>SUM(#REF!)</f>
        <v>#REF!</v>
      </c>
      <c r="G34" s="95" t="e">
        <f>SUM(#REF!)</f>
        <v>#REF!</v>
      </c>
      <c r="H34" s="95" t="e">
        <f>SUM(#REF!)</f>
        <v>#REF!</v>
      </c>
      <c r="I34" s="95" t="e">
        <f>SUM(#REF!)</f>
        <v>#REF!</v>
      </c>
      <c r="J34" s="95" t="e">
        <f>SUM(#REF!)</f>
        <v>#REF!</v>
      </c>
      <c r="K34" s="95" t="e">
        <f>SUM(#REF!)</f>
        <v>#REF!</v>
      </c>
      <c r="L34" s="95" t="e">
        <f>SUM(#REF!)</f>
        <v>#REF!</v>
      </c>
      <c r="M34" s="95" t="e">
        <f>SUM(#REF!)</f>
        <v>#REF!</v>
      </c>
      <c r="N34" s="134" t="e">
        <f>SUM(#REF!)</f>
        <v>#REF!</v>
      </c>
      <c r="O34" s="134"/>
      <c r="P34" s="95" t="e">
        <f>SUM(#REF!)</f>
        <v>#REF!</v>
      </c>
      <c r="Q34" s="95" t="e">
        <f>SUM(#REF!)</f>
        <v>#REF!</v>
      </c>
      <c r="R34" s="95" t="e">
        <f>SUM(#REF!)</f>
        <v>#REF!</v>
      </c>
      <c r="S34" s="95">
        <f>0</f>
        <v>0</v>
      </c>
      <c r="T34" s="95"/>
      <c r="U34" s="95" t="e">
        <f>SUM(#REF!)</f>
        <v>#REF!</v>
      </c>
      <c r="V34" s="95" t="e">
        <f>SUM(#REF!)</f>
        <v>#REF!</v>
      </c>
      <c r="W34" s="95" t="e">
        <f>SUM(#REF!)</f>
        <v>#REF!</v>
      </c>
      <c r="X34" s="95" t="e">
        <f>SUM(#REF!)</f>
        <v>#REF!</v>
      </c>
      <c r="Y34" s="95" t="e">
        <f>SUM(#REF!)</f>
        <v>#REF!</v>
      </c>
      <c r="Z34" s="95">
        <v>3494235.132032258</v>
      </c>
      <c r="AA34" s="95" t="e">
        <f>SUM(#REF!)</f>
        <v>#REF!</v>
      </c>
    </row>
    <row r="35" spans="1:35" ht="20.100000000000001" customHeight="1">
      <c r="A35" s="3"/>
      <c r="B35" s="96"/>
      <c r="C35" s="96"/>
      <c r="D35" s="7"/>
      <c r="E35" s="7"/>
      <c r="F35" s="39"/>
      <c r="G35" s="39"/>
      <c r="H35" s="39"/>
      <c r="I35" s="39"/>
      <c r="J35" s="39"/>
      <c r="K35" s="39"/>
      <c r="L35" s="39"/>
      <c r="M35" s="39"/>
      <c r="N35" s="27"/>
      <c r="O35" s="27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35" ht="20.100000000000001" customHeight="1">
      <c r="A36" s="3"/>
      <c r="B36" s="267" t="s">
        <v>199</v>
      </c>
      <c r="C36" s="267"/>
      <c r="D36" s="7"/>
      <c r="E36" s="7"/>
      <c r="F36" s="39"/>
      <c r="G36" s="39"/>
      <c r="H36" s="39"/>
      <c r="I36" s="39"/>
      <c r="J36" s="39"/>
      <c r="K36" s="39"/>
      <c r="L36" s="39"/>
      <c r="M36" s="39"/>
      <c r="N36" s="27"/>
      <c r="O36" s="2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35" ht="20.100000000000001" customHeight="1">
      <c r="A37" s="33"/>
      <c r="B37" s="267" t="s">
        <v>34</v>
      </c>
      <c r="C37" s="267"/>
      <c r="D37" s="7"/>
      <c r="E37" s="91"/>
      <c r="F37" s="92" t="e">
        <f>SUM(#REF!)</f>
        <v>#REF!</v>
      </c>
      <c r="G37" s="92"/>
      <c r="H37" s="92" t="e">
        <f>SUM(#REF!)</f>
        <v>#REF!</v>
      </c>
      <c r="I37" s="92" t="e">
        <f>SUM(#REF!)</f>
        <v>#REF!</v>
      </c>
      <c r="J37" s="92" t="e">
        <f>SUM(#REF!)</f>
        <v>#REF!</v>
      </c>
      <c r="K37" s="92" t="e">
        <f>SUM(#REF!)</f>
        <v>#REF!</v>
      </c>
      <c r="L37" s="92" t="e">
        <f>SUM(#REF!)</f>
        <v>#REF!</v>
      </c>
      <c r="M37" s="92" t="e">
        <f>SUM(#REF!)</f>
        <v>#REF!</v>
      </c>
      <c r="N37" s="134" t="e">
        <f>SUM(#REF!)</f>
        <v>#REF!</v>
      </c>
      <c r="O37" s="134" t="e">
        <f>SUM(#REF!)</f>
        <v>#REF!</v>
      </c>
      <c r="P37" s="92" t="e">
        <f>SUM(#REF!)</f>
        <v>#REF!</v>
      </c>
      <c r="Q37" s="92" t="e">
        <f>SUM(#REF!)</f>
        <v>#REF!</v>
      </c>
      <c r="R37" s="92" t="e">
        <f>SUM(#REF!)</f>
        <v>#REF!</v>
      </c>
      <c r="S37" s="92">
        <f>0</f>
        <v>0</v>
      </c>
      <c r="T37" s="92"/>
      <c r="U37" s="92" t="e">
        <f>SUM(#REF!)</f>
        <v>#REF!</v>
      </c>
      <c r="V37" s="92" t="e">
        <f>SUM(#REF!)</f>
        <v>#REF!</v>
      </c>
      <c r="W37" s="92" t="e">
        <f>SUM(#REF!)</f>
        <v>#REF!</v>
      </c>
      <c r="X37" s="92" t="e">
        <f>SUM(#REF!)</f>
        <v>#REF!</v>
      </c>
      <c r="Y37" s="92" t="e">
        <f>SUM(#REF!)</f>
        <v>#REF!</v>
      </c>
      <c r="Z37" s="92">
        <v>547219.79449999996</v>
      </c>
      <c r="AA37" s="92" t="e">
        <f>SUM(#REF!)</f>
        <v>#REF!</v>
      </c>
      <c r="AB37" s="34"/>
    </row>
    <row r="38" spans="1:35" ht="20.100000000000001" customHeight="1">
      <c r="A38" s="33"/>
      <c r="B38" s="96"/>
      <c r="C38" s="96"/>
      <c r="D38" s="7"/>
      <c r="E38" s="91"/>
      <c r="F38" s="31"/>
      <c r="G38" s="31"/>
      <c r="H38" s="31"/>
      <c r="I38" s="31"/>
      <c r="J38" s="31"/>
      <c r="K38" s="31"/>
      <c r="L38" s="31"/>
      <c r="M38" s="31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35" ht="20.100000000000001" customHeight="1">
      <c r="A39" s="33"/>
      <c r="B39" s="267" t="s">
        <v>209</v>
      </c>
      <c r="C39" s="267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35" ht="20.100000000000001" customHeight="1">
      <c r="A40" s="33"/>
      <c r="B40" s="267" t="s">
        <v>34</v>
      </c>
      <c r="C40" s="267"/>
      <c r="D40" s="3"/>
      <c r="E40" s="33"/>
      <c r="F40" s="93" t="e">
        <f>SUM(#REF!)</f>
        <v>#REF!</v>
      </c>
      <c r="G40" s="93"/>
      <c r="H40" s="93" t="e">
        <f>SUM(#REF!)</f>
        <v>#REF!</v>
      </c>
      <c r="I40" s="93" t="e">
        <f>SUM(#REF!)</f>
        <v>#REF!</v>
      </c>
      <c r="J40" s="93" t="e">
        <f>SUM(#REF!)</f>
        <v>#REF!</v>
      </c>
      <c r="K40" s="93" t="e">
        <f>SUM(#REF!)</f>
        <v>#REF!</v>
      </c>
      <c r="L40" s="93" t="e">
        <f>SUM(#REF!)</f>
        <v>#REF!</v>
      </c>
      <c r="M40" s="93" t="e">
        <f>SUM(#REF!)</f>
        <v>#REF!</v>
      </c>
      <c r="N40" s="134" t="e">
        <f>SUM(#REF!)</f>
        <v>#REF!</v>
      </c>
      <c r="O40" s="134"/>
      <c r="P40" s="93" t="e">
        <f>SUM(#REF!)</f>
        <v>#REF!</v>
      </c>
      <c r="Q40" s="93" t="e">
        <f>SUM(#REF!)</f>
        <v>#REF!</v>
      </c>
      <c r="R40" s="93" t="e">
        <f>SUM(#REF!)</f>
        <v>#REF!</v>
      </c>
      <c r="S40" s="93">
        <f>0</f>
        <v>0</v>
      </c>
      <c r="T40" s="93"/>
      <c r="U40" s="93" t="e">
        <f>SUM(#REF!)</f>
        <v>#REF!</v>
      </c>
      <c r="V40" s="93" t="e">
        <f>SUM(#REF!)</f>
        <v>#REF!</v>
      </c>
      <c r="W40" s="93" t="e">
        <f>SUM(#REF!)</f>
        <v>#REF!</v>
      </c>
      <c r="X40" s="93" t="e">
        <f>SUM(#REF!)</f>
        <v>#REF!</v>
      </c>
      <c r="Y40" s="93" t="e">
        <f>SUM(#REF!)</f>
        <v>#REF!</v>
      </c>
      <c r="Z40" s="93">
        <v>2082060.673</v>
      </c>
      <c r="AA40" s="93" t="e">
        <f>SUM(#REF!)</f>
        <v>#REF!</v>
      </c>
    </row>
    <row r="41" spans="1:35" ht="20.100000000000001" customHeight="1">
      <c r="A41" s="33"/>
      <c r="B41" s="96"/>
      <c r="C41" s="96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27"/>
      <c r="O41" s="27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35" ht="20.100000000000001" customHeight="1">
      <c r="A42" s="33"/>
      <c r="B42" s="267" t="s">
        <v>222</v>
      </c>
      <c r="C42" s="267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27"/>
      <c r="O42" s="27"/>
      <c r="P42" s="39"/>
      <c r="Q42" s="39"/>
      <c r="R42" s="39"/>
      <c r="S42" s="63"/>
      <c r="T42" s="63"/>
      <c r="U42" s="63"/>
      <c r="V42" s="63"/>
      <c r="W42" s="63"/>
      <c r="X42" s="39"/>
      <c r="Y42" s="36"/>
      <c r="Z42" s="36"/>
      <c r="AA42" s="36"/>
    </row>
    <row r="43" spans="1:35" ht="20.100000000000001" customHeight="1">
      <c r="A43" s="33"/>
      <c r="B43" s="267" t="s">
        <v>34</v>
      </c>
      <c r="C43" s="267"/>
      <c r="D43" s="91"/>
      <c r="E43" s="66"/>
      <c r="F43" s="39" t="e">
        <f>SUM(#REF!)</f>
        <v>#REF!</v>
      </c>
      <c r="G43" s="39"/>
      <c r="H43" s="39" t="e">
        <f>SUM(#REF!)</f>
        <v>#REF!</v>
      </c>
      <c r="I43" s="39" t="e">
        <f>SUM(#REF!)</f>
        <v>#REF!</v>
      </c>
      <c r="J43" s="39" t="e">
        <f>SUM(#REF!)</f>
        <v>#REF!</v>
      </c>
      <c r="K43" s="39" t="e">
        <f>SUM(#REF!)</f>
        <v>#REF!</v>
      </c>
      <c r="L43" s="63" t="e">
        <f>SUM(#REF!)</f>
        <v>#REF!</v>
      </c>
      <c r="M43" s="39" t="e">
        <f>SUM(#REF!)</f>
        <v>#REF!</v>
      </c>
      <c r="N43" s="134"/>
      <c r="O43" s="134" t="e">
        <f>SUM(#REF!)</f>
        <v>#REF!</v>
      </c>
      <c r="P43" s="39" t="e">
        <f>SUM(#REF!)</f>
        <v>#REF!</v>
      </c>
      <c r="Q43" s="39" t="e">
        <f>SUM(#REF!)</f>
        <v>#REF!</v>
      </c>
      <c r="R43" s="39" t="e">
        <f>SUM(#REF!)</f>
        <v>#REF!</v>
      </c>
      <c r="S43" s="63">
        <f>0</f>
        <v>0</v>
      </c>
      <c r="T43" s="63"/>
      <c r="U43" s="63" t="e">
        <f>SUM(#REF!)</f>
        <v>#REF!</v>
      </c>
      <c r="V43" s="63" t="e">
        <f>SUM(#REF!)</f>
        <v>#REF!</v>
      </c>
      <c r="W43" s="63" t="e">
        <f>SUM(#REF!)</f>
        <v>#REF!</v>
      </c>
      <c r="X43" s="39" t="e">
        <f>SUM(#REF!)</f>
        <v>#REF!</v>
      </c>
      <c r="Y43" s="63" t="e">
        <f>SUM(#REF!)</f>
        <v>#REF!</v>
      </c>
      <c r="Z43" s="63">
        <v>2761364.9972499995</v>
      </c>
      <c r="AA43" s="63" t="e">
        <f>SUM(#REF!)</f>
        <v>#REF!</v>
      </c>
    </row>
    <row r="44" spans="1:35" ht="20.100000000000001" customHeight="1">
      <c r="A44" s="33"/>
      <c r="B44" s="96"/>
      <c r="C44" s="96"/>
      <c r="D44" s="91"/>
      <c r="E44" s="66"/>
      <c r="F44" s="39"/>
      <c r="G44" s="39"/>
      <c r="H44" s="39"/>
      <c r="I44" s="39"/>
      <c r="J44" s="39"/>
      <c r="K44" s="39"/>
      <c r="L44" s="63"/>
      <c r="M44" s="39"/>
      <c r="N44" s="27"/>
      <c r="O44" s="27"/>
      <c r="P44" s="39"/>
      <c r="Q44" s="39"/>
      <c r="R44" s="39"/>
      <c r="S44" s="63"/>
      <c r="T44" s="63"/>
      <c r="U44" s="63"/>
      <c r="V44" s="63"/>
      <c r="W44" s="63"/>
      <c r="X44" s="39"/>
      <c r="Y44" s="63"/>
      <c r="Z44" s="63"/>
      <c r="AA44" s="63"/>
    </row>
    <row r="45" spans="1:35" ht="20.100000000000001" customHeight="1">
      <c r="A45" s="33"/>
      <c r="B45" s="267" t="s">
        <v>242</v>
      </c>
      <c r="C45" s="267"/>
      <c r="D45" s="61"/>
      <c r="E45" s="66"/>
      <c r="F45" s="62"/>
      <c r="G45" s="62"/>
      <c r="H45" s="62"/>
      <c r="I45" s="62"/>
      <c r="J45" s="62"/>
      <c r="K45" s="62"/>
      <c r="L45" s="36"/>
      <c r="M45" s="62"/>
      <c r="N45" s="27"/>
      <c r="O45" s="27"/>
      <c r="P45" s="62"/>
      <c r="Q45" s="62"/>
      <c r="R45" s="62"/>
      <c r="S45" s="36"/>
      <c r="T45" s="36"/>
      <c r="U45" s="36"/>
      <c r="V45" s="36"/>
      <c r="W45" s="36"/>
      <c r="X45" s="62"/>
      <c r="Y45" s="36"/>
      <c r="Z45" s="36"/>
      <c r="AA45" s="36"/>
    </row>
    <row r="46" spans="1:35" ht="20.100000000000001" customHeight="1">
      <c r="A46" s="33">
        <v>1</v>
      </c>
      <c r="B46" s="264" t="s">
        <v>253</v>
      </c>
      <c r="C46" s="264"/>
      <c r="D46" s="61" t="s">
        <v>446</v>
      </c>
      <c r="E46" s="66" t="s">
        <v>138</v>
      </c>
      <c r="F46" s="62">
        <f>25523.45</f>
        <v>25523.45</v>
      </c>
      <c r="G46" s="62"/>
      <c r="H46" s="62">
        <f t="shared" ref="H46:H59" si="33">F46*300%</f>
        <v>76570.350000000006</v>
      </c>
      <c r="I46" s="62">
        <f t="shared" ref="I46:I59" si="34">F46*7.5%</f>
        <v>1914.25875</v>
      </c>
      <c r="J46" s="62">
        <v>0</v>
      </c>
      <c r="K46" s="62">
        <f t="shared" ref="K46:K59" si="35">F46*50%</f>
        <v>12761.725</v>
      </c>
      <c r="L46" s="36">
        <f t="shared" ref="L46:L59" si="36">F46*350%</f>
        <v>89332.074999999997</v>
      </c>
      <c r="M46" s="62">
        <f t="shared" ref="M46:M54" si="37">F46*100%</f>
        <v>25523.45</v>
      </c>
      <c r="N46" s="27"/>
      <c r="O46" s="27">
        <v>70000</v>
      </c>
      <c r="P46" s="62">
        <f t="shared" ref="P46:P54" si="38">F46*10%</f>
        <v>2552.3450000000003</v>
      </c>
      <c r="Q46" s="62">
        <v>15000</v>
      </c>
      <c r="R46" s="62"/>
      <c r="S46" s="36">
        <f t="shared" ref="S46:S54" si="39">SUM(F46:R46)</f>
        <v>319177.65375</v>
      </c>
      <c r="T46" s="36"/>
      <c r="U46" s="36">
        <v>30000</v>
      </c>
      <c r="V46" s="36">
        <f>52500</f>
        <v>52500</v>
      </c>
      <c r="W46" s="36">
        <f>'[5]Jan 2021'!$H$49</f>
        <v>638.08625000000006</v>
      </c>
      <c r="X46" s="62">
        <v>7709.76</v>
      </c>
      <c r="Y46" s="36">
        <f t="shared" ref="Y46:Y59" si="40">X46+W46+V46+U46+T46</f>
        <v>90847.846250000002</v>
      </c>
      <c r="Z46" s="36">
        <v>223329.8075</v>
      </c>
      <c r="AA46" s="36">
        <f t="shared" ref="AA46:AA59" si="41">S46-Y46</f>
        <v>228329.8075</v>
      </c>
      <c r="AB46" s="34" t="s">
        <v>443</v>
      </c>
      <c r="AC46" s="42">
        <f>257211+70000</f>
        <v>327211</v>
      </c>
      <c r="AD46" s="107">
        <f>AC46-S46</f>
        <v>8033.3462500000023</v>
      </c>
      <c r="AE46" s="107">
        <f>23/31*AD46</f>
        <v>5960.224637096776</v>
      </c>
      <c r="AF46" s="107">
        <f>AE46+AD46</f>
        <v>13993.570887096779</v>
      </c>
      <c r="AG46" s="62">
        <v>7709.76</v>
      </c>
      <c r="AH46" s="62">
        <v>7709.76</v>
      </c>
      <c r="AI46" s="107">
        <f>AH46-AG46</f>
        <v>0</v>
      </c>
    </row>
    <row r="47" spans="1:35" ht="20.100000000000001" customHeight="1">
      <c r="A47" s="33">
        <v>2</v>
      </c>
      <c r="B47" s="264" t="s">
        <v>255</v>
      </c>
      <c r="C47" s="264"/>
      <c r="D47" s="33" t="s">
        <v>258</v>
      </c>
      <c r="E47" s="66" t="s">
        <v>138</v>
      </c>
      <c r="F47" s="62">
        <f>25523.45</f>
        <v>25523.45</v>
      </c>
      <c r="G47" s="62"/>
      <c r="H47" s="62">
        <f t="shared" si="33"/>
        <v>76570.350000000006</v>
      </c>
      <c r="I47" s="62">
        <f t="shared" si="34"/>
        <v>1914.25875</v>
      </c>
      <c r="J47" s="62">
        <v>0</v>
      </c>
      <c r="K47" s="62">
        <f t="shared" si="35"/>
        <v>12761.725</v>
      </c>
      <c r="L47" s="36">
        <f t="shared" si="36"/>
        <v>89332.074999999997</v>
      </c>
      <c r="M47" s="62">
        <f t="shared" si="37"/>
        <v>25523.45</v>
      </c>
      <c r="N47" s="27"/>
      <c r="O47" s="27">
        <v>70000</v>
      </c>
      <c r="P47" s="62">
        <f t="shared" si="38"/>
        <v>2552.3450000000003</v>
      </c>
      <c r="Q47" s="62">
        <v>15000</v>
      </c>
      <c r="R47" s="62">
        <v>0</v>
      </c>
      <c r="S47" s="36">
        <f t="shared" si="39"/>
        <v>319177.65375</v>
      </c>
      <c r="T47" s="36"/>
      <c r="U47" s="36">
        <f>0</f>
        <v>0</v>
      </c>
      <c r="V47" s="36">
        <f>0</f>
        <v>0</v>
      </c>
      <c r="W47" s="36">
        <f>'[5]Jan 2021'!$H$53</f>
        <v>638.08625000000006</v>
      </c>
      <c r="X47" s="62">
        <v>7709.76</v>
      </c>
      <c r="Y47" s="36">
        <f t="shared" si="40"/>
        <v>8347.8462500000005</v>
      </c>
      <c r="Z47" s="36">
        <v>308829.8075</v>
      </c>
      <c r="AA47" s="36">
        <f t="shared" si="41"/>
        <v>310829.8075</v>
      </c>
      <c r="AB47" s="34" t="s">
        <v>443</v>
      </c>
      <c r="AC47" s="42">
        <f>257211+70000</f>
        <v>327211</v>
      </c>
      <c r="AD47" s="107">
        <f t="shared" ref="AD47:AD59" si="42">AC47-S47</f>
        <v>8033.3462500000023</v>
      </c>
      <c r="AE47" s="107">
        <f t="shared" ref="AE47:AE59" si="43">23/31*AD47</f>
        <v>5960.224637096776</v>
      </c>
      <c r="AF47" s="107">
        <f t="shared" ref="AF47:AF59" si="44">AE47+AD47</f>
        <v>13993.570887096779</v>
      </c>
      <c r="AG47" s="62">
        <v>7709.76</v>
      </c>
      <c r="AH47" s="62">
        <v>7709.76</v>
      </c>
      <c r="AI47" s="107">
        <f t="shared" ref="AI47:AI59" si="45">AH47-AG47</f>
        <v>0</v>
      </c>
    </row>
    <row r="48" spans="1:35" ht="20.100000000000001" customHeight="1">
      <c r="A48" s="33">
        <v>3</v>
      </c>
      <c r="B48" s="264" t="s">
        <v>399</v>
      </c>
      <c r="C48" s="264"/>
      <c r="D48" s="33" t="s">
        <v>258</v>
      </c>
      <c r="E48" s="66" t="s">
        <v>138</v>
      </c>
      <c r="F48" s="62">
        <f>25523.45</f>
        <v>25523.45</v>
      </c>
      <c r="G48" s="62"/>
      <c r="H48" s="62">
        <f>F48*300%</f>
        <v>76570.350000000006</v>
      </c>
      <c r="I48" s="62">
        <f>F48*7.5%</f>
        <v>1914.25875</v>
      </c>
      <c r="J48" s="62">
        <v>0</v>
      </c>
      <c r="K48" s="62">
        <f>F48*50%</f>
        <v>12761.725</v>
      </c>
      <c r="L48" s="36">
        <f>F48*350%</f>
        <v>89332.074999999997</v>
      </c>
      <c r="M48" s="62">
        <f>F48*100%</f>
        <v>25523.45</v>
      </c>
      <c r="N48" s="27"/>
      <c r="O48" s="27">
        <v>70000</v>
      </c>
      <c r="P48" s="62">
        <f>F48*10%</f>
        <v>2552.3450000000003</v>
      </c>
      <c r="Q48" s="62">
        <v>15000</v>
      </c>
      <c r="R48" s="62">
        <v>0</v>
      </c>
      <c r="S48" s="36">
        <f>SUM(F48:R48)</f>
        <v>319177.65375</v>
      </c>
      <c r="T48" s="36"/>
      <c r="U48" s="36">
        <f>3000</f>
        <v>3000</v>
      </c>
      <c r="V48" s="36">
        <f>50000</f>
        <v>50000</v>
      </c>
      <c r="W48" s="36"/>
      <c r="X48" s="62">
        <v>7709.76</v>
      </c>
      <c r="Y48" s="36">
        <f t="shared" si="40"/>
        <v>60709.760000000002</v>
      </c>
      <c r="Z48" s="36">
        <v>258467.89374999999</v>
      </c>
      <c r="AA48" s="36">
        <f>S48-Y48</f>
        <v>258467.89374999999</v>
      </c>
      <c r="AB48" s="34" t="s">
        <v>443</v>
      </c>
      <c r="AC48" s="42">
        <f>257211+70000</f>
        <v>327211</v>
      </c>
      <c r="AD48" s="107">
        <f t="shared" si="42"/>
        <v>8033.3462500000023</v>
      </c>
      <c r="AE48" s="107">
        <f t="shared" si="43"/>
        <v>5960.224637096776</v>
      </c>
      <c r="AF48" s="107">
        <f t="shared" si="44"/>
        <v>13993.570887096779</v>
      </c>
      <c r="AG48" s="62">
        <v>7709.76</v>
      </c>
      <c r="AH48" s="62">
        <v>7709.76</v>
      </c>
      <c r="AI48" s="107">
        <f t="shared" si="45"/>
        <v>0</v>
      </c>
    </row>
    <row r="49" spans="1:36" ht="20.100000000000001" customHeight="1">
      <c r="A49" s="33">
        <v>4</v>
      </c>
      <c r="B49" s="257" t="s">
        <v>259</v>
      </c>
      <c r="C49" s="258"/>
      <c r="D49" s="61" t="s">
        <v>447</v>
      </c>
      <c r="E49" s="66" t="s">
        <v>208</v>
      </c>
      <c r="F49" s="62">
        <f>19276.95</f>
        <v>19276.95</v>
      </c>
      <c r="G49" s="62"/>
      <c r="H49" s="62">
        <f>F49*300%</f>
        <v>57830.850000000006</v>
      </c>
      <c r="I49" s="62">
        <f>F49*7.5%</f>
        <v>1445.77125</v>
      </c>
      <c r="J49" s="62">
        <v>0</v>
      </c>
      <c r="K49" s="62">
        <f>F49*50%</f>
        <v>9638.4750000000004</v>
      </c>
      <c r="L49" s="36">
        <f>F49*350%</f>
        <v>67469.324999999997</v>
      </c>
      <c r="M49" s="62">
        <f>F49*100%</f>
        <v>19276.95</v>
      </c>
      <c r="N49" s="27"/>
      <c r="O49" s="27">
        <f>60000</f>
        <v>60000</v>
      </c>
      <c r="P49" s="62">
        <f>F49*10%</f>
        <v>1927.6950000000002</v>
      </c>
      <c r="Q49" s="62">
        <v>10000</v>
      </c>
      <c r="R49" s="62">
        <v>0</v>
      </c>
      <c r="S49" s="36">
        <f>SUM(F49:R49)</f>
        <v>246866.01625000004</v>
      </c>
      <c r="T49" s="36"/>
      <c r="U49" s="36">
        <v>10000</v>
      </c>
      <c r="V49" s="36">
        <f>0</f>
        <v>0</v>
      </c>
      <c r="W49" s="36">
        <f>'[5]Jan 2021'!$H$41</f>
        <v>481.92375000000004</v>
      </c>
      <c r="X49" s="62">
        <f>3369.51</f>
        <v>3369.51</v>
      </c>
      <c r="Y49" s="36">
        <f t="shared" si="40"/>
        <v>13851.43375</v>
      </c>
      <c r="Z49" s="36">
        <v>233014.58250000005</v>
      </c>
      <c r="AA49" s="36">
        <f>S49-Y49</f>
        <v>233014.58250000005</v>
      </c>
      <c r="AB49" s="61" t="s">
        <v>163</v>
      </c>
      <c r="AC49" s="42">
        <f t="shared" ref="AC49:AC51" si="46">205372+60000</f>
        <v>265372</v>
      </c>
      <c r="AD49" s="107">
        <f t="shared" si="42"/>
        <v>18505.983749999956</v>
      </c>
      <c r="AE49" s="107">
        <f t="shared" si="43"/>
        <v>13730.246008064483</v>
      </c>
      <c r="AF49" s="107">
        <f t="shared" si="44"/>
        <v>32236.229758064437</v>
      </c>
      <c r="AG49" s="62">
        <f t="shared" ref="AG49:AG54" si="47">3369.51</f>
        <v>3369.51</v>
      </c>
      <c r="AH49" s="62">
        <f t="shared" ref="AH49:AH54" si="48">3369.51</f>
        <v>3369.51</v>
      </c>
      <c r="AI49" s="107">
        <f t="shared" si="45"/>
        <v>0</v>
      </c>
    </row>
    <row r="50" spans="1:36" ht="20.100000000000001" customHeight="1">
      <c r="A50" s="33">
        <v>5</v>
      </c>
      <c r="B50" s="264" t="s">
        <v>261</v>
      </c>
      <c r="C50" s="264"/>
      <c r="D50" s="33" t="s">
        <v>447</v>
      </c>
      <c r="E50" s="66" t="s">
        <v>82</v>
      </c>
      <c r="F50" s="36">
        <f>18779.3</f>
        <v>18779.3</v>
      </c>
      <c r="G50" s="62"/>
      <c r="H50" s="62">
        <f>F50*300%</f>
        <v>56337.899999999994</v>
      </c>
      <c r="I50" s="62">
        <f>F50*7.5%</f>
        <v>1408.4475</v>
      </c>
      <c r="J50" s="62">
        <v>0</v>
      </c>
      <c r="K50" s="62">
        <f>F50*50%</f>
        <v>9389.65</v>
      </c>
      <c r="L50" s="36">
        <f>F50*350%</f>
        <v>65727.55</v>
      </c>
      <c r="M50" s="26">
        <f t="shared" si="37"/>
        <v>18779.3</v>
      </c>
      <c r="N50" s="27"/>
      <c r="O50" s="27">
        <f>60000</f>
        <v>60000</v>
      </c>
      <c r="P50" s="62">
        <f t="shared" si="38"/>
        <v>1877.93</v>
      </c>
      <c r="Q50" s="62">
        <v>10000</v>
      </c>
      <c r="R50" s="62">
        <v>0</v>
      </c>
      <c r="S50" s="36">
        <f t="shared" si="39"/>
        <v>242300.07749999996</v>
      </c>
      <c r="T50" s="36"/>
      <c r="U50" s="36"/>
      <c r="V50" s="36">
        <f>50000</f>
        <v>50000</v>
      </c>
      <c r="W50" s="36"/>
      <c r="X50" s="62">
        <v>3369.51</v>
      </c>
      <c r="Y50" s="36">
        <f t="shared" si="40"/>
        <v>53369.51</v>
      </c>
      <c r="Z50" s="36">
        <v>188930.56749999995</v>
      </c>
      <c r="AA50" s="36">
        <f t="shared" si="41"/>
        <v>188930.56749999995</v>
      </c>
      <c r="AB50" s="61" t="s">
        <v>163</v>
      </c>
      <c r="AC50" s="42">
        <f t="shared" si="46"/>
        <v>265372</v>
      </c>
      <c r="AD50" s="107">
        <f t="shared" si="42"/>
        <v>23071.922500000044</v>
      </c>
      <c r="AE50" s="107">
        <f t="shared" si="43"/>
        <v>17117.877983871</v>
      </c>
      <c r="AF50" s="107">
        <f t="shared" si="44"/>
        <v>40189.800483871048</v>
      </c>
      <c r="AG50" s="62">
        <f t="shared" si="47"/>
        <v>3369.51</v>
      </c>
      <c r="AH50" s="62">
        <f t="shared" si="48"/>
        <v>3369.51</v>
      </c>
      <c r="AI50" s="107">
        <f t="shared" si="45"/>
        <v>0</v>
      </c>
    </row>
    <row r="51" spans="1:36" ht="20.100000000000001" customHeight="1">
      <c r="A51" s="33">
        <v>6</v>
      </c>
      <c r="B51" s="257" t="s">
        <v>262</v>
      </c>
      <c r="C51" s="258"/>
      <c r="D51" s="61" t="s">
        <v>448</v>
      </c>
      <c r="E51" s="66" t="s">
        <v>208</v>
      </c>
      <c r="F51" s="62">
        <f>19276.95</f>
        <v>19276.95</v>
      </c>
      <c r="G51" s="62"/>
      <c r="H51" s="62">
        <f>F51*300%</f>
        <v>57830.850000000006</v>
      </c>
      <c r="I51" s="62">
        <f>F51*7.5%</f>
        <v>1445.77125</v>
      </c>
      <c r="J51" s="36"/>
      <c r="K51" s="62">
        <f>F51*50%</f>
        <v>9638.4750000000004</v>
      </c>
      <c r="L51" s="36">
        <f>F51*350%</f>
        <v>67469.324999999997</v>
      </c>
      <c r="M51" s="62">
        <f>F51*100%</f>
        <v>19276.95</v>
      </c>
      <c r="N51" s="27"/>
      <c r="O51" s="27">
        <f>60000</f>
        <v>60000</v>
      </c>
      <c r="P51" s="62">
        <f>F51*10%</f>
        <v>1927.6950000000002</v>
      </c>
      <c r="Q51" s="62">
        <v>10000</v>
      </c>
      <c r="R51" s="62"/>
      <c r="S51" s="36">
        <f>SUM(F51:R51)</f>
        <v>246866.01625000004</v>
      </c>
      <c r="T51" s="36"/>
      <c r="U51" s="36">
        <f>20000+10000</f>
        <v>30000</v>
      </c>
      <c r="V51" s="36"/>
      <c r="W51" s="36"/>
      <c r="X51" s="62">
        <v>3369.51</v>
      </c>
      <c r="Y51" s="36">
        <f t="shared" si="40"/>
        <v>33369.51</v>
      </c>
      <c r="Z51" s="36">
        <v>213496.50625000003</v>
      </c>
      <c r="AA51" s="36">
        <f>S51-Y51</f>
        <v>213496.50625000003</v>
      </c>
      <c r="AB51" s="61" t="s">
        <v>163</v>
      </c>
      <c r="AC51" s="42">
        <f t="shared" si="46"/>
        <v>265372</v>
      </c>
      <c r="AD51" s="107">
        <f t="shared" si="42"/>
        <v>18505.983749999956</v>
      </c>
      <c r="AE51" s="107">
        <f t="shared" si="43"/>
        <v>13730.246008064483</v>
      </c>
      <c r="AF51" s="107">
        <f t="shared" si="44"/>
        <v>32236.229758064437</v>
      </c>
      <c r="AG51" s="62">
        <f t="shared" si="47"/>
        <v>3369.51</v>
      </c>
      <c r="AH51" s="62">
        <f t="shared" si="48"/>
        <v>3369.51</v>
      </c>
      <c r="AI51" s="107">
        <f t="shared" si="45"/>
        <v>0</v>
      </c>
    </row>
    <row r="52" spans="1:36" ht="20.100000000000001" customHeight="1">
      <c r="A52" s="33">
        <v>7</v>
      </c>
      <c r="B52" s="257" t="s">
        <v>269</v>
      </c>
      <c r="C52" s="258"/>
      <c r="D52" s="61" t="s">
        <v>268</v>
      </c>
      <c r="E52" s="66" t="s">
        <v>106</v>
      </c>
      <c r="F52" s="67">
        <f>13492.21</f>
        <v>13492.21</v>
      </c>
      <c r="G52" s="62"/>
      <c r="H52" s="62">
        <f t="shared" si="33"/>
        <v>40476.629999999997</v>
      </c>
      <c r="I52" s="62">
        <f t="shared" si="34"/>
        <v>1011.9157499999999</v>
      </c>
      <c r="J52" s="62"/>
      <c r="K52" s="62">
        <f t="shared" si="35"/>
        <v>6746.1049999999996</v>
      </c>
      <c r="L52" s="36">
        <f t="shared" si="36"/>
        <v>47222.735000000001</v>
      </c>
      <c r="M52" s="62">
        <f t="shared" si="37"/>
        <v>13492.21</v>
      </c>
      <c r="N52" s="27"/>
      <c r="O52" s="27">
        <f>50000</f>
        <v>50000</v>
      </c>
      <c r="P52" s="62">
        <f t="shared" si="38"/>
        <v>1349.221</v>
      </c>
      <c r="Q52" s="62">
        <v>10000</v>
      </c>
      <c r="R52" s="62"/>
      <c r="S52" s="36">
        <f t="shared" si="39"/>
        <v>183791.02674999999</v>
      </c>
      <c r="T52" s="36"/>
      <c r="U52" s="36">
        <f>10000</f>
        <v>10000</v>
      </c>
      <c r="V52" s="36">
        <v>0</v>
      </c>
      <c r="W52" s="36"/>
      <c r="X52" s="62">
        <v>1484.37</v>
      </c>
      <c r="Y52" s="36">
        <f t="shared" si="40"/>
        <v>11484.369999999999</v>
      </c>
      <c r="Z52" s="36">
        <v>172306.65674999999</v>
      </c>
      <c r="AA52" s="36">
        <f t="shared" si="41"/>
        <v>172306.65674999999</v>
      </c>
      <c r="AB52" s="1" t="s">
        <v>449</v>
      </c>
      <c r="AC52" s="42">
        <f>168602+60000</f>
        <v>228602</v>
      </c>
      <c r="AD52" s="107">
        <f t="shared" si="42"/>
        <v>44810.97325000001</v>
      </c>
      <c r="AE52" s="107">
        <f t="shared" si="43"/>
        <v>33246.851120967753</v>
      </c>
      <c r="AF52" s="107">
        <f t="shared" si="44"/>
        <v>78057.824370967763</v>
      </c>
      <c r="AG52" s="62">
        <f t="shared" si="47"/>
        <v>3369.51</v>
      </c>
      <c r="AH52" s="62">
        <f t="shared" si="48"/>
        <v>3369.51</v>
      </c>
      <c r="AI52" s="107">
        <f t="shared" si="45"/>
        <v>0</v>
      </c>
    </row>
    <row r="53" spans="1:36" ht="20.100000000000001" customHeight="1">
      <c r="A53" s="33">
        <v>8</v>
      </c>
      <c r="B53" s="257" t="s">
        <v>270</v>
      </c>
      <c r="C53" s="258"/>
      <c r="D53" s="61" t="s">
        <v>268</v>
      </c>
      <c r="E53" s="66" t="s">
        <v>106</v>
      </c>
      <c r="F53" s="67">
        <f>13492.21</f>
        <v>13492.21</v>
      </c>
      <c r="G53" s="62"/>
      <c r="H53" s="62">
        <f t="shared" si="33"/>
        <v>40476.629999999997</v>
      </c>
      <c r="I53" s="62">
        <f t="shared" si="34"/>
        <v>1011.9157499999999</v>
      </c>
      <c r="J53" s="62"/>
      <c r="K53" s="62">
        <f t="shared" si="35"/>
        <v>6746.1049999999996</v>
      </c>
      <c r="L53" s="36">
        <f t="shared" si="36"/>
        <v>47222.735000000001</v>
      </c>
      <c r="M53" s="62">
        <f t="shared" si="37"/>
        <v>13492.21</v>
      </c>
      <c r="N53" s="27"/>
      <c r="O53" s="27">
        <f>50000</f>
        <v>50000</v>
      </c>
      <c r="P53" s="62">
        <f t="shared" si="38"/>
        <v>1349.221</v>
      </c>
      <c r="Q53" s="62">
        <v>10000</v>
      </c>
      <c r="R53" s="62"/>
      <c r="S53" s="36">
        <f t="shared" si="39"/>
        <v>183791.02674999999</v>
      </c>
      <c r="T53" s="36"/>
      <c r="U53" s="36">
        <f>10000+30000</f>
        <v>40000</v>
      </c>
      <c r="V53" s="36">
        <f>7500</f>
        <v>7500</v>
      </c>
      <c r="W53" s="36">
        <f>'[5]Jan 2021'!$H$37</f>
        <v>337.30525</v>
      </c>
      <c r="X53" s="62">
        <v>1484.37</v>
      </c>
      <c r="Y53" s="36">
        <f t="shared" si="40"/>
        <v>49321.67525</v>
      </c>
      <c r="Z53" s="36">
        <v>134469.35149999999</v>
      </c>
      <c r="AA53" s="36">
        <f t="shared" si="41"/>
        <v>134469.35149999999</v>
      </c>
      <c r="AB53" s="1" t="s">
        <v>449</v>
      </c>
      <c r="AC53" s="42">
        <f t="shared" ref="AC53:AC54" si="49">168602+60000</f>
        <v>228602</v>
      </c>
      <c r="AD53" s="107">
        <f t="shared" si="42"/>
        <v>44810.97325000001</v>
      </c>
      <c r="AE53" s="107">
        <f t="shared" si="43"/>
        <v>33246.851120967753</v>
      </c>
      <c r="AF53" s="107">
        <f t="shared" si="44"/>
        <v>78057.824370967763</v>
      </c>
      <c r="AG53" s="62">
        <f t="shared" si="47"/>
        <v>3369.51</v>
      </c>
      <c r="AH53" s="62">
        <f t="shared" si="48"/>
        <v>3369.51</v>
      </c>
      <c r="AI53" s="107">
        <f t="shared" si="45"/>
        <v>0</v>
      </c>
    </row>
    <row r="54" spans="1:36" ht="20.100000000000001" customHeight="1">
      <c r="A54" s="33">
        <v>9</v>
      </c>
      <c r="B54" s="257" t="s">
        <v>271</v>
      </c>
      <c r="C54" s="258"/>
      <c r="D54" s="61" t="s">
        <v>268</v>
      </c>
      <c r="E54" s="66" t="s">
        <v>106</v>
      </c>
      <c r="F54" s="67">
        <f>13492.21</f>
        <v>13492.21</v>
      </c>
      <c r="G54" s="62"/>
      <c r="H54" s="62">
        <f t="shared" si="33"/>
        <v>40476.629999999997</v>
      </c>
      <c r="I54" s="62">
        <f t="shared" si="34"/>
        <v>1011.9157499999999</v>
      </c>
      <c r="J54" s="62"/>
      <c r="K54" s="62">
        <f t="shared" si="35"/>
        <v>6746.1049999999996</v>
      </c>
      <c r="L54" s="36">
        <f t="shared" si="36"/>
        <v>47222.735000000001</v>
      </c>
      <c r="M54" s="62">
        <f t="shared" si="37"/>
        <v>13492.21</v>
      </c>
      <c r="N54" s="27"/>
      <c r="O54" s="27">
        <f>50000</f>
        <v>50000</v>
      </c>
      <c r="P54" s="62">
        <f t="shared" si="38"/>
        <v>1349.221</v>
      </c>
      <c r="Q54" s="62">
        <v>10000</v>
      </c>
      <c r="R54" s="62"/>
      <c r="S54" s="36">
        <f t="shared" si="39"/>
        <v>183791.02674999999</v>
      </c>
      <c r="T54" s="36"/>
      <c r="U54" s="36"/>
      <c r="V54" s="36"/>
      <c r="W54" s="36"/>
      <c r="X54" s="62">
        <v>1484.37</v>
      </c>
      <c r="Y54" s="36">
        <f t="shared" si="40"/>
        <v>1484.37</v>
      </c>
      <c r="Z54" s="36">
        <v>182306.65674999999</v>
      </c>
      <c r="AA54" s="36">
        <f t="shared" si="41"/>
        <v>182306.65674999999</v>
      </c>
      <c r="AB54" s="1" t="s">
        <v>449</v>
      </c>
      <c r="AC54" s="42">
        <f t="shared" si="49"/>
        <v>228602</v>
      </c>
      <c r="AD54" s="107">
        <f t="shared" si="42"/>
        <v>44810.97325000001</v>
      </c>
      <c r="AE54" s="107">
        <f t="shared" si="43"/>
        <v>33246.851120967753</v>
      </c>
      <c r="AF54" s="107">
        <f t="shared" si="44"/>
        <v>78057.824370967763</v>
      </c>
      <c r="AG54" s="62">
        <f t="shared" si="47"/>
        <v>3369.51</v>
      </c>
      <c r="AH54" s="62">
        <f t="shared" si="48"/>
        <v>3369.51</v>
      </c>
      <c r="AI54" s="107">
        <f t="shared" si="45"/>
        <v>0</v>
      </c>
    </row>
    <row r="55" spans="1:36" ht="20.100000000000001" customHeight="1">
      <c r="A55" s="33">
        <v>10</v>
      </c>
      <c r="B55" s="257" t="s">
        <v>311</v>
      </c>
      <c r="C55" s="258"/>
      <c r="D55" s="61" t="s">
        <v>312</v>
      </c>
      <c r="E55" s="66" t="s">
        <v>319</v>
      </c>
      <c r="F55" s="62">
        <f t="shared" ref="F55:F59" si="50">4836.3</f>
        <v>4836.3</v>
      </c>
      <c r="G55" s="27"/>
      <c r="H55" s="62">
        <f t="shared" si="33"/>
        <v>14508.900000000001</v>
      </c>
      <c r="I55" s="62">
        <f t="shared" si="34"/>
        <v>362.72250000000003</v>
      </c>
      <c r="J55" s="62"/>
      <c r="K55" s="62">
        <f t="shared" si="35"/>
        <v>2418.15</v>
      </c>
      <c r="L55" s="36">
        <f t="shared" si="36"/>
        <v>16927.05</v>
      </c>
      <c r="M55" s="62">
        <f t="shared" ref="M55:M59" si="51">F55*100%</f>
        <v>4836.3</v>
      </c>
      <c r="N55" s="27"/>
      <c r="O55" s="27">
        <f>15000</f>
        <v>15000</v>
      </c>
      <c r="P55" s="62">
        <f t="shared" ref="P55:P59" si="52">F55*10%</f>
        <v>483.63000000000005</v>
      </c>
      <c r="Q55" s="62">
        <v>5000</v>
      </c>
      <c r="R55" s="62">
        <f>7000</f>
        <v>7000</v>
      </c>
      <c r="S55" s="36">
        <f t="shared" ref="S55:S59" si="53">SUM(F55:R55)</f>
        <v>71373.052499999991</v>
      </c>
      <c r="T55" s="36"/>
      <c r="U55" s="36">
        <f>5000+3000</f>
        <v>8000</v>
      </c>
      <c r="V55" s="36">
        <f>15000</f>
        <v>15000</v>
      </c>
      <c r="W55" s="36"/>
      <c r="X55" s="36">
        <v>236.04</v>
      </c>
      <c r="Y55" s="36">
        <f t="shared" si="40"/>
        <v>23236.04</v>
      </c>
      <c r="Z55" s="36">
        <v>47137.01249999999</v>
      </c>
      <c r="AA55" s="36">
        <f t="shared" si="41"/>
        <v>48137.01249999999</v>
      </c>
      <c r="AB55" s="1" t="s">
        <v>450</v>
      </c>
      <c r="AC55" s="42">
        <f>48538+7000+20000</f>
        <v>75538</v>
      </c>
      <c r="AD55" s="107">
        <f t="shared" si="42"/>
        <v>4164.9475000000093</v>
      </c>
      <c r="AE55" s="107">
        <f t="shared" si="43"/>
        <v>3090.1223387096843</v>
      </c>
      <c r="AF55" s="107">
        <f t="shared" si="44"/>
        <v>7255.0698387096936</v>
      </c>
      <c r="AG55" s="36">
        <v>236.04</v>
      </c>
      <c r="AH55" s="36">
        <v>236.04</v>
      </c>
      <c r="AI55" s="107">
        <f t="shared" si="45"/>
        <v>0</v>
      </c>
    </row>
    <row r="56" spans="1:36" ht="20.100000000000001" customHeight="1">
      <c r="A56" s="33">
        <v>11</v>
      </c>
      <c r="B56" s="257" t="s">
        <v>314</v>
      </c>
      <c r="C56" s="258"/>
      <c r="D56" s="61" t="s">
        <v>312</v>
      </c>
      <c r="E56" s="66" t="s">
        <v>319</v>
      </c>
      <c r="F56" s="62">
        <f t="shared" si="50"/>
        <v>4836.3</v>
      </c>
      <c r="G56" s="27"/>
      <c r="H56" s="62">
        <f t="shared" si="33"/>
        <v>14508.900000000001</v>
      </c>
      <c r="I56" s="62">
        <f t="shared" si="34"/>
        <v>362.72250000000003</v>
      </c>
      <c r="J56" s="62"/>
      <c r="K56" s="62">
        <f t="shared" si="35"/>
        <v>2418.15</v>
      </c>
      <c r="L56" s="36">
        <f t="shared" si="36"/>
        <v>16927.05</v>
      </c>
      <c r="M56" s="62">
        <f t="shared" si="51"/>
        <v>4836.3</v>
      </c>
      <c r="N56" s="27"/>
      <c r="O56" s="27">
        <f>15000</f>
        <v>15000</v>
      </c>
      <c r="P56" s="62">
        <f t="shared" si="52"/>
        <v>483.63000000000005</v>
      </c>
      <c r="Q56" s="62">
        <v>5000</v>
      </c>
      <c r="R56" s="62">
        <f>4000</f>
        <v>4000</v>
      </c>
      <c r="S56" s="36">
        <f t="shared" si="53"/>
        <v>68373.052499999991</v>
      </c>
      <c r="T56" s="36"/>
      <c r="U56" s="36">
        <f>10000+3000+5000</f>
        <v>18000</v>
      </c>
      <c r="V56" s="36">
        <f>25555.56</f>
        <v>25555.56</v>
      </c>
      <c r="W56" s="36"/>
      <c r="X56" s="36">
        <v>236.04</v>
      </c>
      <c r="Y56" s="36">
        <f t="shared" si="40"/>
        <v>43791.600000000006</v>
      </c>
      <c r="Z56" s="36">
        <v>24581.452499999985</v>
      </c>
      <c r="AA56" s="36">
        <f t="shared" si="41"/>
        <v>24581.452499999985</v>
      </c>
      <c r="AB56" s="1" t="s">
        <v>450</v>
      </c>
      <c r="AC56" s="42">
        <f>48538+4000+20000</f>
        <v>72538</v>
      </c>
      <c r="AD56" s="107">
        <f t="shared" si="42"/>
        <v>4164.9475000000093</v>
      </c>
      <c r="AE56" s="107">
        <f t="shared" si="43"/>
        <v>3090.1223387096843</v>
      </c>
      <c r="AF56" s="107">
        <f t="shared" si="44"/>
        <v>7255.0698387096936</v>
      </c>
      <c r="AG56" s="36">
        <v>236.04</v>
      </c>
      <c r="AH56" s="36">
        <v>236.04</v>
      </c>
      <c r="AI56" s="107">
        <f t="shared" si="45"/>
        <v>0</v>
      </c>
    </row>
    <row r="57" spans="1:36" ht="20.100000000000001" customHeight="1">
      <c r="A57" s="33">
        <v>12</v>
      </c>
      <c r="B57" s="257" t="s">
        <v>315</v>
      </c>
      <c r="C57" s="258"/>
      <c r="D57" s="61" t="s">
        <v>312</v>
      </c>
      <c r="E57" s="66" t="s">
        <v>319</v>
      </c>
      <c r="F57" s="62">
        <f t="shared" si="50"/>
        <v>4836.3</v>
      </c>
      <c r="G57" s="27"/>
      <c r="H57" s="62">
        <f t="shared" si="33"/>
        <v>14508.900000000001</v>
      </c>
      <c r="I57" s="62">
        <f t="shared" si="34"/>
        <v>362.72250000000003</v>
      </c>
      <c r="J57" s="62"/>
      <c r="K57" s="62">
        <f t="shared" si="35"/>
        <v>2418.15</v>
      </c>
      <c r="L57" s="36">
        <f t="shared" si="36"/>
        <v>16927.05</v>
      </c>
      <c r="M57" s="62">
        <f t="shared" si="51"/>
        <v>4836.3</v>
      </c>
      <c r="N57" s="27"/>
      <c r="O57" s="27">
        <f>15000</f>
        <v>15000</v>
      </c>
      <c r="P57" s="62">
        <f t="shared" si="52"/>
        <v>483.63000000000005</v>
      </c>
      <c r="Q57" s="62">
        <v>5000</v>
      </c>
      <c r="R57" s="62">
        <f>7000</f>
        <v>7000</v>
      </c>
      <c r="S57" s="36">
        <f t="shared" si="53"/>
        <v>71373.052499999991</v>
      </c>
      <c r="T57" s="36"/>
      <c r="U57" s="36">
        <f>5000+3000</f>
        <v>8000</v>
      </c>
      <c r="V57" s="36">
        <f>30087.22</f>
        <v>30087.22</v>
      </c>
      <c r="W57" s="36"/>
      <c r="X57" s="36">
        <v>236.04</v>
      </c>
      <c r="Y57" s="36">
        <f t="shared" si="40"/>
        <v>38323.26</v>
      </c>
      <c r="Z57" s="36">
        <v>33049.792499999989</v>
      </c>
      <c r="AA57" s="36">
        <f t="shared" si="41"/>
        <v>33049.792499999989</v>
      </c>
      <c r="AB57" s="1" t="s">
        <v>450</v>
      </c>
      <c r="AC57" s="42">
        <f t="shared" ref="AC57:AC59" si="54">48538+7000+20000</f>
        <v>75538</v>
      </c>
      <c r="AD57" s="107">
        <f t="shared" si="42"/>
        <v>4164.9475000000093</v>
      </c>
      <c r="AE57" s="107">
        <f t="shared" si="43"/>
        <v>3090.1223387096843</v>
      </c>
      <c r="AF57" s="107">
        <f t="shared" si="44"/>
        <v>7255.0698387096936</v>
      </c>
      <c r="AG57" s="36">
        <v>236.04</v>
      </c>
      <c r="AH57" s="36">
        <v>236.04</v>
      </c>
      <c r="AI57" s="107">
        <f t="shared" si="45"/>
        <v>0</v>
      </c>
    </row>
    <row r="58" spans="1:36" ht="20.100000000000001" customHeight="1">
      <c r="A58" s="33">
        <v>13</v>
      </c>
      <c r="B58" s="257" t="s">
        <v>316</v>
      </c>
      <c r="C58" s="258"/>
      <c r="D58" s="61" t="s">
        <v>312</v>
      </c>
      <c r="E58" s="66" t="s">
        <v>319</v>
      </c>
      <c r="F58" s="62">
        <f t="shared" si="50"/>
        <v>4836.3</v>
      </c>
      <c r="G58" s="27"/>
      <c r="H58" s="62">
        <f t="shared" si="33"/>
        <v>14508.900000000001</v>
      </c>
      <c r="I58" s="62">
        <f t="shared" si="34"/>
        <v>362.72250000000003</v>
      </c>
      <c r="J58" s="62"/>
      <c r="K58" s="62">
        <f t="shared" si="35"/>
        <v>2418.15</v>
      </c>
      <c r="L58" s="36">
        <f t="shared" si="36"/>
        <v>16927.05</v>
      </c>
      <c r="M58" s="62">
        <f t="shared" si="51"/>
        <v>4836.3</v>
      </c>
      <c r="N58" s="27"/>
      <c r="O58" s="27">
        <f>15000</f>
        <v>15000</v>
      </c>
      <c r="P58" s="62">
        <f t="shared" si="52"/>
        <v>483.63000000000005</v>
      </c>
      <c r="Q58" s="62">
        <v>5000</v>
      </c>
      <c r="R58" s="62">
        <f>4000</f>
        <v>4000</v>
      </c>
      <c r="S58" s="36">
        <f t="shared" si="53"/>
        <v>68373.052499999991</v>
      </c>
      <c r="T58" s="36"/>
      <c r="U58" s="36">
        <f>10000+3000</f>
        <v>13000</v>
      </c>
      <c r="V58" s="36">
        <f>8416.67</f>
        <v>8416.67</v>
      </c>
      <c r="W58" s="36"/>
      <c r="X58" s="36">
        <v>236.04</v>
      </c>
      <c r="Y58" s="36">
        <f t="shared" si="40"/>
        <v>21652.71</v>
      </c>
      <c r="Z58" s="36">
        <v>46720.342499999992</v>
      </c>
      <c r="AA58" s="36">
        <f t="shared" si="41"/>
        <v>46720.342499999992</v>
      </c>
      <c r="AB58" s="1" t="s">
        <v>450</v>
      </c>
      <c r="AC58" s="42">
        <f>48538+4000+20000</f>
        <v>72538</v>
      </c>
      <c r="AD58" s="107">
        <f t="shared" si="42"/>
        <v>4164.9475000000093</v>
      </c>
      <c r="AE58" s="107">
        <f t="shared" si="43"/>
        <v>3090.1223387096843</v>
      </c>
      <c r="AF58" s="107">
        <f t="shared" si="44"/>
        <v>7255.0698387096936</v>
      </c>
      <c r="AG58" s="36">
        <v>236.04</v>
      </c>
      <c r="AH58" s="36">
        <v>236.04</v>
      </c>
      <c r="AI58" s="107">
        <f t="shared" si="45"/>
        <v>0</v>
      </c>
    </row>
    <row r="59" spans="1:36" ht="20.100000000000001" customHeight="1">
      <c r="A59" s="33">
        <v>14</v>
      </c>
      <c r="B59" s="257" t="s">
        <v>317</v>
      </c>
      <c r="C59" s="258"/>
      <c r="D59" s="61" t="s">
        <v>312</v>
      </c>
      <c r="E59" s="66" t="s">
        <v>319</v>
      </c>
      <c r="F59" s="62">
        <f t="shared" si="50"/>
        <v>4836.3</v>
      </c>
      <c r="G59" s="27"/>
      <c r="H59" s="62">
        <f t="shared" si="33"/>
        <v>14508.900000000001</v>
      </c>
      <c r="I59" s="62">
        <f t="shared" si="34"/>
        <v>362.72250000000003</v>
      </c>
      <c r="J59" s="62"/>
      <c r="K59" s="62">
        <f t="shared" si="35"/>
        <v>2418.15</v>
      </c>
      <c r="L59" s="36">
        <f t="shared" si="36"/>
        <v>16927.05</v>
      </c>
      <c r="M59" s="62">
        <f t="shared" si="51"/>
        <v>4836.3</v>
      </c>
      <c r="N59" s="27"/>
      <c r="O59" s="27">
        <f>15000</f>
        <v>15000</v>
      </c>
      <c r="P59" s="62">
        <f t="shared" si="52"/>
        <v>483.63000000000005</v>
      </c>
      <c r="Q59" s="62">
        <v>5000</v>
      </c>
      <c r="R59" s="62">
        <f>7000</f>
        <v>7000</v>
      </c>
      <c r="S59" s="36">
        <f t="shared" si="53"/>
        <v>71373.052499999991</v>
      </c>
      <c r="T59" s="36"/>
      <c r="U59" s="36">
        <f>5000</f>
        <v>5000</v>
      </c>
      <c r="V59" s="36">
        <f>3550.56</f>
        <v>3550.56</v>
      </c>
      <c r="W59" s="36"/>
      <c r="X59" s="36">
        <v>236.04</v>
      </c>
      <c r="Y59" s="36">
        <f t="shared" si="40"/>
        <v>8786.6</v>
      </c>
      <c r="Z59" s="36">
        <v>62586.452499999992</v>
      </c>
      <c r="AA59" s="36">
        <f t="shared" si="41"/>
        <v>62586.452499999992</v>
      </c>
      <c r="AB59" s="1" t="s">
        <v>450</v>
      </c>
      <c r="AC59" s="42">
        <f t="shared" si="54"/>
        <v>75538</v>
      </c>
      <c r="AD59" s="107">
        <f t="shared" si="42"/>
        <v>4164.9475000000093</v>
      </c>
      <c r="AE59" s="107">
        <f t="shared" si="43"/>
        <v>3090.1223387096843</v>
      </c>
      <c r="AF59" s="107">
        <f t="shared" si="44"/>
        <v>7255.0698387096936</v>
      </c>
      <c r="AG59" s="36">
        <v>236.04</v>
      </c>
      <c r="AH59" s="36">
        <v>236.04</v>
      </c>
      <c r="AI59" s="107">
        <f t="shared" si="45"/>
        <v>0</v>
      </c>
    </row>
    <row r="60" spans="1:36" ht="20.100000000000001" customHeight="1">
      <c r="A60" s="33"/>
      <c r="B60" s="48" t="s">
        <v>34</v>
      </c>
      <c r="D60" s="49" t="s">
        <v>451</v>
      </c>
      <c r="E60" s="37"/>
      <c r="F60" s="95">
        <f>SUM(F46:F59)</f>
        <v>198561.67999999993</v>
      </c>
      <c r="G60" s="95"/>
      <c r="H60" s="95">
        <f t="shared" ref="H60:S60" si="55">SUM(H46:H59)</f>
        <v>595685.04000000015</v>
      </c>
      <c r="I60" s="95">
        <f t="shared" si="55"/>
        <v>14892.125999999998</v>
      </c>
      <c r="J60" s="95">
        <f t="shared" si="55"/>
        <v>0</v>
      </c>
      <c r="K60" s="95">
        <f t="shared" si="55"/>
        <v>99280.839999999967</v>
      </c>
      <c r="L60" s="95">
        <f t="shared" si="55"/>
        <v>694965.88000000024</v>
      </c>
      <c r="M60" s="95">
        <f t="shared" si="55"/>
        <v>198561.67999999993</v>
      </c>
      <c r="N60" s="134">
        <f t="shared" si="55"/>
        <v>0</v>
      </c>
      <c r="O60" s="134">
        <f t="shared" si="55"/>
        <v>615000</v>
      </c>
      <c r="P60" s="95">
        <f t="shared" si="55"/>
        <v>19856.168000000005</v>
      </c>
      <c r="Q60" s="95">
        <f t="shared" si="55"/>
        <v>130000</v>
      </c>
      <c r="R60" s="95">
        <f t="shared" si="55"/>
        <v>29000</v>
      </c>
      <c r="S60" s="95">
        <f t="shared" si="55"/>
        <v>2595803.4140000008</v>
      </c>
      <c r="T60" s="95"/>
      <c r="U60" s="95">
        <f>SUM(U46:U59)</f>
        <v>175000</v>
      </c>
      <c r="V60" s="95">
        <f>SUM(V46:V59)</f>
        <v>242610.01</v>
      </c>
      <c r="W60" s="95">
        <f>SUM(W46:W59)</f>
        <v>2095.4014999999999</v>
      </c>
      <c r="X60" s="95">
        <f>SUM(X46:X59)</f>
        <v>38871.120000000017</v>
      </c>
      <c r="Y60" s="95">
        <f>SUM(Y46:Y59)</f>
        <v>458576.5315000001</v>
      </c>
      <c r="Z60" s="95">
        <v>6521425.4832500005</v>
      </c>
      <c r="AA60" s="95">
        <f>SUM(AA46:AA59)</f>
        <v>2137226.8824999998</v>
      </c>
      <c r="AC60" s="169">
        <f t="shared" ref="AC60:AI60" si="56">SUM(AC46:AC59)</f>
        <v>2835245</v>
      </c>
      <c r="AD60" s="170">
        <f t="shared" si="56"/>
        <v>239441.58600000004</v>
      </c>
      <c r="AE60" s="108">
        <f t="shared" si="56"/>
        <v>177650.20896774196</v>
      </c>
      <c r="AF60" s="108">
        <f t="shared" si="56"/>
        <v>417091.79496774211</v>
      </c>
      <c r="AG60" s="171">
        <f t="shared" si="56"/>
        <v>44526.540000000015</v>
      </c>
      <c r="AH60" s="171">
        <f t="shared" si="56"/>
        <v>44526.540000000015</v>
      </c>
      <c r="AI60" s="171">
        <f t="shared" si="56"/>
        <v>0</v>
      </c>
      <c r="AJ60" s="171"/>
    </row>
    <row r="61" spans="1:36" ht="20.100000000000001" customHeight="1">
      <c r="A61" s="33"/>
      <c r="B61" s="263" t="s">
        <v>328</v>
      </c>
      <c r="C61" s="263"/>
      <c r="D61" s="73">
        <f>D13+D16+D20+D23+D28+D31+D34+D37+D40+D43+D60</f>
        <v>22</v>
      </c>
      <c r="E61" s="40"/>
      <c r="F61" s="41" t="e">
        <f t="shared" ref="F61:S61" si="57">F13+F16+F20+F23+F28+F31+F34+F37+F40+F43+F60</f>
        <v>#REF!</v>
      </c>
      <c r="G61" s="41" t="e">
        <f t="shared" si="57"/>
        <v>#REF!</v>
      </c>
      <c r="H61" s="41" t="e">
        <f t="shared" si="57"/>
        <v>#REF!</v>
      </c>
      <c r="I61" s="41" t="e">
        <f t="shared" si="57"/>
        <v>#REF!</v>
      </c>
      <c r="J61" s="41" t="e">
        <f t="shared" si="57"/>
        <v>#REF!</v>
      </c>
      <c r="K61" s="41" t="e">
        <f t="shared" si="57"/>
        <v>#REF!</v>
      </c>
      <c r="L61" s="41" t="e">
        <f t="shared" si="57"/>
        <v>#REF!</v>
      </c>
      <c r="M61" s="41" t="e">
        <f t="shared" si="57"/>
        <v>#REF!</v>
      </c>
      <c r="N61" s="41" t="e">
        <f t="shared" si="57"/>
        <v>#REF!</v>
      </c>
      <c r="O61" s="41" t="e">
        <f t="shared" si="57"/>
        <v>#REF!</v>
      </c>
      <c r="P61" s="41" t="e">
        <f t="shared" si="57"/>
        <v>#REF!</v>
      </c>
      <c r="Q61" s="41" t="e">
        <f t="shared" si="57"/>
        <v>#REF!</v>
      </c>
      <c r="R61" s="41" t="e">
        <f t="shared" si="57"/>
        <v>#REF!</v>
      </c>
      <c r="S61" s="41">
        <f t="shared" si="57"/>
        <v>5272407.9770000009</v>
      </c>
      <c r="T61" s="41">
        <f t="shared" ref="T61:AA61" si="58">T13+T16+T20+T23+T28+T31+T34+T37+T40+T43+T60</f>
        <v>0</v>
      </c>
      <c r="U61" s="41" t="e">
        <f t="shared" si="58"/>
        <v>#REF!</v>
      </c>
      <c r="V61" s="41" t="e">
        <f t="shared" si="58"/>
        <v>#REF!</v>
      </c>
      <c r="W61" s="41" t="e">
        <f t="shared" si="58"/>
        <v>#REF!</v>
      </c>
      <c r="X61" s="41" t="e">
        <f t="shared" si="58"/>
        <v>#REF!</v>
      </c>
      <c r="Y61" s="41" t="e">
        <f t="shared" si="58"/>
        <v>#REF!</v>
      </c>
      <c r="Z61" s="41">
        <f t="shared" si="58"/>
        <v>36666216.019282259</v>
      </c>
      <c r="AA61" s="41" t="e">
        <f t="shared" si="58"/>
        <v>#REF!</v>
      </c>
      <c r="AB61" s="41"/>
      <c r="AC61" s="41">
        <f>AC13+AC20+AC28+AC60</f>
        <v>5966764</v>
      </c>
      <c r="AD61" s="41">
        <f t="shared" ref="AD61:AI61" si="59">AD13+AD20+AD28+AD60</f>
        <v>447490.00675000006</v>
      </c>
      <c r="AE61" s="41">
        <f t="shared" si="59"/>
        <v>332008.71468548395</v>
      </c>
      <c r="AF61" s="41">
        <f>AD61+AE61</f>
        <v>779498.72143548401</v>
      </c>
      <c r="AG61" s="41">
        <f t="shared" si="59"/>
        <v>97524.120000000024</v>
      </c>
      <c r="AH61" s="41">
        <f t="shared" si="59"/>
        <v>105362.69000000003</v>
      </c>
      <c r="AI61" s="41">
        <f t="shared" si="59"/>
        <v>7838.57</v>
      </c>
    </row>
    <row r="62" spans="1:36" ht="20.100000000000001" customHeight="1">
      <c r="A62" s="33"/>
      <c r="B62" s="256"/>
      <c r="C62" s="256"/>
      <c r="D62" s="46"/>
      <c r="E62" s="70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</row>
    <row r="63" spans="1:36" ht="20.100000000000001" customHeight="1">
      <c r="A63" s="33"/>
      <c r="B63" s="241" t="s">
        <v>452</v>
      </c>
      <c r="C63" s="241"/>
      <c r="D63" s="242"/>
      <c r="E63" s="242"/>
      <c r="F63" s="242"/>
      <c r="G63" s="242"/>
      <c r="H63" s="242"/>
      <c r="I63" s="242"/>
      <c r="J63" s="242"/>
      <c r="K63" s="241" t="s">
        <v>330</v>
      </c>
      <c r="L63" s="241"/>
      <c r="M63" s="241"/>
      <c r="N63" s="40"/>
      <c r="O63" s="40"/>
      <c r="P63" s="241" t="s">
        <v>331</v>
      </c>
      <c r="Q63" s="241"/>
      <c r="R63" s="241"/>
      <c r="S63" s="241"/>
      <c r="T63" s="40"/>
      <c r="U63" s="40"/>
      <c r="V63" s="40"/>
      <c r="W63" s="40"/>
      <c r="X63" s="71"/>
      <c r="Y63" s="71"/>
      <c r="Z63" s="71"/>
      <c r="AA63" s="71"/>
      <c r="AI63" s="107">
        <f>-AF61+AI61</f>
        <v>-771660.15143548406</v>
      </c>
    </row>
    <row r="64" spans="1:36" ht="20.100000000000001" customHeight="1">
      <c r="A64" s="33"/>
      <c r="B64" s="256"/>
      <c r="C64" s="256"/>
      <c r="D64" s="242"/>
      <c r="E64" s="242"/>
      <c r="F64" s="242"/>
      <c r="G64" s="242"/>
      <c r="H64" s="242"/>
      <c r="I64" s="242"/>
      <c r="J64" s="242"/>
      <c r="K64" s="241"/>
      <c r="L64" s="241"/>
      <c r="M64" s="241"/>
      <c r="N64" s="40"/>
      <c r="O64" s="40"/>
      <c r="P64" s="241"/>
      <c r="Q64" s="241"/>
      <c r="R64" s="241"/>
      <c r="S64" s="241"/>
      <c r="T64" s="40"/>
      <c r="U64" s="40"/>
      <c r="V64" s="40"/>
      <c r="W64" s="40"/>
      <c r="X64" s="71"/>
      <c r="Y64" s="71"/>
      <c r="Z64" s="71"/>
      <c r="AA64" s="71"/>
    </row>
    <row r="65" spans="2:32" ht="20.100000000000001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69">
        <f>'April, 2022'!F192-Promotion!AE61</f>
        <v>-288258.71468548395</v>
      </c>
      <c r="AF65" s="169"/>
    </row>
    <row r="66" spans="2:32" ht="20.100000000000001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00000000000001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  <mergeCell ref="B57:C57"/>
    <mergeCell ref="B58:C58"/>
    <mergeCell ref="B59:C59"/>
    <mergeCell ref="B55:C55"/>
    <mergeCell ref="B56:C56"/>
    <mergeCell ref="B53:C53"/>
    <mergeCell ref="B54:C54"/>
    <mergeCell ref="B49:C49"/>
    <mergeCell ref="B50:C50"/>
    <mergeCell ref="B51:C51"/>
    <mergeCell ref="B47:C47"/>
    <mergeCell ref="B48:C48"/>
    <mergeCell ref="B43:C43"/>
    <mergeCell ref="B45:C45"/>
    <mergeCell ref="B52:C52"/>
    <mergeCell ref="B39:C39"/>
    <mergeCell ref="B34:C34"/>
    <mergeCell ref="B40:C40"/>
    <mergeCell ref="B42:C42"/>
    <mergeCell ref="B46:C46"/>
    <mergeCell ref="B31:C31"/>
    <mergeCell ref="B32:C32"/>
    <mergeCell ref="B33:C33"/>
    <mergeCell ref="B36:C36"/>
    <mergeCell ref="B37:C37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18:C18"/>
    <mergeCell ref="B9:C9"/>
    <mergeCell ref="B10:C10"/>
    <mergeCell ref="B11:C11"/>
    <mergeCell ref="B17:C17"/>
    <mergeCell ref="B13:C13"/>
    <mergeCell ref="B15:C15"/>
    <mergeCell ref="B12:C12"/>
    <mergeCell ref="B8:C8"/>
    <mergeCell ref="B3:E3"/>
    <mergeCell ref="B5:C5"/>
    <mergeCell ref="U5:Y5"/>
    <mergeCell ref="B6:C6"/>
    <mergeCell ref="B7:C7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"/>
  <sheetViews>
    <sheetView zoomScaleNormal="100" zoomScaleSheetLayoutView="100" workbookViewId="0">
      <pane xSplit="4" ySplit="2" topLeftCell="E3" activePane="bottomRight" state="frozen"/>
      <selection pane="bottomRight" activeCell="AB17" sqref="AB17:AB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6" width="19.7109375" style="1" hidden="1" customWidth="1"/>
    <col min="27" max="27" width="21" style="1" hidden="1" customWidth="1"/>
    <col min="28" max="28" width="22.140625" style="1" customWidth="1"/>
    <col min="29" max="29" width="0.42578125" style="1" customWidth="1"/>
    <col min="30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E1" s="1" t="s">
        <v>0</v>
      </c>
    </row>
    <row r="2" spans="1:31" ht="55.9" customHeight="1">
      <c r="A2" s="33"/>
      <c r="B2" s="286"/>
      <c r="C2" s="286"/>
      <c r="D2" s="58" t="s">
        <v>5</v>
      </c>
      <c r="E2" s="58" t="s">
        <v>438</v>
      </c>
      <c r="F2" s="2" t="s">
        <v>18</v>
      </c>
      <c r="G2" s="59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26</v>
      </c>
      <c r="P2" s="2" t="s">
        <v>27</v>
      </c>
      <c r="Q2" s="2" t="s">
        <v>27</v>
      </c>
      <c r="R2" s="2" t="s">
        <v>28</v>
      </c>
      <c r="S2" s="59" t="s">
        <v>453</v>
      </c>
      <c r="T2" s="59" t="s">
        <v>29</v>
      </c>
      <c r="U2" s="59" t="s">
        <v>30</v>
      </c>
      <c r="V2" s="59" t="s">
        <v>31</v>
      </c>
      <c r="W2" s="59" t="s">
        <v>32</v>
      </c>
      <c r="X2" s="2" t="s">
        <v>33</v>
      </c>
      <c r="Y2" s="2" t="s">
        <v>34</v>
      </c>
      <c r="Z2" s="2"/>
      <c r="AA2" s="2"/>
      <c r="AB2" s="149" t="s">
        <v>454</v>
      </c>
    </row>
    <row r="3" spans="1:31" ht="20.100000000000001" customHeight="1">
      <c r="A3" s="33"/>
      <c r="B3" s="267" t="s">
        <v>209</v>
      </c>
      <c r="C3" s="267"/>
      <c r="D3" s="33"/>
      <c r="E3" s="33"/>
      <c r="F3" s="33"/>
      <c r="G3" s="33"/>
      <c r="H3" s="33"/>
      <c r="I3" s="33"/>
      <c r="J3" s="33"/>
      <c r="K3" s="33"/>
      <c r="L3" s="33"/>
      <c r="M3" s="33"/>
      <c r="N3" s="27"/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31" ht="20.100000000000001" customHeight="1">
      <c r="A4" s="33">
        <v>1</v>
      </c>
      <c r="B4" s="257" t="s">
        <v>214</v>
      </c>
      <c r="C4" s="258"/>
      <c r="D4" s="33" t="s">
        <v>215</v>
      </c>
      <c r="E4" s="3" t="s">
        <v>73</v>
      </c>
      <c r="F4" s="62">
        <f>26339.3</f>
        <v>26339.3</v>
      </c>
      <c r="G4" s="62"/>
      <c r="H4" s="62">
        <f>F4*300%</f>
        <v>79017.899999999994</v>
      </c>
      <c r="I4" s="62">
        <f>F4*7.5%</f>
        <v>1975.4474999999998</v>
      </c>
      <c r="J4" s="62">
        <v>0</v>
      </c>
      <c r="K4" s="62">
        <f>F4*50%</f>
        <v>13169.65</v>
      </c>
      <c r="L4" s="62">
        <f>F4*350%</f>
        <v>92187.55</v>
      </c>
      <c r="M4" s="62">
        <f>F4*100%</f>
        <v>26339.3</v>
      </c>
      <c r="N4" s="27">
        <f>120000</f>
        <v>120000</v>
      </c>
      <c r="O4" s="27"/>
      <c r="P4" s="62">
        <f>F4*10%</f>
        <v>2633.9300000000003</v>
      </c>
      <c r="Q4" s="62">
        <v>15000</v>
      </c>
      <c r="R4" s="62">
        <v>0</v>
      </c>
      <c r="S4" s="36">
        <f>SUM(F4:R4)</f>
        <v>376663.07749999996</v>
      </c>
      <c r="T4" s="36"/>
      <c r="U4" s="36">
        <v>30000</v>
      </c>
      <c r="V4" s="36">
        <f>43750</f>
        <v>43750</v>
      </c>
      <c r="W4" s="36">
        <f>'[5]Jan 2021'!$H$36</f>
        <v>658.48250000000007</v>
      </c>
      <c r="X4" s="36">
        <f>7709.76</f>
        <v>7709.76</v>
      </c>
      <c r="Y4" s="36">
        <f t="shared" ref="Y4:Y9" si="0">X4+W4+V4+U4+T4</f>
        <v>82118.242499999993</v>
      </c>
      <c r="Z4" s="36">
        <v>294544.83499999996</v>
      </c>
      <c r="AA4" s="36">
        <f>S4-Y4</f>
        <v>294544.83499999996</v>
      </c>
      <c r="AB4" s="159">
        <f>S4*0.11</f>
        <v>41432.938524999998</v>
      </c>
    </row>
    <row r="5" spans="1:31" ht="20.100000000000001" customHeight="1">
      <c r="A5" s="33">
        <v>2</v>
      </c>
      <c r="B5" s="269" t="s">
        <v>216</v>
      </c>
      <c r="C5" s="270"/>
      <c r="D5" s="33" t="s">
        <v>215</v>
      </c>
      <c r="E5" s="29" t="s">
        <v>98</v>
      </c>
      <c r="F5" s="26">
        <f>24741.26</f>
        <v>24741.26</v>
      </c>
      <c r="G5" s="26"/>
      <c r="H5" s="26">
        <f>F5*300%</f>
        <v>74223.78</v>
      </c>
      <c r="I5" s="26">
        <f>F5*7.5%</f>
        <v>1855.5944999999997</v>
      </c>
      <c r="J5" s="26">
        <v>0</v>
      </c>
      <c r="K5" s="26">
        <f>F5*50%</f>
        <v>12370.63</v>
      </c>
      <c r="L5" s="26">
        <f>F5*350%</f>
        <v>86594.409999999989</v>
      </c>
      <c r="M5" s="26">
        <f>F5*100%</f>
        <v>24741.26</v>
      </c>
      <c r="N5" s="27">
        <f>120000</f>
        <v>120000</v>
      </c>
      <c r="O5" s="27"/>
      <c r="P5" s="26">
        <f>F5*10%</f>
        <v>2474.1260000000002</v>
      </c>
      <c r="Q5" s="26">
        <v>15000</v>
      </c>
      <c r="R5" s="26"/>
      <c r="S5" s="36">
        <f>SUM(F5:R5)</f>
        <v>362001.06049999996</v>
      </c>
      <c r="T5" s="36"/>
      <c r="U5" s="24">
        <f>50000</f>
        <v>50000</v>
      </c>
      <c r="V5" s="24">
        <f>68750+45833.33</f>
        <v>114583.33</v>
      </c>
      <c r="W5" s="24"/>
      <c r="X5" s="24">
        <f>7709.76</f>
        <v>7709.76</v>
      </c>
      <c r="Y5" s="36">
        <f t="shared" si="0"/>
        <v>172293.09</v>
      </c>
      <c r="Z5" s="36">
        <v>235541.30049999995</v>
      </c>
      <c r="AA5" s="36">
        <f>S5-Y5</f>
        <v>189707.97049999997</v>
      </c>
      <c r="AB5" s="159">
        <f t="shared" ref="AB5:AB9" si="1">S5*0.11</f>
        <v>39820.116654999998</v>
      </c>
    </row>
    <row r="6" spans="1:31" ht="20.100000000000001" customHeight="1">
      <c r="A6" s="33">
        <v>3</v>
      </c>
      <c r="B6" s="257" t="s">
        <v>217</v>
      </c>
      <c r="C6" s="258"/>
      <c r="D6" s="1" t="s">
        <v>218</v>
      </c>
      <c r="E6" s="66" t="s">
        <v>111</v>
      </c>
      <c r="F6" s="67">
        <f>13112.16</f>
        <v>13112.16</v>
      </c>
      <c r="G6" s="62"/>
      <c r="H6" s="62">
        <f>F6*300%</f>
        <v>39336.479999999996</v>
      </c>
      <c r="I6" s="62">
        <f>F6*7.5%</f>
        <v>983.41199999999992</v>
      </c>
      <c r="J6" s="62"/>
      <c r="K6" s="62">
        <f>F6*50%</f>
        <v>6556.08</v>
      </c>
      <c r="L6" s="36">
        <f>F6*350%</f>
        <v>45892.56</v>
      </c>
      <c r="M6" s="62">
        <f>F6*100%</f>
        <v>13112.16</v>
      </c>
      <c r="N6" s="27">
        <f>100000</f>
        <v>100000</v>
      </c>
      <c r="O6" s="27"/>
      <c r="P6" s="62">
        <f>F6*10%</f>
        <v>1311.2160000000001</v>
      </c>
      <c r="Q6" s="62">
        <v>10000</v>
      </c>
      <c r="R6" s="62"/>
      <c r="S6" s="36">
        <f>SUM(F6:R6)</f>
        <v>230304.068</v>
      </c>
      <c r="T6" s="36"/>
      <c r="U6" s="36">
        <v>20000</v>
      </c>
      <c r="V6" s="36">
        <f>50000</f>
        <v>50000</v>
      </c>
      <c r="W6" s="36"/>
      <c r="X6" s="62">
        <v>1484.37</v>
      </c>
      <c r="Y6" s="36">
        <f>X6+W6+V6+U6+T6</f>
        <v>71484.37</v>
      </c>
      <c r="Z6" s="36">
        <v>158819.698</v>
      </c>
      <c r="AA6" s="36">
        <f>S6-Y6</f>
        <v>158819.698</v>
      </c>
      <c r="AB6" s="159">
        <f t="shared" si="1"/>
        <v>25333.447479999999</v>
      </c>
    </row>
    <row r="7" spans="1:31" ht="20.100000000000001" customHeight="1">
      <c r="A7" s="33">
        <v>4</v>
      </c>
      <c r="B7" s="135" t="s">
        <v>219</v>
      </c>
      <c r="C7" s="136"/>
      <c r="D7" s="1" t="s">
        <v>218</v>
      </c>
      <c r="E7" s="3" t="s">
        <v>455</v>
      </c>
      <c r="F7" s="62">
        <f>12732</f>
        <v>12732</v>
      </c>
      <c r="G7" s="62"/>
      <c r="H7" s="62">
        <f t="shared" ref="H7:H9" si="2">F7*300%</f>
        <v>38196</v>
      </c>
      <c r="I7" s="62">
        <f t="shared" ref="I7:I9" si="3">F7*7.5%</f>
        <v>954.9</v>
      </c>
      <c r="J7" s="62"/>
      <c r="K7" s="62">
        <f t="shared" ref="K7:K9" si="4">F7*50%</f>
        <v>6366</v>
      </c>
      <c r="L7" s="62">
        <f t="shared" ref="L7:L9" si="5">F7*350%</f>
        <v>44562</v>
      </c>
      <c r="M7" s="62">
        <f t="shared" ref="M7:M9" si="6">F7*100%</f>
        <v>12732</v>
      </c>
      <c r="N7" s="27">
        <f>100000</f>
        <v>100000</v>
      </c>
      <c r="O7" s="27"/>
      <c r="P7" s="62">
        <f t="shared" ref="P7:P9" si="7">F7*10%</f>
        <v>1273.2</v>
      </c>
      <c r="Q7" s="62">
        <v>10000</v>
      </c>
      <c r="R7" s="62"/>
      <c r="S7" s="36">
        <f t="shared" ref="S7:S9" si="8">SUM(F7:R7)</f>
        <v>226816.1</v>
      </c>
      <c r="T7" s="36"/>
      <c r="U7" s="36">
        <f>25000</f>
        <v>25000</v>
      </c>
      <c r="V7" s="36">
        <v>0</v>
      </c>
      <c r="W7" s="36"/>
      <c r="X7" s="62">
        <v>1484.37</v>
      </c>
      <c r="Y7" s="36">
        <f t="shared" si="0"/>
        <v>26484.37</v>
      </c>
      <c r="Z7" s="36">
        <v>200580.91</v>
      </c>
      <c r="AA7" s="36">
        <f t="shared" ref="AA7:AA9" si="9">S7-Y7</f>
        <v>200331.73</v>
      </c>
      <c r="AB7" s="159">
        <f t="shared" si="1"/>
        <v>24949.771000000001</v>
      </c>
    </row>
    <row r="8" spans="1:31" ht="20.100000000000001" customHeight="1">
      <c r="A8" s="33">
        <v>5</v>
      </c>
      <c r="B8" s="97" t="s">
        <v>220</v>
      </c>
      <c r="C8" s="98"/>
      <c r="D8" s="1" t="s">
        <v>218</v>
      </c>
      <c r="E8" s="66" t="s">
        <v>93</v>
      </c>
      <c r="F8" s="67">
        <f>12351.94</f>
        <v>12351.94</v>
      </c>
      <c r="G8" s="62"/>
      <c r="H8" s="62">
        <f t="shared" si="2"/>
        <v>37055.82</v>
      </c>
      <c r="I8" s="62">
        <f t="shared" si="3"/>
        <v>926.39549999999997</v>
      </c>
      <c r="J8" s="62"/>
      <c r="K8" s="62">
        <f t="shared" si="4"/>
        <v>6175.97</v>
      </c>
      <c r="L8" s="36">
        <f t="shared" si="5"/>
        <v>43231.79</v>
      </c>
      <c r="M8" s="62">
        <f t="shared" si="6"/>
        <v>12351.94</v>
      </c>
      <c r="N8" s="27">
        <f t="shared" ref="N8:N9" si="10">100000</f>
        <v>100000</v>
      </c>
      <c r="O8" s="27"/>
      <c r="P8" s="62">
        <f t="shared" si="7"/>
        <v>1235.1940000000002</v>
      </c>
      <c r="Q8" s="62">
        <v>10000</v>
      </c>
      <c r="R8" s="62"/>
      <c r="S8" s="36">
        <f t="shared" si="8"/>
        <v>223329.04949999999</v>
      </c>
      <c r="T8" s="36"/>
      <c r="U8" s="36"/>
      <c r="V8" s="36"/>
      <c r="W8" s="36"/>
      <c r="X8" s="62">
        <v>1484.37</v>
      </c>
      <c r="Y8" s="36">
        <f t="shared" si="0"/>
        <v>1484.37</v>
      </c>
      <c r="Z8" s="36"/>
      <c r="AA8" s="36">
        <f t="shared" si="9"/>
        <v>221844.6795</v>
      </c>
      <c r="AB8" s="159">
        <f t="shared" si="1"/>
        <v>24566.195445000001</v>
      </c>
    </row>
    <row r="9" spans="1:31" ht="20.100000000000001" customHeight="1">
      <c r="A9" s="33">
        <v>6</v>
      </c>
      <c r="B9" s="97" t="s">
        <v>221</v>
      </c>
      <c r="C9" s="98"/>
      <c r="D9" s="1" t="s">
        <v>218</v>
      </c>
      <c r="E9" s="66" t="s">
        <v>93</v>
      </c>
      <c r="F9" s="67">
        <f>12351.94</f>
        <v>12351.94</v>
      </c>
      <c r="G9" s="62"/>
      <c r="H9" s="62">
        <f t="shared" si="2"/>
        <v>37055.82</v>
      </c>
      <c r="I9" s="62">
        <f t="shared" si="3"/>
        <v>926.39549999999997</v>
      </c>
      <c r="J9" s="62"/>
      <c r="K9" s="62">
        <f t="shared" si="4"/>
        <v>6175.97</v>
      </c>
      <c r="L9" s="36">
        <f t="shared" si="5"/>
        <v>43231.79</v>
      </c>
      <c r="M9" s="62">
        <f t="shared" si="6"/>
        <v>12351.94</v>
      </c>
      <c r="N9" s="27">
        <f t="shared" si="10"/>
        <v>100000</v>
      </c>
      <c r="O9" s="27"/>
      <c r="P9" s="62">
        <f t="shared" si="7"/>
        <v>1235.1940000000002</v>
      </c>
      <c r="Q9" s="62">
        <v>10000</v>
      </c>
      <c r="R9" s="62"/>
      <c r="S9" s="36">
        <f t="shared" si="8"/>
        <v>223329.04949999999</v>
      </c>
      <c r="T9" s="36"/>
      <c r="U9" s="36"/>
      <c r="V9" s="36"/>
      <c r="W9" s="36"/>
      <c r="X9" s="62">
        <v>1484.37</v>
      </c>
      <c r="Y9" s="36">
        <f t="shared" si="0"/>
        <v>1484.37</v>
      </c>
      <c r="Z9" s="36"/>
      <c r="AA9" s="36">
        <f t="shared" si="9"/>
        <v>221844.6795</v>
      </c>
      <c r="AB9" s="159">
        <f t="shared" si="1"/>
        <v>24566.195445000001</v>
      </c>
    </row>
    <row r="10" spans="1:31" ht="20.100000000000001" customHeight="1">
      <c r="A10" s="33"/>
      <c r="B10" s="267" t="s">
        <v>34</v>
      </c>
      <c r="C10" s="267"/>
      <c r="D10" s="3">
        <v>6</v>
      </c>
      <c r="E10" s="33"/>
      <c r="F10" s="93">
        <f>SUM(F4:F9)</f>
        <v>101628.6</v>
      </c>
      <c r="G10" s="93"/>
      <c r="H10" s="93">
        <f t="shared" ref="H10:N10" si="11">SUM(H4:H9)</f>
        <v>304885.8</v>
      </c>
      <c r="I10" s="93">
        <f t="shared" si="11"/>
        <v>7622.1449999999986</v>
      </c>
      <c r="J10" s="93">
        <f t="shared" si="11"/>
        <v>0</v>
      </c>
      <c r="K10" s="93">
        <f t="shared" si="11"/>
        <v>50814.3</v>
      </c>
      <c r="L10" s="93">
        <f t="shared" si="11"/>
        <v>355700.1</v>
      </c>
      <c r="M10" s="93">
        <f t="shared" si="11"/>
        <v>101628.6</v>
      </c>
      <c r="N10" s="134">
        <f t="shared" si="11"/>
        <v>640000</v>
      </c>
      <c r="O10" s="134"/>
      <c r="P10" s="93">
        <f>SUM(P4:P9)</f>
        <v>10162.86</v>
      </c>
      <c r="Q10" s="93">
        <f>SUM(Q4:Q9)</f>
        <v>70000</v>
      </c>
      <c r="R10" s="93">
        <f>SUM(R4:R9)</f>
        <v>0</v>
      </c>
      <c r="S10" s="93">
        <f>SUM(S4:S9)</f>
        <v>1642442.4049999998</v>
      </c>
      <c r="T10" s="93"/>
      <c r="U10" s="93">
        <f t="shared" ref="U10:AB10" si="12">SUM(U4:U9)</f>
        <v>125000</v>
      </c>
      <c r="V10" s="93">
        <f t="shared" si="12"/>
        <v>208333.33000000002</v>
      </c>
      <c r="W10" s="93">
        <f t="shared" si="12"/>
        <v>658.48250000000007</v>
      </c>
      <c r="X10" s="93">
        <f t="shared" si="12"/>
        <v>21356.999999999996</v>
      </c>
      <c r="Y10" s="93">
        <f t="shared" si="12"/>
        <v>355348.8125</v>
      </c>
      <c r="Z10" s="93">
        <f t="shared" si="12"/>
        <v>889486.74349999987</v>
      </c>
      <c r="AA10" s="93">
        <f t="shared" si="12"/>
        <v>1287093.5925</v>
      </c>
      <c r="AB10" s="179">
        <f t="shared" si="12"/>
        <v>180668.66454999999</v>
      </c>
    </row>
    <row r="11" spans="1:31" ht="20.100000000000001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ht="20.100000000000001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ht="20.100000000000001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7" spans="28:28" ht="20.100000000000001" customHeight="1">
      <c r="AB17" s="42"/>
    </row>
    <row r="18" spans="28:28" ht="20.100000000000001" customHeight="1">
      <c r="AB18" s="42"/>
    </row>
    <row r="19" spans="28:28" ht="20.100000000000001" customHeight="1">
      <c r="AB19" s="42"/>
    </row>
    <row r="20" spans="28:28" ht="20.100000000000001" customHeight="1">
      <c r="AB20" s="42"/>
    </row>
    <row r="21" spans="28:28" ht="20.100000000000001" customHeight="1">
      <c r="AB21" s="42"/>
    </row>
    <row r="22" spans="28:28" ht="20.100000000000001" customHeight="1">
      <c r="AB22" s="107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57"/>
  <sheetViews>
    <sheetView view="pageBreakPreview" zoomScaleNormal="100" zoomScaleSheetLayoutView="100" workbookViewId="0">
      <pane xSplit="4" ySplit="8" topLeftCell="E9" activePane="bottomRight" state="frozen"/>
      <selection pane="bottomRight" activeCell="Z13" sqref="Z1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5.140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0" t="s">
        <v>456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0" t="s">
        <v>457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4</v>
      </c>
    </row>
    <row r="6" spans="1:30" ht="35.450000000000003" customHeight="1">
      <c r="A6" s="33"/>
      <c r="B6" s="285"/>
      <c r="C6" s="285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458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459</v>
      </c>
      <c r="Y6" s="7" t="s">
        <v>460</v>
      </c>
      <c r="Z6" s="158" t="s">
        <v>461</v>
      </c>
      <c r="AA6" s="33"/>
      <c r="AB6" s="33"/>
      <c r="AC6" s="33"/>
      <c r="AD6" s="33"/>
    </row>
    <row r="7" spans="1:30" ht="55.9" customHeight="1">
      <c r="A7" s="33"/>
      <c r="B7" s="286"/>
      <c r="C7" s="286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58" t="s">
        <v>18</v>
      </c>
      <c r="AA7" s="21" t="s">
        <v>388</v>
      </c>
      <c r="AB7" s="33" t="s">
        <v>462</v>
      </c>
      <c r="AC7" s="33" t="s">
        <v>463</v>
      </c>
      <c r="AD7" s="33" t="s">
        <v>388</v>
      </c>
    </row>
    <row r="8" spans="1:30" ht="20.100000000000001" customHeight="1">
      <c r="A8" s="21" t="s">
        <v>35</v>
      </c>
      <c r="B8" s="287" t="s">
        <v>36</v>
      </c>
      <c r="C8" s="287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  <c r="AB8" s="33"/>
      <c r="AC8" s="33"/>
      <c r="AD8" s="33"/>
    </row>
    <row r="9" spans="1:30" ht="20.100000000000001" customHeight="1">
      <c r="A9" s="3"/>
      <c r="B9" s="61"/>
      <c r="C9" s="61"/>
      <c r="D9" s="61"/>
      <c r="E9" s="66"/>
      <c r="F9" s="62"/>
      <c r="G9" s="62"/>
      <c r="H9" s="62"/>
      <c r="I9" s="62"/>
      <c r="J9" s="62"/>
      <c r="K9" s="62"/>
      <c r="L9" s="36"/>
      <c r="M9" s="62"/>
      <c r="N9" s="62"/>
      <c r="O9" s="62"/>
      <c r="P9" s="62"/>
      <c r="Q9" s="62"/>
      <c r="R9" s="36"/>
      <c r="S9" s="36"/>
      <c r="T9" s="36"/>
      <c r="U9" s="36"/>
      <c r="V9" s="62"/>
      <c r="W9" s="36"/>
      <c r="X9" s="36"/>
      <c r="Y9" s="36"/>
      <c r="Z9" s="62"/>
      <c r="AA9" s="27"/>
      <c r="AB9" s="33"/>
      <c r="AC9" s="27"/>
      <c r="AD9" s="159"/>
    </row>
    <row r="10" spans="1:30" ht="18.75" customHeight="1">
      <c r="A10" s="3"/>
      <c r="B10" s="267" t="s">
        <v>34</v>
      </c>
      <c r="C10" s="267"/>
      <c r="D10" s="7"/>
      <c r="E10" s="66"/>
      <c r="F10" s="68">
        <f>SUM(F9:F9)</f>
        <v>0</v>
      </c>
      <c r="G10" s="68"/>
      <c r="H10" s="68">
        <f t="shared" ref="H10:W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f t="shared" si="0"/>
        <v>0</v>
      </c>
      <c r="O10" s="68">
        <f t="shared" si="0"/>
        <v>0</v>
      </c>
      <c r="P10" s="68">
        <f t="shared" si="0"/>
        <v>0</v>
      </c>
      <c r="Q10" s="68">
        <f t="shared" si="0"/>
        <v>0</v>
      </c>
      <c r="R10" s="68">
        <f t="shared" si="0"/>
        <v>0</v>
      </c>
      <c r="S10" s="68">
        <f t="shared" si="0"/>
        <v>0</v>
      </c>
      <c r="T10" s="68">
        <f t="shared" si="0"/>
        <v>0</v>
      </c>
      <c r="U10" s="68">
        <f t="shared" si="0"/>
        <v>0</v>
      </c>
      <c r="V10" s="68">
        <f t="shared" si="0"/>
        <v>0</v>
      </c>
      <c r="W10" s="68">
        <f t="shared" si="0"/>
        <v>0</v>
      </c>
      <c r="X10" s="68">
        <v>7468053.8969999999</v>
      </c>
      <c r="Y10" s="68">
        <f>SUM(Y9:Y9)</f>
        <v>0</v>
      </c>
      <c r="Z10" s="134">
        <f>SUM(Z9)</f>
        <v>0</v>
      </c>
      <c r="AA10" s="134">
        <f>SUM(AA9)</f>
        <v>0</v>
      </c>
      <c r="AB10" s="33"/>
      <c r="AC10" s="134">
        <f>SUM(AC9)</f>
        <v>0</v>
      </c>
      <c r="AD10" s="179">
        <f>SUM(AD9)</f>
        <v>0</v>
      </c>
    </row>
    <row r="11" spans="1:30" ht="18.75" customHeight="1">
      <c r="A11" s="3"/>
      <c r="B11" s="96"/>
      <c r="C11" s="96"/>
      <c r="D11" s="33"/>
      <c r="E11" s="66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27"/>
      <c r="AA11" s="27"/>
      <c r="AB11" s="33"/>
      <c r="AC11" s="33"/>
      <c r="AD11" s="33"/>
    </row>
    <row r="12" spans="1:30" ht="18.75" customHeight="1">
      <c r="A12" s="3"/>
      <c r="B12" s="267" t="s">
        <v>115</v>
      </c>
      <c r="C12" s="267"/>
      <c r="D12" s="33"/>
      <c r="E12" s="66"/>
      <c r="F12" s="62"/>
      <c r="G12" s="62"/>
      <c r="H12" s="62"/>
      <c r="I12" s="62"/>
      <c r="J12" s="62"/>
      <c r="K12" s="62"/>
      <c r="L12" s="36"/>
      <c r="M12" s="62"/>
      <c r="N12" s="62"/>
      <c r="O12" s="62"/>
      <c r="P12" s="62"/>
      <c r="Q12" s="62"/>
      <c r="R12" s="36"/>
      <c r="S12" s="36"/>
      <c r="T12" s="36"/>
      <c r="U12" s="36"/>
      <c r="V12" s="62"/>
      <c r="W12" s="36"/>
      <c r="X12" s="36"/>
      <c r="Y12" s="36"/>
      <c r="Z12" s="27"/>
      <c r="AA12" s="27"/>
      <c r="AB12" s="33"/>
      <c r="AC12" s="33"/>
      <c r="AD12" s="33"/>
    </row>
    <row r="13" spans="1:30" ht="18.75" customHeight="1">
      <c r="A13" s="3">
        <v>1</v>
      </c>
      <c r="B13" s="313" t="s">
        <v>119</v>
      </c>
      <c r="C13" s="313"/>
      <c r="D13" s="61" t="s">
        <v>464</v>
      </c>
      <c r="E13" s="66" t="s">
        <v>465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36"/>
      <c r="S13" s="62"/>
      <c r="T13" s="62"/>
      <c r="U13" s="62"/>
      <c r="V13" s="62"/>
      <c r="W13" s="36"/>
      <c r="X13" s="36"/>
      <c r="Y13" s="36"/>
      <c r="Z13" s="27">
        <f>(123329+50000)*12/30</f>
        <v>69331.600000000006</v>
      </c>
      <c r="AA13" s="27">
        <f>Z13-N13</f>
        <v>69331.600000000006</v>
      </c>
      <c r="AB13" s="33"/>
      <c r="AC13" s="27">
        <f>1484.37</f>
        <v>1484.37</v>
      </c>
      <c r="AD13" s="159">
        <f>AC13-AB13</f>
        <v>1484.37</v>
      </c>
    </row>
    <row r="14" spans="1:30" ht="19.5" customHeight="1">
      <c r="A14" s="3"/>
      <c r="B14" s="33"/>
      <c r="C14" s="21" t="s">
        <v>34</v>
      </c>
      <c r="D14" s="7">
        <v>1</v>
      </c>
      <c r="E14" s="3"/>
      <c r="F14" s="68">
        <f>SUM(F13:F13)</f>
        <v>0</v>
      </c>
      <c r="G14" s="68"/>
      <c r="H14" s="68">
        <f t="shared" ref="H14:W14" si="1">SUM(H13:H13)</f>
        <v>0</v>
      </c>
      <c r="I14" s="68">
        <f t="shared" si="1"/>
        <v>0</v>
      </c>
      <c r="J14" s="68">
        <f t="shared" si="1"/>
        <v>0</v>
      </c>
      <c r="K14" s="68">
        <f t="shared" si="1"/>
        <v>0</v>
      </c>
      <c r="L14" s="68">
        <f t="shared" si="1"/>
        <v>0</v>
      </c>
      <c r="M14" s="68">
        <f t="shared" si="1"/>
        <v>0</v>
      </c>
      <c r="N14" s="68">
        <f t="shared" si="1"/>
        <v>0</v>
      </c>
      <c r="O14" s="68">
        <f t="shared" si="1"/>
        <v>0</v>
      </c>
      <c r="P14" s="68">
        <f t="shared" si="1"/>
        <v>0</v>
      </c>
      <c r="Q14" s="68">
        <f t="shared" si="1"/>
        <v>0</v>
      </c>
      <c r="R14" s="68">
        <f t="shared" si="1"/>
        <v>0</v>
      </c>
      <c r="S14" s="68">
        <f t="shared" si="1"/>
        <v>0</v>
      </c>
      <c r="T14" s="68">
        <f t="shared" si="1"/>
        <v>0</v>
      </c>
      <c r="U14" s="68">
        <f t="shared" si="1"/>
        <v>0</v>
      </c>
      <c r="V14" s="68">
        <f t="shared" si="1"/>
        <v>0</v>
      </c>
      <c r="W14" s="68">
        <f t="shared" si="1"/>
        <v>0</v>
      </c>
      <c r="X14" s="68">
        <v>383180.45600000006</v>
      </c>
      <c r="Y14" s="68">
        <f>SUM(Y13:Y13)</f>
        <v>0</v>
      </c>
      <c r="Z14" s="134">
        <f>SUM(Z13:Z13)</f>
        <v>69331.600000000006</v>
      </c>
      <c r="AA14" s="134">
        <f>SUM(AA13:AA13)</f>
        <v>69331.600000000006</v>
      </c>
      <c r="AB14" s="33"/>
      <c r="AC14" s="134">
        <f>SUM(AC13:AC13)</f>
        <v>1484.37</v>
      </c>
      <c r="AD14" s="134">
        <f>SUM(AD13:AD13)</f>
        <v>1484.37</v>
      </c>
    </row>
    <row r="15" spans="1:30" ht="20.100000000000001" customHeight="1">
      <c r="A15" s="3"/>
      <c r="B15" s="290"/>
      <c r="C15" s="290"/>
      <c r="D15" s="33"/>
      <c r="E15" s="3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36"/>
      <c r="X15" s="36"/>
      <c r="Y15" s="36"/>
      <c r="Z15" s="27"/>
      <c r="AA15" s="27"/>
      <c r="AB15" s="33"/>
      <c r="AC15" s="33"/>
      <c r="AD15" s="33"/>
    </row>
    <row r="16" spans="1:30" ht="20.100000000000001" customHeight="1">
      <c r="A16" s="3"/>
      <c r="B16" s="291" t="s">
        <v>121</v>
      </c>
      <c r="C16" s="291"/>
      <c r="D16" s="50"/>
      <c r="E16" s="2"/>
      <c r="F16" s="68"/>
      <c r="G16" s="68"/>
      <c r="H16" s="68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27"/>
      <c r="AA16" s="27"/>
      <c r="AB16" s="33"/>
      <c r="AC16" s="33"/>
      <c r="AD16" s="33"/>
    </row>
    <row r="17" spans="1:30" ht="20.100000000000001" customHeight="1">
      <c r="A17" s="3">
        <v>1</v>
      </c>
      <c r="B17" s="167" t="s">
        <v>141</v>
      </c>
      <c r="C17" s="167"/>
      <c r="D17" s="167" t="s">
        <v>142</v>
      </c>
      <c r="E17" s="7" t="s">
        <v>466</v>
      </c>
      <c r="F17" s="63"/>
      <c r="G17" s="63"/>
      <c r="H17" s="63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27">
        <f>(145204+100000)*12/30</f>
        <v>98081.600000000006</v>
      </c>
      <c r="AA17" s="27">
        <f>Z17-N17</f>
        <v>98081.600000000006</v>
      </c>
      <c r="AB17" s="33"/>
      <c r="AC17" s="27">
        <f>1484.37</f>
        <v>1484.37</v>
      </c>
      <c r="AD17" s="27">
        <f>AC17-AB17</f>
        <v>1484.37</v>
      </c>
    </row>
    <row r="18" spans="1:30" ht="20.100000000000001" customHeight="1">
      <c r="A18" s="3"/>
      <c r="B18" s="289" t="s">
        <v>34</v>
      </c>
      <c r="C18" s="289"/>
      <c r="D18" s="30">
        <v>1</v>
      </c>
      <c r="E18" s="30"/>
      <c r="F18" s="92" t="e">
        <f>SUM(#REF!)</f>
        <v>#REF!</v>
      </c>
      <c r="G18" s="92"/>
      <c r="H18" s="92" t="e">
        <f>SUM(#REF!)</f>
        <v>#REF!</v>
      </c>
      <c r="I18" s="92" t="e">
        <f>SUM(#REF!)</f>
        <v>#REF!</v>
      </c>
      <c r="J18" s="92" t="e">
        <f>SUM(#REF!)</f>
        <v>#REF!</v>
      </c>
      <c r="K18" s="92" t="e">
        <f>SUM(#REF!)</f>
        <v>#REF!</v>
      </c>
      <c r="L18" s="92" t="e">
        <f>SUM(#REF!)</f>
        <v>#REF!</v>
      </c>
      <c r="M18" s="92" t="e">
        <f>SUM(#REF!)</f>
        <v>#REF!</v>
      </c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134">
        <f>SUM(Z17)</f>
        <v>98081.600000000006</v>
      </c>
      <c r="AA18" s="134">
        <f>SUM(AA17)</f>
        <v>98081.600000000006</v>
      </c>
      <c r="AB18" s="33"/>
      <c r="AC18" s="236">
        <f>SUM(AC17)</f>
        <v>1484.37</v>
      </c>
      <c r="AD18" s="236">
        <f>SUM(AD17)</f>
        <v>1484.37</v>
      </c>
    </row>
    <row r="19" spans="1:30" ht="20.100000000000001" customHeight="1">
      <c r="A19" s="3"/>
      <c r="B19" s="105"/>
      <c r="C19" s="105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7"/>
      <c r="AA19" s="27"/>
      <c r="AB19" s="33"/>
      <c r="AC19" s="33"/>
      <c r="AD19" s="33"/>
    </row>
    <row r="20" spans="1:30" ht="20.100000000000001" customHeight="1">
      <c r="A20" s="3"/>
      <c r="B20" s="289" t="s">
        <v>144</v>
      </c>
      <c r="C20" s="289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27"/>
      <c r="AA20" s="27"/>
      <c r="AB20" s="33"/>
      <c r="AC20" s="33"/>
      <c r="AD20" s="33"/>
    </row>
    <row r="21" spans="1:30" ht="20.100000000000001" customHeight="1">
      <c r="A21" s="3"/>
      <c r="B21" s="264"/>
      <c r="C21" s="264"/>
      <c r="D21" s="61"/>
      <c r="E21" s="66"/>
      <c r="F21" s="62"/>
      <c r="G21" s="62"/>
      <c r="H21" s="62"/>
      <c r="I21" s="62"/>
      <c r="J21" s="62"/>
      <c r="K21" s="62"/>
      <c r="L21" s="62"/>
      <c r="M21" s="62"/>
      <c r="O21" s="62"/>
      <c r="P21" s="62"/>
      <c r="Q21" s="62"/>
      <c r="R21" s="36"/>
      <c r="S21" s="36"/>
      <c r="T21" s="36"/>
      <c r="U21" s="36"/>
      <c r="V21" s="62"/>
      <c r="W21" s="36"/>
      <c r="X21" s="36"/>
      <c r="Y21" s="36"/>
      <c r="Z21" s="62"/>
      <c r="AA21" s="27"/>
      <c r="AB21" s="33"/>
      <c r="AC21" s="27"/>
      <c r="AD21" s="159"/>
    </row>
    <row r="22" spans="1:30" ht="20.100000000000001" customHeight="1">
      <c r="A22" s="3"/>
      <c r="B22" s="264"/>
      <c r="C22" s="264"/>
      <c r="D22" s="61"/>
      <c r="E22" s="66"/>
      <c r="F22" s="62"/>
      <c r="G22" s="62"/>
      <c r="H22" s="62"/>
      <c r="I22" s="62"/>
      <c r="J22" s="62"/>
      <c r="K22" s="62"/>
      <c r="L22" s="62"/>
      <c r="M22" s="62"/>
      <c r="O22" s="62"/>
      <c r="P22" s="62"/>
      <c r="Q22" s="62"/>
      <c r="R22" s="36"/>
      <c r="S22" s="36"/>
      <c r="T22" s="36"/>
      <c r="U22" s="36"/>
      <c r="V22" s="62"/>
      <c r="W22" s="36"/>
      <c r="X22" s="36"/>
      <c r="Y22" s="36"/>
      <c r="Z22" s="62"/>
      <c r="AA22" s="27"/>
      <c r="AB22" s="33"/>
      <c r="AC22" s="27"/>
      <c r="AD22" s="159"/>
    </row>
    <row r="23" spans="1:30" ht="20.100000000000001" customHeight="1">
      <c r="A23" s="3"/>
      <c r="B23" s="289" t="s">
        <v>34</v>
      </c>
      <c r="C23" s="289"/>
      <c r="D23" s="30"/>
      <c r="E23" s="30"/>
      <c r="F23" s="92">
        <f>SUM(F21:F22)</f>
        <v>0</v>
      </c>
      <c r="G23" s="92"/>
      <c r="H23" s="92">
        <f t="shared" ref="H23:S23" si="2">SUM(H21:H22)</f>
        <v>0</v>
      </c>
      <c r="I23" s="92">
        <f t="shared" si="2"/>
        <v>0</v>
      </c>
      <c r="J23" s="92">
        <f t="shared" si="2"/>
        <v>0</v>
      </c>
      <c r="K23" s="92">
        <f t="shared" si="2"/>
        <v>0</v>
      </c>
      <c r="L23" s="92">
        <f t="shared" si="2"/>
        <v>0</v>
      </c>
      <c r="M23" s="92">
        <f t="shared" si="2"/>
        <v>0</v>
      </c>
      <c r="N23" s="92">
        <f t="shared" si="2"/>
        <v>0</v>
      </c>
      <c r="O23" s="92">
        <f t="shared" si="2"/>
        <v>0</v>
      </c>
      <c r="P23" s="92">
        <f t="shared" si="2"/>
        <v>0</v>
      </c>
      <c r="Q23" s="92">
        <f t="shared" si="2"/>
        <v>0</v>
      </c>
      <c r="R23" s="92">
        <f t="shared" si="2"/>
        <v>0</v>
      </c>
      <c r="S23" s="92">
        <f t="shared" si="2"/>
        <v>0</v>
      </c>
      <c r="T23" s="92"/>
      <c r="U23" s="92">
        <f>SUM(U21:U22)</f>
        <v>0</v>
      </c>
      <c r="V23" s="92">
        <f>SUM(V21:V22)</f>
        <v>0</v>
      </c>
      <c r="W23" s="92">
        <f>SUM(W21:W22)</f>
        <v>0</v>
      </c>
      <c r="X23" s="92">
        <v>1126604.1505</v>
      </c>
      <c r="Y23" s="92">
        <f>SUM(Y21:Y22)</f>
        <v>0</v>
      </c>
      <c r="Z23" s="134">
        <f>SUM(Z21:Z22)</f>
        <v>0</v>
      </c>
      <c r="AA23" s="134">
        <f>SUM(AA21:AA22)</f>
        <v>0</v>
      </c>
      <c r="AB23" s="33"/>
      <c r="AC23" s="134">
        <f>SUM(AC21:AC22)</f>
        <v>0</v>
      </c>
      <c r="AD23" s="179">
        <f>SUM(AD21:AD22)</f>
        <v>0</v>
      </c>
    </row>
    <row r="24" spans="1:30" ht="20.100000000000001" customHeight="1">
      <c r="A24" s="3"/>
      <c r="B24" s="289"/>
      <c r="C24" s="289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27"/>
      <c r="AA24" s="27"/>
      <c r="AB24" s="33"/>
      <c r="AC24" s="33"/>
      <c r="AD24" s="33"/>
    </row>
    <row r="25" spans="1:30" ht="20.100000000000001" customHeight="1">
      <c r="A25" s="3"/>
      <c r="B25" s="289" t="s">
        <v>467</v>
      </c>
      <c r="C25" s="289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27"/>
      <c r="AA25" s="27"/>
      <c r="AB25" s="33"/>
      <c r="AC25" s="33"/>
      <c r="AD25" s="33"/>
    </row>
    <row r="26" spans="1:30" ht="20.100000000000001" customHeight="1">
      <c r="A26" s="3">
        <v>1</v>
      </c>
      <c r="B26" s="105" t="s">
        <v>162</v>
      </c>
      <c r="C26" s="105"/>
      <c r="D26" s="69" t="s">
        <v>161</v>
      </c>
      <c r="E26" s="30" t="s">
        <v>468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27">
        <f>(205372+110000)*12/30</f>
        <v>126148.8</v>
      </c>
      <c r="AA26" s="27">
        <f>Z26-N26</f>
        <v>126148.8</v>
      </c>
      <c r="AB26" s="33"/>
      <c r="AC26" s="27">
        <v>3369.51</v>
      </c>
      <c r="AD26" s="27">
        <f>AC26-AB26</f>
        <v>3369.51</v>
      </c>
    </row>
    <row r="27" spans="1:30" ht="20.100000000000001" customHeight="1">
      <c r="A27" s="3">
        <v>2</v>
      </c>
      <c r="B27" s="105" t="s">
        <v>164</v>
      </c>
      <c r="C27" s="105"/>
      <c r="D27" s="69" t="s">
        <v>161</v>
      </c>
      <c r="E27" s="30" t="s">
        <v>468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27">
        <f>(205372+110000)*12/30</f>
        <v>126148.8</v>
      </c>
      <c r="AA27" s="27">
        <f>Z27-N27</f>
        <v>126148.8</v>
      </c>
      <c r="AB27" s="33"/>
      <c r="AC27" s="27">
        <v>3369.51</v>
      </c>
      <c r="AD27" s="27">
        <f>AC27-AB27</f>
        <v>3369.51</v>
      </c>
    </row>
    <row r="28" spans="1:30" ht="20.100000000000001" customHeight="1">
      <c r="A28" s="3"/>
      <c r="B28" s="289" t="s">
        <v>34</v>
      </c>
      <c r="C28" s="289"/>
      <c r="D28" s="30">
        <v>2</v>
      </c>
      <c r="E28" s="30"/>
      <c r="F28" s="92" t="e">
        <f>SUM(#REF!)</f>
        <v>#REF!</v>
      </c>
      <c r="G28" s="92"/>
      <c r="H28" s="92" t="e">
        <f>SUM(#REF!)</f>
        <v>#REF!</v>
      </c>
      <c r="I28" s="92" t="e">
        <f>SUM(#REF!)</f>
        <v>#REF!</v>
      </c>
      <c r="J28" s="92" t="e">
        <f>SUM(#REF!)</f>
        <v>#REF!</v>
      </c>
      <c r="K28" s="92" t="e">
        <f>SUM(#REF!)</f>
        <v>#REF!</v>
      </c>
      <c r="L28" s="92" t="e">
        <f>SUM(#REF!)</f>
        <v>#REF!</v>
      </c>
      <c r="M28" s="92" t="e">
        <f>SUM(#REF!)</f>
        <v>#REF!</v>
      </c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134">
        <f>SUM(Z26:Z27)</f>
        <v>252297.60000000001</v>
      </c>
      <c r="AA28" s="134">
        <f>SUM(AA26:AA27)</f>
        <v>252297.60000000001</v>
      </c>
      <c r="AB28" s="33"/>
      <c r="AC28" s="134">
        <f>SUM(AC26:AC27)</f>
        <v>6739.02</v>
      </c>
      <c r="AD28" s="134">
        <f>SUM(AD26:AD27)</f>
        <v>6739.02</v>
      </c>
    </row>
    <row r="29" spans="1:30" ht="20.100000000000001" customHeight="1">
      <c r="A29" s="3"/>
      <c r="B29" s="105"/>
      <c r="C29" s="105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27"/>
      <c r="AA29" s="27"/>
      <c r="AB29" s="33"/>
      <c r="AC29" s="33"/>
      <c r="AD29" s="33"/>
    </row>
    <row r="30" spans="1:30" ht="20.100000000000001" customHeight="1">
      <c r="A30" s="3"/>
      <c r="B30" s="289" t="s">
        <v>172</v>
      </c>
      <c r="C30" s="289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27"/>
      <c r="AA30" s="27"/>
      <c r="AB30" s="33"/>
      <c r="AC30" s="33"/>
      <c r="AD30" s="33"/>
    </row>
    <row r="31" spans="1:30" ht="20.100000000000001" customHeight="1">
      <c r="A31" s="3"/>
      <c r="B31" s="289" t="s">
        <v>34</v>
      </c>
      <c r="C31" s="289"/>
      <c r="D31" s="30"/>
      <c r="E31" s="30"/>
      <c r="F31" s="92" t="e">
        <f>SUM(#REF!)</f>
        <v>#REF!</v>
      </c>
      <c r="G31" s="92"/>
      <c r="H31" s="92" t="e">
        <f>SUM(#REF!)</f>
        <v>#REF!</v>
      </c>
      <c r="I31" s="92" t="e">
        <f>SUM(#REF!)</f>
        <v>#REF!</v>
      </c>
      <c r="J31" s="92" t="e">
        <f>SUM(#REF!)</f>
        <v>#REF!</v>
      </c>
      <c r="K31" s="92" t="e">
        <f>SUM(#REF!)</f>
        <v>#REF!</v>
      </c>
      <c r="L31" s="92" t="e">
        <f>SUM(#REF!)</f>
        <v>#REF!</v>
      </c>
      <c r="M31" s="92" t="e">
        <f>SUM(#REF!)</f>
        <v>#REF!</v>
      </c>
      <c r="N31" s="95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134"/>
      <c r="AA31" s="134"/>
      <c r="AB31" s="33"/>
      <c r="AC31" s="33"/>
      <c r="AD31" s="33"/>
    </row>
    <row r="32" spans="1:30" ht="20.100000000000001" customHeight="1">
      <c r="A32" s="3"/>
      <c r="B32" s="292"/>
      <c r="C32" s="292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63"/>
      <c r="S32" s="63"/>
      <c r="T32" s="63"/>
      <c r="U32" s="63"/>
      <c r="V32" s="39"/>
      <c r="W32" s="36"/>
      <c r="X32" s="36"/>
      <c r="Y32" s="36"/>
      <c r="Z32" s="27"/>
      <c r="AA32" s="27"/>
      <c r="AB32" s="33"/>
      <c r="AC32" s="33"/>
      <c r="AD32" s="33"/>
    </row>
    <row r="33" spans="1:30" ht="20.100000000000001" customHeight="1">
      <c r="A33" s="3"/>
      <c r="B33" s="267" t="s">
        <v>469</v>
      </c>
      <c r="C33" s="267"/>
      <c r="D33" s="69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63"/>
      <c r="S33" s="63"/>
      <c r="T33" s="63"/>
      <c r="U33" s="63"/>
      <c r="V33" s="39"/>
      <c r="W33" s="36"/>
      <c r="X33" s="36"/>
      <c r="Y33" s="36"/>
      <c r="Z33" s="27"/>
      <c r="AA33" s="27"/>
      <c r="AB33" s="33"/>
      <c r="AC33" s="33"/>
      <c r="AD33" s="33"/>
    </row>
    <row r="34" spans="1:30" ht="20.100000000000001" customHeight="1">
      <c r="A34" s="3">
        <v>1</v>
      </c>
      <c r="B34" s="96" t="s">
        <v>470</v>
      </c>
      <c r="C34" s="96"/>
      <c r="D34" s="69" t="s">
        <v>135</v>
      </c>
      <c r="E34" s="7" t="s">
        <v>471</v>
      </c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63"/>
      <c r="S34" s="63"/>
      <c r="T34" s="63"/>
      <c r="U34" s="63"/>
      <c r="V34" s="39"/>
      <c r="W34" s="36"/>
      <c r="X34" s="36"/>
      <c r="Y34" s="36"/>
      <c r="Z34" s="27">
        <f>(249153+140000)*12/30</f>
        <v>155661.20000000001</v>
      </c>
      <c r="AA34" s="27">
        <f>Z34-N34</f>
        <v>155661.20000000001</v>
      </c>
      <c r="AB34" s="33"/>
      <c r="AC34" s="27">
        <f>7709.76</f>
        <v>7709.76</v>
      </c>
      <c r="AD34" s="27">
        <f>AC34-AB34</f>
        <v>7709.76</v>
      </c>
    </row>
    <row r="35" spans="1:30" ht="20.100000000000001" customHeight="1">
      <c r="A35" s="3">
        <v>2</v>
      </c>
      <c r="B35" s="96" t="s">
        <v>198</v>
      </c>
      <c r="C35" s="96"/>
      <c r="D35" s="69" t="s">
        <v>161</v>
      </c>
      <c r="E35" s="7" t="s">
        <v>468</v>
      </c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63"/>
      <c r="S35" s="63"/>
      <c r="T35" s="63"/>
      <c r="U35" s="63"/>
      <c r="V35" s="39"/>
      <c r="W35" s="36"/>
      <c r="X35" s="36"/>
      <c r="Y35" s="36"/>
      <c r="Z35" s="27">
        <f>(205372+110000)*9/30</f>
        <v>94611.6</v>
      </c>
      <c r="AA35" s="27">
        <f>Z35-N35</f>
        <v>94611.6</v>
      </c>
      <c r="AB35" s="33"/>
      <c r="AC35" s="27">
        <v>3369.51</v>
      </c>
      <c r="AD35" s="27">
        <f>AC35-AB35</f>
        <v>3369.51</v>
      </c>
    </row>
    <row r="36" spans="1:30" ht="20.100000000000001" customHeight="1">
      <c r="A36" s="3"/>
      <c r="B36" s="267" t="s">
        <v>34</v>
      </c>
      <c r="C36" s="267"/>
      <c r="D36" s="7">
        <v>2</v>
      </c>
      <c r="E36" s="7"/>
      <c r="F36" s="95" t="e">
        <f>SUM(#REF!)</f>
        <v>#REF!</v>
      </c>
      <c r="G36" s="95"/>
      <c r="H36" s="95" t="e">
        <f>SUM(#REF!)</f>
        <v>#REF!</v>
      </c>
      <c r="I36" s="95" t="e">
        <f>SUM(#REF!)</f>
        <v>#REF!</v>
      </c>
      <c r="J36" s="95" t="e">
        <f>SUM(#REF!)</f>
        <v>#REF!</v>
      </c>
      <c r="K36" s="95" t="e">
        <f>SUM(#REF!)</f>
        <v>#REF!</v>
      </c>
      <c r="L36" s="95" t="e">
        <f>SUM(#REF!)</f>
        <v>#REF!</v>
      </c>
      <c r="M36" s="95" t="e">
        <f>SUM(#REF!)</f>
        <v>#REF!</v>
      </c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134">
        <f>SUM(Z34:Z35)</f>
        <v>250272.80000000002</v>
      </c>
      <c r="AA36" s="134">
        <f>SUM(AA34:AA35)</f>
        <v>250272.80000000002</v>
      </c>
      <c r="AB36" s="33"/>
      <c r="AC36" s="134">
        <f>SUM(AC34:AC35)</f>
        <v>11079.27</v>
      </c>
      <c r="AD36" s="134">
        <f>SUM(AD34:AD35)</f>
        <v>11079.27</v>
      </c>
    </row>
    <row r="37" spans="1:30" ht="20.100000000000001" customHeight="1">
      <c r="A37" s="3"/>
      <c r="B37" s="96"/>
      <c r="C37" s="96"/>
      <c r="D37" s="7"/>
      <c r="E37" s="7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27"/>
      <c r="AA37" s="27"/>
      <c r="AB37" s="33"/>
      <c r="AC37" s="33"/>
      <c r="AD37" s="33"/>
    </row>
    <row r="38" spans="1:30" ht="20.100000000000001" customHeight="1">
      <c r="A38" s="3"/>
      <c r="B38" s="267" t="s">
        <v>199</v>
      </c>
      <c r="C38" s="267"/>
      <c r="D38" s="7"/>
      <c r="E38" s="7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27"/>
      <c r="AA38" s="27"/>
      <c r="AB38" s="33"/>
      <c r="AC38" s="33"/>
      <c r="AD38" s="33"/>
    </row>
    <row r="39" spans="1:30" ht="20.100000000000001" customHeight="1">
      <c r="A39" s="3"/>
      <c r="B39" s="293"/>
      <c r="C39" s="293"/>
      <c r="D39" s="20"/>
      <c r="E39" s="29"/>
      <c r="F39" s="26"/>
      <c r="G39" s="62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36"/>
      <c r="S39" s="24"/>
      <c r="T39" s="24"/>
      <c r="U39" s="24"/>
      <c r="V39" s="36"/>
      <c r="W39" s="36"/>
      <c r="X39" s="36"/>
      <c r="Y39" s="36"/>
      <c r="Z39" s="27"/>
      <c r="AA39" s="27"/>
      <c r="AB39" s="33"/>
      <c r="AC39" s="27"/>
      <c r="AD39" s="159"/>
    </row>
    <row r="40" spans="1:30" ht="20.100000000000001" customHeight="1">
      <c r="A40" s="3"/>
      <c r="B40" s="264"/>
      <c r="C40" s="264"/>
      <c r="D40" s="33"/>
      <c r="E40" s="66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36"/>
      <c r="S40" s="62"/>
      <c r="T40" s="62"/>
      <c r="U40" s="62"/>
      <c r="V40" s="62"/>
      <c r="W40" s="36"/>
      <c r="X40" s="36"/>
      <c r="Y40" s="36"/>
      <c r="Z40" s="27"/>
      <c r="AA40" s="27"/>
      <c r="AB40" s="33"/>
      <c r="AC40" s="27"/>
      <c r="AD40" s="159"/>
    </row>
    <row r="41" spans="1:30" ht="20.100000000000001" customHeight="1">
      <c r="A41" s="33"/>
      <c r="B41" s="267" t="s">
        <v>34</v>
      </c>
      <c r="C41" s="267"/>
      <c r="D41" s="7"/>
      <c r="E41" s="91"/>
      <c r="F41" s="92">
        <f>SUM(F39:F40)</f>
        <v>0</v>
      </c>
      <c r="G41" s="92"/>
      <c r="H41" s="92">
        <f t="shared" ref="H41:W41" si="3">SUM(H39:H40)</f>
        <v>0</v>
      </c>
      <c r="I41" s="92">
        <f t="shared" si="3"/>
        <v>0</v>
      </c>
      <c r="J41" s="92">
        <f t="shared" si="3"/>
        <v>0</v>
      </c>
      <c r="K41" s="92">
        <f t="shared" si="3"/>
        <v>0</v>
      </c>
      <c r="L41" s="92">
        <f t="shared" si="3"/>
        <v>0</v>
      </c>
      <c r="M41" s="92">
        <f t="shared" si="3"/>
        <v>0</v>
      </c>
      <c r="N41" s="92">
        <f t="shared" si="3"/>
        <v>0</v>
      </c>
      <c r="O41" s="92">
        <f t="shared" si="3"/>
        <v>0</v>
      </c>
      <c r="P41" s="92">
        <f t="shared" si="3"/>
        <v>0</v>
      </c>
      <c r="Q41" s="92">
        <f t="shared" si="3"/>
        <v>0</v>
      </c>
      <c r="R41" s="92">
        <f t="shared" si="3"/>
        <v>0</v>
      </c>
      <c r="S41" s="92">
        <f t="shared" si="3"/>
        <v>0</v>
      </c>
      <c r="T41" s="92">
        <f t="shared" si="3"/>
        <v>0</v>
      </c>
      <c r="U41" s="92">
        <f t="shared" si="3"/>
        <v>0</v>
      </c>
      <c r="V41" s="92">
        <f t="shared" si="3"/>
        <v>0</v>
      </c>
      <c r="W41" s="92">
        <f t="shared" si="3"/>
        <v>0</v>
      </c>
      <c r="X41" s="92">
        <v>1259979.1282500001</v>
      </c>
      <c r="Y41" s="92">
        <f>SUM(Y39:Y40)</f>
        <v>0</v>
      </c>
      <c r="Z41" s="134">
        <f>SUM(Z39:Z40)</f>
        <v>0</v>
      </c>
      <c r="AA41" s="134">
        <f>SUM(AA39:AA40)</f>
        <v>0</v>
      </c>
      <c r="AB41" s="33"/>
      <c r="AC41" s="134">
        <f>SUM(AC39:AC40)</f>
        <v>0</v>
      </c>
      <c r="AD41" s="179">
        <f>SUM(AD39:AD40)</f>
        <v>0</v>
      </c>
    </row>
    <row r="42" spans="1:30" ht="20.100000000000001" customHeight="1">
      <c r="A42" s="33"/>
      <c r="B42" s="96"/>
      <c r="C42" s="96"/>
      <c r="D42" s="7"/>
      <c r="E42" s="9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27"/>
      <c r="AA42" s="27"/>
      <c r="AB42" s="33"/>
      <c r="AC42" s="33"/>
      <c r="AD42" s="33"/>
    </row>
    <row r="43" spans="1:30" ht="20.100000000000001" customHeight="1">
      <c r="A43" s="33"/>
      <c r="B43" s="267" t="s">
        <v>209</v>
      </c>
      <c r="C43" s="267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27"/>
      <c r="AA43" s="27"/>
      <c r="AB43" s="33"/>
      <c r="AC43" s="33"/>
      <c r="AD43" s="33"/>
    </row>
    <row r="44" spans="1:30" ht="20.100000000000001" customHeight="1">
      <c r="A44" s="33"/>
      <c r="B44" s="267" t="s">
        <v>34</v>
      </c>
      <c r="C44" s="267"/>
      <c r="D44" s="3"/>
      <c r="E44" s="33"/>
      <c r="F44" s="93" t="e">
        <f>SUM(#REF!)</f>
        <v>#REF!</v>
      </c>
      <c r="G44" s="93"/>
      <c r="H44" s="93" t="e">
        <f>SUM(#REF!)</f>
        <v>#REF!</v>
      </c>
      <c r="I44" s="93" t="e">
        <f>SUM(#REF!)</f>
        <v>#REF!</v>
      </c>
      <c r="J44" s="93" t="e">
        <f>SUM(#REF!)</f>
        <v>#REF!</v>
      </c>
      <c r="K44" s="93" t="e">
        <f>SUM(#REF!)</f>
        <v>#REF!</v>
      </c>
      <c r="L44" s="93" t="e">
        <f>SUM(#REF!)</f>
        <v>#REF!</v>
      </c>
      <c r="M44" s="93" t="e">
        <f>SUM(#REF!)</f>
        <v>#REF!</v>
      </c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134"/>
      <c r="AA44" s="134"/>
      <c r="AB44" s="33"/>
      <c r="AC44" s="33"/>
      <c r="AD44" s="33"/>
    </row>
    <row r="45" spans="1:30" ht="20.100000000000001" customHeight="1">
      <c r="A45" s="33"/>
      <c r="B45" s="96"/>
      <c r="C45" s="96"/>
      <c r="D45" s="3"/>
      <c r="E45" s="33"/>
      <c r="F45" s="13"/>
      <c r="G45" s="21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7"/>
      <c r="AA45" s="27"/>
      <c r="AB45" s="33"/>
      <c r="AC45" s="33"/>
      <c r="AD45" s="33"/>
    </row>
    <row r="46" spans="1:30" ht="20.100000000000001" customHeight="1">
      <c r="A46" s="33"/>
      <c r="B46" s="267" t="s">
        <v>222</v>
      </c>
      <c r="C46" s="267"/>
      <c r="D46" s="7"/>
      <c r="E46" s="7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63"/>
      <c r="S46" s="63"/>
      <c r="T46" s="63"/>
      <c r="U46" s="63"/>
      <c r="V46" s="39"/>
      <c r="W46" s="36"/>
      <c r="X46" s="36"/>
      <c r="Y46" s="36"/>
      <c r="Z46" s="27"/>
      <c r="AA46" s="27"/>
      <c r="AB46" s="33"/>
      <c r="AC46" s="33"/>
      <c r="AD46" s="33"/>
    </row>
    <row r="47" spans="1:30" ht="20.100000000000001" customHeight="1">
      <c r="A47" s="33"/>
      <c r="B47" s="264"/>
      <c r="C47" s="264"/>
      <c r="D47" s="61"/>
      <c r="E47" s="66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36"/>
      <c r="S47" s="36"/>
      <c r="T47" s="36"/>
      <c r="U47" s="36"/>
      <c r="V47" s="62"/>
      <c r="W47" s="36"/>
      <c r="X47" s="36"/>
      <c r="Y47" s="36"/>
      <c r="Z47" s="27"/>
      <c r="AA47" s="27"/>
      <c r="AB47" s="33"/>
      <c r="AC47" s="27"/>
      <c r="AD47" s="159"/>
    </row>
    <row r="48" spans="1:30" ht="20.100000000000001" customHeight="1">
      <c r="A48" s="33"/>
      <c r="B48" s="235"/>
      <c r="C48" s="235"/>
      <c r="D48" s="61"/>
      <c r="E48" s="66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36"/>
      <c r="S48" s="62"/>
      <c r="T48" s="62"/>
      <c r="U48" s="62"/>
      <c r="V48" s="62"/>
      <c r="W48" s="36"/>
      <c r="X48" s="36"/>
      <c r="Y48" s="36"/>
      <c r="Z48" s="27"/>
      <c r="AA48" s="27"/>
      <c r="AB48" s="33"/>
      <c r="AC48" s="27"/>
      <c r="AD48" s="159"/>
    </row>
    <row r="49" spans="1:30" ht="20.100000000000001" customHeight="1">
      <c r="A49" s="33"/>
      <c r="B49" s="267" t="s">
        <v>34</v>
      </c>
      <c r="C49" s="267"/>
      <c r="D49" s="91"/>
      <c r="E49" s="66"/>
      <c r="F49" s="39">
        <f>SUM(F47:F48)</f>
        <v>0</v>
      </c>
      <c r="G49" s="39"/>
      <c r="H49" s="39">
        <f t="shared" ref="H49:W49" si="4">SUM(H47:H48)</f>
        <v>0</v>
      </c>
      <c r="I49" s="39">
        <f t="shared" si="4"/>
        <v>0</v>
      </c>
      <c r="J49" s="39">
        <f t="shared" si="4"/>
        <v>0</v>
      </c>
      <c r="K49" s="39">
        <f t="shared" si="4"/>
        <v>0</v>
      </c>
      <c r="L49" s="63">
        <f t="shared" si="4"/>
        <v>0</v>
      </c>
      <c r="M49" s="39">
        <f t="shared" si="4"/>
        <v>0</v>
      </c>
      <c r="N49" s="95">
        <f t="shared" si="4"/>
        <v>0</v>
      </c>
      <c r="O49" s="39">
        <f t="shared" si="4"/>
        <v>0</v>
      </c>
      <c r="P49" s="39">
        <f t="shared" si="4"/>
        <v>0</v>
      </c>
      <c r="Q49" s="39">
        <f t="shared" si="4"/>
        <v>0</v>
      </c>
      <c r="R49" s="63">
        <f t="shared" si="4"/>
        <v>0</v>
      </c>
      <c r="S49" s="63">
        <f t="shared" si="4"/>
        <v>0</v>
      </c>
      <c r="T49" s="63">
        <f t="shared" si="4"/>
        <v>0</v>
      </c>
      <c r="U49" s="63">
        <f t="shared" si="4"/>
        <v>0</v>
      </c>
      <c r="V49" s="39">
        <f t="shared" si="4"/>
        <v>0</v>
      </c>
      <c r="W49" s="63">
        <f t="shared" si="4"/>
        <v>0</v>
      </c>
      <c r="X49" s="63">
        <v>2217864.99725</v>
      </c>
      <c r="Y49" s="63">
        <f>SUM(Y47:Y48)</f>
        <v>0</v>
      </c>
      <c r="Z49" s="134">
        <f>SUM(Z47:Z48)</f>
        <v>0</v>
      </c>
      <c r="AA49" s="134">
        <f>SUM(AA47:AA48)</f>
        <v>0</v>
      </c>
      <c r="AB49" s="33"/>
      <c r="AC49" s="134">
        <f>SUM(AC47:AC48)</f>
        <v>0</v>
      </c>
      <c r="AD49" s="179">
        <f>SUM(AD47:AD48)</f>
        <v>0</v>
      </c>
    </row>
    <row r="50" spans="1:30" ht="20.100000000000001" customHeight="1">
      <c r="A50" s="33"/>
      <c r="B50" s="96"/>
      <c r="C50" s="96"/>
      <c r="D50" s="91"/>
      <c r="E50" s="66"/>
      <c r="F50" s="39"/>
      <c r="G50" s="39"/>
      <c r="H50" s="39"/>
      <c r="I50" s="39"/>
      <c r="J50" s="39"/>
      <c r="K50" s="39"/>
      <c r="L50" s="63"/>
      <c r="M50" s="39"/>
      <c r="N50" s="39"/>
      <c r="O50" s="39"/>
      <c r="P50" s="39"/>
      <c r="Q50" s="39"/>
      <c r="R50" s="63"/>
      <c r="S50" s="63"/>
      <c r="T50" s="63"/>
      <c r="U50" s="63"/>
      <c r="V50" s="39"/>
      <c r="W50" s="63"/>
      <c r="X50" s="63"/>
      <c r="Y50" s="63"/>
      <c r="Z50" s="27"/>
      <c r="AA50" s="27"/>
      <c r="AB50" s="33"/>
      <c r="AC50" s="33"/>
      <c r="AD50" s="33"/>
    </row>
    <row r="51" spans="1:30" ht="20.100000000000001" customHeight="1">
      <c r="A51" s="33"/>
      <c r="B51" s="267" t="s">
        <v>242</v>
      </c>
      <c r="C51" s="267"/>
      <c r="D51" s="61"/>
      <c r="E51" s="66"/>
      <c r="F51" s="62"/>
      <c r="G51" s="62"/>
      <c r="H51" s="62"/>
      <c r="I51" s="62"/>
      <c r="J51" s="62"/>
      <c r="K51" s="62"/>
      <c r="L51" s="36"/>
      <c r="M51" s="62"/>
      <c r="N51" s="62"/>
      <c r="O51" s="62"/>
      <c r="P51" s="62"/>
      <c r="Q51" s="62"/>
      <c r="R51" s="36"/>
      <c r="S51" s="36"/>
      <c r="T51" s="36"/>
      <c r="U51" s="36"/>
      <c r="V51" s="62"/>
      <c r="W51" s="36"/>
      <c r="X51" s="36"/>
      <c r="Y51" s="36"/>
      <c r="Z51" s="27"/>
      <c r="AA51" s="27"/>
      <c r="AB51" s="33"/>
      <c r="AC51" s="33"/>
      <c r="AD51" s="33"/>
    </row>
    <row r="52" spans="1:30" ht="20.100000000000001" customHeight="1">
      <c r="A52" s="33">
        <v>1</v>
      </c>
      <c r="B52" s="61" t="s">
        <v>272</v>
      </c>
      <c r="C52" s="61"/>
      <c r="D52" s="61" t="s">
        <v>472</v>
      </c>
      <c r="E52" s="66" t="s">
        <v>168</v>
      </c>
      <c r="F52" s="62"/>
      <c r="G52" s="62"/>
      <c r="H52" s="62"/>
      <c r="I52" s="62"/>
      <c r="J52" s="62"/>
      <c r="K52" s="62"/>
      <c r="L52" s="36"/>
      <c r="M52" s="62"/>
      <c r="N52" s="62"/>
      <c r="O52" s="62"/>
      <c r="P52" s="62"/>
      <c r="Q52" s="62"/>
      <c r="R52" s="36"/>
      <c r="S52" s="36"/>
      <c r="T52" s="36"/>
      <c r="U52" s="36"/>
      <c r="V52" s="62"/>
      <c r="W52" s="36"/>
      <c r="X52" s="36"/>
      <c r="Y52" s="36"/>
      <c r="Z52" s="27">
        <f>(168602+60000)*6/30</f>
        <v>45720.4</v>
      </c>
      <c r="AA52" s="27">
        <f>Z52-N52</f>
        <v>45720.4</v>
      </c>
      <c r="AB52" s="33"/>
      <c r="AC52" s="27">
        <v>3369.51</v>
      </c>
      <c r="AD52" s="159">
        <f>AC52-AB52</f>
        <v>3369.51</v>
      </c>
    </row>
    <row r="53" spans="1:30" ht="20.100000000000001" customHeight="1">
      <c r="A53" s="33">
        <v>2</v>
      </c>
      <c r="B53" s="61" t="s">
        <v>285</v>
      </c>
      <c r="C53" s="61"/>
      <c r="D53" s="61" t="s">
        <v>473</v>
      </c>
      <c r="E53" s="66" t="s">
        <v>465</v>
      </c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36"/>
      <c r="S53" s="62"/>
      <c r="T53" s="62"/>
      <c r="U53" s="62"/>
      <c r="V53" s="62"/>
      <c r="W53" s="36"/>
      <c r="X53" s="36"/>
      <c r="Y53" s="36"/>
      <c r="Z53" s="27">
        <f>(123329+50000)*12/30</f>
        <v>69331.600000000006</v>
      </c>
      <c r="AA53" s="27">
        <f>Z53-N53</f>
        <v>69331.600000000006</v>
      </c>
      <c r="AB53" s="33"/>
      <c r="AC53" s="27">
        <f>1484.37</f>
        <v>1484.37</v>
      </c>
      <c r="AD53" s="159">
        <f>AC53-AB53</f>
        <v>1484.37</v>
      </c>
    </row>
    <row r="54" spans="1:30" ht="20.100000000000001" customHeight="1">
      <c r="A54" s="33"/>
      <c r="B54" s="48" t="s">
        <v>34</v>
      </c>
      <c r="C54" s="33"/>
      <c r="D54" s="49" t="s">
        <v>474</v>
      </c>
      <c r="E54" s="37"/>
      <c r="F54" s="39" t="e">
        <f>SUM(#REF!)</f>
        <v>#REF!</v>
      </c>
      <c r="G54" s="39"/>
      <c r="H54" s="39" t="e">
        <f>SUM(#REF!)</f>
        <v>#REF!</v>
      </c>
      <c r="I54" s="39" t="e">
        <f>SUM(#REF!)</f>
        <v>#REF!</v>
      </c>
      <c r="J54" s="39" t="e">
        <f>SUM(#REF!)</f>
        <v>#REF!</v>
      </c>
      <c r="K54" s="39" t="e">
        <f>SUM(#REF!)</f>
        <v>#REF!</v>
      </c>
      <c r="L54" s="39" t="e">
        <f>SUM(#REF!)</f>
        <v>#REF!</v>
      </c>
      <c r="M54" s="39" t="e">
        <f>SUM(#REF!)</f>
        <v>#REF!</v>
      </c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134">
        <f>SUM(Z52:Z53)</f>
        <v>115052</v>
      </c>
      <c r="AA54" s="134">
        <f>SUM(AA52:AA53)</f>
        <v>115052</v>
      </c>
      <c r="AB54" s="33"/>
      <c r="AC54" s="134">
        <f>SUM(AC52:AC53)</f>
        <v>4853.88</v>
      </c>
      <c r="AD54" s="179">
        <f>SUM(AD52:AD53)</f>
        <v>4853.88</v>
      </c>
    </row>
    <row r="55" spans="1:30" ht="20.100000000000001" customHeight="1">
      <c r="A55" s="33"/>
      <c r="B55" s="263" t="s">
        <v>328</v>
      </c>
      <c r="C55" s="263"/>
      <c r="D55" s="73">
        <f>D10+D14+D18+D23+D28+D31+D36+D41+D44+D49+D54</f>
        <v>8</v>
      </c>
      <c r="E55" s="40"/>
      <c r="F55" s="41" t="e">
        <f t="shared" ref="F55:Z55" si="5">F10+F14+F18+F23+F28+F31+F36+F41+F44+F49+F54</f>
        <v>#REF!</v>
      </c>
      <c r="G55" s="41">
        <f t="shared" si="5"/>
        <v>0</v>
      </c>
      <c r="H55" s="41" t="e">
        <f t="shared" si="5"/>
        <v>#REF!</v>
      </c>
      <c r="I55" s="41" t="e">
        <f t="shared" si="5"/>
        <v>#REF!</v>
      </c>
      <c r="J55" s="41" t="e">
        <f t="shared" si="5"/>
        <v>#REF!</v>
      </c>
      <c r="K55" s="41" t="e">
        <f t="shared" si="5"/>
        <v>#REF!</v>
      </c>
      <c r="L55" s="41" t="e">
        <f t="shared" si="5"/>
        <v>#REF!</v>
      </c>
      <c r="M55" s="41" t="e">
        <f t="shared" si="5"/>
        <v>#REF!</v>
      </c>
      <c r="N55" s="41">
        <f t="shared" si="5"/>
        <v>0</v>
      </c>
      <c r="O55" s="41">
        <f t="shared" si="5"/>
        <v>0</v>
      </c>
      <c r="P55" s="41">
        <f t="shared" si="5"/>
        <v>0</v>
      </c>
      <c r="Q55" s="41">
        <f t="shared" si="5"/>
        <v>0</v>
      </c>
      <c r="R55" s="41">
        <f t="shared" si="5"/>
        <v>0</v>
      </c>
      <c r="S55" s="41">
        <f t="shared" si="5"/>
        <v>0</v>
      </c>
      <c r="T55" s="41">
        <f t="shared" si="5"/>
        <v>0</v>
      </c>
      <c r="U55" s="41">
        <f t="shared" si="5"/>
        <v>0</v>
      </c>
      <c r="V55" s="41">
        <f t="shared" si="5"/>
        <v>0</v>
      </c>
      <c r="W55" s="41">
        <f t="shared" si="5"/>
        <v>0</v>
      </c>
      <c r="X55" s="41">
        <f t="shared" si="5"/>
        <v>12455682.628999999</v>
      </c>
      <c r="Y55" s="41">
        <f t="shared" si="5"/>
        <v>0</v>
      </c>
      <c r="Z55" s="41">
        <f t="shared" si="5"/>
        <v>785035.60000000009</v>
      </c>
      <c r="AA55" s="41">
        <f t="shared" ref="AA55:AD55" si="6">AA10+AA14+AA18+AA23+AA28+AA31+AA36+AA41+AA44+AA49+AA54</f>
        <v>785035.60000000009</v>
      </c>
      <c r="AB55" s="41"/>
      <c r="AC55" s="41">
        <f t="shared" si="6"/>
        <v>25640.91</v>
      </c>
      <c r="AD55" s="41">
        <f t="shared" si="6"/>
        <v>25640.91</v>
      </c>
    </row>
    <row r="56" spans="1:30" ht="20.100000000000001" customHeight="1">
      <c r="C56" s="1" t="s">
        <v>475</v>
      </c>
    </row>
    <row r="57" spans="1:30" ht="20.100000000000001" customHeight="1">
      <c r="AD57" s="107">
        <f>AA55-AD55</f>
        <v>759394.69000000006</v>
      </c>
    </row>
  </sheetData>
  <mergeCells count="35">
    <mergeCell ref="B46:C46"/>
    <mergeCell ref="B47:C47"/>
    <mergeCell ref="B49:C49"/>
    <mergeCell ref="B51:C51"/>
    <mergeCell ref="B55:C55"/>
    <mergeCell ref="B44:C44"/>
    <mergeCell ref="B28:C28"/>
    <mergeCell ref="B30:C30"/>
    <mergeCell ref="B31:C31"/>
    <mergeCell ref="B32:C32"/>
    <mergeCell ref="B33:C33"/>
    <mergeCell ref="B36:C36"/>
    <mergeCell ref="B38:C38"/>
    <mergeCell ref="B39:C39"/>
    <mergeCell ref="B40:C40"/>
    <mergeCell ref="B41:C41"/>
    <mergeCell ref="B43:C43"/>
    <mergeCell ref="B25:C25"/>
    <mergeCell ref="B10:C10"/>
    <mergeCell ref="B12:C12"/>
    <mergeCell ref="B13:C13"/>
    <mergeCell ref="B15:C15"/>
    <mergeCell ref="B16:C16"/>
    <mergeCell ref="B18:C18"/>
    <mergeCell ref="B20:C20"/>
    <mergeCell ref="B21:C21"/>
    <mergeCell ref="B22:C22"/>
    <mergeCell ref="B23:C23"/>
    <mergeCell ref="B24:C24"/>
    <mergeCell ref="B8:C8"/>
    <mergeCell ref="B3:E3"/>
    <mergeCell ref="B5:C5"/>
    <mergeCell ref="S5:W5"/>
    <mergeCell ref="B6:C6"/>
    <mergeCell ref="B7:C7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in="29" max="2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bottomRight" activeCell="B9" sqref="B9:C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45.5703125" style="1" customWidth="1"/>
    <col min="4" max="4" width="30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0" t="s">
        <v>476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477</v>
      </c>
    </row>
    <row r="6" spans="1:30" ht="35.450000000000003" customHeight="1">
      <c r="A6" s="33"/>
      <c r="B6" s="285"/>
      <c r="C6" s="285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459</v>
      </c>
      <c r="Y6" s="7" t="s">
        <v>460</v>
      </c>
    </row>
    <row r="7" spans="1:30" ht="55.9" customHeight="1">
      <c r="A7" s="33"/>
      <c r="B7" s="286"/>
      <c r="C7" s="286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87" t="s">
        <v>36</v>
      </c>
      <c r="C8" s="287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57" t="s">
        <v>38</v>
      </c>
      <c r="C9" s="258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>300000</f>
        <v>300000</v>
      </c>
    </row>
    <row r="10" spans="1:30" ht="20.100000000000001" customHeight="1">
      <c r="A10" s="3">
        <v>2</v>
      </c>
      <c r="B10" s="257" t="s">
        <v>41</v>
      </c>
      <c r="C10" s="258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'[5]Jan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>150000</f>
        <v>150000</v>
      </c>
    </row>
    <row r="11" spans="1:30" ht="20.100000000000001" customHeight="1">
      <c r="A11" s="3">
        <v>3</v>
      </c>
      <c r="B11" s="271" t="s">
        <v>391</v>
      </c>
      <c r="C11" s="272"/>
      <c r="D11" s="43" t="s">
        <v>478</v>
      </c>
      <c r="E11" s="75" t="s">
        <v>227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6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>70000</f>
        <v>70000</v>
      </c>
    </row>
    <row r="12" spans="1:30" ht="20.100000000000001" customHeight="1">
      <c r="A12" s="3">
        <v>4</v>
      </c>
      <c r="B12" s="257" t="s">
        <v>44</v>
      </c>
      <c r="C12" s="258"/>
      <c r="D12" s="33" t="s">
        <v>45</v>
      </c>
      <c r="E12" s="3" t="s">
        <v>479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'[5]Jan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ref="Y12:Y18" si="1">70000</f>
        <v>70000</v>
      </c>
    </row>
    <row r="13" spans="1:30" ht="20.100000000000001" customHeight="1">
      <c r="A13" s="3">
        <v>5</v>
      </c>
      <c r="B13" s="271" t="s">
        <v>47</v>
      </c>
      <c r="C13" s="272"/>
      <c r="D13" s="43" t="s">
        <v>48</v>
      </c>
      <c r="E13" s="75" t="s">
        <v>479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70000</v>
      </c>
    </row>
    <row r="14" spans="1:30" ht="20.100000000000001" customHeight="1">
      <c r="A14" s="3">
        <v>6</v>
      </c>
      <c r="B14" s="257" t="s">
        <v>49</v>
      </c>
      <c r="C14" s="258"/>
      <c r="D14" s="61" t="s">
        <v>50</v>
      </c>
      <c r="E14" s="3" t="s">
        <v>408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70000</v>
      </c>
    </row>
    <row r="15" spans="1:30" ht="20.100000000000001" customHeight="1">
      <c r="A15" s="3">
        <v>7</v>
      </c>
      <c r="B15" s="271" t="s">
        <v>52</v>
      </c>
      <c r="C15" s="272"/>
      <c r="D15" s="33" t="s">
        <v>53</v>
      </c>
      <c r="E15" s="38" t="s">
        <v>54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70000</v>
      </c>
    </row>
    <row r="16" spans="1:30" ht="20.100000000000001" customHeight="1">
      <c r="A16" s="3">
        <v>8</v>
      </c>
      <c r="B16" s="269" t="s">
        <v>55</v>
      </c>
      <c r="C16" s="270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36">
        <f t="shared" si="1"/>
        <v>70000</v>
      </c>
    </row>
    <row r="17" spans="1:25" ht="20.100000000000001" customHeight="1">
      <c r="A17" s="3">
        <v>9</v>
      </c>
      <c r="B17" s="271" t="s">
        <v>57</v>
      </c>
      <c r="C17" s="272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70000</v>
      </c>
    </row>
    <row r="18" spans="1:25" ht="20.100000000000001" customHeight="1">
      <c r="A18" s="3">
        <v>10</v>
      </c>
      <c r="B18" s="97" t="s">
        <v>61</v>
      </c>
      <c r="C18" s="98"/>
      <c r="D18" s="61" t="s">
        <v>480</v>
      </c>
      <c r="E18" s="11" t="s">
        <v>63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70000</v>
      </c>
    </row>
    <row r="19" spans="1:25" ht="20.100000000000001" customHeight="1">
      <c r="A19" s="3">
        <v>11</v>
      </c>
      <c r="B19" s="271" t="s">
        <v>64</v>
      </c>
      <c r="C19" s="272"/>
      <c r="D19" s="43" t="s">
        <v>442</v>
      </c>
      <c r="E19" s="44" t="s">
        <v>138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241467.89375000005</v>
      </c>
      <c r="Y19" s="36">
        <v>50000</v>
      </c>
    </row>
    <row r="20" spans="1:25" ht="19.5" customHeight="1">
      <c r="A20" s="3">
        <v>12</v>
      </c>
      <c r="B20" s="271" t="s">
        <v>67</v>
      </c>
      <c r="C20" s="272"/>
      <c r="D20" s="33" t="s">
        <v>444</v>
      </c>
      <c r="E20" s="3" t="s">
        <v>73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'[5]Jan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v>50000</v>
      </c>
    </row>
    <row r="21" spans="1:25" ht="19.5" customHeight="1">
      <c r="A21" s="3">
        <v>13</v>
      </c>
      <c r="B21" s="271" t="s">
        <v>69</v>
      </c>
      <c r="C21" s="272"/>
      <c r="D21" s="33" t="s">
        <v>445</v>
      </c>
      <c r="E21" s="3" t="s">
        <v>138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2">7709.76</f>
        <v>7709.76</v>
      </c>
      <c r="W21" s="36">
        <f>SUM(S21:V21)</f>
        <v>7709.76</v>
      </c>
      <c r="X21" s="36">
        <v>491467.89374999999</v>
      </c>
      <c r="Y21" s="36">
        <v>50000</v>
      </c>
    </row>
    <row r="22" spans="1:25" ht="20.100000000000001" customHeight="1">
      <c r="A22" s="3">
        <v>14</v>
      </c>
      <c r="B22" s="257" t="s">
        <v>71</v>
      </c>
      <c r="C22" s="258"/>
      <c r="D22" s="61" t="s">
        <v>444</v>
      </c>
      <c r="E22" s="66" t="s">
        <v>73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v>50000</v>
      </c>
    </row>
    <row r="23" spans="1:25" ht="20.100000000000001" customHeight="1">
      <c r="A23" s="3">
        <v>15</v>
      </c>
      <c r="B23" s="271" t="s">
        <v>74</v>
      </c>
      <c r="C23" s="272"/>
      <c r="D23" s="33" t="s">
        <v>393</v>
      </c>
      <c r="E23" s="66" t="s">
        <v>76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>
        <f>100000+100000+100000</f>
        <v>300000</v>
      </c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ref="R23" si="13">SUM(F23:Q23)</f>
        <v>626713.03325000009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v>50000</v>
      </c>
    </row>
    <row r="24" spans="1:25" ht="20.100000000000001" customHeight="1">
      <c r="A24" s="3">
        <v>16</v>
      </c>
      <c r="B24" s="257" t="s">
        <v>80</v>
      </c>
      <c r="C24" s="258"/>
      <c r="D24" s="61" t="s">
        <v>81</v>
      </c>
      <c r="E24" s="66" t="s">
        <v>103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v>30000</v>
      </c>
    </row>
    <row r="25" spans="1:25" ht="18.75" customHeight="1">
      <c r="A25" s="3">
        <v>17</v>
      </c>
      <c r="B25" s="257" t="s">
        <v>83</v>
      </c>
      <c r="C25" s="258"/>
      <c r="D25" s="61" t="s">
        <v>89</v>
      </c>
      <c r="E25" s="66" t="s">
        <v>208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'[5]Jan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v>30000</v>
      </c>
    </row>
    <row r="26" spans="1:25" ht="18.75" customHeight="1">
      <c r="A26" s="3">
        <v>18</v>
      </c>
      <c r="B26" s="97" t="s">
        <v>88</v>
      </c>
      <c r="C26" s="98"/>
      <c r="D26" s="61" t="s">
        <v>89</v>
      </c>
      <c r="E26" s="66" t="s">
        <v>108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4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v>30000</v>
      </c>
    </row>
    <row r="27" spans="1:25" ht="18.75" customHeight="1">
      <c r="A27" s="3">
        <v>19</v>
      </c>
      <c r="B27" s="97" t="s">
        <v>91</v>
      </c>
      <c r="C27" s="98"/>
      <c r="D27" s="61" t="s">
        <v>92</v>
      </c>
      <c r="E27" s="66" t="s">
        <v>93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4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5">SUM(S27:V27)</f>
        <v>1235.19</v>
      </c>
      <c r="X27" s="26">
        <v>122093.85950000001</v>
      </c>
      <c r="Y27" s="36">
        <v>30000</v>
      </c>
    </row>
    <row r="28" spans="1:25" ht="18.75" customHeight="1">
      <c r="A28" s="3">
        <v>20</v>
      </c>
      <c r="B28" s="97" t="s">
        <v>94</v>
      </c>
      <c r="C28" s="98"/>
      <c r="D28" s="61" t="s">
        <v>92</v>
      </c>
      <c r="E28" s="66" t="s">
        <v>93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4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6">SUM(S28:V28)</f>
        <v>11235.19</v>
      </c>
      <c r="X28" s="26">
        <v>112093.85950000001</v>
      </c>
      <c r="Y28" s="36">
        <v>30000</v>
      </c>
    </row>
    <row r="29" spans="1:25" ht="18.75" customHeight="1">
      <c r="A29" s="3">
        <v>21</v>
      </c>
      <c r="B29" s="264" t="s">
        <v>96</v>
      </c>
      <c r="C29" s="264"/>
      <c r="D29" s="33" t="s">
        <v>97</v>
      </c>
      <c r="E29" s="66" t="s">
        <v>79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20000</v>
      </c>
      <c r="T29" s="36"/>
      <c r="U29" s="36">
        <f>'[5]Jan 2021'!$H$39</f>
        <v>597.27800000000002</v>
      </c>
      <c r="V29" s="62">
        <f>7709.76</f>
        <v>7709.76</v>
      </c>
      <c r="W29" s="36">
        <f>SUM(S29:V29)</f>
        <v>28307.038</v>
      </c>
      <c r="X29" s="36">
        <v>305893.98800000001</v>
      </c>
      <c r="Y29" s="36">
        <v>50000</v>
      </c>
    </row>
    <row r="30" spans="1:25" ht="18.75" customHeight="1">
      <c r="A30" s="3">
        <v>22</v>
      </c>
      <c r="B30" s="257" t="s">
        <v>99</v>
      </c>
      <c r="C30" s="258"/>
      <c r="D30" s="33" t="s">
        <v>100</v>
      </c>
      <c r="E30" s="66" t="s">
        <v>103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v>30000</v>
      </c>
    </row>
    <row r="31" spans="1:25" ht="18.75" customHeight="1">
      <c r="A31" s="3">
        <v>23</v>
      </c>
      <c r="B31" s="97" t="s">
        <v>101</v>
      </c>
      <c r="C31" s="98"/>
      <c r="D31" s="33" t="s">
        <v>102</v>
      </c>
      <c r="E31" s="66" t="s">
        <v>95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</f>
        <v>30000</v>
      </c>
      <c r="T31" s="36"/>
      <c r="U31" s="36">
        <f>0</f>
        <v>0</v>
      </c>
      <c r="V31" s="62">
        <v>3369.51</v>
      </c>
      <c r="W31" s="36">
        <f>S31+T31+U31+V31</f>
        <v>33369.51</v>
      </c>
      <c r="X31" s="36">
        <v>139798.68999999997</v>
      </c>
      <c r="Y31" s="36">
        <v>30000</v>
      </c>
    </row>
    <row r="32" spans="1:25" ht="18.75" customHeight="1">
      <c r="A32" s="3">
        <v>24</v>
      </c>
      <c r="B32" s="269" t="s">
        <v>481</v>
      </c>
      <c r="C32" s="270"/>
      <c r="D32" s="47" t="s">
        <v>110</v>
      </c>
      <c r="E32" s="66" t="s">
        <v>455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50000</f>
        <v>50000</v>
      </c>
      <c r="T32" s="36">
        <f>40000</f>
        <v>40000</v>
      </c>
      <c r="U32" s="36">
        <f>0</f>
        <v>0</v>
      </c>
      <c r="V32" s="62">
        <f>1235.19</f>
        <v>1235.19</v>
      </c>
      <c r="W32" s="36">
        <f>S32+T32+U32+V32</f>
        <v>91235.19</v>
      </c>
      <c r="X32" s="36">
        <v>35580.909999999989</v>
      </c>
      <c r="Y32" s="36">
        <v>30000</v>
      </c>
    </row>
    <row r="33" spans="1:25" ht="18.75" customHeight="1">
      <c r="A33" s="3"/>
      <c r="B33" s="267" t="s">
        <v>34</v>
      </c>
      <c r="C33" s="267"/>
      <c r="D33" s="7">
        <v>24</v>
      </c>
      <c r="E33" s="66"/>
      <c r="F33" s="68">
        <f>SUM(F9:F32)</f>
        <v>810273.90999999992</v>
      </c>
      <c r="G33" s="68"/>
      <c r="H33" s="68">
        <f t="shared" ref="H33:Y33" si="17">SUM(H9:H32)</f>
        <v>2270332.98</v>
      </c>
      <c r="I33" s="68">
        <f t="shared" si="17"/>
        <v>96880.516999999978</v>
      </c>
      <c r="J33" s="68">
        <f t="shared" si="17"/>
        <v>521588.47000000003</v>
      </c>
      <c r="K33" s="68">
        <f t="shared" si="17"/>
        <v>397112.51999999996</v>
      </c>
      <c r="L33" s="68">
        <f t="shared" si="17"/>
        <v>2274248.0600000005</v>
      </c>
      <c r="M33" s="68">
        <f t="shared" si="17"/>
        <v>770151.73</v>
      </c>
      <c r="N33" s="68">
        <f t="shared" si="17"/>
        <v>1500000</v>
      </c>
      <c r="O33" s="68">
        <f t="shared" si="17"/>
        <v>81027.396000000008</v>
      </c>
      <c r="P33" s="68">
        <f t="shared" si="17"/>
        <v>375000</v>
      </c>
      <c r="Q33" s="68">
        <f t="shared" si="17"/>
        <v>675235</v>
      </c>
      <c r="R33" s="68">
        <f t="shared" si="17"/>
        <v>9771850.5830000006</v>
      </c>
      <c r="S33" s="68">
        <f t="shared" si="17"/>
        <v>610000</v>
      </c>
      <c r="T33" s="68">
        <f t="shared" si="17"/>
        <v>1006965.0599999999</v>
      </c>
      <c r="U33" s="68">
        <f t="shared" si="17"/>
        <v>7285.8060000000005</v>
      </c>
      <c r="V33" s="68">
        <f t="shared" si="17"/>
        <v>379545.82000000012</v>
      </c>
      <c r="W33" s="68">
        <f t="shared" si="17"/>
        <v>2003796.6860000002</v>
      </c>
      <c r="X33" s="68">
        <v>7468053.8969999999</v>
      </c>
      <c r="Y33" s="68">
        <f t="shared" si="17"/>
        <v>1550000</v>
      </c>
    </row>
    <row r="34" spans="1:25" ht="18.75" customHeight="1">
      <c r="A34" s="3"/>
      <c r="B34" s="96"/>
      <c r="C34" s="96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18.75" customHeight="1">
      <c r="A35" s="3"/>
      <c r="B35" s="267" t="s">
        <v>115</v>
      </c>
      <c r="C35" s="267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</row>
    <row r="36" spans="1:25" ht="18.75" customHeight="1">
      <c r="A36" s="3">
        <v>1</v>
      </c>
      <c r="B36" s="311" t="s">
        <v>482</v>
      </c>
      <c r="C36" s="312"/>
      <c r="D36" s="61" t="s">
        <v>483</v>
      </c>
      <c r="E36" s="66" t="s">
        <v>118</v>
      </c>
      <c r="F36" s="62">
        <f>79039.64</f>
        <v>79039.64</v>
      </c>
      <c r="G36" s="62"/>
      <c r="H36" s="62">
        <f t="shared" ref="H36" si="18">F36*300%</f>
        <v>237118.91999999998</v>
      </c>
      <c r="I36" s="62">
        <f t="shared" ref="I36" si="19">F36*7.5%</f>
        <v>5927.973</v>
      </c>
      <c r="J36" s="62">
        <f>80244.38</f>
        <v>80244.38</v>
      </c>
      <c r="K36" s="62">
        <f t="shared" ref="K36" si="20">F36*50%</f>
        <v>39519.82</v>
      </c>
      <c r="L36" s="62">
        <f t="shared" ref="L36" si="21">F36*350%</f>
        <v>276638.74</v>
      </c>
      <c r="M36" s="62">
        <f t="shared" ref="M36" si="22">F36*100%</f>
        <v>79039.64</v>
      </c>
      <c r="N36" s="64"/>
      <c r="O36" s="62">
        <f t="shared" ref="O36" si="23">F36*10%</f>
        <v>7903.9639999999999</v>
      </c>
      <c r="P36" s="62">
        <v>20000</v>
      </c>
      <c r="Q36" s="62">
        <v>0</v>
      </c>
      <c r="R36" s="36">
        <f t="shared" ref="R36" si="24">SUM(F36:Q36)</f>
        <v>825433.07700000005</v>
      </c>
      <c r="S36" s="62">
        <f>100000</f>
        <v>100000</v>
      </c>
      <c r="T36" s="62">
        <f>287500</f>
        <v>287500</v>
      </c>
      <c r="U36" s="62">
        <f>'[5]Jan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v>150000</v>
      </c>
    </row>
    <row r="37" spans="1:25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5">SUM(H36:H36)</f>
        <v>237118.91999999998</v>
      </c>
      <c r="I37" s="68">
        <f t="shared" si="25"/>
        <v>5927.973</v>
      </c>
      <c r="J37" s="68">
        <f t="shared" si="25"/>
        <v>80244.38</v>
      </c>
      <c r="K37" s="68">
        <f t="shared" si="25"/>
        <v>39519.82</v>
      </c>
      <c r="L37" s="68">
        <f t="shared" si="25"/>
        <v>276638.74</v>
      </c>
      <c r="M37" s="68">
        <f t="shared" si="25"/>
        <v>79039.64</v>
      </c>
      <c r="N37" s="68">
        <f t="shared" si="25"/>
        <v>0</v>
      </c>
      <c r="O37" s="68">
        <f t="shared" si="25"/>
        <v>7903.9639999999999</v>
      </c>
      <c r="P37" s="68">
        <f t="shared" si="25"/>
        <v>20000</v>
      </c>
      <c r="Q37" s="68">
        <f t="shared" si="25"/>
        <v>0</v>
      </c>
      <c r="R37" s="68">
        <f t="shared" si="25"/>
        <v>825433.07700000005</v>
      </c>
      <c r="S37" s="68">
        <f t="shared" si="25"/>
        <v>100000</v>
      </c>
      <c r="T37" s="68">
        <f t="shared" si="25"/>
        <v>287500</v>
      </c>
      <c r="U37" s="68">
        <f t="shared" si="25"/>
        <v>1975.991</v>
      </c>
      <c r="V37" s="68">
        <f t="shared" si="25"/>
        <v>52776.63</v>
      </c>
      <c r="W37" s="68">
        <f t="shared" si="25"/>
        <v>442252.62099999998</v>
      </c>
      <c r="X37" s="68">
        <v>383180.45600000006</v>
      </c>
      <c r="Y37" s="68">
        <f>SUM(Y36:Y36)</f>
        <v>150000</v>
      </c>
    </row>
    <row r="38" spans="1:25" ht="20.100000000000001" customHeight="1">
      <c r="A38" s="3"/>
      <c r="B38" s="281"/>
      <c r="C38" s="282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</row>
    <row r="39" spans="1:25" ht="20.100000000000001" customHeight="1">
      <c r="A39" s="3"/>
      <c r="B39" s="283" t="s">
        <v>121</v>
      </c>
      <c r="C39" s="284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0.100000000000001" customHeight="1">
      <c r="A40" s="3">
        <v>1</v>
      </c>
      <c r="B40" s="257" t="s">
        <v>122</v>
      </c>
      <c r="C40" s="258"/>
      <c r="D40" s="33" t="s">
        <v>123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6">F40*100%</f>
        <v>81740.02</v>
      </c>
      <c r="N40" s="62">
        <v>100000</v>
      </c>
      <c r="O40" s="62">
        <f t="shared" ref="O40:O50" si="27">F40*10%</f>
        <v>8174.0020000000004</v>
      </c>
      <c r="P40" s="62">
        <v>20000</v>
      </c>
      <c r="Q40" s="62"/>
      <c r="R40" s="36">
        <f t="shared" ref="R40:R50" si="28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9">V40+S40+T40+U40</f>
        <v>152776.63</v>
      </c>
      <c r="X40" s="36">
        <v>797432.43350000004</v>
      </c>
      <c r="Y40" s="36">
        <v>150000</v>
      </c>
    </row>
    <row r="41" spans="1:25" ht="20.100000000000001" customHeight="1">
      <c r="A41" s="3">
        <v>2</v>
      </c>
      <c r="B41" s="257" t="s">
        <v>124</v>
      </c>
      <c r="C41" s="258"/>
      <c r="D41" s="33" t="s">
        <v>125</v>
      </c>
      <c r="E41" s="3" t="s">
        <v>54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 t="shared" ref="Y41:Y42" si="30">70000</f>
        <v>70000</v>
      </c>
    </row>
    <row r="42" spans="1:25" ht="20.100000000000001" customHeight="1">
      <c r="A42" s="3">
        <v>3</v>
      </c>
      <c r="B42" s="257" t="s">
        <v>126</v>
      </c>
      <c r="C42" s="258"/>
      <c r="D42" s="33" t="s">
        <v>127</v>
      </c>
      <c r="E42" s="3" t="s">
        <v>54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 t="shared" si="30"/>
        <v>70000</v>
      </c>
    </row>
    <row r="43" spans="1:25" ht="20.100000000000001" customHeight="1">
      <c r="A43" s="3">
        <v>4</v>
      </c>
      <c r="B43" s="257" t="s">
        <v>128</v>
      </c>
      <c r="C43" s="258"/>
      <c r="D43" s="33" t="s">
        <v>131</v>
      </c>
      <c r="E43" s="3" t="s">
        <v>132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v>50000</v>
      </c>
    </row>
    <row r="44" spans="1:25" ht="20.100000000000001" customHeight="1">
      <c r="A44" s="3">
        <v>5</v>
      </c>
      <c r="B44" s="257" t="s">
        <v>130</v>
      </c>
      <c r="C44" s="258"/>
      <c r="D44" s="33" t="s">
        <v>131</v>
      </c>
      <c r="E44" s="3" t="s">
        <v>132</v>
      </c>
      <c r="F44" s="62">
        <f>28489.81</f>
        <v>28489.81</v>
      </c>
      <c r="G44" s="62"/>
      <c r="H44" s="62">
        <f t="shared" ref="H44:H50" si="31">F44*300%</f>
        <v>85469.430000000008</v>
      </c>
      <c r="I44" s="62">
        <f t="shared" ref="I44:I50" si="32">F44*7.5%</f>
        <v>2136.7357499999998</v>
      </c>
      <c r="J44" s="62">
        <v>0</v>
      </c>
      <c r="K44" s="62">
        <f t="shared" ref="K44:K50" si="33">F44*50%</f>
        <v>14244.905000000001</v>
      </c>
      <c r="L44" s="62">
        <f t="shared" ref="L44:L50" si="34">F44*350%</f>
        <v>99714.335000000006</v>
      </c>
      <c r="M44" s="62">
        <f t="shared" si="26"/>
        <v>28489.81</v>
      </c>
      <c r="N44" s="62">
        <v>100000</v>
      </c>
      <c r="O44" s="62">
        <f t="shared" si="27"/>
        <v>2848.9810000000002</v>
      </c>
      <c r="P44" s="62">
        <v>20000</v>
      </c>
      <c r="Q44" s="62">
        <v>0</v>
      </c>
      <c r="R44" s="36">
        <f t="shared" si="28"/>
        <v>381394.00675000006</v>
      </c>
      <c r="S44" s="36"/>
      <c r="T44" s="36"/>
      <c r="U44" s="36">
        <f>'[5]Jan 2021'!$H$24</f>
        <v>712.24525000000006</v>
      </c>
      <c r="V44" s="62">
        <v>7709.76</v>
      </c>
      <c r="W44" s="36">
        <f t="shared" si="29"/>
        <v>8422.0052500000002</v>
      </c>
      <c r="X44" s="36">
        <v>372972.00150000007</v>
      </c>
      <c r="Y44" s="36">
        <v>50000</v>
      </c>
    </row>
    <row r="45" spans="1:25" ht="20.100000000000001" customHeight="1">
      <c r="A45" s="3">
        <v>6</v>
      </c>
      <c r="B45" s="257" t="s">
        <v>133</v>
      </c>
      <c r="C45" s="258"/>
      <c r="D45" s="33" t="s">
        <v>131</v>
      </c>
      <c r="E45" s="3" t="s">
        <v>395</v>
      </c>
      <c r="F45" s="62">
        <f>25854.1</f>
        <v>25854.1</v>
      </c>
      <c r="G45" s="62"/>
      <c r="H45" s="62">
        <f t="shared" si="31"/>
        <v>77562.299999999988</v>
      </c>
      <c r="I45" s="62">
        <f t="shared" si="32"/>
        <v>1939.0574999999999</v>
      </c>
      <c r="J45" s="62"/>
      <c r="K45" s="62">
        <f t="shared" si="33"/>
        <v>12927.05</v>
      </c>
      <c r="L45" s="62">
        <f t="shared" si="34"/>
        <v>90489.349999999991</v>
      </c>
      <c r="M45" s="62">
        <f t="shared" si="26"/>
        <v>25854.1</v>
      </c>
      <c r="N45" s="62">
        <v>100000</v>
      </c>
      <c r="O45" s="62">
        <f t="shared" si="27"/>
        <v>2585.41</v>
      </c>
      <c r="P45" s="62">
        <v>20000</v>
      </c>
      <c r="Q45" s="62"/>
      <c r="R45" s="36">
        <f t="shared" si="28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9"/>
        <v>129376.43</v>
      </c>
      <c r="X45" s="36">
        <v>227834.9375</v>
      </c>
      <c r="Y45" s="36">
        <v>50000</v>
      </c>
    </row>
    <row r="46" spans="1:25" ht="20.100000000000001" customHeight="1">
      <c r="A46" s="3">
        <v>7</v>
      </c>
      <c r="B46" s="265" t="s">
        <v>134</v>
      </c>
      <c r="C46" s="266"/>
      <c r="D46" s="33" t="s">
        <v>137</v>
      </c>
      <c r="E46" s="25" t="s">
        <v>73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v>50000</v>
      </c>
    </row>
    <row r="47" spans="1:25" ht="20.100000000000001" customHeight="1">
      <c r="A47" s="3">
        <v>8</v>
      </c>
      <c r="B47" s="257" t="s">
        <v>136</v>
      </c>
      <c r="C47" s="258"/>
      <c r="D47" s="33" t="s">
        <v>137</v>
      </c>
      <c r="E47" s="3" t="s">
        <v>98</v>
      </c>
      <c r="F47" s="62">
        <f>24741.26</f>
        <v>24741.26</v>
      </c>
      <c r="G47" s="62"/>
      <c r="H47" s="62">
        <f t="shared" si="31"/>
        <v>74223.78</v>
      </c>
      <c r="I47" s="62">
        <f t="shared" si="32"/>
        <v>1855.5944999999997</v>
      </c>
      <c r="J47" s="62">
        <v>0</v>
      </c>
      <c r="K47" s="62">
        <f t="shared" si="33"/>
        <v>12370.63</v>
      </c>
      <c r="L47" s="62">
        <f t="shared" si="34"/>
        <v>86594.409999999989</v>
      </c>
      <c r="M47" s="62">
        <f t="shared" si="26"/>
        <v>24741.26</v>
      </c>
      <c r="N47" s="62">
        <v>100000</v>
      </c>
      <c r="O47" s="62">
        <f t="shared" si="27"/>
        <v>2474.1260000000002</v>
      </c>
      <c r="P47" s="62">
        <v>15000</v>
      </c>
      <c r="Q47" s="62">
        <v>0</v>
      </c>
      <c r="R47" s="36">
        <f t="shared" si="28"/>
        <v>342001.06049999996</v>
      </c>
      <c r="S47" s="36"/>
      <c r="T47" s="36"/>
      <c r="U47" s="36"/>
      <c r="V47" s="62">
        <v>7709.76</v>
      </c>
      <c r="W47" s="36">
        <f t="shared" si="29"/>
        <v>7709.76</v>
      </c>
      <c r="X47" s="36">
        <v>334291.30049999995</v>
      </c>
      <c r="Y47" s="36">
        <v>50000</v>
      </c>
    </row>
    <row r="48" spans="1:25" ht="20.100000000000001" customHeight="1">
      <c r="A48" s="3">
        <v>9</v>
      </c>
      <c r="B48" s="257" t="s">
        <v>394</v>
      </c>
      <c r="C48" s="258"/>
      <c r="D48" s="33" t="s">
        <v>140</v>
      </c>
      <c r="E48" s="3" t="s">
        <v>395</v>
      </c>
      <c r="F48" s="62">
        <f>25854.1</f>
        <v>25854.1</v>
      </c>
      <c r="G48" s="62"/>
      <c r="H48" s="62">
        <f t="shared" si="31"/>
        <v>77562.299999999988</v>
      </c>
      <c r="I48" s="62">
        <f t="shared" si="32"/>
        <v>1939.0574999999999</v>
      </c>
      <c r="J48" s="62">
        <v>0</v>
      </c>
      <c r="K48" s="62">
        <f t="shared" si="33"/>
        <v>12927.05</v>
      </c>
      <c r="L48" s="62">
        <f t="shared" si="34"/>
        <v>90489.349999999991</v>
      </c>
      <c r="M48" s="62">
        <f t="shared" si="26"/>
        <v>25854.1</v>
      </c>
      <c r="N48" s="62">
        <v>100000</v>
      </c>
      <c r="O48" s="62">
        <f t="shared" si="27"/>
        <v>2585.41</v>
      </c>
      <c r="P48" s="62">
        <v>20000</v>
      </c>
      <c r="Q48" s="62">
        <v>0</v>
      </c>
      <c r="R48" s="36">
        <f t="shared" si="28"/>
        <v>357211.36749999999</v>
      </c>
      <c r="S48" s="36"/>
      <c r="T48" s="36"/>
      <c r="U48" s="36"/>
      <c r="V48" s="62">
        <v>7709.76</v>
      </c>
      <c r="W48" s="36">
        <f t="shared" si="29"/>
        <v>7709.76</v>
      </c>
      <c r="X48" s="36">
        <v>349501.60749999998</v>
      </c>
      <c r="Y48" s="36">
        <v>50000</v>
      </c>
    </row>
    <row r="49" spans="1:25" ht="20.100000000000001" customHeight="1">
      <c r="A49" s="3">
        <v>10</v>
      </c>
      <c r="B49" s="257" t="s">
        <v>484</v>
      </c>
      <c r="C49" s="258"/>
      <c r="D49" s="33" t="s">
        <v>140</v>
      </c>
      <c r="E49" s="3" t="s">
        <v>138</v>
      </c>
      <c r="F49" s="62">
        <f>25523.45</f>
        <v>25523.45</v>
      </c>
      <c r="G49" s="62"/>
      <c r="H49" s="62">
        <f t="shared" si="31"/>
        <v>76570.350000000006</v>
      </c>
      <c r="I49" s="62">
        <f t="shared" si="32"/>
        <v>1914.25875</v>
      </c>
      <c r="J49" s="62">
        <f>J22</f>
        <v>0</v>
      </c>
      <c r="K49" s="62">
        <f t="shared" si="33"/>
        <v>12761.725</v>
      </c>
      <c r="L49" s="62">
        <f t="shared" si="34"/>
        <v>89332.074999999997</v>
      </c>
      <c r="M49" s="62">
        <f t="shared" si="26"/>
        <v>25523.45</v>
      </c>
      <c r="N49" s="62">
        <v>100000</v>
      </c>
      <c r="O49" s="62">
        <f t="shared" si="27"/>
        <v>2552.3450000000003</v>
      </c>
      <c r="P49" s="62">
        <v>15000</v>
      </c>
      <c r="Q49" s="62">
        <v>0</v>
      </c>
      <c r="R49" s="36">
        <f t="shared" si="28"/>
        <v>349177.65375</v>
      </c>
      <c r="S49" s="36">
        <f>30000</f>
        <v>30000</v>
      </c>
      <c r="T49" s="36">
        <f>182107.04</f>
        <v>182107.04</v>
      </c>
      <c r="U49" s="36">
        <f>'[5]Jan 2021'!$H$42</f>
        <v>638.08625000000006</v>
      </c>
      <c r="V49" s="62">
        <v>7709.76</v>
      </c>
      <c r="W49" s="36">
        <f t="shared" si="29"/>
        <v>220454.88625000001</v>
      </c>
      <c r="X49" s="36">
        <v>128722.76749999999</v>
      </c>
      <c r="Y49" s="36">
        <v>50000</v>
      </c>
    </row>
    <row r="50" spans="1:25" ht="20.100000000000001" customHeight="1">
      <c r="A50" s="3">
        <v>11</v>
      </c>
      <c r="B50" s="269" t="s">
        <v>139</v>
      </c>
      <c r="C50" s="270"/>
      <c r="D50" s="33" t="s">
        <v>140</v>
      </c>
      <c r="E50" s="29" t="s">
        <v>79</v>
      </c>
      <c r="F50" s="26">
        <f>23891.12</f>
        <v>23891.119999999999</v>
      </c>
      <c r="G50" s="62"/>
      <c r="H50" s="26">
        <f t="shared" si="31"/>
        <v>71673.36</v>
      </c>
      <c r="I50" s="26">
        <f t="shared" si="32"/>
        <v>1791.8339999999998</v>
      </c>
      <c r="J50" s="26"/>
      <c r="K50" s="26">
        <f t="shared" si="33"/>
        <v>11945.56</v>
      </c>
      <c r="L50" s="26">
        <f t="shared" si="34"/>
        <v>83618.92</v>
      </c>
      <c r="M50" s="26">
        <f t="shared" si="26"/>
        <v>23891.119999999999</v>
      </c>
      <c r="N50" s="62">
        <v>100000</v>
      </c>
      <c r="O50" s="26">
        <f t="shared" si="27"/>
        <v>2389.1120000000001</v>
      </c>
      <c r="P50" s="26">
        <v>15000</v>
      </c>
      <c r="Q50" s="26"/>
      <c r="R50" s="36">
        <f t="shared" si="28"/>
        <v>334201.02600000001</v>
      </c>
      <c r="S50" s="24">
        <f>100000+10000</f>
        <v>110000</v>
      </c>
      <c r="T50" s="24"/>
      <c r="U50" s="24">
        <f>'[5]Jan 2021'!$H$48</f>
        <v>597.27800000000002</v>
      </c>
      <c r="V50" s="26">
        <f>7709.76</f>
        <v>7709.76</v>
      </c>
      <c r="W50" s="36">
        <f t="shared" si="29"/>
        <v>118307.038</v>
      </c>
      <c r="X50" s="36">
        <v>215893.98800000001</v>
      </c>
      <c r="Y50" s="36">
        <v>50000</v>
      </c>
    </row>
    <row r="51" spans="1:25" ht="20.100000000000001" customHeight="1">
      <c r="A51" s="3"/>
      <c r="B51" s="273" t="s">
        <v>34</v>
      </c>
      <c r="C51" s="274"/>
      <c r="D51" s="30">
        <v>11</v>
      </c>
      <c r="E51" s="30"/>
      <c r="F51" s="92">
        <f>SUM(F40:F50)</f>
        <v>357937.97</v>
      </c>
      <c r="G51" s="92"/>
      <c r="H51" s="92">
        <f t="shared" ref="H51:Y51" si="35">SUM(H40:H50)</f>
        <v>1073813.9099999999</v>
      </c>
      <c r="I51" s="92">
        <f t="shared" si="35"/>
        <v>26845.347749999997</v>
      </c>
      <c r="J51" s="92">
        <f t="shared" si="35"/>
        <v>160488.76</v>
      </c>
      <c r="K51" s="92">
        <f t="shared" si="35"/>
        <v>178968.98499999999</v>
      </c>
      <c r="L51" s="92">
        <f t="shared" si="35"/>
        <v>1252782.895</v>
      </c>
      <c r="M51" s="92">
        <f t="shared" si="35"/>
        <v>357937.97</v>
      </c>
      <c r="N51" s="92">
        <f t="shared" si="35"/>
        <v>1100000</v>
      </c>
      <c r="O51" s="92">
        <f t="shared" si="35"/>
        <v>35793.796999999999</v>
      </c>
      <c r="P51" s="92">
        <f t="shared" si="35"/>
        <v>200000</v>
      </c>
      <c r="Q51" s="92">
        <f t="shared" si="35"/>
        <v>0</v>
      </c>
      <c r="R51" s="92">
        <f t="shared" si="35"/>
        <v>4744569.6347500002</v>
      </c>
      <c r="S51" s="92">
        <f t="shared" si="35"/>
        <v>378000</v>
      </c>
      <c r="T51" s="92">
        <f t="shared" si="35"/>
        <v>982004.38</v>
      </c>
      <c r="U51" s="92">
        <f t="shared" si="35"/>
        <v>1947.6095000000003</v>
      </c>
      <c r="V51" s="92">
        <f t="shared" si="35"/>
        <v>145551.36999999997</v>
      </c>
      <c r="W51" s="92">
        <f t="shared" si="35"/>
        <v>1507503.3595</v>
      </c>
      <c r="X51" s="92">
        <v>3237066.2752499999</v>
      </c>
      <c r="Y51" s="92">
        <f t="shared" si="35"/>
        <v>690000</v>
      </c>
    </row>
    <row r="52" spans="1:25" ht="20.100000000000001" customHeight="1">
      <c r="A52" s="3"/>
      <c r="B52" s="105"/>
      <c r="C52" s="10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73" t="s">
        <v>144</v>
      </c>
      <c r="C53" s="274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57" t="s">
        <v>145</v>
      </c>
      <c r="C54" s="258"/>
      <c r="D54" s="61" t="s">
        <v>146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v>150000</v>
      </c>
    </row>
    <row r="55" spans="1:25" ht="20.100000000000001" customHeight="1">
      <c r="A55" s="3">
        <v>2</v>
      </c>
      <c r="B55" s="97" t="s">
        <v>147</v>
      </c>
      <c r="C55" s="98"/>
      <c r="D55" s="61" t="s">
        <v>148</v>
      </c>
      <c r="E55" s="66" t="s">
        <v>63</v>
      </c>
      <c r="F55" s="36">
        <v>31018.84</v>
      </c>
      <c r="G55" s="62"/>
      <c r="H55" s="62">
        <f t="shared" ref="H55" si="36">F55*300%</f>
        <v>93056.52</v>
      </c>
      <c r="I55" s="62">
        <f t="shared" ref="I55" si="37">F55*7.5%</f>
        <v>2326.413</v>
      </c>
      <c r="J55" s="62">
        <v>40122.19</v>
      </c>
      <c r="K55" s="62">
        <f t="shared" ref="K55" si="38">F55*50%</f>
        <v>15509.42</v>
      </c>
      <c r="L55" s="62">
        <f t="shared" ref="L55" si="39">F55*350%</f>
        <v>108565.94</v>
      </c>
      <c r="M55" s="62">
        <f t="shared" ref="M55" si="40">F55*100%</f>
        <v>31018.84</v>
      </c>
      <c r="N55" s="36"/>
      <c r="O55" s="62">
        <f t="shared" ref="O55" si="41">F55*10%</f>
        <v>3101.884</v>
      </c>
      <c r="P55" s="62">
        <v>20000</v>
      </c>
      <c r="Q55" s="63">
        <v>0</v>
      </c>
      <c r="R55" s="36">
        <f t="shared" ref="R55" si="42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 t="shared" ref="Y55" si="43">70000</f>
        <v>70000</v>
      </c>
    </row>
    <row r="56" spans="1:25" ht="20.100000000000001" customHeight="1">
      <c r="A56" s="3"/>
      <c r="B56" s="273" t="s">
        <v>34</v>
      </c>
      <c r="C56" s="274"/>
      <c r="D56" s="30">
        <v>2</v>
      </c>
      <c r="E56" s="30"/>
      <c r="F56" s="92">
        <f>SUM(F54:F55)</f>
        <v>112758.86</v>
      </c>
      <c r="G56" s="92"/>
      <c r="H56" s="92">
        <f t="shared" ref="H56:R56" si="44">SUM(H54:H55)</f>
        <v>338276.58</v>
      </c>
      <c r="I56" s="92">
        <f t="shared" si="44"/>
        <v>8456.9145000000008</v>
      </c>
      <c r="J56" s="92">
        <f t="shared" si="44"/>
        <v>120366.57</v>
      </c>
      <c r="K56" s="92">
        <f t="shared" si="44"/>
        <v>56379.43</v>
      </c>
      <c r="L56" s="92">
        <f t="shared" si="44"/>
        <v>394656.01</v>
      </c>
      <c r="M56" s="92">
        <f t="shared" si="44"/>
        <v>112758.86</v>
      </c>
      <c r="N56" s="92">
        <f t="shared" si="44"/>
        <v>100000</v>
      </c>
      <c r="O56" s="92">
        <f t="shared" si="44"/>
        <v>11275.886</v>
      </c>
      <c r="P56" s="92">
        <f t="shared" si="44"/>
        <v>40000</v>
      </c>
      <c r="Q56" s="92">
        <f t="shared" si="44"/>
        <v>0</v>
      </c>
      <c r="R56" s="92">
        <f t="shared" si="44"/>
        <v>1294929.1105</v>
      </c>
      <c r="S56" s="92">
        <f>SUM(S54:S55)</f>
        <v>100000</v>
      </c>
      <c r="T56" s="92"/>
      <c r="U56" s="92">
        <f>SUM(U54:U55)</f>
        <v>0</v>
      </c>
      <c r="V56" s="92">
        <f>SUM(V54:V55)</f>
        <v>68324.959999999992</v>
      </c>
      <c r="W56" s="92">
        <f>SUM(W54:W55)</f>
        <v>168324.96</v>
      </c>
      <c r="X56" s="92">
        <v>1126604.1505</v>
      </c>
      <c r="Y56" s="92">
        <f>SUM(Y54:Y55)</f>
        <v>220000</v>
      </c>
    </row>
    <row r="57" spans="1:25" ht="20.100000000000001" customHeight="1">
      <c r="A57" s="3"/>
      <c r="B57" s="273"/>
      <c r="C57" s="27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"/>
      <c r="B58" s="273" t="s">
        <v>467</v>
      </c>
      <c r="C58" s="274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>
        <v>1</v>
      </c>
      <c r="B59" s="269" t="s">
        <v>151</v>
      </c>
      <c r="C59" s="270"/>
      <c r="D59" s="47" t="s">
        <v>152</v>
      </c>
      <c r="E59" s="29" t="s">
        <v>118</v>
      </c>
      <c r="F59" s="26">
        <f>79039.64</f>
        <v>79039.64</v>
      </c>
      <c r="G59" s="26"/>
      <c r="H59" s="26">
        <f t="shared" ref="H59:H70" si="45">F59*300%</f>
        <v>237118.91999999998</v>
      </c>
      <c r="I59" s="26">
        <f t="shared" ref="I59:I70" si="46">F59*7.5%</f>
        <v>5927.973</v>
      </c>
      <c r="J59" s="26">
        <f>80244.38</f>
        <v>80244.38</v>
      </c>
      <c r="K59" s="26">
        <f t="shared" ref="K59:K70" si="47">F59*50%</f>
        <v>39519.82</v>
      </c>
      <c r="L59" s="26">
        <f t="shared" ref="L59:L70" si="48">F59*350%</f>
        <v>276638.74</v>
      </c>
      <c r="M59" s="26">
        <f t="shared" ref="M59:M70" si="49">F59*100%</f>
        <v>79039.64</v>
      </c>
      <c r="N59" s="62">
        <f t="shared" ref="N59:N67" si="50">100000</f>
        <v>100000</v>
      </c>
      <c r="O59" s="26">
        <f t="shared" ref="O59:O70" si="51">F59*10%</f>
        <v>7903.9639999999999</v>
      </c>
      <c r="P59" s="26">
        <v>20000</v>
      </c>
      <c r="Q59" s="26">
        <v>0</v>
      </c>
      <c r="R59" s="26">
        <f t="shared" ref="R59:R70" si="52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36">
        <v>150000</v>
      </c>
    </row>
    <row r="60" spans="1:25" ht="20.100000000000001" customHeight="1">
      <c r="A60" s="3">
        <v>2</v>
      </c>
      <c r="B60" s="135" t="s">
        <v>153</v>
      </c>
      <c r="C60" s="136"/>
      <c r="D60" s="47" t="s">
        <v>56</v>
      </c>
      <c r="E60" s="66" t="s">
        <v>63</v>
      </c>
      <c r="F60" s="36">
        <v>31018.84</v>
      </c>
      <c r="G60" s="62"/>
      <c r="H60" s="62">
        <f t="shared" si="45"/>
        <v>93056.52</v>
      </c>
      <c r="I60" s="62">
        <f t="shared" si="46"/>
        <v>2326.413</v>
      </c>
      <c r="J60" s="62">
        <v>40122.19</v>
      </c>
      <c r="K60" s="62">
        <f t="shared" si="47"/>
        <v>15509.42</v>
      </c>
      <c r="L60" s="62">
        <f t="shared" si="48"/>
        <v>108565.94</v>
      </c>
      <c r="M60" s="62">
        <f t="shared" si="49"/>
        <v>31018.84</v>
      </c>
      <c r="N60" s="62"/>
      <c r="O60" s="62">
        <f t="shared" si="51"/>
        <v>3101.884</v>
      </c>
      <c r="P60" s="62">
        <v>20000</v>
      </c>
      <c r="Q60" s="63">
        <v>0</v>
      </c>
      <c r="R60" s="36">
        <f t="shared" si="52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97921.717000000033</v>
      </c>
      <c r="Y60" s="36">
        <f t="shared" ref="Y60" si="53">70000</f>
        <v>70000</v>
      </c>
    </row>
    <row r="61" spans="1:25" ht="20.100000000000001" customHeight="1">
      <c r="A61" s="3">
        <v>3</v>
      </c>
      <c r="B61" s="269" t="s">
        <v>154</v>
      </c>
      <c r="C61" s="270"/>
      <c r="D61" s="20" t="s">
        <v>140</v>
      </c>
      <c r="E61" s="29" t="s">
        <v>138</v>
      </c>
      <c r="F61" s="26">
        <f>25523.45</f>
        <v>25523.45</v>
      </c>
      <c r="G61" s="26"/>
      <c r="H61" s="26">
        <f t="shared" si="45"/>
        <v>76570.350000000006</v>
      </c>
      <c r="I61" s="26">
        <f t="shared" si="46"/>
        <v>1914.25875</v>
      </c>
      <c r="J61" s="26"/>
      <c r="K61" s="26">
        <f t="shared" si="47"/>
        <v>12761.725</v>
      </c>
      <c r="L61" s="26">
        <f t="shared" si="48"/>
        <v>89332.074999999997</v>
      </c>
      <c r="M61" s="26">
        <f t="shared" si="49"/>
        <v>25523.45</v>
      </c>
      <c r="N61" s="62">
        <f t="shared" si="50"/>
        <v>100000</v>
      </c>
      <c r="O61" s="26">
        <f t="shared" si="51"/>
        <v>2552.3450000000003</v>
      </c>
      <c r="P61" s="26">
        <v>15000</v>
      </c>
      <c r="Q61" s="26"/>
      <c r="R61" s="36">
        <f t="shared" si="52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v>50000</v>
      </c>
    </row>
    <row r="62" spans="1:25" ht="20.100000000000001" customHeight="1">
      <c r="A62" s="3">
        <v>4</v>
      </c>
      <c r="B62" s="269" t="s">
        <v>155</v>
      </c>
      <c r="C62" s="270"/>
      <c r="D62" s="33" t="s">
        <v>137</v>
      </c>
      <c r="E62" s="29" t="s">
        <v>79</v>
      </c>
      <c r="F62" s="26">
        <f>23891.12</f>
        <v>23891.119999999999</v>
      </c>
      <c r="G62" s="26"/>
      <c r="H62" s="26">
        <f t="shared" si="45"/>
        <v>71673.36</v>
      </c>
      <c r="I62" s="26">
        <f t="shared" si="46"/>
        <v>1791.8339999999998</v>
      </c>
      <c r="J62" s="26"/>
      <c r="K62" s="26">
        <f t="shared" si="47"/>
        <v>11945.56</v>
      </c>
      <c r="L62" s="26">
        <f t="shared" si="48"/>
        <v>83618.92</v>
      </c>
      <c r="M62" s="26">
        <f t="shared" si="49"/>
        <v>23891.119999999999</v>
      </c>
      <c r="N62" s="62">
        <f t="shared" si="50"/>
        <v>100000</v>
      </c>
      <c r="O62" s="26">
        <f t="shared" si="51"/>
        <v>2389.1120000000001</v>
      </c>
      <c r="P62" s="26">
        <v>15000</v>
      </c>
      <c r="Q62" s="26"/>
      <c r="R62" s="26">
        <f t="shared" si="52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6" si="54">S62+T62+U62+V62</f>
        <v>117709.75999999999</v>
      </c>
      <c r="X62" s="26">
        <v>216491.266</v>
      </c>
      <c r="Y62" s="36">
        <v>50000</v>
      </c>
    </row>
    <row r="63" spans="1:25" ht="20.100000000000001" customHeight="1">
      <c r="A63" s="3">
        <v>5</v>
      </c>
      <c r="B63" s="135" t="s">
        <v>156</v>
      </c>
      <c r="C63" s="136"/>
      <c r="D63" s="47" t="s">
        <v>137</v>
      </c>
      <c r="E63" s="66" t="s">
        <v>485</v>
      </c>
      <c r="F63" s="62">
        <f>23074.99</f>
        <v>23074.99</v>
      </c>
      <c r="G63" s="62"/>
      <c r="H63" s="62">
        <f t="shared" si="45"/>
        <v>69224.97</v>
      </c>
      <c r="I63" s="62">
        <f t="shared" si="46"/>
        <v>1730.6242500000001</v>
      </c>
      <c r="J63" s="62">
        <v>0</v>
      </c>
      <c r="K63" s="62">
        <f t="shared" si="47"/>
        <v>11537.495000000001</v>
      </c>
      <c r="L63" s="36">
        <f t="shared" si="48"/>
        <v>80762.465000000011</v>
      </c>
      <c r="M63" s="62">
        <f t="shared" si="49"/>
        <v>23074.99</v>
      </c>
      <c r="N63" s="62">
        <f t="shared" si="50"/>
        <v>100000</v>
      </c>
      <c r="O63" s="62">
        <f t="shared" si="51"/>
        <v>2307.4990000000003</v>
      </c>
      <c r="P63" s="62">
        <v>15000</v>
      </c>
      <c r="Q63" s="62">
        <v>0</v>
      </c>
      <c r="R63" s="36">
        <f t="shared" si="52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5">SUM(S63:V63)</f>
        <v>147154.20000000001</v>
      </c>
      <c r="X63" s="36">
        <v>179558.83325000003</v>
      </c>
      <c r="Y63" s="36">
        <v>50000</v>
      </c>
    </row>
    <row r="64" spans="1:25" ht="20.100000000000001" customHeight="1">
      <c r="A64" s="3">
        <v>6</v>
      </c>
      <c r="B64" s="271" t="s">
        <v>157</v>
      </c>
      <c r="C64" s="272"/>
      <c r="D64" s="47" t="s">
        <v>137</v>
      </c>
      <c r="E64" s="66" t="s">
        <v>138</v>
      </c>
      <c r="F64" s="62">
        <f>25523.45</f>
        <v>25523.45</v>
      </c>
      <c r="G64" s="62"/>
      <c r="H64" s="62">
        <f>F64*300%</f>
        <v>76570.350000000006</v>
      </c>
      <c r="I64" s="62">
        <f>F64*7.5%</f>
        <v>1914.25875</v>
      </c>
      <c r="J64" s="62"/>
      <c r="K64" s="62">
        <f>F64*50%</f>
        <v>12761.725</v>
      </c>
      <c r="L64" s="36">
        <f>F64*350%</f>
        <v>89332.074999999997</v>
      </c>
      <c r="M64" s="62">
        <f>F64*100%</f>
        <v>25523.45</v>
      </c>
      <c r="N64" s="62">
        <f>100000</f>
        <v>100000</v>
      </c>
      <c r="O64" s="62">
        <f>F64*10%</f>
        <v>2552.3450000000003</v>
      </c>
      <c r="P64" s="62">
        <v>15000</v>
      </c>
      <c r="Q64" s="62"/>
      <c r="R64" s="36">
        <f>SUM(F64:Q64)</f>
        <v>349177.65375</v>
      </c>
      <c r="S64" s="36">
        <f>10000</f>
        <v>10000</v>
      </c>
      <c r="T64" s="36">
        <f>54585.66</f>
        <v>54585.66</v>
      </c>
      <c r="U64" s="36"/>
      <c r="V64" s="36">
        <f>7709.76</f>
        <v>7709.76</v>
      </c>
      <c r="W64" s="36">
        <f>SUM(S64:V64)</f>
        <v>72295.42</v>
      </c>
      <c r="X64" s="36">
        <v>176882.23375000001</v>
      </c>
      <c r="Y64" s="36">
        <v>50000</v>
      </c>
    </row>
    <row r="65" spans="1:25" ht="20.100000000000001" customHeight="1">
      <c r="A65" s="3">
        <v>7</v>
      </c>
      <c r="B65" s="269" t="s">
        <v>158</v>
      </c>
      <c r="C65" s="270"/>
      <c r="D65" s="20" t="s">
        <v>142</v>
      </c>
      <c r="E65" s="29" t="s">
        <v>159</v>
      </c>
      <c r="F65" s="26">
        <f>19774.62</f>
        <v>19774.62</v>
      </c>
      <c r="G65" s="26"/>
      <c r="H65" s="26">
        <f t="shared" si="45"/>
        <v>59323.86</v>
      </c>
      <c r="I65" s="26">
        <f t="shared" si="46"/>
        <v>1483.0964999999999</v>
      </c>
      <c r="J65" s="26">
        <v>0</v>
      </c>
      <c r="K65" s="26">
        <f t="shared" si="47"/>
        <v>9887.31</v>
      </c>
      <c r="L65" s="26">
        <f t="shared" si="48"/>
        <v>69211.17</v>
      </c>
      <c r="M65" s="26">
        <f t="shared" si="49"/>
        <v>19774.62</v>
      </c>
      <c r="N65" s="62">
        <f t="shared" si="50"/>
        <v>100000</v>
      </c>
      <c r="O65" s="26">
        <f t="shared" si="51"/>
        <v>1977.462</v>
      </c>
      <c r="P65" s="26">
        <v>10000</v>
      </c>
      <c r="Q65" s="26">
        <v>0</v>
      </c>
      <c r="R65" s="36">
        <f t="shared" si="52"/>
        <v>291432.1385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146290.96849999999</v>
      </c>
      <c r="Y65" s="36">
        <v>30000</v>
      </c>
    </row>
    <row r="66" spans="1:25" ht="20.100000000000001" customHeight="1">
      <c r="A66" s="3">
        <v>8</v>
      </c>
      <c r="B66" s="264" t="s">
        <v>160</v>
      </c>
      <c r="C66" s="264"/>
      <c r="D66" s="61" t="s">
        <v>447</v>
      </c>
      <c r="E66" s="66" t="s">
        <v>208</v>
      </c>
      <c r="F66" s="62">
        <f>19276.95</f>
        <v>19276.95</v>
      </c>
      <c r="G66" s="62"/>
      <c r="H66" s="62">
        <f t="shared" si="45"/>
        <v>57830.850000000006</v>
      </c>
      <c r="I66" s="62">
        <f t="shared" si="46"/>
        <v>1445.77125</v>
      </c>
      <c r="J66" s="62">
        <v>0</v>
      </c>
      <c r="K66" s="62">
        <f t="shared" si="47"/>
        <v>9638.4750000000004</v>
      </c>
      <c r="L66" s="36">
        <f t="shared" si="48"/>
        <v>67469.324999999997</v>
      </c>
      <c r="M66" s="62">
        <f t="shared" si="49"/>
        <v>19276.95</v>
      </c>
      <c r="N66" s="62">
        <f t="shared" si="50"/>
        <v>100000</v>
      </c>
      <c r="O66" s="62">
        <f t="shared" si="51"/>
        <v>1927.6950000000002</v>
      </c>
      <c r="P66" s="62">
        <v>10000</v>
      </c>
      <c r="Q66" s="62">
        <v>0</v>
      </c>
      <c r="R66" s="36">
        <f t="shared" si="52"/>
        <v>286866.01625000004</v>
      </c>
      <c r="S66" s="36">
        <f>20000</f>
        <v>20000</v>
      </c>
      <c r="T66" s="36">
        <f>100000</f>
        <v>100000</v>
      </c>
      <c r="U66" s="36">
        <f>'[5]Jan 2021'!$H$43</f>
        <v>481.92375000000004</v>
      </c>
      <c r="V66" s="62">
        <f>3369.51</f>
        <v>3369.51</v>
      </c>
      <c r="W66" s="26">
        <f t="shared" si="54"/>
        <v>123851.43375</v>
      </c>
      <c r="X66" s="36">
        <v>163014.58250000005</v>
      </c>
      <c r="Y66" s="36">
        <v>30000</v>
      </c>
    </row>
    <row r="67" spans="1:25" ht="20.100000000000001" customHeight="1">
      <c r="A67" s="3">
        <v>9</v>
      </c>
      <c r="B67" s="257" t="s">
        <v>165</v>
      </c>
      <c r="C67" s="258"/>
      <c r="D67" s="33" t="s">
        <v>166</v>
      </c>
      <c r="E67" s="3" t="s">
        <v>103</v>
      </c>
      <c r="F67" s="62">
        <f>18281.64</f>
        <v>18281.64</v>
      </c>
      <c r="G67" s="62"/>
      <c r="H67" s="62">
        <f t="shared" si="45"/>
        <v>54844.92</v>
      </c>
      <c r="I67" s="62">
        <f t="shared" si="46"/>
        <v>1371.1229999999998</v>
      </c>
      <c r="J67" s="62"/>
      <c r="K67" s="62">
        <f t="shared" si="47"/>
        <v>9140.82</v>
      </c>
      <c r="L67" s="62">
        <f t="shared" si="48"/>
        <v>63985.74</v>
      </c>
      <c r="M67" s="62">
        <f t="shared" si="49"/>
        <v>18281.64</v>
      </c>
      <c r="N67" s="62">
        <f t="shared" si="50"/>
        <v>100000</v>
      </c>
      <c r="O67" s="62">
        <f t="shared" si="51"/>
        <v>1828.164</v>
      </c>
      <c r="P67" s="62">
        <v>10000</v>
      </c>
      <c r="Q67" s="62"/>
      <c r="R67" s="36">
        <f t="shared" si="52"/>
        <v>277734.04699999996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152864.53699999995</v>
      </c>
      <c r="Y67" s="36">
        <v>30000</v>
      </c>
    </row>
    <row r="68" spans="1:25" ht="20.100000000000001" customHeight="1">
      <c r="A68" s="3">
        <v>10</v>
      </c>
      <c r="B68" s="269" t="s">
        <v>167</v>
      </c>
      <c r="C68" s="270"/>
      <c r="D68" s="47" t="s">
        <v>142</v>
      </c>
      <c r="E68" s="3" t="s">
        <v>168</v>
      </c>
      <c r="F68" s="62">
        <f>17286.33</f>
        <v>17286.330000000002</v>
      </c>
      <c r="G68" s="62"/>
      <c r="H68" s="62">
        <f t="shared" si="45"/>
        <v>51858.990000000005</v>
      </c>
      <c r="I68" s="62">
        <f t="shared" si="46"/>
        <v>1296.4747500000001</v>
      </c>
      <c r="J68" s="62"/>
      <c r="K68" s="62">
        <f t="shared" si="47"/>
        <v>8643.1650000000009</v>
      </c>
      <c r="L68" s="62">
        <f t="shared" si="48"/>
        <v>60502.155000000006</v>
      </c>
      <c r="M68" s="62">
        <f t="shared" si="49"/>
        <v>17286.330000000002</v>
      </c>
      <c r="N68" s="62">
        <f>100000</f>
        <v>100000</v>
      </c>
      <c r="O68" s="62">
        <f t="shared" si="51"/>
        <v>1728.6330000000003</v>
      </c>
      <c r="P68" s="62">
        <v>10000</v>
      </c>
      <c r="Q68" s="62"/>
      <c r="R68" s="36">
        <f t="shared" si="52"/>
        <v>268602.07775000005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6">SUM(S68:V68)</f>
        <v>53369.51</v>
      </c>
      <c r="X68" s="36">
        <v>215232.56775000005</v>
      </c>
      <c r="Y68" s="36">
        <v>30000</v>
      </c>
    </row>
    <row r="69" spans="1:25" ht="20.100000000000001" customHeight="1">
      <c r="A69" s="3">
        <v>11</v>
      </c>
      <c r="B69" s="269" t="s">
        <v>169</v>
      </c>
      <c r="C69" s="270"/>
      <c r="D69" s="47" t="s">
        <v>170</v>
      </c>
      <c r="E69" s="3" t="s">
        <v>93</v>
      </c>
      <c r="F69" s="62">
        <f>12351.94</f>
        <v>12351.94</v>
      </c>
      <c r="G69" s="62"/>
      <c r="H69" s="62">
        <f t="shared" si="45"/>
        <v>37055.82</v>
      </c>
      <c r="I69" s="62">
        <f t="shared" si="46"/>
        <v>926.39549999999997</v>
      </c>
      <c r="J69" s="62"/>
      <c r="K69" s="62">
        <f t="shared" si="47"/>
        <v>6175.97</v>
      </c>
      <c r="L69" s="62">
        <f t="shared" si="48"/>
        <v>43231.79</v>
      </c>
      <c r="M69" s="62">
        <f t="shared" si="49"/>
        <v>12351.94</v>
      </c>
      <c r="N69" s="62">
        <f>100000</f>
        <v>100000</v>
      </c>
      <c r="O69" s="62">
        <f t="shared" si="51"/>
        <v>1235.1940000000002</v>
      </c>
      <c r="P69" s="62">
        <v>10000</v>
      </c>
      <c r="Q69" s="62"/>
      <c r="R69" s="36">
        <f t="shared" si="52"/>
        <v>223329.04949999999</v>
      </c>
      <c r="S69" s="36">
        <f>100000</f>
        <v>100000</v>
      </c>
      <c r="T69" s="36"/>
      <c r="U69" s="36"/>
      <c r="V69" s="62">
        <f>1235.19</f>
        <v>1235.19</v>
      </c>
      <c r="W69" s="36">
        <f t="shared" si="56"/>
        <v>101235.19</v>
      </c>
      <c r="X69" s="36">
        <v>122093.85949999999</v>
      </c>
      <c r="Y69" s="36">
        <v>30000</v>
      </c>
    </row>
    <row r="70" spans="1:25" ht="20.100000000000001" customHeight="1">
      <c r="A70" s="3">
        <v>12</v>
      </c>
      <c r="B70" s="271" t="s">
        <v>171</v>
      </c>
      <c r="C70" s="272"/>
      <c r="D70" s="47" t="s">
        <v>170</v>
      </c>
      <c r="E70" s="3" t="s">
        <v>93</v>
      </c>
      <c r="F70" s="62">
        <f>12351.94</f>
        <v>12351.94</v>
      </c>
      <c r="G70" s="62"/>
      <c r="H70" s="62">
        <f t="shared" si="45"/>
        <v>37055.82</v>
      </c>
      <c r="I70" s="62">
        <f t="shared" si="46"/>
        <v>926.39549999999997</v>
      </c>
      <c r="J70" s="62"/>
      <c r="K70" s="62">
        <f t="shared" si="47"/>
        <v>6175.97</v>
      </c>
      <c r="L70" s="62">
        <f t="shared" si="48"/>
        <v>43231.79</v>
      </c>
      <c r="M70" s="62">
        <f t="shared" si="49"/>
        <v>12351.94</v>
      </c>
      <c r="N70" s="62">
        <f>100000</f>
        <v>100000</v>
      </c>
      <c r="O70" s="62">
        <f t="shared" si="51"/>
        <v>1235.1940000000002</v>
      </c>
      <c r="P70" s="62">
        <v>10000</v>
      </c>
      <c r="Q70" s="62"/>
      <c r="R70" s="36">
        <f t="shared" si="52"/>
        <v>223329.04949999999</v>
      </c>
      <c r="S70" s="36"/>
      <c r="T70" s="36"/>
      <c r="U70" s="36"/>
      <c r="V70" s="62">
        <f>1235.19</f>
        <v>1235.19</v>
      </c>
      <c r="W70" s="36">
        <f t="shared" si="56"/>
        <v>1235.19</v>
      </c>
      <c r="X70" s="36">
        <v>222093.85949999999</v>
      </c>
      <c r="Y70" s="36">
        <v>30000</v>
      </c>
    </row>
    <row r="71" spans="1:25" ht="20.100000000000001" customHeight="1">
      <c r="A71" s="3"/>
      <c r="B71" s="273" t="s">
        <v>34</v>
      </c>
      <c r="C71" s="274"/>
      <c r="D71" s="30">
        <v>12</v>
      </c>
      <c r="E71" s="30"/>
      <c r="F71" s="92">
        <f>SUM(F59:F70)</f>
        <v>307394.91000000003</v>
      </c>
      <c r="G71" s="92"/>
      <c r="H71" s="92">
        <f t="shared" ref="H71:Y71" si="57">SUM(H59:H70)</f>
        <v>922184.72999999986</v>
      </c>
      <c r="I71" s="92">
        <f t="shared" si="57"/>
        <v>23054.61825</v>
      </c>
      <c r="J71" s="92">
        <f t="shared" si="57"/>
        <v>120366.57</v>
      </c>
      <c r="K71" s="92">
        <f t="shared" si="57"/>
        <v>153697.45500000002</v>
      </c>
      <c r="L71" s="92">
        <f t="shared" si="57"/>
        <v>1075882.1850000001</v>
      </c>
      <c r="M71" s="92">
        <f t="shared" si="57"/>
        <v>307394.91000000003</v>
      </c>
      <c r="N71" s="92">
        <f t="shared" si="57"/>
        <v>1100000</v>
      </c>
      <c r="O71" s="92">
        <f t="shared" si="57"/>
        <v>30739.491000000002</v>
      </c>
      <c r="P71" s="92">
        <f t="shared" si="57"/>
        <v>160000</v>
      </c>
      <c r="Q71" s="92">
        <f t="shared" si="57"/>
        <v>0</v>
      </c>
      <c r="R71" s="92">
        <f t="shared" si="57"/>
        <v>4200714.8692500005</v>
      </c>
      <c r="S71" s="92">
        <f t="shared" si="57"/>
        <v>660000</v>
      </c>
      <c r="T71" s="92">
        <f t="shared" si="57"/>
        <v>614385.09000000008</v>
      </c>
      <c r="U71" s="92">
        <f t="shared" si="57"/>
        <v>481.92375000000004</v>
      </c>
      <c r="V71" s="92">
        <f t="shared" si="57"/>
        <v>115112.41999999995</v>
      </c>
      <c r="W71" s="92">
        <f t="shared" si="57"/>
        <v>1389979.4337500001</v>
      </c>
      <c r="X71" s="92">
        <f t="shared" si="57"/>
        <v>2710735.4354999997</v>
      </c>
      <c r="Y71" s="92">
        <f t="shared" si="57"/>
        <v>600000</v>
      </c>
    </row>
    <row r="72" spans="1:25" ht="20.100000000000001" customHeight="1">
      <c r="A72" s="3"/>
      <c r="B72" s="99"/>
      <c r="C72" s="10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73" t="s">
        <v>486</v>
      </c>
      <c r="C73" s="274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57" t="s">
        <v>173</v>
      </c>
      <c r="C74" s="258"/>
      <c r="D74" s="33" t="s">
        <v>174</v>
      </c>
      <c r="E74" s="3" t="s">
        <v>43</v>
      </c>
      <c r="F74" s="62">
        <f>81740.02</f>
        <v>81740.02</v>
      </c>
      <c r="G74" s="62"/>
      <c r="H74" s="62">
        <f t="shared" ref="H74:H81" si="58">F74*300%</f>
        <v>245220.06</v>
      </c>
      <c r="I74" s="62">
        <f t="shared" ref="I74:I81" si="59">F74*7.5%</f>
        <v>6130.5015000000003</v>
      </c>
      <c r="J74" s="62">
        <v>80244.38</v>
      </c>
      <c r="K74" s="62">
        <f>F74*50%</f>
        <v>40870.01</v>
      </c>
      <c r="L74" s="62">
        <f t="shared" ref="L74:L81" si="60">F74*350%</f>
        <v>286090.07</v>
      </c>
      <c r="M74" s="62">
        <f>F74*100%</f>
        <v>81740.02</v>
      </c>
      <c r="N74" s="62">
        <f t="shared" ref="N74:N78" si="61">100000</f>
        <v>100000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950209.06350000005</v>
      </c>
      <c r="S74" s="36">
        <v>150000</v>
      </c>
      <c r="T74" s="36">
        <f>0</f>
        <v>0</v>
      </c>
      <c r="U74" s="36">
        <v>0</v>
      </c>
      <c r="V74" s="62">
        <v>52776.63</v>
      </c>
      <c r="W74" s="36">
        <f>SUM(S74:V74)</f>
        <v>202776.63</v>
      </c>
      <c r="X74" s="36">
        <v>747432.43350000004</v>
      </c>
      <c r="Y74" s="36">
        <v>150000</v>
      </c>
    </row>
    <row r="75" spans="1:25" ht="20.100000000000001" customHeight="1">
      <c r="A75" s="3">
        <v>2</v>
      </c>
      <c r="B75" s="33" t="s">
        <v>175</v>
      </c>
      <c r="C75" s="33"/>
      <c r="D75" s="33" t="s">
        <v>487</v>
      </c>
      <c r="E75" s="66" t="s">
        <v>63</v>
      </c>
      <c r="F75" s="36">
        <v>31018.84</v>
      </c>
      <c r="G75" s="62"/>
      <c r="H75" s="62">
        <f t="shared" si="58"/>
        <v>93056.52</v>
      </c>
      <c r="I75" s="62">
        <f t="shared" si="59"/>
        <v>2326.413</v>
      </c>
      <c r="J75" s="62">
        <v>40122.19</v>
      </c>
      <c r="K75" s="62">
        <f t="shared" ref="K75:K77" si="62">F75*50%</f>
        <v>15509.42</v>
      </c>
      <c r="L75" s="62">
        <f t="shared" si="60"/>
        <v>108565.94</v>
      </c>
      <c r="M75" s="62">
        <f t="shared" ref="M75:M77" si="63">F75*100%</f>
        <v>31018.84</v>
      </c>
      <c r="N75" s="62"/>
      <c r="O75" s="62">
        <f t="shared" ref="O75:O77" si="64">F75*10%</f>
        <v>3101.884</v>
      </c>
      <c r="P75" s="62">
        <v>20000</v>
      </c>
      <c r="Q75" s="63">
        <v>0</v>
      </c>
      <c r="R75" s="36">
        <f t="shared" ref="R75:R77" si="65">SUM(F75:Q75)</f>
        <v>344720.04700000002</v>
      </c>
      <c r="S75" s="36"/>
      <c r="T75" s="36"/>
      <c r="U75" s="36">
        <v>0</v>
      </c>
      <c r="V75" s="62">
        <f t="shared" ref="V75:V77" si="66">15548.33</f>
        <v>15548.33</v>
      </c>
      <c r="W75" s="36">
        <f t="shared" ref="W75:W77" si="67">S75+T75+U75+V75</f>
        <v>15548.33</v>
      </c>
      <c r="X75" s="36">
        <v>329171.717</v>
      </c>
      <c r="Y75" s="36">
        <f t="shared" ref="Y75:Y77" si="68">70000</f>
        <v>70000</v>
      </c>
    </row>
    <row r="76" spans="1:25" ht="20.100000000000001" customHeight="1">
      <c r="A76" s="3">
        <v>3</v>
      </c>
      <c r="B76" s="33" t="s">
        <v>177</v>
      </c>
      <c r="C76" s="33"/>
      <c r="D76" s="33" t="s">
        <v>178</v>
      </c>
      <c r="E76" s="66" t="s">
        <v>63</v>
      </c>
      <c r="F76" s="36">
        <v>31018.84</v>
      </c>
      <c r="G76" s="62"/>
      <c r="H76" s="62">
        <f t="shared" si="58"/>
        <v>93056.52</v>
      </c>
      <c r="I76" s="62">
        <f t="shared" si="59"/>
        <v>2326.413</v>
      </c>
      <c r="J76" s="62">
        <v>40122.19</v>
      </c>
      <c r="K76" s="62">
        <f t="shared" si="62"/>
        <v>15509.42</v>
      </c>
      <c r="L76" s="62">
        <f t="shared" si="60"/>
        <v>108565.94</v>
      </c>
      <c r="M76" s="62">
        <f t="shared" si="63"/>
        <v>31018.84</v>
      </c>
      <c r="N76" s="62">
        <f>100000</f>
        <v>100000</v>
      </c>
      <c r="O76" s="62">
        <f t="shared" si="64"/>
        <v>3101.884</v>
      </c>
      <c r="P76" s="62">
        <v>20000</v>
      </c>
      <c r="Q76" s="63">
        <v>0</v>
      </c>
      <c r="R76" s="36">
        <f t="shared" si="65"/>
        <v>444720.04700000002</v>
      </c>
      <c r="S76" s="36"/>
      <c r="T76" s="36"/>
      <c r="U76" s="36">
        <v>0</v>
      </c>
      <c r="V76" s="62">
        <f t="shared" si="66"/>
        <v>15548.33</v>
      </c>
      <c r="W76" s="36">
        <f t="shared" si="67"/>
        <v>15548.33</v>
      </c>
      <c r="X76" s="36">
        <v>429171.717</v>
      </c>
      <c r="Y76" s="36">
        <f t="shared" si="68"/>
        <v>70000</v>
      </c>
    </row>
    <row r="77" spans="1:25" ht="20.100000000000001" customHeight="1">
      <c r="A77" s="3">
        <v>4</v>
      </c>
      <c r="B77" s="33" t="s">
        <v>488</v>
      </c>
      <c r="C77" s="33"/>
      <c r="D77" s="33" t="s">
        <v>489</v>
      </c>
      <c r="E77" s="66" t="s">
        <v>63</v>
      </c>
      <c r="F77" s="36">
        <v>31018.84</v>
      </c>
      <c r="G77" s="62"/>
      <c r="H77" s="62">
        <f t="shared" si="58"/>
        <v>93056.52</v>
      </c>
      <c r="I77" s="62">
        <f t="shared" si="59"/>
        <v>2326.413</v>
      </c>
      <c r="J77" s="62">
        <v>40122.19</v>
      </c>
      <c r="K77" s="62">
        <f t="shared" si="62"/>
        <v>15509.42</v>
      </c>
      <c r="L77" s="62">
        <f t="shared" si="60"/>
        <v>108565.94</v>
      </c>
      <c r="M77" s="62">
        <f t="shared" si="63"/>
        <v>31018.84</v>
      </c>
      <c r="N77" s="62"/>
      <c r="O77" s="62">
        <f t="shared" si="64"/>
        <v>3101.884</v>
      </c>
      <c r="P77" s="62">
        <v>20000</v>
      </c>
      <c r="Q77" s="63">
        <v>0</v>
      </c>
      <c r="R77" s="36">
        <f t="shared" si="65"/>
        <v>344720.04700000002</v>
      </c>
      <c r="S77" s="36"/>
      <c r="T77" s="36"/>
      <c r="U77" s="36">
        <v>0</v>
      </c>
      <c r="V77" s="62">
        <f t="shared" si="66"/>
        <v>15548.33</v>
      </c>
      <c r="W77" s="36">
        <f t="shared" si="67"/>
        <v>15548.33</v>
      </c>
      <c r="X77" s="36">
        <v>329171.717</v>
      </c>
      <c r="Y77" s="36">
        <f t="shared" si="68"/>
        <v>70000</v>
      </c>
    </row>
    <row r="78" spans="1:25" ht="20.100000000000001" customHeight="1">
      <c r="A78" s="3">
        <v>5</v>
      </c>
      <c r="B78" s="264" t="s">
        <v>179</v>
      </c>
      <c r="C78" s="264"/>
      <c r="D78" s="33" t="s">
        <v>140</v>
      </c>
      <c r="E78" s="66" t="s">
        <v>79</v>
      </c>
      <c r="F78" s="62">
        <f>23891.12</f>
        <v>23891.119999999999</v>
      </c>
      <c r="G78" s="62"/>
      <c r="H78" s="62">
        <f t="shared" si="58"/>
        <v>71673.36</v>
      </c>
      <c r="I78" s="62">
        <f t="shared" si="59"/>
        <v>1791.8339999999998</v>
      </c>
      <c r="J78" s="36">
        <v>0</v>
      </c>
      <c r="K78" s="62">
        <f>F78*50%</f>
        <v>11945.56</v>
      </c>
      <c r="L78" s="36">
        <f t="shared" si="60"/>
        <v>83618.92</v>
      </c>
      <c r="M78" s="62">
        <f>F78*100%</f>
        <v>23891.119999999999</v>
      </c>
      <c r="N78" s="62">
        <f t="shared" si="61"/>
        <v>100000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334201.02600000001</v>
      </c>
      <c r="S78" s="36">
        <f>0</f>
        <v>0</v>
      </c>
      <c r="T78" s="36">
        <f>0</f>
        <v>0</v>
      </c>
      <c r="U78" s="36">
        <f>'[5]Jan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325893.98800000001</v>
      </c>
      <c r="Y78" s="36">
        <v>50000</v>
      </c>
    </row>
    <row r="79" spans="1:25" ht="20.100000000000001" customHeight="1">
      <c r="A79" s="3">
        <v>6</v>
      </c>
      <c r="B79" s="264" t="s">
        <v>180</v>
      </c>
      <c r="C79" s="264"/>
      <c r="D79" s="33" t="s">
        <v>166</v>
      </c>
      <c r="E79" s="3" t="s">
        <v>168</v>
      </c>
      <c r="F79" s="62">
        <f t="shared" ref="F79" si="69">17286.33</f>
        <v>17286.330000000002</v>
      </c>
      <c r="G79" s="62"/>
      <c r="H79" s="62">
        <f t="shared" si="58"/>
        <v>51858.990000000005</v>
      </c>
      <c r="I79" s="62">
        <f t="shared" si="59"/>
        <v>1296.4747500000001</v>
      </c>
      <c r="J79" s="62"/>
      <c r="K79" s="62">
        <f t="shared" ref="K79:K81" si="70">F79*50%</f>
        <v>8643.1650000000009</v>
      </c>
      <c r="L79" s="62">
        <f t="shared" si="60"/>
        <v>60502.155000000006</v>
      </c>
      <c r="M79" s="62">
        <f t="shared" ref="M79:M81" si="71">F79*100%</f>
        <v>17286.330000000002</v>
      </c>
      <c r="N79" s="62">
        <f>100000</f>
        <v>100000</v>
      </c>
      <c r="O79" s="62">
        <f t="shared" ref="O79:O81" si="72">F79*10%</f>
        <v>1728.6330000000003</v>
      </c>
      <c r="P79" s="62">
        <v>10000</v>
      </c>
      <c r="Q79" s="62"/>
      <c r="R79" s="36">
        <f t="shared" ref="R79:R81" si="73">SUM(F79:Q79)</f>
        <v>268602.07775000005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4">SUM(S79:V79)</f>
        <v>53369.51</v>
      </c>
      <c r="X79" s="36">
        <v>215232.56775000005</v>
      </c>
      <c r="Y79" s="36">
        <v>30000</v>
      </c>
    </row>
    <row r="80" spans="1:25" ht="20.100000000000001" customHeight="1">
      <c r="A80" s="3">
        <v>7</v>
      </c>
      <c r="B80" s="61" t="s">
        <v>181</v>
      </c>
      <c r="C80" s="61"/>
      <c r="D80" s="33" t="s">
        <v>490</v>
      </c>
      <c r="E80" s="3" t="s">
        <v>455</v>
      </c>
      <c r="F80" s="62">
        <f>12732</f>
        <v>12732</v>
      </c>
      <c r="G80" s="62"/>
      <c r="H80" s="62">
        <f t="shared" si="58"/>
        <v>38196</v>
      </c>
      <c r="I80" s="62">
        <f t="shared" si="59"/>
        <v>954.9</v>
      </c>
      <c r="J80" s="62"/>
      <c r="K80" s="62">
        <f t="shared" si="70"/>
        <v>6366</v>
      </c>
      <c r="L80" s="62">
        <f t="shared" si="60"/>
        <v>44562</v>
      </c>
      <c r="M80" s="62">
        <f t="shared" si="71"/>
        <v>12732</v>
      </c>
      <c r="N80" s="62"/>
      <c r="O80" s="62">
        <f t="shared" si="72"/>
        <v>1273.2</v>
      </c>
      <c r="P80" s="62">
        <v>10000</v>
      </c>
      <c r="Q80" s="62"/>
      <c r="R80" s="36">
        <f t="shared" si="73"/>
        <v>126816.09999999999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4"/>
        <v>24235.19</v>
      </c>
      <c r="X80" s="36">
        <v>102580.90999999999</v>
      </c>
      <c r="Y80" s="36">
        <v>30000</v>
      </c>
    </row>
    <row r="81" spans="1:25" ht="20.100000000000001" customHeight="1">
      <c r="A81" s="3">
        <v>8</v>
      </c>
      <c r="B81" s="61" t="s">
        <v>183</v>
      </c>
      <c r="C81" s="61"/>
      <c r="D81" s="33" t="s">
        <v>184</v>
      </c>
      <c r="E81" s="3" t="s">
        <v>93</v>
      </c>
      <c r="F81" s="62">
        <f>12351.94</f>
        <v>12351.94</v>
      </c>
      <c r="G81" s="62"/>
      <c r="H81" s="62">
        <f t="shared" si="58"/>
        <v>37055.82</v>
      </c>
      <c r="I81" s="62">
        <f t="shared" si="59"/>
        <v>926.39549999999997</v>
      </c>
      <c r="J81" s="62"/>
      <c r="K81" s="62">
        <f t="shared" si="70"/>
        <v>6175.97</v>
      </c>
      <c r="L81" s="62">
        <f t="shared" si="60"/>
        <v>43231.79</v>
      </c>
      <c r="M81" s="62">
        <f t="shared" si="71"/>
        <v>12351.94</v>
      </c>
      <c r="N81" s="62">
        <f>100000</f>
        <v>100000</v>
      </c>
      <c r="O81" s="62">
        <f t="shared" si="72"/>
        <v>1235.1940000000002</v>
      </c>
      <c r="P81" s="62">
        <v>10000</v>
      </c>
      <c r="Q81" s="62"/>
      <c r="R81" s="36">
        <f t="shared" si="73"/>
        <v>223329.04949999999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4"/>
        <v>1235.19</v>
      </c>
      <c r="X81" s="36">
        <v>222093.85949999999</v>
      </c>
      <c r="Y81" s="36">
        <v>30000</v>
      </c>
    </row>
    <row r="82" spans="1:25" ht="20.100000000000001" customHeight="1">
      <c r="A82" s="3"/>
      <c r="B82" s="273" t="s">
        <v>34</v>
      </c>
      <c r="C82" s="274"/>
      <c r="D82" s="30">
        <v>8</v>
      </c>
      <c r="E82" s="30"/>
      <c r="F82" s="92">
        <f>SUM(F74:F81)</f>
        <v>241057.93</v>
      </c>
      <c r="G82" s="92"/>
      <c r="H82" s="92">
        <f t="shared" ref="H82:Y82" si="75">SUM(H74:H81)</f>
        <v>723173.78999999992</v>
      </c>
      <c r="I82" s="92">
        <f t="shared" si="75"/>
        <v>18079.34475</v>
      </c>
      <c r="J82" s="92">
        <f t="shared" si="75"/>
        <v>200610.95</v>
      </c>
      <c r="K82" s="92">
        <f t="shared" si="75"/>
        <v>120528.965</v>
      </c>
      <c r="L82" s="92">
        <f t="shared" si="75"/>
        <v>843702.75500000012</v>
      </c>
      <c r="M82" s="92">
        <f t="shared" si="75"/>
        <v>241057.93</v>
      </c>
      <c r="N82" s="95">
        <f t="shared" si="75"/>
        <v>500000</v>
      </c>
      <c r="O82" s="92">
        <f t="shared" si="75"/>
        <v>24105.793000000005</v>
      </c>
      <c r="P82" s="92">
        <f t="shared" si="75"/>
        <v>125000</v>
      </c>
      <c r="Q82" s="92">
        <f t="shared" si="75"/>
        <v>0</v>
      </c>
      <c r="R82" s="92">
        <f t="shared" si="75"/>
        <v>3037317.4577500005</v>
      </c>
      <c r="S82" s="92">
        <f t="shared" si="75"/>
        <v>223000</v>
      </c>
      <c r="T82" s="92">
        <f t="shared" si="75"/>
        <v>0</v>
      </c>
      <c r="U82" s="92">
        <f t="shared" si="75"/>
        <v>597.27800000000002</v>
      </c>
      <c r="V82" s="92">
        <f t="shared" si="75"/>
        <v>112971.26999999999</v>
      </c>
      <c r="W82" s="92">
        <f t="shared" si="75"/>
        <v>336568.54799999995</v>
      </c>
      <c r="X82" s="92">
        <v>2700748.9097499996</v>
      </c>
      <c r="Y82" s="92">
        <f t="shared" si="75"/>
        <v>500000</v>
      </c>
    </row>
    <row r="83" spans="1:25" ht="20.100000000000001" customHeight="1">
      <c r="A83" s="3"/>
      <c r="B83" s="275"/>
      <c r="C83" s="276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77" t="s">
        <v>469</v>
      </c>
      <c r="C84" s="278"/>
      <c r="D84" s="69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57" t="s">
        <v>186</v>
      </c>
      <c r="C85" s="258"/>
      <c r="D85" s="33" t="s">
        <v>187</v>
      </c>
      <c r="E85" s="3" t="s">
        <v>479</v>
      </c>
      <c r="F85" s="62">
        <f>39662.25</f>
        <v>39662.25</v>
      </c>
      <c r="G85" s="62"/>
      <c r="H85" s="62">
        <f t="shared" ref="H85:H96" si="76">F85*300%</f>
        <v>118986.75</v>
      </c>
      <c r="I85" s="62">
        <f t="shared" ref="I85:I96" si="77">F85*7.5%</f>
        <v>2974.6687499999998</v>
      </c>
      <c r="J85" s="62">
        <v>40122.19</v>
      </c>
      <c r="K85" s="62">
        <f t="shared" ref="K85:K96" si="78">F85*50%</f>
        <v>19831.125</v>
      </c>
      <c r="L85" s="62">
        <f t="shared" ref="L85:L96" si="79">F85*350%</f>
        <v>138817.875</v>
      </c>
      <c r="M85" s="62">
        <f t="shared" ref="M85:M96" si="80">F85*100%</f>
        <v>39662.25</v>
      </c>
      <c r="N85" s="62">
        <f t="shared" ref="N85:N96" si="81">100000</f>
        <v>100000</v>
      </c>
      <c r="O85" s="62">
        <f t="shared" ref="O85:O96" si="82">F85*10%</f>
        <v>3966.2250000000004</v>
      </c>
      <c r="P85" s="62">
        <v>20000</v>
      </c>
      <c r="Q85" s="62"/>
      <c r="R85" s="36">
        <f t="shared" ref="R85:R96" si="83">SUM(F85:Q85)</f>
        <v>524023.33374999999</v>
      </c>
      <c r="S85" s="36"/>
      <c r="T85" s="36"/>
      <c r="U85" s="36"/>
      <c r="V85" s="62">
        <f>21618.09</f>
        <v>21618.09</v>
      </c>
      <c r="W85" s="36">
        <f t="shared" ref="W85:W96" si="84">SUM(S85:V85)</f>
        <v>21618.09</v>
      </c>
      <c r="X85" s="36">
        <v>502405.24374999997</v>
      </c>
      <c r="Y85" s="36">
        <f t="shared" ref="Y85:Y87" si="85">70000</f>
        <v>70000</v>
      </c>
    </row>
    <row r="86" spans="1:25" ht="20.100000000000001" customHeight="1">
      <c r="A86" s="3">
        <v>2</v>
      </c>
      <c r="B86" s="257" t="s">
        <v>188</v>
      </c>
      <c r="C86" s="258"/>
      <c r="D86" s="33" t="s">
        <v>127</v>
      </c>
      <c r="E86" s="3" t="s">
        <v>129</v>
      </c>
      <c r="F86" s="62">
        <f>32263.2</f>
        <v>32263.200000000001</v>
      </c>
      <c r="G86" s="62"/>
      <c r="H86" s="62">
        <f t="shared" si="76"/>
        <v>96789.6</v>
      </c>
      <c r="I86" s="62">
        <f t="shared" si="77"/>
        <v>2419.7399999999998</v>
      </c>
      <c r="J86" s="62">
        <f>40122.19</f>
        <v>40122.19</v>
      </c>
      <c r="K86" s="62">
        <f t="shared" si="78"/>
        <v>16131.6</v>
      </c>
      <c r="L86" s="62">
        <f t="shared" si="79"/>
        <v>112921.2</v>
      </c>
      <c r="M86" s="62">
        <f t="shared" si="80"/>
        <v>32263.200000000001</v>
      </c>
      <c r="N86" s="62">
        <f t="shared" si="81"/>
        <v>100000</v>
      </c>
      <c r="O86" s="62">
        <f t="shared" si="82"/>
        <v>3226.32</v>
      </c>
      <c r="P86" s="62">
        <v>20000</v>
      </c>
      <c r="Q86" s="62"/>
      <c r="R86" s="36">
        <f t="shared" si="83"/>
        <v>456137.05000000005</v>
      </c>
      <c r="S86" s="36"/>
      <c r="T86" s="36"/>
      <c r="U86" s="36"/>
      <c r="V86" s="62">
        <f>15548.33</f>
        <v>15548.33</v>
      </c>
      <c r="W86" s="36">
        <f t="shared" si="84"/>
        <v>15548.33</v>
      </c>
      <c r="X86" s="36">
        <v>440588.72000000003</v>
      </c>
      <c r="Y86" s="36">
        <f t="shared" si="85"/>
        <v>70000</v>
      </c>
    </row>
    <row r="87" spans="1:25" ht="20.100000000000001" customHeight="1">
      <c r="A87" s="3">
        <v>3</v>
      </c>
      <c r="B87" s="257" t="s">
        <v>189</v>
      </c>
      <c r="C87" s="258"/>
      <c r="D87" s="33" t="s">
        <v>127</v>
      </c>
      <c r="E87" s="3" t="s">
        <v>129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f t="shared" si="81"/>
        <v>100000</v>
      </c>
      <c r="O87" s="62">
        <f>F87*10%</f>
        <v>3226.32</v>
      </c>
      <c r="P87" s="62">
        <v>20000</v>
      </c>
      <c r="Q87" s="62"/>
      <c r="R87" s="36">
        <f>SUM(F87:Q87)</f>
        <v>456137.05000000005</v>
      </c>
      <c r="S87" s="36">
        <f>20000</f>
        <v>20000</v>
      </c>
      <c r="T87" s="36">
        <f>68750</f>
        <v>68750</v>
      </c>
      <c r="U87" s="36">
        <f>'[5]Jan 2021'!$H$38</f>
        <v>806.58</v>
      </c>
      <c r="V87" s="62">
        <f>15548.33</f>
        <v>15548.33</v>
      </c>
      <c r="W87" s="36">
        <f>SUM(S87:V87)</f>
        <v>105104.91</v>
      </c>
      <c r="X87" s="36">
        <v>351032.14</v>
      </c>
      <c r="Y87" s="36">
        <f t="shared" si="85"/>
        <v>70000</v>
      </c>
    </row>
    <row r="88" spans="1:25" ht="20.100000000000001" customHeight="1">
      <c r="A88" s="3">
        <v>4</v>
      </c>
      <c r="B88" s="257" t="s">
        <v>396</v>
      </c>
      <c r="C88" s="258"/>
      <c r="D88" s="33" t="s">
        <v>131</v>
      </c>
      <c r="E88" s="3" t="s">
        <v>395</v>
      </c>
      <c r="F88" s="62">
        <f>25854.1</f>
        <v>25854.1</v>
      </c>
      <c r="G88" s="62"/>
      <c r="H88" s="62">
        <f t="shared" si="76"/>
        <v>77562.299999999988</v>
      </c>
      <c r="I88" s="62">
        <f t="shared" si="77"/>
        <v>1939.0574999999999</v>
      </c>
      <c r="J88" s="62">
        <v>0</v>
      </c>
      <c r="K88" s="62">
        <f t="shared" si="78"/>
        <v>12927.05</v>
      </c>
      <c r="L88" s="62">
        <f t="shared" si="79"/>
        <v>90489.349999999991</v>
      </c>
      <c r="M88" s="62">
        <f t="shared" si="80"/>
        <v>25854.1</v>
      </c>
      <c r="N88" s="62">
        <f t="shared" si="81"/>
        <v>100000</v>
      </c>
      <c r="O88" s="62">
        <f t="shared" si="82"/>
        <v>2585.41</v>
      </c>
      <c r="P88" s="62">
        <v>20000</v>
      </c>
      <c r="Q88" s="62">
        <v>0</v>
      </c>
      <c r="R88" s="36">
        <f t="shared" si="83"/>
        <v>357211.36749999999</v>
      </c>
      <c r="S88" s="36">
        <v>5000</v>
      </c>
      <c r="T88" s="36"/>
      <c r="U88" s="36"/>
      <c r="V88" s="36">
        <f t="shared" si="12"/>
        <v>7709.76</v>
      </c>
      <c r="W88" s="36">
        <f t="shared" si="84"/>
        <v>12709.76</v>
      </c>
      <c r="X88" s="36">
        <v>344501.60749999998</v>
      </c>
      <c r="Y88" s="36">
        <v>50000</v>
      </c>
    </row>
    <row r="89" spans="1:25" ht="20.100000000000001" customHeight="1">
      <c r="A89" s="3">
        <v>5</v>
      </c>
      <c r="B89" s="271" t="s">
        <v>190</v>
      </c>
      <c r="C89" s="272"/>
      <c r="D89" s="33" t="s">
        <v>135</v>
      </c>
      <c r="E89" s="3" t="s">
        <v>66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f t="shared" si="81"/>
        <v>100000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365272.06374999997</v>
      </c>
      <c r="S89" s="36">
        <f>20000</f>
        <v>20000</v>
      </c>
      <c r="T89" s="36">
        <f>163103.59</f>
        <v>163103.59</v>
      </c>
      <c r="U89" s="36">
        <f>'[5]Jan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173790.39749999996</v>
      </c>
      <c r="Y89" s="36">
        <v>50000</v>
      </c>
    </row>
    <row r="90" spans="1:25" ht="20.100000000000001" customHeight="1">
      <c r="A90" s="3">
        <v>6</v>
      </c>
      <c r="B90" s="269" t="s">
        <v>192</v>
      </c>
      <c r="C90" s="270"/>
      <c r="D90" s="33" t="s">
        <v>131</v>
      </c>
      <c r="E90" s="3" t="s">
        <v>395</v>
      </c>
      <c r="F90" s="26">
        <f>25854.1</f>
        <v>25854.1</v>
      </c>
      <c r="G90" s="62"/>
      <c r="H90" s="26">
        <f t="shared" si="76"/>
        <v>77562.299999999988</v>
      </c>
      <c r="I90" s="26">
        <f t="shared" si="77"/>
        <v>1939.0574999999999</v>
      </c>
      <c r="J90" s="26"/>
      <c r="K90" s="26">
        <f t="shared" si="78"/>
        <v>12927.05</v>
      </c>
      <c r="L90" s="26">
        <f t="shared" si="79"/>
        <v>90489.349999999991</v>
      </c>
      <c r="M90" s="26">
        <f t="shared" si="80"/>
        <v>25854.1</v>
      </c>
      <c r="N90" s="62">
        <f t="shared" si="81"/>
        <v>100000</v>
      </c>
      <c r="O90" s="26">
        <f t="shared" si="82"/>
        <v>2585.41</v>
      </c>
      <c r="P90" s="26">
        <v>20000</v>
      </c>
      <c r="Q90" s="26"/>
      <c r="R90" s="36">
        <f t="shared" si="83"/>
        <v>357211.36749999999</v>
      </c>
      <c r="S90" s="24">
        <f>50000</f>
        <v>50000</v>
      </c>
      <c r="T90" s="24">
        <f>87500</f>
        <v>87500</v>
      </c>
      <c r="U90" s="24"/>
      <c r="V90" s="36">
        <f t="shared" si="12"/>
        <v>7709.76</v>
      </c>
      <c r="W90" s="36">
        <f t="shared" si="84"/>
        <v>145209.76</v>
      </c>
      <c r="X90" s="36">
        <v>212001.60749999998</v>
      </c>
      <c r="Y90" s="36">
        <v>50000</v>
      </c>
    </row>
    <row r="91" spans="1:25" ht="20.100000000000001" customHeight="1">
      <c r="A91" s="3">
        <v>7</v>
      </c>
      <c r="B91" s="269" t="s">
        <v>491</v>
      </c>
      <c r="C91" s="270"/>
      <c r="D91" s="33" t="s">
        <v>131</v>
      </c>
      <c r="E91" s="3" t="s">
        <v>395</v>
      </c>
      <c r="F91" s="26">
        <f>25854.1</f>
        <v>25854.1</v>
      </c>
      <c r="G91" s="26"/>
      <c r="H91" s="26">
        <f t="shared" si="76"/>
        <v>77562.299999999988</v>
      </c>
      <c r="I91" s="26">
        <f t="shared" si="77"/>
        <v>1939.0574999999999</v>
      </c>
      <c r="J91" s="26"/>
      <c r="K91" s="26">
        <f t="shared" si="78"/>
        <v>12927.05</v>
      </c>
      <c r="L91" s="26">
        <f t="shared" si="79"/>
        <v>90489.349999999991</v>
      </c>
      <c r="M91" s="26">
        <f t="shared" si="80"/>
        <v>25854.1</v>
      </c>
      <c r="N91" s="62">
        <f t="shared" si="81"/>
        <v>100000</v>
      </c>
      <c r="O91" s="26">
        <f t="shared" si="82"/>
        <v>2585.41</v>
      </c>
      <c r="P91" s="26">
        <v>20000</v>
      </c>
      <c r="Q91" s="26"/>
      <c r="R91" s="36">
        <f t="shared" si="83"/>
        <v>357211.36749999999</v>
      </c>
      <c r="S91" s="24">
        <f>50000</f>
        <v>50000</v>
      </c>
      <c r="T91" s="24"/>
      <c r="U91" s="24">
        <f>'[5]Jan 2021'!$H$50</f>
        <v>646.35249999999996</v>
      </c>
      <c r="V91" s="26">
        <v>7709.76</v>
      </c>
      <c r="W91" s="36">
        <f t="shared" si="84"/>
        <v>58356.112500000003</v>
      </c>
      <c r="X91" s="36">
        <v>298855.255</v>
      </c>
      <c r="Y91" s="36">
        <v>50000</v>
      </c>
    </row>
    <row r="92" spans="1:25" ht="20.100000000000001" customHeight="1">
      <c r="A92" s="3">
        <v>8</v>
      </c>
      <c r="B92" s="257" t="s">
        <v>397</v>
      </c>
      <c r="C92" s="258"/>
      <c r="D92" s="61" t="s">
        <v>135</v>
      </c>
      <c r="E92" s="66" t="s">
        <v>194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f t="shared" si="81"/>
        <v>100000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349153.05674999999</v>
      </c>
      <c r="S92" s="36">
        <f>100000</f>
        <v>100000</v>
      </c>
      <c r="T92" s="36">
        <f>68666.67</f>
        <v>68666.67</v>
      </c>
      <c r="U92" s="36"/>
      <c r="V92" s="62">
        <f t="shared" ref="V92:V96" si="86">7709.76</f>
        <v>7709.76</v>
      </c>
      <c r="W92" s="36">
        <f>SUM(S92:V92)</f>
        <v>176376.43</v>
      </c>
      <c r="X92" s="36">
        <v>172776.62675</v>
      </c>
      <c r="Y92" s="36">
        <v>50000</v>
      </c>
    </row>
    <row r="93" spans="1:25" ht="21.6" customHeight="1">
      <c r="A93" s="3">
        <v>9</v>
      </c>
      <c r="B93" s="264" t="s">
        <v>195</v>
      </c>
      <c r="C93" s="264"/>
      <c r="D93" s="33" t="s">
        <v>140</v>
      </c>
      <c r="E93" s="66" t="s">
        <v>79</v>
      </c>
      <c r="F93" s="62">
        <f>23891.12</f>
        <v>23891.119999999999</v>
      </c>
      <c r="G93" s="62"/>
      <c r="H93" s="62">
        <f t="shared" si="76"/>
        <v>71673.36</v>
      </c>
      <c r="I93" s="62">
        <f t="shared" si="77"/>
        <v>1791.8339999999998</v>
      </c>
      <c r="J93" s="62">
        <v>0</v>
      </c>
      <c r="K93" s="62">
        <f t="shared" si="78"/>
        <v>11945.56</v>
      </c>
      <c r="L93" s="36">
        <f t="shared" si="79"/>
        <v>83618.92</v>
      </c>
      <c r="M93" s="62">
        <f t="shared" si="80"/>
        <v>23891.119999999999</v>
      </c>
      <c r="N93" s="62">
        <f t="shared" si="81"/>
        <v>100000</v>
      </c>
      <c r="O93" s="62">
        <f t="shared" si="82"/>
        <v>2389.1120000000001</v>
      </c>
      <c r="P93" s="62">
        <v>15000</v>
      </c>
      <c r="Q93" s="62">
        <v>0</v>
      </c>
      <c r="R93" s="36">
        <f t="shared" si="83"/>
        <v>334201.02600000001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4"/>
        <v>57709.760000000002</v>
      </c>
      <c r="X93" s="36">
        <v>276491.266</v>
      </c>
      <c r="Y93" s="36">
        <v>50000</v>
      </c>
    </row>
    <row r="94" spans="1:25" ht="21.6" customHeight="1">
      <c r="A94" s="3">
        <v>10</v>
      </c>
      <c r="B94" s="257" t="s">
        <v>77</v>
      </c>
      <c r="C94" s="258"/>
      <c r="D94" s="61" t="s">
        <v>137</v>
      </c>
      <c r="E94" s="66" t="s">
        <v>485</v>
      </c>
      <c r="F94" s="62">
        <f>23074.99</f>
        <v>23074.99</v>
      </c>
      <c r="G94" s="62"/>
      <c r="H94" s="62">
        <f t="shared" si="76"/>
        <v>69224.97</v>
      </c>
      <c r="I94" s="62">
        <f t="shared" si="77"/>
        <v>1730.6242500000001</v>
      </c>
      <c r="J94" s="62">
        <v>0</v>
      </c>
      <c r="K94" s="62">
        <f t="shared" si="78"/>
        <v>11537.495000000001</v>
      </c>
      <c r="L94" s="36">
        <f t="shared" si="79"/>
        <v>80762.465000000011</v>
      </c>
      <c r="M94" s="62">
        <f t="shared" si="80"/>
        <v>23074.99</v>
      </c>
      <c r="N94" s="62">
        <f t="shared" si="81"/>
        <v>100000</v>
      </c>
      <c r="O94" s="62">
        <f t="shared" si="82"/>
        <v>2307.4990000000003</v>
      </c>
      <c r="P94" s="62">
        <v>15000</v>
      </c>
      <c r="Q94" s="62">
        <v>0</v>
      </c>
      <c r="R94" s="36">
        <f t="shared" si="83"/>
        <v>326713.03325000004</v>
      </c>
      <c r="S94" s="36">
        <f>10000</f>
        <v>10000</v>
      </c>
      <c r="T94" s="36">
        <f>131666.67</f>
        <v>131666.67000000001</v>
      </c>
      <c r="U94" s="36"/>
      <c r="V94" s="62">
        <f t="shared" si="86"/>
        <v>7709.76</v>
      </c>
      <c r="W94" s="36">
        <f t="shared" si="84"/>
        <v>149376.43000000002</v>
      </c>
      <c r="X94" s="36">
        <v>177336.60325000001</v>
      </c>
      <c r="Y94" s="36">
        <v>50000</v>
      </c>
    </row>
    <row r="95" spans="1:25" ht="21.6" customHeight="1">
      <c r="A95" s="3">
        <v>11</v>
      </c>
      <c r="B95" s="257" t="s">
        <v>196</v>
      </c>
      <c r="C95" s="258"/>
      <c r="D95" s="61" t="s">
        <v>137</v>
      </c>
      <c r="E95" s="66" t="s">
        <v>485</v>
      </c>
      <c r="F95" s="62">
        <f t="shared" ref="F95:F96" si="87">23074.99</f>
        <v>23074.99</v>
      </c>
      <c r="G95" s="62"/>
      <c r="H95" s="62">
        <f t="shared" si="76"/>
        <v>69224.97</v>
      </c>
      <c r="I95" s="62">
        <f t="shared" si="77"/>
        <v>1730.6242500000001</v>
      </c>
      <c r="J95" s="62">
        <v>0</v>
      </c>
      <c r="K95" s="62">
        <f t="shared" si="78"/>
        <v>11537.495000000001</v>
      </c>
      <c r="L95" s="36">
        <f t="shared" si="79"/>
        <v>80762.465000000011</v>
      </c>
      <c r="M95" s="62">
        <f t="shared" si="80"/>
        <v>23074.99</v>
      </c>
      <c r="N95" s="62">
        <f t="shared" si="81"/>
        <v>100000</v>
      </c>
      <c r="O95" s="62">
        <f t="shared" si="82"/>
        <v>2307.4990000000003</v>
      </c>
      <c r="P95" s="62">
        <v>15000</v>
      </c>
      <c r="Q95" s="62">
        <v>0</v>
      </c>
      <c r="R95" s="36">
        <f t="shared" si="83"/>
        <v>326713.03325000004</v>
      </c>
      <c r="S95" s="36">
        <f>25000</f>
        <v>25000</v>
      </c>
      <c r="T95" s="36">
        <f>94262.15</f>
        <v>94262.15</v>
      </c>
      <c r="U95" s="36"/>
      <c r="V95" s="62">
        <f t="shared" si="86"/>
        <v>7709.76</v>
      </c>
      <c r="W95" s="36">
        <f t="shared" si="84"/>
        <v>126971.90999999999</v>
      </c>
      <c r="X95" s="36">
        <v>199741.12325000006</v>
      </c>
      <c r="Y95" s="36">
        <v>50000</v>
      </c>
    </row>
    <row r="96" spans="1:25" ht="21.6" customHeight="1">
      <c r="A96" s="3">
        <v>12</v>
      </c>
      <c r="B96" s="257" t="s">
        <v>197</v>
      </c>
      <c r="C96" s="258"/>
      <c r="D96" s="61" t="s">
        <v>137</v>
      </c>
      <c r="E96" s="66" t="s">
        <v>485</v>
      </c>
      <c r="F96" s="62">
        <f t="shared" si="87"/>
        <v>23074.99</v>
      </c>
      <c r="G96" s="62"/>
      <c r="H96" s="62">
        <f t="shared" si="76"/>
        <v>69224.97</v>
      </c>
      <c r="I96" s="62">
        <f t="shared" si="77"/>
        <v>1730.6242500000001</v>
      </c>
      <c r="J96" s="62">
        <v>0</v>
      </c>
      <c r="K96" s="62">
        <f t="shared" si="78"/>
        <v>11537.495000000001</v>
      </c>
      <c r="L96" s="36">
        <f t="shared" si="79"/>
        <v>80762.465000000011</v>
      </c>
      <c r="M96" s="62">
        <f t="shared" si="80"/>
        <v>23074.99</v>
      </c>
      <c r="N96" s="62">
        <f t="shared" si="81"/>
        <v>100000</v>
      </c>
      <c r="O96" s="62">
        <f t="shared" si="82"/>
        <v>2307.4990000000003</v>
      </c>
      <c r="P96" s="62">
        <v>15000</v>
      </c>
      <c r="Q96" s="62">
        <v>0</v>
      </c>
      <c r="R96" s="36">
        <f t="shared" si="83"/>
        <v>326713.03325000004</v>
      </c>
      <c r="S96" s="36">
        <f>70000</f>
        <v>70000</v>
      </c>
      <c r="T96" s="36"/>
      <c r="U96" s="36"/>
      <c r="V96" s="62">
        <f t="shared" si="86"/>
        <v>7709.76</v>
      </c>
      <c r="W96" s="36">
        <f t="shared" si="84"/>
        <v>77709.759999999995</v>
      </c>
      <c r="X96" s="36">
        <v>249003.27325000003</v>
      </c>
      <c r="Y96" s="36">
        <v>50000</v>
      </c>
    </row>
    <row r="97" spans="1:26" ht="20.100000000000001" customHeight="1">
      <c r="A97" s="3"/>
      <c r="B97" s="267" t="s">
        <v>34</v>
      </c>
      <c r="C97" s="267"/>
      <c r="D97" s="7">
        <v>12</v>
      </c>
      <c r="E97" s="7"/>
      <c r="F97" s="95">
        <f>SUM(F85:F96)</f>
        <v>326575.5</v>
      </c>
      <c r="G97" s="95"/>
      <c r="H97" s="95">
        <f t="shared" ref="H97:Y97" si="88">SUM(H85:H96)</f>
        <v>979726.5</v>
      </c>
      <c r="I97" s="95">
        <f t="shared" si="88"/>
        <v>24493.162499999999</v>
      </c>
      <c r="J97" s="95">
        <f t="shared" si="88"/>
        <v>120366.57</v>
      </c>
      <c r="K97" s="95">
        <f t="shared" si="88"/>
        <v>163287.75</v>
      </c>
      <c r="L97" s="95">
        <f t="shared" si="88"/>
        <v>1143014.25</v>
      </c>
      <c r="M97" s="95">
        <f t="shared" si="88"/>
        <v>326575.5</v>
      </c>
      <c r="N97" s="95">
        <f t="shared" si="88"/>
        <v>1200000</v>
      </c>
      <c r="O97" s="95">
        <f t="shared" si="88"/>
        <v>32657.55</v>
      </c>
      <c r="P97" s="95">
        <f t="shared" si="88"/>
        <v>220000</v>
      </c>
      <c r="Q97" s="95">
        <f t="shared" si="88"/>
        <v>0</v>
      </c>
      <c r="R97" s="95">
        <f t="shared" si="88"/>
        <v>4536696.7825000007</v>
      </c>
      <c r="S97" s="95">
        <f t="shared" si="88"/>
        <v>400000</v>
      </c>
      <c r="T97" s="95">
        <f t="shared" si="88"/>
        <v>613949.07999999996</v>
      </c>
      <c r="U97" s="95">
        <f t="shared" si="88"/>
        <v>2121.2487500000002</v>
      </c>
      <c r="V97" s="95">
        <f t="shared" si="88"/>
        <v>122102.58999999997</v>
      </c>
      <c r="W97" s="95">
        <f t="shared" si="88"/>
        <v>1138172.9187500002</v>
      </c>
      <c r="X97" s="95">
        <v>3398523.86375</v>
      </c>
      <c r="Y97" s="95">
        <f t="shared" si="88"/>
        <v>660000</v>
      </c>
    </row>
    <row r="98" spans="1:26" ht="20.100000000000001" customHeight="1">
      <c r="A98" s="3"/>
      <c r="B98" s="96"/>
      <c r="C98" s="9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67" t="s">
        <v>199</v>
      </c>
      <c r="C99" s="267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97" t="s">
        <v>492</v>
      </c>
      <c r="C100" s="98"/>
      <c r="D100" s="3" t="s">
        <v>201</v>
      </c>
      <c r="E100" s="3" t="s">
        <v>408</v>
      </c>
      <c r="F100" s="65">
        <f>39662.25</f>
        <v>39662.25</v>
      </c>
      <c r="G100" s="64"/>
      <c r="H100" s="62">
        <f>F100*300%</f>
        <v>118986.75</v>
      </c>
      <c r="I100" s="62">
        <f>F100*7.5%</f>
        <v>2974.6687499999998</v>
      </c>
      <c r="J100" s="62">
        <v>40122.19</v>
      </c>
      <c r="K100" s="62">
        <f>F100*50%</f>
        <v>19831.125</v>
      </c>
      <c r="L100" s="62">
        <f>F100*350%</f>
        <v>138817.875</v>
      </c>
      <c r="M100" s="62">
        <f>F100*100%</f>
        <v>39662.25</v>
      </c>
      <c r="N100" s="65"/>
      <c r="O100" s="62">
        <f>F100*10%</f>
        <v>3966.2250000000004</v>
      </c>
      <c r="P100" s="62">
        <v>20000</v>
      </c>
      <c r="Q100" s="65">
        <v>0</v>
      </c>
      <c r="R100" s="36">
        <f t="shared" ref="R100" si="89">SUM(F100:Q100)</f>
        <v>424023.33374999999</v>
      </c>
      <c r="S100" s="65"/>
      <c r="T100" s="65"/>
      <c r="U100" s="65"/>
      <c r="V100" s="36">
        <f>21618.09</f>
        <v>21618.09</v>
      </c>
      <c r="W100" s="36">
        <f>S100+T100+U100+V100</f>
        <v>21618.09</v>
      </c>
      <c r="X100" s="36">
        <v>402405.24374999997</v>
      </c>
      <c r="Y100" s="36">
        <f t="shared" ref="Y100" si="90">70000</f>
        <v>70000</v>
      </c>
    </row>
    <row r="101" spans="1:26" ht="20.100000000000001" customHeight="1">
      <c r="A101" s="3">
        <v>2</v>
      </c>
      <c r="B101" s="269" t="s">
        <v>202</v>
      </c>
      <c r="C101" s="270"/>
      <c r="D101" s="20" t="s">
        <v>493</v>
      </c>
      <c r="E101" s="29" t="s">
        <v>395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2"/>
        <v>7709.76</v>
      </c>
      <c r="W101" s="36">
        <f>SUM(S101:V101)</f>
        <v>8356.11</v>
      </c>
      <c r="X101" s="36">
        <v>348855.25750000001</v>
      </c>
      <c r="Y101" s="36">
        <v>50000</v>
      </c>
      <c r="Z101" s="34"/>
    </row>
    <row r="102" spans="1:26" ht="20.100000000000001" customHeight="1">
      <c r="A102" s="3">
        <v>3</v>
      </c>
      <c r="B102" s="257" t="s">
        <v>206</v>
      </c>
      <c r="C102" s="258"/>
      <c r="D102" s="33" t="s">
        <v>207</v>
      </c>
      <c r="E102" s="66" t="s">
        <v>103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91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v>30000</v>
      </c>
      <c r="Z102" s="34"/>
    </row>
    <row r="103" spans="1:26" ht="20.100000000000001" customHeight="1">
      <c r="A103" s="3">
        <v>4</v>
      </c>
      <c r="B103" s="97" t="s">
        <v>86</v>
      </c>
      <c r="C103" s="98"/>
      <c r="D103" s="33" t="s">
        <v>207</v>
      </c>
      <c r="E103" s="66" t="s">
        <v>95</v>
      </c>
      <c r="F103" s="26">
        <f>17784</f>
        <v>17784</v>
      </c>
      <c r="G103" s="26"/>
      <c r="H103" s="26">
        <f>F103*300%</f>
        <v>53352</v>
      </c>
      <c r="I103" s="26">
        <f>F103*7.5%</f>
        <v>1333.8</v>
      </c>
      <c r="J103" s="26"/>
      <c r="K103" s="26">
        <f>F103*50%</f>
        <v>8892</v>
      </c>
      <c r="L103" s="26">
        <f>F103*350%</f>
        <v>62244</v>
      </c>
      <c r="M103" s="26">
        <f>F103*100%</f>
        <v>17784</v>
      </c>
      <c r="N103" s="26">
        <v>100000</v>
      </c>
      <c r="O103" s="26">
        <f>F103*10%</f>
        <v>1778.4</v>
      </c>
      <c r="P103" s="26">
        <v>10000</v>
      </c>
      <c r="Q103" s="26"/>
      <c r="R103" s="26">
        <f>SUM(F103:Q103)</f>
        <v>273168.2</v>
      </c>
      <c r="S103" s="26">
        <f>30000</f>
        <v>30000</v>
      </c>
      <c r="T103" s="26"/>
      <c r="U103" s="26">
        <f>'[5]Jan 2021'!$H$55</f>
        <v>444.6</v>
      </c>
      <c r="V103" s="26">
        <v>3369.51</v>
      </c>
      <c r="W103" s="26">
        <f t="shared" ref="W103" si="92">SUM(S103:V103)</f>
        <v>33814.11</v>
      </c>
      <c r="X103" s="26">
        <v>239354.09000000003</v>
      </c>
      <c r="Y103" s="26">
        <v>30000</v>
      </c>
      <c r="Z103" s="34"/>
    </row>
    <row r="104" spans="1:26" ht="20.100000000000001" customHeight="1">
      <c r="A104" s="33"/>
      <c r="B104" s="267" t="s">
        <v>34</v>
      </c>
      <c r="C104" s="267"/>
      <c r="D104" s="7">
        <v>4</v>
      </c>
      <c r="E104" s="91"/>
      <c r="F104" s="92">
        <f>SUM(F100:F103)</f>
        <v>101581.98999999999</v>
      </c>
      <c r="G104" s="92"/>
      <c r="H104" s="92">
        <f t="shared" ref="H104:Y104" si="93">SUM(H100:H103)</f>
        <v>304745.96999999997</v>
      </c>
      <c r="I104" s="92">
        <f t="shared" si="93"/>
        <v>7618.6492499999995</v>
      </c>
      <c r="J104" s="92">
        <f t="shared" si="93"/>
        <v>40122.19</v>
      </c>
      <c r="K104" s="92">
        <f t="shared" si="93"/>
        <v>50790.994999999995</v>
      </c>
      <c r="L104" s="92">
        <f t="shared" si="93"/>
        <v>355536.96499999997</v>
      </c>
      <c r="M104" s="92">
        <f t="shared" si="93"/>
        <v>101581.98999999999</v>
      </c>
      <c r="N104" s="92">
        <f t="shared" si="93"/>
        <v>300000</v>
      </c>
      <c r="O104" s="92">
        <f t="shared" si="93"/>
        <v>10158.199000000001</v>
      </c>
      <c r="P104" s="92">
        <f t="shared" si="93"/>
        <v>60000</v>
      </c>
      <c r="Q104" s="92">
        <f t="shared" si="93"/>
        <v>0</v>
      </c>
      <c r="R104" s="92">
        <f t="shared" si="93"/>
        <v>1332136.9482499999</v>
      </c>
      <c r="S104" s="92">
        <f t="shared" si="93"/>
        <v>35000</v>
      </c>
      <c r="T104" s="92">
        <f t="shared" si="93"/>
        <v>0</v>
      </c>
      <c r="U104" s="92">
        <f t="shared" si="93"/>
        <v>1090.95</v>
      </c>
      <c r="V104" s="92">
        <f t="shared" si="93"/>
        <v>36066.870000000003</v>
      </c>
      <c r="W104" s="92">
        <f t="shared" si="93"/>
        <v>72157.820000000007</v>
      </c>
      <c r="X104" s="92">
        <v>1259979.1282500001</v>
      </c>
      <c r="Y104" s="92">
        <f t="shared" si="93"/>
        <v>180000</v>
      </c>
      <c r="Z104" s="34"/>
    </row>
    <row r="105" spans="1:26" ht="20.100000000000001" customHeight="1">
      <c r="A105" s="33"/>
      <c r="B105" s="96"/>
      <c r="C105" s="96"/>
      <c r="D105" s="7"/>
      <c r="E105" s="9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00000000000001" customHeight="1">
      <c r="A106" s="33"/>
      <c r="B106" s="267" t="s">
        <v>209</v>
      </c>
      <c r="C106" s="267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6" ht="20.100000000000001" customHeight="1">
      <c r="A107" s="33">
        <v>1</v>
      </c>
      <c r="B107" s="257" t="s">
        <v>210</v>
      </c>
      <c r="C107" s="258"/>
      <c r="D107" s="61" t="s">
        <v>211</v>
      </c>
      <c r="E107" s="66" t="s">
        <v>118</v>
      </c>
      <c r="F107" s="62">
        <f>79039.64</f>
        <v>79039.64</v>
      </c>
      <c r="G107" s="62"/>
      <c r="H107" s="62">
        <f>F107*300%</f>
        <v>237118.91999999998</v>
      </c>
      <c r="I107" s="62">
        <f>F107*7.5%</f>
        <v>5927.973</v>
      </c>
      <c r="J107" s="62">
        <v>80244.38</v>
      </c>
      <c r="K107" s="62">
        <f>F107*50%</f>
        <v>39519.82</v>
      </c>
      <c r="L107" s="62">
        <f>F107*350%</f>
        <v>276638.74</v>
      </c>
      <c r="M107" s="62">
        <f>F107*100%</f>
        <v>79039.64</v>
      </c>
      <c r="N107" s="62">
        <f>100000</f>
        <v>100000</v>
      </c>
      <c r="O107" s="62">
        <f>F107*10%</f>
        <v>7903.9639999999999</v>
      </c>
      <c r="P107" s="62">
        <v>20000</v>
      </c>
      <c r="Q107" s="62">
        <v>0</v>
      </c>
      <c r="R107" s="36">
        <f>SUM(F107:Q107)</f>
        <v>925433.07700000005</v>
      </c>
      <c r="S107" s="36">
        <f>100000</f>
        <v>100000</v>
      </c>
      <c r="T107" s="36">
        <v>0</v>
      </c>
      <c r="U107" s="36">
        <v>0</v>
      </c>
      <c r="V107" s="62">
        <f>52776.63</f>
        <v>52776.63</v>
      </c>
      <c r="W107" s="36">
        <f>SUM(S107:V107)</f>
        <v>152776.63</v>
      </c>
      <c r="X107" s="36">
        <v>772656.44700000004</v>
      </c>
      <c r="Y107" s="36">
        <v>150000</v>
      </c>
    </row>
    <row r="108" spans="1:26" ht="20.100000000000001" customHeight="1">
      <c r="A108" s="33">
        <v>2</v>
      </c>
      <c r="B108" s="311" t="s">
        <v>212</v>
      </c>
      <c r="C108" s="312"/>
      <c r="D108" s="33" t="s">
        <v>213</v>
      </c>
      <c r="E108" s="3" t="s">
        <v>54</v>
      </c>
      <c r="F108" s="62">
        <f>33507.5</f>
        <v>33507.5</v>
      </c>
      <c r="G108" s="62"/>
      <c r="H108" s="62">
        <f>F108*300%</f>
        <v>100522.5</v>
      </c>
      <c r="I108" s="62">
        <f>F108*7.5%</f>
        <v>2513.0625</v>
      </c>
      <c r="J108" s="62">
        <v>40122.19</v>
      </c>
      <c r="K108" s="62">
        <f>F108*50%</f>
        <v>16753.75</v>
      </c>
      <c r="L108" s="62">
        <f>F108*350%</f>
        <v>117276.25</v>
      </c>
      <c r="M108" s="62">
        <f>F108*100%</f>
        <v>33507.5</v>
      </c>
      <c r="N108" s="62">
        <f t="shared" ref="N108:N111" si="94">100000</f>
        <v>100000</v>
      </c>
      <c r="O108" s="62">
        <f>F108*10%</f>
        <v>3350.75</v>
      </c>
      <c r="P108" s="62">
        <v>20000</v>
      </c>
      <c r="Q108" s="62">
        <v>0</v>
      </c>
      <c r="R108" s="36">
        <f>SUM(F108:Q108)</f>
        <v>467553.5025</v>
      </c>
      <c r="S108" s="36">
        <v>40000</v>
      </c>
      <c r="T108" s="36">
        <f>131250</f>
        <v>131250</v>
      </c>
      <c r="U108" s="36">
        <f>'[5]Jan 2021'!$H$33</f>
        <v>837.6875</v>
      </c>
      <c r="V108" s="62">
        <v>15548.33</v>
      </c>
      <c r="W108" s="36">
        <f>SUM(S108:V108)</f>
        <v>187636.01749999999</v>
      </c>
      <c r="X108" s="36">
        <v>279917.48499999999</v>
      </c>
      <c r="Y108" s="36">
        <f t="shared" ref="Y108" si="95">70000</f>
        <v>70000</v>
      </c>
    </row>
    <row r="109" spans="1:26" ht="20.100000000000001" customHeight="1">
      <c r="A109" s="33">
        <v>3</v>
      </c>
      <c r="B109" s="257" t="s">
        <v>214</v>
      </c>
      <c r="C109" s="258"/>
      <c r="D109" s="33" t="s">
        <v>215</v>
      </c>
      <c r="E109" s="3" t="s">
        <v>73</v>
      </c>
      <c r="F109" s="62">
        <f>26339.3</f>
        <v>26339.3</v>
      </c>
      <c r="G109" s="62"/>
      <c r="H109" s="62">
        <f>F109*300%</f>
        <v>79017.899999999994</v>
      </c>
      <c r="I109" s="62">
        <f>F109*7.5%</f>
        <v>1975.4474999999998</v>
      </c>
      <c r="J109" s="62">
        <v>0</v>
      </c>
      <c r="K109" s="62">
        <f>F109*50%</f>
        <v>13169.65</v>
      </c>
      <c r="L109" s="62">
        <f>F109*350%</f>
        <v>92187.55</v>
      </c>
      <c r="M109" s="62">
        <f>F109*100%</f>
        <v>26339.3</v>
      </c>
      <c r="N109" s="62">
        <f t="shared" si="94"/>
        <v>100000</v>
      </c>
      <c r="O109" s="62">
        <f>F109*10%</f>
        <v>2633.9300000000003</v>
      </c>
      <c r="P109" s="62">
        <v>15000</v>
      </c>
      <c r="Q109" s="62">
        <v>0</v>
      </c>
      <c r="R109" s="36">
        <f>SUM(F109:Q109)</f>
        <v>356663.07749999996</v>
      </c>
      <c r="S109" s="36">
        <v>30000</v>
      </c>
      <c r="T109" s="36">
        <f>0</f>
        <v>0</v>
      </c>
      <c r="U109" s="36">
        <f>'[5]Jan 2021'!$H$36</f>
        <v>658.48250000000007</v>
      </c>
      <c r="V109" s="36">
        <f>7709.76</f>
        <v>7709.76</v>
      </c>
      <c r="W109" s="36">
        <f>SUM(S109:V109)</f>
        <v>38368.2425</v>
      </c>
      <c r="X109" s="36">
        <v>318294.83499999996</v>
      </c>
      <c r="Y109" s="36">
        <v>50000</v>
      </c>
    </row>
    <row r="110" spans="1:26" ht="20.100000000000001" customHeight="1">
      <c r="A110" s="33">
        <v>4</v>
      </c>
      <c r="B110" s="269" t="s">
        <v>216</v>
      </c>
      <c r="C110" s="270"/>
      <c r="D110" s="33" t="s">
        <v>215</v>
      </c>
      <c r="E110" s="29" t="s">
        <v>98</v>
      </c>
      <c r="F110" s="26">
        <f>24741.26</f>
        <v>24741.26</v>
      </c>
      <c r="G110" s="26"/>
      <c r="H110" s="26">
        <f>F110*300%</f>
        <v>74223.78</v>
      </c>
      <c r="I110" s="26">
        <f>F110*7.5%</f>
        <v>1855.5944999999997</v>
      </c>
      <c r="J110" s="26">
        <v>0</v>
      </c>
      <c r="K110" s="26">
        <f>F110*50%</f>
        <v>12370.63</v>
      </c>
      <c r="L110" s="26">
        <f>F110*350%</f>
        <v>86594.409999999989</v>
      </c>
      <c r="M110" s="26">
        <f>F110*100%</f>
        <v>24741.26</v>
      </c>
      <c r="N110" s="62">
        <f t="shared" si="94"/>
        <v>100000</v>
      </c>
      <c r="O110" s="26">
        <f>F110*10%</f>
        <v>2474.1260000000002</v>
      </c>
      <c r="P110" s="26">
        <v>15000</v>
      </c>
      <c r="Q110" s="26"/>
      <c r="R110" s="36">
        <f>SUM(F110:Q110)</f>
        <v>342001.06049999996</v>
      </c>
      <c r="S110" s="24">
        <f>50000</f>
        <v>50000</v>
      </c>
      <c r="T110" s="24">
        <f>68750</f>
        <v>68750</v>
      </c>
      <c r="U110" s="24"/>
      <c r="V110" s="24">
        <f>7709.76</f>
        <v>7709.76</v>
      </c>
      <c r="W110" s="36">
        <f>SUM(S110:V110)</f>
        <v>126459.76</v>
      </c>
      <c r="X110" s="36">
        <v>215541.30049999995</v>
      </c>
      <c r="Y110" s="36">
        <v>50000</v>
      </c>
    </row>
    <row r="111" spans="1:26" ht="20.100000000000001" customHeight="1">
      <c r="A111" s="33">
        <v>5</v>
      </c>
      <c r="B111" s="135" t="s">
        <v>219</v>
      </c>
      <c r="C111" s="136"/>
      <c r="D111" s="1" t="s">
        <v>218</v>
      </c>
      <c r="E111" s="3" t="s">
        <v>455</v>
      </c>
      <c r="F111" s="62">
        <f>12732</f>
        <v>12732</v>
      </c>
      <c r="G111" s="62"/>
      <c r="H111" s="62">
        <f t="shared" ref="H111" si="96">F111*300%</f>
        <v>38196</v>
      </c>
      <c r="I111" s="62">
        <f t="shared" ref="I111" si="97">F111*7.5%</f>
        <v>954.9</v>
      </c>
      <c r="J111" s="62"/>
      <c r="K111" s="62">
        <f t="shared" ref="K111" si="98">F111*50%</f>
        <v>6366</v>
      </c>
      <c r="L111" s="62">
        <f t="shared" ref="L111" si="99">F111*350%</f>
        <v>44562</v>
      </c>
      <c r="M111" s="62">
        <f t="shared" ref="M111" si="100">F111*100%</f>
        <v>12732</v>
      </c>
      <c r="N111" s="62">
        <f t="shared" si="94"/>
        <v>100000</v>
      </c>
      <c r="O111" s="62">
        <f t="shared" ref="O111" si="101">F111*10%</f>
        <v>1273.2</v>
      </c>
      <c r="P111" s="62">
        <v>10000</v>
      </c>
      <c r="Q111" s="62"/>
      <c r="R111" s="36">
        <f t="shared" ref="R111" si="102">SUM(F111:Q111)</f>
        <v>226816.1</v>
      </c>
      <c r="S111" s="36">
        <f>25000</f>
        <v>25000</v>
      </c>
      <c r="T111" s="36">
        <v>0</v>
      </c>
      <c r="U111" s="36"/>
      <c r="V111" s="62">
        <f>1235.19</f>
        <v>1235.19</v>
      </c>
      <c r="W111" s="36">
        <f t="shared" ref="W111" si="103">SUM(S111:V111)</f>
        <v>26235.19</v>
      </c>
      <c r="X111" s="36">
        <v>200580.91</v>
      </c>
      <c r="Y111" s="36">
        <v>30000</v>
      </c>
    </row>
    <row r="112" spans="1:26" ht="20.100000000000001" customHeight="1">
      <c r="A112" s="33">
        <v>6</v>
      </c>
      <c r="B112" s="257" t="s">
        <v>217</v>
      </c>
      <c r="C112" s="258"/>
      <c r="D112" s="61" t="s">
        <v>494</v>
      </c>
      <c r="E112" s="66" t="s">
        <v>111</v>
      </c>
      <c r="F112" s="67">
        <f>13112.16</f>
        <v>13112.16</v>
      </c>
      <c r="G112" s="62"/>
      <c r="H112" s="62">
        <f>F112*300%</f>
        <v>39336.479999999996</v>
      </c>
      <c r="I112" s="62">
        <f>F112*7.5%</f>
        <v>983.41199999999992</v>
      </c>
      <c r="J112" s="62"/>
      <c r="K112" s="62">
        <f>F112*50%</f>
        <v>6556.08</v>
      </c>
      <c r="L112" s="36">
        <f>F112*350%</f>
        <v>45892.56</v>
      </c>
      <c r="M112" s="62">
        <f>F112*100%</f>
        <v>13112.16</v>
      </c>
      <c r="N112" s="62">
        <f>100000</f>
        <v>100000</v>
      </c>
      <c r="O112" s="62">
        <f>F112*10%</f>
        <v>1311.2160000000001</v>
      </c>
      <c r="P112" s="62">
        <v>10000</v>
      </c>
      <c r="Q112" s="62"/>
      <c r="R112" s="36">
        <f>SUM(F112:Q112)</f>
        <v>230304.068</v>
      </c>
      <c r="S112" s="36">
        <v>20000</v>
      </c>
      <c r="T112" s="36">
        <f>50000</f>
        <v>50000</v>
      </c>
      <c r="U112" s="36"/>
      <c r="V112" s="62">
        <v>1484.37</v>
      </c>
      <c r="W112" s="36">
        <f>SUM(S112:V112)</f>
        <v>71484.37</v>
      </c>
      <c r="X112" s="36">
        <v>158819.698</v>
      </c>
      <c r="Y112" s="36">
        <v>30000</v>
      </c>
    </row>
    <row r="113" spans="1:25" ht="20.100000000000001" customHeight="1">
      <c r="A113" s="33"/>
      <c r="B113" s="267" t="s">
        <v>34</v>
      </c>
      <c r="C113" s="267"/>
      <c r="D113" s="3">
        <v>6</v>
      </c>
      <c r="E113" s="33"/>
      <c r="F113" s="93">
        <f>SUM(F107:F112)</f>
        <v>189471.86000000002</v>
      </c>
      <c r="G113" s="93"/>
      <c r="H113" s="93">
        <f t="shared" ref="H113:Y113" si="104">SUM(H107:H112)</f>
        <v>568415.57999999996</v>
      </c>
      <c r="I113" s="93">
        <f t="shared" si="104"/>
        <v>14210.389499999999</v>
      </c>
      <c r="J113" s="93">
        <f t="shared" si="104"/>
        <v>120366.57</v>
      </c>
      <c r="K113" s="93">
        <f t="shared" si="104"/>
        <v>94735.930000000008</v>
      </c>
      <c r="L113" s="93">
        <f t="shared" si="104"/>
        <v>663151.51</v>
      </c>
      <c r="M113" s="93">
        <f t="shared" si="104"/>
        <v>189471.86000000002</v>
      </c>
      <c r="N113" s="93">
        <f t="shared" si="104"/>
        <v>600000</v>
      </c>
      <c r="O113" s="93">
        <f t="shared" si="104"/>
        <v>18947.186000000002</v>
      </c>
      <c r="P113" s="93">
        <f t="shared" si="104"/>
        <v>90000</v>
      </c>
      <c r="Q113" s="93">
        <f t="shared" si="104"/>
        <v>0</v>
      </c>
      <c r="R113" s="93">
        <f t="shared" si="104"/>
        <v>2548770.8854999999</v>
      </c>
      <c r="S113" s="93">
        <f t="shared" si="104"/>
        <v>265000</v>
      </c>
      <c r="T113" s="93">
        <f t="shared" si="104"/>
        <v>250000</v>
      </c>
      <c r="U113" s="93">
        <f t="shared" si="104"/>
        <v>1496.17</v>
      </c>
      <c r="V113" s="93">
        <f t="shared" si="104"/>
        <v>86464.039999999979</v>
      </c>
      <c r="W113" s="93">
        <f t="shared" si="104"/>
        <v>602960.21</v>
      </c>
      <c r="X113" s="93">
        <v>1945810.6754999999</v>
      </c>
      <c r="Y113" s="93">
        <f t="shared" si="104"/>
        <v>380000</v>
      </c>
    </row>
    <row r="114" spans="1:25" ht="20.100000000000001" customHeight="1">
      <c r="A114" s="33"/>
      <c r="B114" s="96"/>
      <c r="C114" s="96"/>
      <c r="D114" s="3"/>
      <c r="E114" s="33"/>
      <c r="F114" s="13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20.100000000000001" customHeight="1">
      <c r="A115" s="33"/>
      <c r="B115" s="267" t="s">
        <v>222</v>
      </c>
      <c r="C115" s="267"/>
      <c r="D115" s="7"/>
      <c r="E115" s="7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63"/>
      <c r="S115" s="63"/>
      <c r="T115" s="63"/>
      <c r="U115" s="63"/>
      <c r="V115" s="39"/>
      <c r="W115" s="36"/>
      <c r="X115" s="36"/>
      <c r="Y115" s="36"/>
    </row>
    <row r="116" spans="1:25" ht="20.100000000000001" customHeight="1">
      <c r="A116" s="33">
        <v>1</v>
      </c>
      <c r="B116" s="264" t="s">
        <v>223</v>
      </c>
      <c r="C116" s="264"/>
      <c r="D116" s="61" t="s">
        <v>224</v>
      </c>
      <c r="E116" s="66" t="s">
        <v>43</v>
      </c>
      <c r="F116" s="62">
        <f>81740.02</f>
        <v>81740.02</v>
      </c>
      <c r="G116" s="62"/>
      <c r="H116" s="62">
        <f t="shared" ref="H116:H125" si="105">F116*300%</f>
        <v>245220.06</v>
      </c>
      <c r="I116" s="62">
        <f t="shared" ref="I116:I125" si="106">F116*7.5%</f>
        <v>6130.5015000000003</v>
      </c>
      <c r="J116" s="62">
        <f>80244.38</f>
        <v>80244.38</v>
      </c>
      <c r="K116" s="62">
        <f t="shared" ref="K116:K125" si="107">F116*50%</f>
        <v>40870.01</v>
      </c>
      <c r="L116" s="62">
        <f t="shared" ref="L116:L125" si="108">F116*350%</f>
        <v>286090.07</v>
      </c>
      <c r="M116" s="62">
        <f t="shared" ref="M116:M124" si="109">F116*100%</f>
        <v>81740.02</v>
      </c>
      <c r="N116" s="62"/>
      <c r="O116" s="62">
        <f t="shared" ref="O116:O124" si="110">F116*10%</f>
        <v>8174.0020000000004</v>
      </c>
      <c r="P116" s="62">
        <v>20000</v>
      </c>
      <c r="Q116" s="62">
        <v>100000</v>
      </c>
      <c r="R116" s="36">
        <f t="shared" ref="R116:R125" si="111">SUM(F116:Q116)</f>
        <v>950209.06350000005</v>
      </c>
      <c r="S116" s="36">
        <f>200000</f>
        <v>200000</v>
      </c>
      <c r="T116" s="36">
        <f>227777.78</f>
        <v>227777.78</v>
      </c>
      <c r="U116" s="36">
        <f>'[5]Jan 2021'!$H$21</f>
        <v>2043.5005000000001</v>
      </c>
      <c r="V116" s="62">
        <f>52776.63</f>
        <v>52776.63</v>
      </c>
      <c r="W116" s="36">
        <f t="shared" ref="W116:W124" si="112">SUM(S116:V116)</f>
        <v>482597.91050000006</v>
      </c>
      <c r="X116" s="36">
        <v>467611.15299999999</v>
      </c>
      <c r="Y116" s="36">
        <v>150000</v>
      </c>
    </row>
    <row r="117" spans="1:25" ht="20.100000000000001" customHeight="1">
      <c r="A117" s="33">
        <v>2</v>
      </c>
      <c r="B117" s="264" t="s">
        <v>225</v>
      </c>
      <c r="C117" s="264"/>
      <c r="D117" s="61" t="s">
        <v>226</v>
      </c>
      <c r="E117" s="66" t="s">
        <v>227</v>
      </c>
      <c r="F117" s="62">
        <f>42653.17</f>
        <v>42653.17</v>
      </c>
      <c r="G117" s="62"/>
      <c r="H117" s="62">
        <f t="shared" si="105"/>
        <v>127959.51</v>
      </c>
      <c r="I117" s="62">
        <f t="shared" si="106"/>
        <v>3198.9877499999998</v>
      </c>
      <c r="J117" s="62">
        <v>40122.19</v>
      </c>
      <c r="K117" s="62">
        <f t="shared" si="107"/>
        <v>21326.584999999999</v>
      </c>
      <c r="L117" s="62">
        <f t="shared" si="108"/>
        <v>149286.095</v>
      </c>
      <c r="M117" s="62">
        <f t="shared" si="109"/>
        <v>42653.17</v>
      </c>
      <c r="N117" s="62"/>
      <c r="O117" s="62">
        <f t="shared" si="110"/>
        <v>4265.317</v>
      </c>
      <c r="P117" s="62">
        <v>20000</v>
      </c>
      <c r="Q117" s="62">
        <f>100000</f>
        <v>100000</v>
      </c>
      <c r="R117" s="36">
        <f t="shared" si="111"/>
        <v>551465.02474999998</v>
      </c>
      <c r="S117" s="36">
        <f>100000</f>
        <v>100000</v>
      </c>
      <c r="T117" s="36">
        <f>0</f>
        <v>0</v>
      </c>
      <c r="U117" s="36"/>
      <c r="V117" s="62">
        <f>21618.09</f>
        <v>21618.09</v>
      </c>
      <c r="W117" s="36">
        <f t="shared" si="112"/>
        <v>121618.09</v>
      </c>
      <c r="X117" s="36">
        <v>429846.93475000001</v>
      </c>
      <c r="Y117" s="36">
        <f t="shared" ref="Y117:Y120" si="113">70000</f>
        <v>70000</v>
      </c>
    </row>
    <row r="118" spans="1:25" ht="20.100000000000001" customHeight="1">
      <c r="A118" s="33">
        <v>3</v>
      </c>
      <c r="B118" s="264" t="s">
        <v>228</v>
      </c>
      <c r="C118" s="264"/>
      <c r="D118" s="61" t="s">
        <v>495</v>
      </c>
      <c r="E118" s="66" t="s">
        <v>54</v>
      </c>
      <c r="F118" s="26">
        <f>33507.5</f>
        <v>33507.5</v>
      </c>
      <c r="G118" s="62"/>
      <c r="H118" s="62">
        <f t="shared" si="105"/>
        <v>100522.5</v>
      </c>
      <c r="I118" s="62">
        <f t="shared" si="106"/>
        <v>2513.0625</v>
      </c>
      <c r="J118" s="62">
        <v>40122.19</v>
      </c>
      <c r="K118" s="62">
        <f t="shared" si="107"/>
        <v>16753.75</v>
      </c>
      <c r="L118" s="36">
        <f t="shared" si="108"/>
        <v>117276.25</v>
      </c>
      <c r="M118" s="62">
        <f t="shared" si="109"/>
        <v>33507.5</v>
      </c>
      <c r="N118" s="62"/>
      <c r="O118" s="62">
        <f t="shared" si="110"/>
        <v>3350.75</v>
      </c>
      <c r="P118" s="62">
        <v>20000</v>
      </c>
      <c r="Q118" s="62">
        <v>0</v>
      </c>
      <c r="R118" s="36">
        <f t="shared" si="111"/>
        <v>367553.5025</v>
      </c>
      <c r="S118" s="36">
        <f>70000</f>
        <v>70000</v>
      </c>
      <c r="T118" s="36">
        <f>129166.67</f>
        <v>129166.67</v>
      </c>
      <c r="U118" s="36">
        <f>'[5]Jan 2021'!$H$20</f>
        <v>837.6875</v>
      </c>
      <c r="V118" s="62">
        <v>15548.33</v>
      </c>
      <c r="W118" s="36">
        <f t="shared" si="112"/>
        <v>215552.68749999997</v>
      </c>
      <c r="X118" s="36">
        <v>152000.81500000003</v>
      </c>
      <c r="Y118" s="36">
        <f t="shared" si="113"/>
        <v>70000</v>
      </c>
    </row>
    <row r="119" spans="1:25" ht="20.100000000000001" customHeight="1">
      <c r="A119" s="33">
        <v>4</v>
      </c>
      <c r="B119" s="264" t="s">
        <v>59</v>
      </c>
      <c r="C119" s="264"/>
      <c r="D119" s="61" t="s">
        <v>496</v>
      </c>
      <c r="E119" s="66" t="s">
        <v>129</v>
      </c>
      <c r="F119" s="62">
        <f>32263.2</f>
        <v>32263.200000000001</v>
      </c>
      <c r="G119" s="62"/>
      <c r="H119" s="62">
        <f t="shared" si="105"/>
        <v>96789.6</v>
      </c>
      <c r="I119" s="62">
        <f t="shared" si="106"/>
        <v>2419.7399999999998</v>
      </c>
      <c r="J119" s="62">
        <f>40122.19</f>
        <v>40122.19</v>
      </c>
      <c r="K119" s="62">
        <f t="shared" si="107"/>
        <v>16131.6</v>
      </c>
      <c r="L119" s="36">
        <f t="shared" si="108"/>
        <v>112921.2</v>
      </c>
      <c r="M119" s="62">
        <f t="shared" si="109"/>
        <v>32263.200000000001</v>
      </c>
      <c r="N119" s="62"/>
      <c r="O119" s="62">
        <f t="shared" si="110"/>
        <v>3226.32</v>
      </c>
      <c r="P119" s="62">
        <v>20000</v>
      </c>
      <c r="Q119" s="62">
        <v>0</v>
      </c>
      <c r="R119" s="36">
        <f t="shared" si="111"/>
        <v>356137.05000000005</v>
      </c>
      <c r="S119" s="36">
        <f>50000</f>
        <v>50000</v>
      </c>
      <c r="T119" s="36">
        <f>90000</f>
        <v>90000</v>
      </c>
      <c r="U119" s="36">
        <f>'[5]Jan 2021'!$H$29</f>
        <v>806.58</v>
      </c>
      <c r="V119" s="62">
        <f>15548.33</f>
        <v>15548.33</v>
      </c>
      <c r="W119" s="36">
        <f t="shared" si="112"/>
        <v>156354.90999999997</v>
      </c>
      <c r="X119" s="36">
        <v>199782.14000000007</v>
      </c>
      <c r="Y119" s="36">
        <f t="shared" si="113"/>
        <v>70000</v>
      </c>
    </row>
    <row r="120" spans="1:25" ht="20.100000000000001" customHeight="1">
      <c r="A120" s="33">
        <v>5</v>
      </c>
      <c r="B120" s="268" t="s">
        <v>230</v>
      </c>
      <c r="C120" s="268"/>
      <c r="D120" s="33" t="s">
        <v>497</v>
      </c>
      <c r="E120" s="66" t="s">
        <v>129</v>
      </c>
      <c r="F120" s="62">
        <f>32263.2</f>
        <v>32263.200000000001</v>
      </c>
      <c r="G120" s="62"/>
      <c r="H120" s="62">
        <f t="shared" si="105"/>
        <v>96789.6</v>
      </c>
      <c r="I120" s="62">
        <f t="shared" si="106"/>
        <v>2419.7399999999998</v>
      </c>
      <c r="J120" s="62">
        <f>40122.19</f>
        <v>40122.19</v>
      </c>
      <c r="K120" s="62">
        <f t="shared" si="107"/>
        <v>16131.6</v>
      </c>
      <c r="L120" s="36">
        <f t="shared" si="108"/>
        <v>112921.2</v>
      </c>
      <c r="M120" s="62">
        <f t="shared" si="109"/>
        <v>32263.200000000001</v>
      </c>
      <c r="N120" s="62"/>
      <c r="O120" s="62">
        <f t="shared" si="110"/>
        <v>3226.32</v>
      </c>
      <c r="P120" s="62">
        <v>20000</v>
      </c>
      <c r="Q120" s="62">
        <f>100000</f>
        <v>100000</v>
      </c>
      <c r="R120" s="36">
        <f t="shared" si="111"/>
        <v>456137.05000000005</v>
      </c>
      <c r="S120" s="36">
        <f>100000</f>
        <v>100000</v>
      </c>
      <c r="T120" s="36"/>
      <c r="U120" s="36">
        <f>'[5]Jan 2021'!$H$22</f>
        <v>806.58</v>
      </c>
      <c r="V120" s="36">
        <f>15548.33</f>
        <v>15548.33</v>
      </c>
      <c r="W120" s="36">
        <f t="shared" si="112"/>
        <v>116354.91</v>
      </c>
      <c r="X120" s="36">
        <v>339782.14</v>
      </c>
      <c r="Y120" s="36">
        <f t="shared" si="113"/>
        <v>70000</v>
      </c>
    </row>
    <row r="121" spans="1:25" ht="20.100000000000001" customHeight="1">
      <c r="A121" s="33">
        <v>6</v>
      </c>
      <c r="B121" s="313" t="s">
        <v>233</v>
      </c>
      <c r="C121" s="313"/>
      <c r="D121" s="61" t="s">
        <v>498</v>
      </c>
      <c r="E121" s="66" t="s">
        <v>98</v>
      </c>
      <c r="F121" s="62">
        <f>24741.26</f>
        <v>24741.26</v>
      </c>
      <c r="G121" s="62"/>
      <c r="H121" s="62">
        <f t="shared" si="105"/>
        <v>74223.78</v>
      </c>
      <c r="I121" s="62">
        <f t="shared" si="106"/>
        <v>1855.5944999999997</v>
      </c>
      <c r="J121" s="62">
        <v>0</v>
      </c>
      <c r="K121" s="62">
        <f t="shared" si="107"/>
        <v>12370.63</v>
      </c>
      <c r="L121" s="36">
        <f t="shared" si="108"/>
        <v>86594.409999999989</v>
      </c>
      <c r="M121" s="62">
        <f t="shared" si="109"/>
        <v>24741.26</v>
      </c>
      <c r="N121" s="62"/>
      <c r="O121" s="62">
        <f t="shared" si="110"/>
        <v>2474.1260000000002</v>
      </c>
      <c r="P121" s="62">
        <v>15000</v>
      </c>
      <c r="Q121" s="62">
        <v>0</v>
      </c>
      <c r="R121" s="36">
        <f t="shared" si="111"/>
        <v>242001.06049999999</v>
      </c>
      <c r="S121" s="36">
        <f>30000</f>
        <v>30000</v>
      </c>
      <c r="T121" s="36">
        <f>50000</f>
        <v>50000</v>
      </c>
      <c r="U121" s="36"/>
      <c r="V121" s="62">
        <f>7709.76</f>
        <v>7709.76</v>
      </c>
      <c r="W121" s="36">
        <f t="shared" si="112"/>
        <v>87709.759999999995</v>
      </c>
      <c r="X121" s="36">
        <v>154291.30050000001</v>
      </c>
      <c r="Y121" s="36">
        <v>50000</v>
      </c>
    </row>
    <row r="122" spans="1:25" ht="20.100000000000001" customHeight="1">
      <c r="A122" s="33">
        <v>7</v>
      </c>
      <c r="B122" s="264" t="s">
        <v>235</v>
      </c>
      <c r="C122" s="264"/>
      <c r="D122" s="61" t="s">
        <v>499</v>
      </c>
      <c r="E122" s="66" t="s">
        <v>79</v>
      </c>
      <c r="F122" s="62">
        <f>23891.12</f>
        <v>23891.119999999999</v>
      </c>
      <c r="G122" s="62"/>
      <c r="H122" s="62">
        <f t="shared" si="105"/>
        <v>71673.36</v>
      </c>
      <c r="I122" s="62">
        <f t="shared" si="106"/>
        <v>1791.8339999999998</v>
      </c>
      <c r="J122" s="62"/>
      <c r="K122" s="62">
        <f t="shared" si="107"/>
        <v>11945.56</v>
      </c>
      <c r="L122" s="36">
        <f t="shared" si="108"/>
        <v>83618.92</v>
      </c>
      <c r="M122" s="62">
        <f t="shared" si="109"/>
        <v>23891.119999999999</v>
      </c>
      <c r="N122" s="62"/>
      <c r="O122" s="62">
        <f t="shared" si="110"/>
        <v>2389.1120000000001</v>
      </c>
      <c r="P122" s="62">
        <v>15000</v>
      </c>
      <c r="Q122" s="62">
        <f>30000</f>
        <v>30000</v>
      </c>
      <c r="R122" s="36">
        <f t="shared" si="111"/>
        <v>264201.02599999995</v>
      </c>
      <c r="S122" s="36">
        <f>50000+20000</f>
        <v>70000</v>
      </c>
      <c r="T122" s="36">
        <f>45833.33</f>
        <v>45833.33</v>
      </c>
      <c r="U122" s="36">
        <f>'[5]Jan 2021'!$H$51</f>
        <v>597.27800000000002</v>
      </c>
      <c r="V122" s="62">
        <f>7709.76</f>
        <v>7709.76</v>
      </c>
      <c r="W122" s="36">
        <f t="shared" si="112"/>
        <v>124140.368</v>
      </c>
      <c r="X122" s="36">
        <v>140060.65799999994</v>
      </c>
      <c r="Y122" s="36">
        <v>50000</v>
      </c>
    </row>
    <row r="123" spans="1:25" ht="20.100000000000001" customHeight="1">
      <c r="A123" s="33">
        <v>8</v>
      </c>
      <c r="B123" s="264" t="s">
        <v>237</v>
      </c>
      <c r="C123" s="264"/>
      <c r="D123" s="61" t="s">
        <v>499</v>
      </c>
      <c r="E123" s="66" t="s">
        <v>79</v>
      </c>
      <c r="F123" s="62">
        <f>23891.12</f>
        <v>23891.119999999999</v>
      </c>
      <c r="G123" s="62"/>
      <c r="H123" s="62">
        <f t="shared" si="105"/>
        <v>71673.36</v>
      </c>
      <c r="I123" s="62">
        <f t="shared" si="106"/>
        <v>1791.8339999999998</v>
      </c>
      <c r="J123" s="62"/>
      <c r="K123" s="62">
        <f t="shared" si="107"/>
        <v>11945.56</v>
      </c>
      <c r="L123" s="36">
        <f t="shared" si="108"/>
        <v>83618.92</v>
      </c>
      <c r="M123" s="62">
        <f t="shared" si="109"/>
        <v>23891.119999999999</v>
      </c>
      <c r="N123" s="62"/>
      <c r="O123" s="62">
        <f t="shared" si="110"/>
        <v>2389.1120000000001</v>
      </c>
      <c r="P123" s="62">
        <v>15000</v>
      </c>
      <c r="Q123" s="62"/>
      <c r="R123" s="36">
        <f t="shared" si="111"/>
        <v>234201.02599999998</v>
      </c>
      <c r="S123" s="36">
        <f>30000+20000</f>
        <v>50000</v>
      </c>
      <c r="T123" s="36">
        <f>65555.56</f>
        <v>65555.56</v>
      </c>
      <c r="U123" s="36">
        <f>'[5]Jan 2021'!$H$25</f>
        <v>597.27800000000002</v>
      </c>
      <c r="V123" s="62">
        <f>7709.76</f>
        <v>7709.76</v>
      </c>
      <c r="W123" s="36">
        <f t="shared" si="112"/>
        <v>123862.598</v>
      </c>
      <c r="X123" s="36">
        <v>110338.42799999999</v>
      </c>
      <c r="Y123" s="36">
        <v>50000</v>
      </c>
    </row>
    <row r="124" spans="1:25" ht="20.100000000000001" customHeight="1">
      <c r="A124" s="33">
        <v>9</v>
      </c>
      <c r="B124" s="257" t="s">
        <v>104</v>
      </c>
      <c r="C124" s="258"/>
      <c r="D124" s="61" t="s">
        <v>105</v>
      </c>
      <c r="E124" s="66" t="s">
        <v>111</v>
      </c>
      <c r="F124" s="67">
        <f>13112.16</f>
        <v>13112.16</v>
      </c>
      <c r="G124" s="62"/>
      <c r="H124" s="62">
        <f t="shared" si="105"/>
        <v>39336.479999999996</v>
      </c>
      <c r="I124" s="62">
        <f t="shared" si="106"/>
        <v>983.41199999999992</v>
      </c>
      <c r="J124" s="62"/>
      <c r="K124" s="62">
        <f t="shared" si="107"/>
        <v>6556.08</v>
      </c>
      <c r="L124" s="36">
        <f t="shared" si="108"/>
        <v>45892.56</v>
      </c>
      <c r="M124" s="62">
        <f t="shared" si="109"/>
        <v>13112.16</v>
      </c>
      <c r="N124" s="62"/>
      <c r="O124" s="62">
        <f t="shared" si="110"/>
        <v>1311.2160000000001</v>
      </c>
      <c r="P124" s="62">
        <v>10000</v>
      </c>
      <c r="Q124" s="62"/>
      <c r="R124" s="36">
        <f t="shared" si="111"/>
        <v>130304.068</v>
      </c>
      <c r="S124" s="36">
        <f>10000</f>
        <v>10000</v>
      </c>
      <c r="T124" s="36"/>
      <c r="U124" s="36"/>
      <c r="V124" s="62">
        <v>1484.37</v>
      </c>
      <c r="W124" s="36">
        <f t="shared" si="112"/>
        <v>11484.369999999999</v>
      </c>
      <c r="X124" s="36">
        <v>118819.698</v>
      </c>
      <c r="Y124" s="36">
        <v>30000</v>
      </c>
    </row>
    <row r="125" spans="1:25" ht="20.100000000000001" customHeight="1">
      <c r="A125" s="33">
        <v>10</v>
      </c>
      <c r="B125" s="97" t="s">
        <v>107</v>
      </c>
      <c r="C125" s="98"/>
      <c r="D125" s="61" t="s">
        <v>105</v>
      </c>
      <c r="E125" s="66" t="s">
        <v>500</v>
      </c>
      <c r="F125" s="67">
        <f>12732</f>
        <v>12732</v>
      </c>
      <c r="G125" s="62"/>
      <c r="H125" s="62">
        <f t="shared" si="105"/>
        <v>38196</v>
      </c>
      <c r="I125" s="62">
        <f t="shared" si="106"/>
        <v>954.9</v>
      </c>
      <c r="J125" s="62"/>
      <c r="K125" s="62">
        <f t="shared" si="107"/>
        <v>6366</v>
      </c>
      <c r="L125" s="36">
        <f t="shared" si="108"/>
        <v>44562</v>
      </c>
      <c r="M125" s="62">
        <f>F125*100%</f>
        <v>12732</v>
      </c>
      <c r="N125" s="42"/>
      <c r="O125" s="62">
        <f>F125*10%</f>
        <v>1273.2</v>
      </c>
      <c r="P125" s="62">
        <v>10000</v>
      </c>
      <c r="R125" s="62">
        <f t="shared" si="111"/>
        <v>126816.09999999999</v>
      </c>
      <c r="S125" s="36">
        <f>20000</f>
        <v>20000</v>
      </c>
      <c r="T125" s="36"/>
      <c r="U125" s="36"/>
      <c r="V125" s="62">
        <f>(1484.37)</f>
        <v>1484.37</v>
      </c>
      <c r="W125" s="107">
        <f>S125+T125+U125+V125</f>
        <v>21484.37</v>
      </c>
      <c r="X125" s="36">
        <v>105331.73</v>
      </c>
      <c r="Y125" s="36">
        <v>30000</v>
      </c>
    </row>
    <row r="126" spans="1:25" ht="20.100000000000001" customHeight="1">
      <c r="A126" s="33"/>
      <c r="B126" s="267" t="s">
        <v>34</v>
      </c>
      <c r="C126" s="267"/>
      <c r="D126" s="91" t="s">
        <v>501</v>
      </c>
      <c r="E126" s="66"/>
      <c r="F126" s="39">
        <f>SUM(F116:F125)</f>
        <v>320794.75</v>
      </c>
      <c r="G126" s="39"/>
      <c r="H126" s="39">
        <f t="shared" ref="H126:Y126" si="114">SUM(H116:H125)</f>
        <v>962384.25</v>
      </c>
      <c r="I126" s="39">
        <f t="shared" si="114"/>
        <v>24059.606250000001</v>
      </c>
      <c r="J126" s="39">
        <f t="shared" si="114"/>
        <v>240733.14</v>
      </c>
      <c r="K126" s="39">
        <f t="shared" si="114"/>
        <v>160397.375</v>
      </c>
      <c r="L126" s="63">
        <f t="shared" si="114"/>
        <v>1122781.625</v>
      </c>
      <c r="M126" s="39">
        <f t="shared" si="114"/>
        <v>320794.75</v>
      </c>
      <c r="N126" s="95">
        <f t="shared" si="114"/>
        <v>0</v>
      </c>
      <c r="O126" s="39">
        <f t="shared" si="114"/>
        <v>32079.475000000002</v>
      </c>
      <c r="P126" s="39">
        <f t="shared" si="114"/>
        <v>165000</v>
      </c>
      <c r="Q126" s="39">
        <f t="shared" si="114"/>
        <v>330000</v>
      </c>
      <c r="R126" s="63">
        <f t="shared" si="114"/>
        <v>3679024.9712500004</v>
      </c>
      <c r="S126" s="63">
        <f t="shared" si="114"/>
        <v>700000</v>
      </c>
      <c r="T126" s="63">
        <f t="shared" si="114"/>
        <v>608333.34000000008</v>
      </c>
      <c r="U126" s="63">
        <f t="shared" si="114"/>
        <v>5688.9040000000005</v>
      </c>
      <c r="V126" s="39">
        <f t="shared" si="114"/>
        <v>147137.73000000001</v>
      </c>
      <c r="W126" s="63">
        <f t="shared" si="114"/>
        <v>1461159.9740000002</v>
      </c>
      <c r="X126" s="63">
        <v>2217864.99725</v>
      </c>
      <c r="Y126" s="63">
        <f t="shared" si="114"/>
        <v>640000</v>
      </c>
    </row>
    <row r="127" spans="1:25" ht="20.100000000000001" customHeight="1">
      <c r="A127" s="33"/>
      <c r="B127" s="96"/>
      <c r="C127" s="96"/>
      <c r="D127" s="91"/>
      <c r="E127" s="66"/>
      <c r="F127" s="39"/>
      <c r="G127" s="39"/>
      <c r="H127" s="39"/>
      <c r="I127" s="39"/>
      <c r="J127" s="39"/>
      <c r="K127" s="39"/>
      <c r="L127" s="63"/>
      <c r="M127" s="39"/>
      <c r="N127" s="39"/>
      <c r="O127" s="39"/>
      <c r="P127" s="39"/>
      <c r="Q127" s="39"/>
      <c r="R127" s="63"/>
      <c r="S127" s="63"/>
      <c r="T127" s="63"/>
      <c r="U127" s="63"/>
      <c r="V127" s="39"/>
      <c r="W127" s="63"/>
      <c r="X127" s="63"/>
      <c r="Y127" s="63"/>
    </row>
    <row r="128" spans="1:25" ht="20.100000000000001" customHeight="1">
      <c r="A128" s="33"/>
      <c r="B128" s="267" t="s">
        <v>242</v>
      </c>
      <c r="C128" s="267"/>
      <c r="D128" s="61"/>
      <c r="E128" s="66"/>
      <c r="F128" s="62"/>
      <c r="G128" s="62"/>
      <c r="H128" s="62"/>
      <c r="I128" s="62"/>
      <c r="J128" s="62"/>
      <c r="K128" s="62"/>
      <c r="L128" s="36"/>
      <c r="M128" s="62"/>
      <c r="N128" s="62"/>
      <c r="O128" s="62"/>
      <c r="P128" s="62"/>
      <c r="Q128" s="62"/>
      <c r="R128" s="36"/>
      <c r="S128" s="36"/>
      <c r="T128" s="36"/>
      <c r="U128" s="36"/>
      <c r="V128" s="62"/>
      <c r="W128" s="36"/>
      <c r="X128" s="36"/>
      <c r="Y128" s="36"/>
    </row>
    <row r="129" spans="1:25" ht="20.100000000000001" customHeight="1">
      <c r="A129" s="33">
        <v>1</v>
      </c>
      <c r="B129" s="264" t="s">
        <v>243</v>
      </c>
      <c r="C129" s="264"/>
      <c r="D129" s="61" t="s">
        <v>502</v>
      </c>
      <c r="E129" s="66" t="s">
        <v>43</v>
      </c>
      <c r="F129" s="62"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v>50000</v>
      </c>
      <c r="T129" s="36">
        <f>320000</f>
        <v>320000</v>
      </c>
      <c r="U129" s="36">
        <f>2043.5</f>
        <v>2043.5</v>
      </c>
      <c r="V129" s="62">
        <v>52776.63</v>
      </c>
      <c r="W129" s="36">
        <f>SUM(S129:V129)</f>
        <v>424820.13</v>
      </c>
      <c r="X129" s="36">
        <v>425388.93350000004</v>
      </c>
      <c r="Y129" s="36">
        <v>150000</v>
      </c>
    </row>
    <row r="130" spans="1:25" ht="20.100000000000001" customHeight="1">
      <c r="A130" s="33">
        <v>2</v>
      </c>
      <c r="B130" s="264" t="s">
        <v>245</v>
      </c>
      <c r="C130" s="264"/>
      <c r="D130" s="61" t="s">
        <v>503</v>
      </c>
      <c r="E130" s="66" t="s">
        <v>43</v>
      </c>
      <c r="F130" s="62">
        <f>81740.02</f>
        <v>81740.02</v>
      </c>
      <c r="G130" s="62"/>
      <c r="H130" s="62">
        <f>F130*300%</f>
        <v>245220.06</v>
      </c>
      <c r="I130" s="62">
        <f>F130*7.5%</f>
        <v>6130.5015000000003</v>
      </c>
      <c r="J130" s="62">
        <f>80244.38</f>
        <v>80244.38</v>
      </c>
      <c r="K130" s="62">
        <f>F130*50%</f>
        <v>40870.01</v>
      </c>
      <c r="L130" s="62">
        <f>F130*350%</f>
        <v>286090.07</v>
      </c>
      <c r="M130" s="62">
        <f>F130*100%</f>
        <v>81740.02</v>
      </c>
      <c r="N130" s="62"/>
      <c r="O130" s="62">
        <f>F130*10%</f>
        <v>8174.0020000000004</v>
      </c>
      <c r="P130" s="62">
        <v>20000</v>
      </c>
      <c r="Q130" s="62">
        <v>0</v>
      </c>
      <c r="R130" s="36">
        <f>SUM(F130:Q130)</f>
        <v>850209.06350000005</v>
      </c>
      <c r="S130" s="36">
        <f>100000</f>
        <v>100000</v>
      </c>
      <c r="T130" s="36">
        <f>159722.22</f>
        <v>159722.22</v>
      </c>
      <c r="U130" s="36"/>
      <c r="V130" s="62">
        <f>52776.63</f>
        <v>52776.63</v>
      </c>
      <c r="W130" s="36">
        <f t="shared" ref="W130:W178" si="115">SUM(S130:V130)</f>
        <v>312498.84999999998</v>
      </c>
      <c r="X130" s="36">
        <v>537710.21350000007</v>
      </c>
      <c r="Y130" s="36">
        <v>150000</v>
      </c>
    </row>
    <row r="131" spans="1:25" ht="20.100000000000001" customHeight="1">
      <c r="A131" s="33">
        <v>3</v>
      </c>
      <c r="B131" s="313" t="s">
        <v>247</v>
      </c>
      <c r="C131" s="313"/>
      <c r="D131" s="61" t="s">
        <v>504</v>
      </c>
      <c r="E131" s="66" t="s">
        <v>227</v>
      </c>
      <c r="F131" s="62">
        <f>42653.17</f>
        <v>42653.17</v>
      </c>
      <c r="G131" s="62"/>
      <c r="H131" s="62">
        <f t="shared" ref="H131:H178" si="116">F131*300%</f>
        <v>127959.51</v>
      </c>
      <c r="I131" s="62">
        <f t="shared" ref="I131:I178" si="117">F131*7.5%</f>
        <v>3198.9877499999998</v>
      </c>
      <c r="J131" s="62">
        <v>40122.19</v>
      </c>
      <c r="K131" s="62">
        <f t="shared" ref="K131:K178" si="118">F131*50%</f>
        <v>21326.584999999999</v>
      </c>
      <c r="L131" s="62">
        <f t="shared" ref="L131:L178" si="119">F131*350%</f>
        <v>149286.095</v>
      </c>
      <c r="M131" s="62">
        <f t="shared" ref="M131:M149" si="120">F131*100%</f>
        <v>42653.17</v>
      </c>
      <c r="N131" s="62"/>
      <c r="O131" s="62">
        <f t="shared" ref="O131:O149" si="121">F131*10%</f>
        <v>4265.317</v>
      </c>
      <c r="P131" s="62">
        <v>20000</v>
      </c>
      <c r="Q131" s="62">
        <v>0</v>
      </c>
      <c r="R131" s="36">
        <f t="shared" ref="R131:R178" si="122">SUM(F131:Q131)</f>
        <v>451465.02474999998</v>
      </c>
      <c r="S131" s="36">
        <f>25000</f>
        <v>25000</v>
      </c>
      <c r="T131" s="36">
        <f>168055.54</f>
        <v>168055.54</v>
      </c>
      <c r="U131" s="36"/>
      <c r="V131" s="62">
        <f>21618.09</f>
        <v>21618.09</v>
      </c>
      <c r="W131" s="36">
        <f t="shared" si="115"/>
        <v>214673.63</v>
      </c>
      <c r="X131" s="36">
        <v>236791.39474999998</v>
      </c>
      <c r="Y131" s="36">
        <f t="shared" ref="Y131:Y132" si="123">70000</f>
        <v>70000</v>
      </c>
    </row>
    <row r="132" spans="1:25" ht="20.100000000000001" customHeight="1">
      <c r="A132" s="33">
        <v>4</v>
      </c>
      <c r="B132" s="265" t="s">
        <v>249</v>
      </c>
      <c r="C132" s="266"/>
      <c r="D132" s="20" t="s">
        <v>505</v>
      </c>
      <c r="E132" s="25" t="s">
        <v>54</v>
      </c>
      <c r="F132" s="62">
        <v>33507.5</v>
      </c>
      <c r="G132" s="26"/>
      <c r="H132" s="26">
        <f t="shared" si="116"/>
        <v>100522.5</v>
      </c>
      <c r="I132" s="26">
        <f t="shared" si="117"/>
        <v>2513.0625</v>
      </c>
      <c r="J132" s="26">
        <v>40122.19</v>
      </c>
      <c r="K132" s="26">
        <f t="shared" si="118"/>
        <v>16753.75</v>
      </c>
      <c r="L132" s="26">
        <f t="shared" si="119"/>
        <v>117276.25</v>
      </c>
      <c r="M132" s="26">
        <f t="shared" si="120"/>
        <v>33507.5</v>
      </c>
      <c r="N132" s="62"/>
      <c r="O132" s="26">
        <f t="shared" si="121"/>
        <v>3350.75</v>
      </c>
      <c r="P132" s="26">
        <v>20000</v>
      </c>
      <c r="Q132" s="26">
        <v>50000</v>
      </c>
      <c r="R132" s="36">
        <f t="shared" si="122"/>
        <v>417553.5025</v>
      </c>
      <c r="S132" s="24">
        <f>37500</f>
        <v>37500</v>
      </c>
      <c r="T132" s="24"/>
      <c r="U132" s="24">
        <f>'[5]Jan 2021'!$H$52</f>
        <v>837.6875</v>
      </c>
      <c r="V132" s="24">
        <v>15548.33</v>
      </c>
      <c r="W132" s="36">
        <f t="shared" si="115"/>
        <v>53886.017500000002</v>
      </c>
      <c r="X132" s="36">
        <v>363667.48499999999</v>
      </c>
      <c r="Y132" s="36">
        <f t="shared" si="123"/>
        <v>70000</v>
      </c>
    </row>
    <row r="133" spans="1:25" ht="20.100000000000001" customHeight="1">
      <c r="A133" s="33">
        <v>5</v>
      </c>
      <c r="B133" s="264" t="s">
        <v>253</v>
      </c>
      <c r="C133" s="264"/>
      <c r="D133" s="61" t="s">
        <v>446</v>
      </c>
      <c r="E133" s="66" t="s">
        <v>138</v>
      </c>
      <c r="F133" s="62">
        <f>25523.45</f>
        <v>25523.45</v>
      </c>
      <c r="G133" s="62"/>
      <c r="H133" s="62">
        <f t="shared" si="116"/>
        <v>76570.350000000006</v>
      </c>
      <c r="I133" s="62">
        <f t="shared" si="117"/>
        <v>1914.25875</v>
      </c>
      <c r="J133" s="62">
        <v>0</v>
      </c>
      <c r="K133" s="62">
        <f t="shared" si="118"/>
        <v>12761.725</v>
      </c>
      <c r="L133" s="36">
        <f t="shared" si="119"/>
        <v>89332.074999999997</v>
      </c>
      <c r="M133" s="62">
        <f t="shared" si="120"/>
        <v>25523.45</v>
      </c>
      <c r="N133" s="62"/>
      <c r="O133" s="62">
        <f t="shared" si="121"/>
        <v>2552.3450000000003</v>
      </c>
      <c r="P133" s="62">
        <v>15000</v>
      </c>
      <c r="Q133" s="62"/>
      <c r="R133" s="36">
        <f t="shared" si="122"/>
        <v>249177.65375000003</v>
      </c>
      <c r="S133" s="36">
        <v>10000</v>
      </c>
      <c r="T133" s="36">
        <f>52500</f>
        <v>52500</v>
      </c>
      <c r="U133" s="36">
        <f>'[5]Jan 2021'!$H$49</f>
        <v>638.08625000000006</v>
      </c>
      <c r="V133" s="62">
        <v>7709.76</v>
      </c>
      <c r="W133" s="36">
        <f t="shared" si="115"/>
        <v>70847.846250000002</v>
      </c>
      <c r="X133" s="36">
        <v>178329.80750000002</v>
      </c>
      <c r="Y133" s="36">
        <v>50000</v>
      </c>
    </row>
    <row r="134" spans="1:25" ht="20.100000000000001" customHeight="1">
      <c r="A134" s="33">
        <v>6</v>
      </c>
      <c r="B134" s="264" t="s">
        <v>255</v>
      </c>
      <c r="C134" s="264"/>
      <c r="D134" s="33" t="s">
        <v>258</v>
      </c>
      <c r="E134" s="66" t="s">
        <v>138</v>
      </c>
      <c r="F134" s="62">
        <f>25523.45</f>
        <v>25523.45</v>
      </c>
      <c r="G134" s="62"/>
      <c r="H134" s="62">
        <f t="shared" si="116"/>
        <v>76570.350000000006</v>
      </c>
      <c r="I134" s="62">
        <f t="shared" si="117"/>
        <v>1914.25875</v>
      </c>
      <c r="J134" s="62">
        <v>0</v>
      </c>
      <c r="K134" s="62">
        <f t="shared" si="118"/>
        <v>12761.725</v>
      </c>
      <c r="L134" s="36">
        <f t="shared" si="119"/>
        <v>89332.074999999997</v>
      </c>
      <c r="M134" s="62">
        <f t="shared" si="120"/>
        <v>25523.45</v>
      </c>
      <c r="N134" s="62"/>
      <c r="O134" s="62">
        <f t="shared" si="121"/>
        <v>2552.3450000000003</v>
      </c>
      <c r="P134" s="62">
        <v>15000</v>
      </c>
      <c r="Q134" s="62">
        <v>0</v>
      </c>
      <c r="R134" s="36">
        <f t="shared" si="122"/>
        <v>249177.65375000003</v>
      </c>
      <c r="S134" s="36">
        <f>0</f>
        <v>0</v>
      </c>
      <c r="T134" s="36">
        <f>0</f>
        <v>0</v>
      </c>
      <c r="U134" s="36">
        <f>'[5]Jan 2021'!$H$53</f>
        <v>638.08625000000006</v>
      </c>
      <c r="V134" s="62">
        <v>7709.76</v>
      </c>
      <c r="W134" s="36">
        <f t="shared" si="115"/>
        <v>8347.8462500000005</v>
      </c>
      <c r="X134" s="36">
        <v>240829.80750000002</v>
      </c>
      <c r="Y134" s="36">
        <v>50000</v>
      </c>
    </row>
    <row r="135" spans="1:25" ht="20.100000000000001" customHeight="1">
      <c r="A135" s="33">
        <v>7</v>
      </c>
      <c r="B135" s="264" t="s">
        <v>399</v>
      </c>
      <c r="C135" s="264"/>
      <c r="D135" s="33" t="s">
        <v>258</v>
      </c>
      <c r="E135" s="66" t="s">
        <v>138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</f>
        <v>50000</v>
      </c>
      <c r="U135" s="36"/>
      <c r="V135" s="62">
        <v>7709.76</v>
      </c>
      <c r="W135" s="36">
        <f>SUM(S135:V135)</f>
        <v>60709.760000000002</v>
      </c>
      <c r="X135" s="36">
        <v>188467.89375000002</v>
      </c>
      <c r="Y135" s="36">
        <v>50000</v>
      </c>
    </row>
    <row r="136" spans="1:25" ht="20.100000000000001" customHeight="1">
      <c r="A136" s="33">
        <v>8</v>
      </c>
      <c r="B136" s="264" t="s">
        <v>257</v>
      </c>
      <c r="C136" s="264"/>
      <c r="D136" s="33" t="s">
        <v>258</v>
      </c>
      <c r="E136" s="66" t="s">
        <v>79</v>
      </c>
      <c r="F136" s="62">
        <f>23891.12</f>
        <v>23891.119999999999</v>
      </c>
      <c r="G136" s="62"/>
      <c r="H136" s="62">
        <f t="shared" si="116"/>
        <v>71673.36</v>
      </c>
      <c r="I136" s="62">
        <f t="shared" si="117"/>
        <v>1791.8339999999998</v>
      </c>
      <c r="J136" s="36">
        <v>0</v>
      </c>
      <c r="K136" s="62">
        <f t="shared" si="118"/>
        <v>11945.56</v>
      </c>
      <c r="L136" s="36">
        <f t="shared" si="119"/>
        <v>83618.92</v>
      </c>
      <c r="M136" s="62">
        <f t="shared" si="120"/>
        <v>23891.119999999999</v>
      </c>
      <c r="N136" s="62"/>
      <c r="O136" s="62">
        <f t="shared" si="121"/>
        <v>2389.1120000000001</v>
      </c>
      <c r="P136" s="62">
        <v>15000</v>
      </c>
      <c r="Q136" s="62">
        <v>0</v>
      </c>
      <c r="R136" s="36">
        <f t="shared" si="122"/>
        <v>234201.02599999998</v>
      </c>
      <c r="S136" s="36">
        <f>10000</f>
        <v>10000</v>
      </c>
      <c r="T136" s="36">
        <f>0</f>
        <v>0</v>
      </c>
      <c r="U136" s="36"/>
      <c r="V136" s="62">
        <f>7709.76</f>
        <v>7709.76</v>
      </c>
      <c r="W136" s="36">
        <f t="shared" si="115"/>
        <v>17709.760000000002</v>
      </c>
      <c r="X136" s="36">
        <v>216491.26599999997</v>
      </c>
      <c r="Y136" s="36">
        <v>50000</v>
      </c>
    </row>
    <row r="137" spans="1:25" ht="20.100000000000001" customHeight="1">
      <c r="A137" s="33">
        <v>9</v>
      </c>
      <c r="B137" s="257" t="s">
        <v>259</v>
      </c>
      <c r="C137" s="258"/>
      <c r="D137" s="61" t="s">
        <v>447</v>
      </c>
      <c r="E137" s="66" t="s">
        <v>208</v>
      </c>
      <c r="F137" s="62">
        <f>19276.95</f>
        <v>19276.95</v>
      </c>
      <c r="G137" s="62"/>
      <c r="H137" s="62">
        <f>F137*300%</f>
        <v>57830.850000000006</v>
      </c>
      <c r="I137" s="62">
        <f>F137*7.5%</f>
        <v>1445.77125</v>
      </c>
      <c r="J137" s="62">
        <v>0</v>
      </c>
      <c r="K137" s="62">
        <f>F137*50%</f>
        <v>9638.4750000000004</v>
      </c>
      <c r="L137" s="36">
        <f>F137*350%</f>
        <v>67469.324999999997</v>
      </c>
      <c r="M137" s="62">
        <f>F137*100%</f>
        <v>19276.95</v>
      </c>
      <c r="N137" s="62"/>
      <c r="O137" s="62">
        <f>F137*10%</f>
        <v>1927.6950000000002</v>
      </c>
      <c r="P137" s="62">
        <v>10000</v>
      </c>
      <c r="Q137" s="62">
        <v>0</v>
      </c>
      <c r="R137" s="36">
        <f>SUM(F137:Q137)</f>
        <v>186866.01625000004</v>
      </c>
      <c r="S137" s="36">
        <v>10000</v>
      </c>
      <c r="T137" s="36">
        <f>0</f>
        <v>0</v>
      </c>
      <c r="U137" s="36">
        <f>'[5]Jan 2021'!$H$41</f>
        <v>481.92375000000004</v>
      </c>
      <c r="V137" s="62">
        <f>3369.51</f>
        <v>3369.51</v>
      </c>
      <c r="W137" s="36">
        <f>SUM(S137:V137)</f>
        <v>13851.43375</v>
      </c>
      <c r="X137" s="36">
        <v>173014.58250000005</v>
      </c>
      <c r="Y137" s="36">
        <v>30000</v>
      </c>
    </row>
    <row r="138" spans="1:25" ht="20.100000000000001" customHeight="1">
      <c r="A138" s="33">
        <v>10</v>
      </c>
      <c r="B138" s="264" t="s">
        <v>261</v>
      </c>
      <c r="C138" s="264"/>
      <c r="D138" s="33" t="s">
        <v>447</v>
      </c>
      <c r="E138" s="66" t="s">
        <v>82</v>
      </c>
      <c r="F138" s="36">
        <f>18779.3</f>
        <v>18779.3</v>
      </c>
      <c r="G138" s="62"/>
      <c r="H138" s="62">
        <f>F138*300%</f>
        <v>56337.899999999994</v>
      </c>
      <c r="I138" s="62">
        <f>F138*7.5%</f>
        <v>1408.4475</v>
      </c>
      <c r="J138" s="62">
        <v>0</v>
      </c>
      <c r="K138" s="62">
        <f>F138*50%</f>
        <v>9389.65</v>
      </c>
      <c r="L138" s="36">
        <f>F138*350%</f>
        <v>65727.55</v>
      </c>
      <c r="M138" s="26">
        <f t="shared" si="120"/>
        <v>18779.3</v>
      </c>
      <c r="N138" s="62"/>
      <c r="O138" s="62">
        <f t="shared" si="121"/>
        <v>1877.93</v>
      </c>
      <c r="P138" s="62">
        <v>10000</v>
      </c>
      <c r="Q138" s="62">
        <v>0</v>
      </c>
      <c r="R138" s="36">
        <f t="shared" si="122"/>
        <v>182300.07749999996</v>
      </c>
      <c r="S138" s="36"/>
      <c r="T138" s="36">
        <f>50000</f>
        <v>50000</v>
      </c>
      <c r="U138" s="36"/>
      <c r="V138" s="62">
        <v>3369.51</v>
      </c>
      <c r="W138" s="36">
        <f t="shared" si="115"/>
        <v>53369.51</v>
      </c>
      <c r="X138" s="36">
        <v>128930.56749999995</v>
      </c>
      <c r="Y138" s="36">
        <v>30000</v>
      </c>
    </row>
    <row r="139" spans="1:25" ht="20.100000000000001" customHeight="1">
      <c r="A139" s="33">
        <v>11</v>
      </c>
      <c r="B139" s="257" t="s">
        <v>263</v>
      </c>
      <c r="C139" s="258"/>
      <c r="D139" s="33" t="s">
        <v>264</v>
      </c>
      <c r="E139" s="66" t="s">
        <v>103</v>
      </c>
      <c r="F139" s="26">
        <f>18281.64</f>
        <v>18281.64</v>
      </c>
      <c r="G139" s="62"/>
      <c r="H139" s="62">
        <f>F139*300%</f>
        <v>54844.92</v>
      </c>
      <c r="I139" s="62">
        <f>F139*7.5%</f>
        <v>1371.1229999999998</v>
      </c>
      <c r="J139" s="62"/>
      <c r="K139" s="62">
        <f>F139*50%</f>
        <v>9140.82</v>
      </c>
      <c r="L139" s="36">
        <f>F139*350%</f>
        <v>63985.74</v>
      </c>
      <c r="M139" s="26">
        <f t="shared" si="120"/>
        <v>18281.64</v>
      </c>
      <c r="N139" s="62"/>
      <c r="O139" s="62">
        <f t="shared" si="121"/>
        <v>1828.164</v>
      </c>
      <c r="P139" s="62">
        <v>10000</v>
      </c>
      <c r="Q139" s="62"/>
      <c r="R139" s="36">
        <f t="shared" si="122"/>
        <v>177734.04699999996</v>
      </c>
      <c r="S139" s="36">
        <f>50000</f>
        <v>50000</v>
      </c>
      <c r="T139" s="36">
        <f>93721.55</f>
        <v>93721.55</v>
      </c>
      <c r="U139" s="36"/>
      <c r="V139" s="62">
        <v>3369.51</v>
      </c>
      <c r="W139" s="36">
        <f t="shared" si="115"/>
        <v>147091.06</v>
      </c>
      <c r="X139" s="36">
        <v>30642.986999999965</v>
      </c>
      <c r="Y139" s="36">
        <v>30000</v>
      </c>
    </row>
    <row r="140" spans="1:25" ht="20.100000000000001" customHeight="1">
      <c r="A140" s="33">
        <v>12</v>
      </c>
      <c r="B140" s="257" t="s">
        <v>265</v>
      </c>
      <c r="C140" s="258"/>
      <c r="D140" s="61" t="s">
        <v>266</v>
      </c>
      <c r="E140" s="66" t="s">
        <v>95</v>
      </c>
      <c r="F140" s="67">
        <f>17784</f>
        <v>17784</v>
      </c>
      <c r="G140" s="62"/>
      <c r="H140" s="62">
        <f t="shared" si="116"/>
        <v>53352</v>
      </c>
      <c r="I140" s="62">
        <f t="shared" si="117"/>
        <v>1333.8</v>
      </c>
      <c r="J140" s="62"/>
      <c r="K140" s="62">
        <f t="shared" si="118"/>
        <v>8892</v>
      </c>
      <c r="L140" s="36">
        <f t="shared" si="119"/>
        <v>62244</v>
      </c>
      <c r="M140" s="62">
        <f t="shared" si="120"/>
        <v>17784</v>
      </c>
      <c r="N140" s="62"/>
      <c r="O140" s="62">
        <f t="shared" si="121"/>
        <v>1778.4</v>
      </c>
      <c r="P140" s="62">
        <v>10000</v>
      </c>
      <c r="Q140" s="62"/>
      <c r="R140" s="36">
        <f t="shared" si="122"/>
        <v>173168.19999999998</v>
      </c>
      <c r="S140" s="36">
        <f>10000</f>
        <v>10000</v>
      </c>
      <c r="T140" s="36">
        <f>50000</f>
        <v>50000</v>
      </c>
      <c r="U140" s="36">
        <f>'[5]Jan 2021'!$H$45</f>
        <v>444.6</v>
      </c>
      <c r="V140" s="62">
        <f>3369.51</f>
        <v>3369.51</v>
      </c>
      <c r="W140" s="36">
        <f t="shared" si="115"/>
        <v>63814.11</v>
      </c>
      <c r="X140" s="36">
        <v>109354.08999999998</v>
      </c>
      <c r="Y140" s="36">
        <v>30000</v>
      </c>
    </row>
    <row r="141" spans="1:25" ht="20.100000000000001" customHeight="1">
      <c r="A141" s="33">
        <v>13</v>
      </c>
      <c r="B141" s="257" t="s">
        <v>269</v>
      </c>
      <c r="C141" s="258"/>
      <c r="D141" s="61" t="s">
        <v>268</v>
      </c>
      <c r="E141" s="66" t="s">
        <v>106</v>
      </c>
      <c r="F141" s="67">
        <f>13492.21</f>
        <v>13492.21</v>
      </c>
      <c r="G141" s="62"/>
      <c r="H141" s="62">
        <f t="shared" si="116"/>
        <v>40476.629999999997</v>
      </c>
      <c r="I141" s="62">
        <f t="shared" si="117"/>
        <v>1011.9157499999999</v>
      </c>
      <c r="J141" s="62"/>
      <c r="K141" s="62">
        <f t="shared" si="118"/>
        <v>6746.1049999999996</v>
      </c>
      <c r="L141" s="36">
        <f t="shared" si="119"/>
        <v>47222.735000000001</v>
      </c>
      <c r="M141" s="62">
        <f t="shared" si="120"/>
        <v>13492.21</v>
      </c>
      <c r="N141" s="62"/>
      <c r="O141" s="62">
        <f t="shared" si="121"/>
        <v>1349.221</v>
      </c>
      <c r="P141" s="62">
        <v>10000</v>
      </c>
      <c r="Q141" s="62"/>
      <c r="R141" s="36">
        <f t="shared" si="122"/>
        <v>133791.02675000002</v>
      </c>
      <c r="S141" s="36">
        <f>10000</f>
        <v>10000</v>
      </c>
      <c r="T141" s="36"/>
      <c r="U141" s="36"/>
      <c r="V141" s="62">
        <v>1484.37</v>
      </c>
      <c r="W141" s="36">
        <f t="shared" si="115"/>
        <v>11484.369999999999</v>
      </c>
      <c r="X141" s="36">
        <v>122306.65675000002</v>
      </c>
      <c r="Y141" s="36">
        <v>30000</v>
      </c>
    </row>
    <row r="142" spans="1:25" ht="20.100000000000001" customHeight="1">
      <c r="A142" s="33">
        <v>14</v>
      </c>
      <c r="B142" s="257" t="s">
        <v>270</v>
      </c>
      <c r="C142" s="258"/>
      <c r="D142" s="61" t="s">
        <v>268</v>
      </c>
      <c r="E142" s="66" t="s">
        <v>106</v>
      </c>
      <c r="F142" s="67">
        <f>13492.21</f>
        <v>13492.21</v>
      </c>
      <c r="G142" s="62"/>
      <c r="H142" s="62">
        <f t="shared" si="116"/>
        <v>40476.629999999997</v>
      </c>
      <c r="I142" s="62">
        <f t="shared" si="117"/>
        <v>1011.9157499999999</v>
      </c>
      <c r="J142" s="62"/>
      <c r="K142" s="62">
        <f t="shared" si="118"/>
        <v>6746.1049999999996</v>
      </c>
      <c r="L142" s="36">
        <f t="shared" si="119"/>
        <v>47222.735000000001</v>
      </c>
      <c r="M142" s="62">
        <f t="shared" si="120"/>
        <v>13492.21</v>
      </c>
      <c r="N142" s="62"/>
      <c r="O142" s="62">
        <f t="shared" si="121"/>
        <v>1349.221</v>
      </c>
      <c r="P142" s="62">
        <v>10000</v>
      </c>
      <c r="Q142" s="62"/>
      <c r="R142" s="36">
        <f t="shared" si="122"/>
        <v>133791.02675000002</v>
      </c>
      <c r="S142" s="36">
        <f>10000+30000</f>
        <v>40000</v>
      </c>
      <c r="T142" s="36">
        <f>7500</f>
        <v>7500</v>
      </c>
      <c r="U142" s="36">
        <f>'[5]Jan 2021'!$H$37</f>
        <v>337.30525</v>
      </c>
      <c r="V142" s="62">
        <v>1484.37</v>
      </c>
      <c r="W142" s="36">
        <f t="shared" si="115"/>
        <v>49321.67525</v>
      </c>
      <c r="X142" s="36">
        <v>84469.351500000019</v>
      </c>
      <c r="Y142" s="36">
        <v>30000</v>
      </c>
    </row>
    <row r="143" spans="1:25" ht="20.100000000000001" customHeight="1">
      <c r="A143" s="33">
        <v>15</v>
      </c>
      <c r="B143" s="257" t="s">
        <v>271</v>
      </c>
      <c r="C143" s="258"/>
      <c r="D143" s="61" t="s">
        <v>268</v>
      </c>
      <c r="E143" s="66" t="s">
        <v>106</v>
      </c>
      <c r="F143" s="67">
        <f>13492.21</f>
        <v>13492.21</v>
      </c>
      <c r="G143" s="62"/>
      <c r="H143" s="62">
        <f t="shared" si="116"/>
        <v>40476.629999999997</v>
      </c>
      <c r="I143" s="62">
        <f t="shared" si="117"/>
        <v>1011.9157499999999</v>
      </c>
      <c r="J143" s="62"/>
      <c r="K143" s="62">
        <f t="shared" si="118"/>
        <v>6746.1049999999996</v>
      </c>
      <c r="L143" s="36">
        <f t="shared" si="119"/>
        <v>47222.735000000001</v>
      </c>
      <c r="M143" s="62">
        <f t="shared" si="120"/>
        <v>13492.21</v>
      </c>
      <c r="N143" s="62"/>
      <c r="O143" s="62">
        <f t="shared" si="121"/>
        <v>1349.221</v>
      </c>
      <c r="P143" s="62">
        <v>10000</v>
      </c>
      <c r="Q143" s="62"/>
      <c r="R143" s="36">
        <f t="shared" si="122"/>
        <v>133791.02675000002</v>
      </c>
      <c r="S143" s="36"/>
      <c r="T143" s="36"/>
      <c r="U143" s="36"/>
      <c r="V143" s="62">
        <v>1484.37</v>
      </c>
      <c r="W143" s="36">
        <f t="shared" si="115"/>
        <v>1484.37</v>
      </c>
      <c r="X143" s="36">
        <v>132306.65675000002</v>
      </c>
      <c r="Y143" s="36">
        <v>30000</v>
      </c>
    </row>
    <row r="144" spans="1:25" ht="20.100000000000001" customHeight="1">
      <c r="A144" s="33">
        <v>16</v>
      </c>
      <c r="B144" s="257" t="s">
        <v>274</v>
      </c>
      <c r="C144" s="258"/>
      <c r="D144" s="61" t="s">
        <v>268</v>
      </c>
      <c r="E144" s="66" t="s">
        <v>111</v>
      </c>
      <c r="F144" s="67">
        <f>13112.16</f>
        <v>13112.16</v>
      </c>
      <c r="G144" s="62"/>
      <c r="H144" s="62">
        <f t="shared" si="116"/>
        <v>39336.479999999996</v>
      </c>
      <c r="I144" s="62">
        <f t="shared" si="117"/>
        <v>983.41199999999992</v>
      </c>
      <c r="J144" s="62"/>
      <c r="K144" s="62">
        <f t="shared" si="118"/>
        <v>6556.08</v>
      </c>
      <c r="L144" s="36">
        <f t="shared" si="119"/>
        <v>45892.56</v>
      </c>
      <c r="M144" s="62">
        <f t="shared" si="120"/>
        <v>13112.16</v>
      </c>
      <c r="N144" s="62"/>
      <c r="O144" s="62">
        <f t="shared" si="121"/>
        <v>1311.2160000000001</v>
      </c>
      <c r="P144" s="62">
        <v>10000</v>
      </c>
      <c r="Q144" s="62"/>
      <c r="R144" s="36">
        <f t="shared" si="122"/>
        <v>130304.068</v>
      </c>
      <c r="S144" s="36"/>
      <c r="T144" s="36"/>
      <c r="U144" s="36"/>
      <c r="V144" s="62">
        <v>1484.37</v>
      </c>
      <c r="W144" s="36">
        <f t="shared" si="115"/>
        <v>1484.37</v>
      </c>
      <c r="X144" s="36">
        <v>128819.698</v>
      </c>
      <c r="Y144" s="36">
        <v>30000</v>
      </c>
    </row>
    <row r="145" spans="1:25" ht="20.100000000000001" customHeight="1">
      <c r="A145" s="33">
        <v>17</v>
      </c>
      <c r="B145" s="257" t="s">
        <v>275</v>
      </c>
      <c r="C145" s="258"/>
      <c r="D145" s="61" t="s">
        <v>276</v>
      </c>
      <c r="E145" s="66" t="s">
        <v>111</v>
      </c>
      <c r="F145" s="67">
        <f>13112.16</f>
        <v>13112.16</v>
      </c>
      <c r="G145" s="62"/>
      <c r="H145" s="62">
        <f t="shared" si="116"/>
        <v>39336.479999999996</v>
      </c>
      <c r="I145" s="62">
        <f t="shared" si="117"/>
        <v>983.41199999999992</v>
      </c>
      <c r="J145" s="62"/>
      <c r="K145" s="62">
        <f t="shared" si="118"/>
        <v>6556.08</v>
      </c>
      <c r="L145" s="36">
        <f t="shared" si="119"/>
        <v>45892.56</v>
      </c>
      <c r="M145" s="62">
        <f t="shared" si="120"/>
        <v>13112.16</v>
      </c>
      <c r="N145" s="62"/>
      <c r="O145" s="62">
        <f t="shared" si="121"/>
        <v>1311.2160000000001</v>
      </c>
      <c r="P145" s="62">
        <v>10000</v>
      </c>
      <c r="Q145" s="62"/>
      <c r="R145" s="36">
        <f t="shared" si="122"/>
        <v>130304.068</v>
      </c>
      <c r="S145" s="36">
        <v>25000</v>
      </c>
      <c r="T145" s="36">
        <f>50000</f>
        <v>50000</v>
      </c>
      <c r="U145" s="36"/>
      <c r="V145" s="62">
        <v>1484.37</v>
      </c>
      <c r="W145" s="36">
        <f t="shared" si="115"/>
        <v>76484.37</v>
      </c>
      <c r="X145" s="36">
        <v>53819.698000000004</v>
      </c>
      <c r="Y145" s="36">
        <v>30000</v>
      </c>
    </row>
    <row r="146" spans="1:25" ht="20.100000000000001" customHeight="1">
      <c r="A146" s="33">
        <v>18</v>
      </c>
      <c r="B146" s="257" t="s">
        <v>278</v>
      </c>
      <c r="C146" s="258"/>
      <c r="D146" s="61" t="s">
        <v>494</v>
      </c>
      <c r="E146" s="66" t="s">
        <v>111</v>
      </c>
      <c r="F146" s="67">
        <f>13112.16</f>
        <v>13112.16</v>
      </c>
      <c r="G146" s="62"/>
      <c r="H146" s="62">
        <f t="shared" si="116"/>
        <v>39336.479999999996</v>
      </c>
      <c r="I146" s="62">
        <f t="shared" si="117"/>
        <v>983.41199999999992</v>
      </c>
      <c r="J146" s="62"/>
      <c r="K146" s="62">
        <f t="shared" si="118"/>
        <v>6556.08</v>
      </c>
      <c r="L146" s="36">
        <f t="shared" si="119"/>
        <v>45892.56</v>
      </c>
      <c r="M146" s="62">
        <f t="shared" si="120"/>
        <v>13112.16</v>
      </c>
      <c r="N146" s="62">
        <f>100000</f>
        <v>100000</v>
      </c>
      <c r="O146" s="62">
        <f t="shared" si="121"/>
        <v>1311.2160000000001</v>
      </c>
      <c r="P146" s="62">
        <v>10000</v>
      </c>
      <c r="Q146" s="62"/>
      <c r="R146" s="36">
        <f t="shared" si="122"/>
        <v>230304.068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5"/>
        <v>30234.37</v>
      </c>
      <c r="X146" s="36">
        <v>200069.698</v>
      </c>
      <c r="Y146" s="36">
        <v>30000</v>
      </c>
    </row>
    <row r="147" spans="1:25" ht="20.100000000000001" customHeight="1">
      <c r="A147" s="33">
        <v>19</v>
      </c>
      <c r="B147" s="257" t="s">
        <v>277</v>
      </c>
      <c r="C147" s="258"/>
      <c r="D147" s="61" t="s">
        <v>268</v>
      </c>
      <c r="E147" s="66" t="s">
        <v>111</v>
      </c>
      <c r="F147" s="67">
        <f>13112.16</f>
        <v>13112.16</v>
      </c>
      <c r="G147" s="62"/>
      <c r="H147" s="62">
        <f t="shared" si="116"/>
        <v>39336.479999999996</v>
      </c>
      <c r="I147" s="62">
        <f t="shared" si="117"/>
        <v>983.41199999999992</v>
      </c>
      <c r="J147" s="62"/>
      <c r="K147" s="62">
        <f t="shared" si="118"/>
        <v>6556.08</v>
      </c>
      <c r="L147" s="36">
        <f t="shared" si="119"/>
        <v>45892.56</v>
      </c>
      <c r="M147" s="62">
        <f t="shared" si="120"/>
        <v>13112.16</v>
      </c>
      <c r="N147" s="62"/>
      <c r="O147" s="62">
        <f t="shared" si="121"/>
        <v>1311.2160000000001</v>
      </c>
      <c r="P147" s="62">
        <v>10000</v>
      </c>
      <c r="Q147" s="62"/>
      <c r="R147" s="36">
        <f t="shared" si="122"/>
        <v>130304.068</v>
      </c>
      <c r="S147" s="36">
        <f>10000</f>
        <v>10000</v>
      </c>
      <c r="T147" s="36">
        <f>34485.28</f>
        <v>34485.279999999999</v>
      </c>
      <c r="U147" s="36">
        <f>'[5]Jan 2021'!$H$56</f>
        <v>327.80400000000003</v>
      </c>
      <c r="V147" s="62">
        <v>1484.37</v>
      </c>
      <c r="W147" s="36">
        <f t="shared" si="115"/>
        <v>46297.453999999998</v>
      </c>
      <c r="X147" s="36">
        <v>84006.614000000001</v>
      </c>
      <c r="Y147" s="36">
        <v>30000</v>
      </c>
    </row>
    <row r="148" spans="1:25" ht="20.100000000000001" customHeight="1">
      <c r="A148" s="33">
        <v>20</v>
      </c>
      <c r="B148" s="257" t="s">
        <v>262</v>
      </c>
      <c r="C148" s="258"/>
      <c r="D148" s="61" t="s">
        <v>448</v>
      </c>
      <c r="E148" s="66" t="s">
        <v>208</v>
      </c>
      <c r="F148" s="62">
        <f>19276.95</f>
        <v>19276.95</v>
      </c>
      <c r="G148" s="62"/>
      <c r="H148" s="62">
        <f t="shared" si="116"/>
        <v>57830.850000000006</v>
      </c>
      <c r="I148" s="62">
        <f t="shared" si="117"/>
        <v>1445.77125</v>
      </c>
      <c r="J148" s="36"/>
      <c r="K148" s="62">
        <f t="shared" si="118"/>
        <v>9638.4750000000004</v>
      </c>
      <c r="L148" s="36">
        <f t="shared" si="119"/>
        <v>67469.324999999997</v>
      </c>
      <c r="M148" s="62">
        <f t="shared" si="120"/>
        <v>19276.95</v>
      </c>
      <c r="N148" s="62"/>
      <c r="O148" s="62">
        <f t="shared" si="121"/>
        <v>1927.6950000000002</v>
      </c>
      <c r="P148" s="62">
        <v>10000</v>
      </c>
      <c r="Q148" s="62"/>
      <c r="R148" s="36">
        <f t="shared" si="122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5"/>
        <v>33369.51</v>
      </c>
      <c r="X148" s="36">
        <v>153496.50625000003</v>
      </c>
      <c r="Y148" s="36">
        <v>30000</v>
      </c>
    </row>
    <row r="149" spans="1:25" ht="20.100000000000001" customHeight="1">
      <c r="A149" s="33">
        <v>21</v>
      </c>
      <c r="B149" s="257" t="s">
        <v>267</v>
      </c>
      <c r="C149" s="258"/>
      <c r="D149" s="61" t="s">
        <v>268</v>
      </c>
      <c r="E149" s="66" t="s">
        <v>103</v>
      </c>
      <c r="F149" s="26">
        <f>18281.64</f>
        <v>18281.64</v>
      </c>
      <c r="G149" s="62"/>
      <c r="H149" s="62">
        <f t="shared" si="116"/>
        <v>54844.92</v>
      </c>
      <c r="I149" s="62">
        <f t="shared" si="117"/>
        <v>1371.1229999999998</v>
      </c>
      <c r="J149" s="36"/>
      <c r="K149" s="62">
        <f t="shared" si="118"/>
        <v>9140.82</v>
      </c>
      <c r="L149" s="36">
        <f t="shared" si="119"/>
        <v>63985.74</v>
      </c>
      <c r="M149" s="62">
        <f t="shared" si="120"/>
        <v>18281.64</v>
      </c>
      <c r="N149" s="62"/>
      <c r="O149" s="62">
        <f t="shared" si="121"/>
        <v>1828.164</v>
      </c>
      <c r="P149" s="62">
        <v>10000</v>
      </c>
      <c r="Q149" s="62"/>
      <c r="R149" s="36">
        <f t="shared" si="122"/>
        <v>177734.04699999996</v>
      </c>
      <c r="S149" s="36">
        <v>20000</v>
      </c>
      <c r="T149" s="36"/>
      <c r="U149" s="36">
        <f>'[5]Jan 2021'!$H$31</f>
        <v>457.041</v>
      </c>
      <c r="V149" s="62">
        <v>3369.51</v>
      </c>
      <c r="W149" s="36">
        <f t="shared" si="115"/>
        <v>23826.550999999999</v>
      </c>
      <c r="X149" s="36">
        <v>153907.49599999996</v>
      </c>
      <c r="Y149" s="36">
        <v>30000</v>
      </c>
    </row>
    <row r="150" spans="1:25" ht="20.100000000000001" customHeight="1">
      <c r="A150" s="33">
        <v>22</v>
      </c>
      <c r="B150" s="97" t="s">
        <v>280</v>
      </c>
      <c r="C150" s="98"/>
      <c r="D150" s="61" t="s">
        <v>281</v>
      </c>
      <c r="E150" s="66" t="s">
        <v>500</v>
      </c>
      <c r="F150" s="67">
        <f>17784</f>
        <v>17784</v>
      </c>
      <c r="G150" s="62"/>
      <c r="H150" s="62">
        <f t="shared" si="116"/>
        <v>53352</v>
      </c>
      <c r="I150" s="62">
        <f t="shared" si="117"/>
        <v>1333.8</v>
      </c>
      <c r="J150" s="62"/>
      <c r="K150" s="62">
        <f t="shared" si="118"/>
        <v>8892</v>
      </c>
      <c r="L150" s="36">
        <f t="shared" si="119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2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5"/>
        <v>33369.51</v>
      </c>
      <c r="X150" s="36">
        <v>139798.68999999997</v>
      </c>
      <c r="Y150" s="36">
        <v>30000</v>
      </c>
    </row>
    <row r="151" spans="1:25" ht="20.100000000000001" customHeight="1">
      <c r="A151" s="33">
        <v>23</v>
      </c>
      <c r="B151" s="264" t="s">
        <v>286</v>
      </c>
      <c r="C151" s="264"/>
      <c r="D151" s="61" t="s">
        <v>287</v>
      </c>
      <c r="E151" s="77" t="s">
        <v>506</v>
      </c>
      <c r="F151" s="78">
        <f t="shared" ref="F151:F157" si="124">8730.79</f>
        <v>8730.7900000000009</v>
      </c>
      <c r="G151" s="27"/>
      <c r="H151" s="62">
        <f t="shared" si="116"/>
        <v>26192.370000000003</v>
      </c>
      <c r="I151" s="62">
        <f t="shared" si="117"/>
        <v>654.80925000000002</v>
      </c>
      <c r="J151" s="67">
        <v>0</v>
      </c>
      <c r="K151" s="62">
        <f t="shared" si="118"/>
        <v>4365.3950000000004</v>
      </c>
      <c r="L151" s="36">
        <f t="shared" si="119"/>
        <v>30557.765000000003</v>
      </c>
      <c r="M151" s="62">
        <f t="shared" ref="M151:M160" si="125">F151*100%</f>
        <v>8730.7900000000009</v>
      </c>
      <c r="N151" s="36">
        <f>4000</f>
        <v>4000</v>
      </c>
      <c r="O151" s="62">
        <f t="shared" ref="O151:O178" si="126">F151*10%</f>
        <v>873.07900000000018</v>
      </c>
      <c r="P151" s="67">
        <v>5000</v>
      </c>
      <c r="Q151" s="62">
        <v>0</v>
      </c>
      <c r="R151" s="36">
        <f t="shared" si="122"/>
        <v>89104.998250000004</v>
      </c>
      <c r="S151" s="36">
        <f>20000+3000</f>
        <v>23000</v>
      </c>
      <c r="T151" s="36">
        <f>24750</f>
        <v>24750</v>
      </c>
      <c r="U151" s="36">
        <f>'[5]Jan 2021'!$H$40</f>
        <v>218.26975000000004</v>
      </c>
      <c r="V151" s="36">
        <v>236.04</v>
      </c>
      <c r="W151" s="36">
        <f t="shared" si="115"/>
        <v>48204.30975</v>
      </c>
      <c r="X151" s="36">
        <v>40900.688500000004</v>
      </c>
      <c r="Y151" s="36">
        <v>20000</v>
      </c>
    </row>
    <row r="152" spans="1:25" ht="20.100000000000001" customHeight="1">
      <c r="A152" s="33">
        <v>24</v>
      </c>
      <c r="B152" s="264" t="s">
        <v>289</v>
      </c>
      <c r="C152" s="264"/>
      <c r="D152" s="61" t="s">
        <v>287</v>
      </c>
      <c r="E152" s="77" t="s">
        <v>506</v>
      </c>
      <c r="F152" s="78">
        <f t="shared" si="124"/>
        <v>8730.7900000000009</v>
      </c>
      <c r="G152" s="27"/>
      <c r="H152" s="62">
        <f t="shared" si="116"/>
        <v>26192.370000000003</v>
      </c>
      <c r="I152" s="62">
        <f t="shared" si="117"/>
        <v>654.80925000000002</v>
      </c>
      <c r="J152" s="67">
        <v>0</v>
      </c>
      <c r="K152" s="62">
        <f t="shared" si="118"/>
        <v>4365.3950000000004</v>
      </c>
      <c r="L152" s="36">
        <f t="shared" si="119"/>
        <v>30557.765000000003</v>
      </c>
      <c r="M152" s="62">
        <f t="shared" si="125"/>
        <v>8730.7900000000009</v>
      </c>
      <c r="N152" s="36">
        <f>7000</f>
        <v>7000</v>
      </c>
      <c r="O152" s="62">
        <f t="shared" si="126"/>
        <v>873.07900000000018</v>
      </c>
      <c r="P152" s="67">
        <v>5000</v>
      </c>
      <c r="Q152" s="62">
        <v>0</v>
      </c>
      <c r="R152" s="36">
        <f t="shared" si="122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5"/>
        <v>22760.15</v>
      </c>
      <c r="X152" s="36">
        <v>69344.84825000001</v>
      </c>
      <c r="Y152" s="36">
        <v>20000</v>
      </c>
    </row>
    <row r="153" spans="1:25" ht="20.100000000000001" customHeight="1">
      <c r="A153" s="33">
        <v>25</v>
      </c>
      <c r="B153" s="264" t="s">
        <v>290</v>
      </c>
      <c r="C153" s="264"/>
      <c r="D153" s="61" t="s">
        <v>287</v>
      </c>
      <c r="E153" s="77" t="s">
        <v>506</v>
      </c>
      <c r="F153" s="78">
        <f t="shared" si="124"/>
        <v>8730.7900000000009</v>
      </c>
      <c r="G153" s="27"/>
      <c r="H153" s="62">
        <f t="shared" si="116"/>
        <v>26192.370000000003</v>
      </c>
      <c r="I153" s="62">
        <f t="shared" si="117"/>
        <v>654.80925000000002</v>
      </c>
      <c r="J153" s="62">
        <v>0</v>
      </c>
      <c r="K153" s="62">
        <f t="shared" si="118"/>
        <v>4365.3950000000004</v>
      </c>
      <c r="L153" s="36">
        <f t="shared" si="119"/>
        <v>30557.765000000003</v>
      </c>
      <c r="M153" s="62">
        <f t="shared" si="125"/>
        <v>8730.7900000000009</v>
      </c>
      <c r="N153" s="36">
        <f>4000</f>
        <v>4000</v>
      </c>
      <c r="O153" s="62">
        <f t="shared" si="126"/>
        <v>873.07900000000018</v>
      </c>
      <c r="P153" s="62">
        <v>5000</v>
      </c>
      <c r="Q153" s="62">
        <v>0</v>
      </c>
      <c r="R153" s="36">
        <f t="shared" si="122"/>
        <v>89104.998250000004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15"/>
        <v>38236.04</v>
      </c>
      <c r="X153" s="36">
        <v>50868.958250000003</v>
      </c>
      <c r="Y153" s="36">
        <v>20000</v>
      </c>
    </row>
    <row r="154" spans="1:25" ht="20.100000000000001" customHeight="1">
      <c r="A154" s="33">
        <v>26</v>
      </c>
      <c r="B154" s="264" t="s">
        <v>291</v>
      </c>
      <c r="C154" s="264"/>
      <c r="D154" s="61" t="s">
        <v>287</v>
      </c>
      <c r="E154" s="77" t="s">
        <v>506</v>
      </c>
      <c r="F154" s="78">
        <f t="shared" si="124"/>
        <v>8730.7900000000009</v>
      </c>
      <c r="G154" s="27"/>
      <c r="H154" s="62">
        <f t="shared" si="116"/>
        <v>26192.370000000003</v>
      </c>
      <c r="I154" s="62">
        <f t="shared" si="117"/>
        <v>654.80925000000002</v>
      </c>
      <c r="J154" s="62">
        <v>0</v>
      </c>
      <c r="K154" s="62">
        <f t="shared" si="118"/>
        <v>4365.3950000000004</v>
      </c>
      <c r="L154" s="36">
        <f t="shared" si="119"/>
        <v>30557.765000000003</v>
      </c>
      <c r="M154" s="62">
        <f t="shared" si="125"/>
        <v>8730.7900000000009</v>
      </c>
      <c r="N154" s="36">
        <f>4000</f>
        <v>4000</v>
      </c>
      <c r="O154" s="62">
        <f t="shared" si="126"/>
        <v>873.07900000000018</v>
      </c>
      <c r="P154" s="62">
        <v>5000</v>
      </c>
      <c r="Q154" s="62">
        <v>0</v>
      </c>
      <c r="R154" s="36">
        <f t="shared" si="122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5"/>
        <v>24208.260000000002</v>
      </c>
      <c r="X154" s="36">
        <v>64896.738250000002</v>
      </c>
      <c r="Y154" s="36">
        <v>20000</v>
      </c>
    </row>
    <row r="155" spans="1:25" ht="20.100000000000001" customHeight="1">
      <c r="A155" s="33">
        <v>27</v>
      </c>
      <c r="B155" s="264" t="s">
        <v>292</v>
      </c>
      <c r="C155" s="264"/>
      <c r="D155" s="61" t="s">
        <v>287</v>
      </c>
      <c r="E155" s="77" t="s">
        <v>506</v>
      </c>
      <c r="F155" s="78">
        <f t="shared" si="124"/>
        <v>8730.7900000000009</v>
      </c>
      <c r="G155" s="27"/>
      <c r="H155" s="62">
        <f t="shared" si="116"/>
        <v>26192.370000000003</v>
      </c>
      <c r="I155" s="62">
        <f t="shared" si="117"/>
        <v>654.80925000000002</v>
      </c>
      <c r="J155" s="62">
        <v>0</v>
      </c>
      <c r="K155" s="62">
        <f t="shared" si="118"/>
        <v>4365.3950000000004</v>
      </c>
      <c r="L155" s="36">
        <f t="shared" si="119"/>
        <v>30557.765000000003</v>
      </c>
      <c r="M155" s="62">
        <f t="shared" si="125"/>
        <v>8730.7900000000009</v>
      </c>
      <c r="N155" s="36">
        <f>4000</f>
        <v>4000</v>
      </c>
      <c r="O155" s="62">
        <f t="shared" si="126"/>
        <v>873.07900000000018</v>
      </c>
      <c r="P155" s="62">
        <v>5000</v>
      </c>
      <c r="Q155" s="62">
        <v>0</v>
      </c>
      <c r="R155" s="36">
        <f t="shared" si="122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5"/>
        <v>5236.04</v>
      </c>
      <c r="X155" s="36">
        <v>83868.958250000011</v>
      </c>
      <c r="Y155" s="36">
        <v>20000</v>
      </c>
    </row>
    <row r="156" spans="1:25" ht="20.100000000000001" customHeight="1">
      <c r="A156" s="33">
        <v>28</v>
      </c>
      <c r="B156" s="264" t="s">
        <v>293</v>
      </c>
      <c r="C156" s="264"/>
      <c r="D156" s="61" t="s">
        <v>287</v>
      </c>
      <c r="E156" s="77" t="s">
        <v>506</v>
      </c>
      <c r="F156" s="78">
        <f t="shared" si="124"/>
        <v>8730.7900000000009</v>
      </c>
      <c r="G156" s="27"/>
      <c r="H156" s="62">
        <f t="shared" si="116"/>
        <v>26192.370000000003</v>
      </c>
      <c r="I156" s="62">
        <f t="shared" si="117"/>
        <v>654.80925000000002</v>
      </c>
      <c r="J156" s="62">
        <v>0</v>
      </c>
      <c r="K156" s="62">
        <f t="shared" si="118"/>
        <v>4365.3950000000004</v>
      </c>
      <c r="L156" s="36">
        <f t="shared" si="119"/>
        <v>30557.765000000003</v>
      </c>
      <c r="M156" s="62">
        <f t="shared" si="125"/>
        <v>8730.7900000000009</v>
      </c>
      <c r="N156" s="36">
        <f>4000</f>
        <v>4000</v>
      </c>
      <c r="O156" s="62">
        <f t="shared" si="126"/>
        <v>873.07900000000018</v>
      </c>
      <c r="P156" s="62">
        <v>5000</v>
      </c>
      <c r="Q156" s="62">
        <v>0</v>
      </c>
      <c r="R156" s="36">
        <f t="shared" si="122"/>
        <v>89104.998250000004</v>
      </c>
      <c r="S156" s="36">
        <f>5000+3000</f>
        <v>8000</v>
      </c>
      <c r="T156" s="36">
        <f>25704.84+20000</f>
        <v>45704.84</v>
      </c>
      <c r="U156" s="36">
        <f>'[5]Jan 2021'!$H$54</f>
        <v>218.26975000000004</v>
      </c>
      <c r="V156" s="36">
        <v>236.04</v>
      </c>
      <c r="W156" s="36">
        <f t="shared" si="115"/>
        <v>54159.149749999997</v>
      </c>
      <c r="X156" s="36">
        <v>34945.848500000007</v>
      </c>
      <c r="Y156" s="36">
        <v>20000</v>
      </c>
    </row>
    <row r="157" spans="1:25" ht="20.100000000000001" customHeight="1">
      <c r="A157" s="33">
        <v>29</v>
      </c>
      <c r="B157" s="264" t="s">
        <v>294</v>
      </c>
      <c r="C157" s="264"/>
      <c r="D157" s="61" t="s">
        <v>287</v>
      </c>
      <c r="E157" s="77" t="s">
        <v>506</v>
      </c>
      <c r="F157" s="78">
        <f t="shared" si="124"/>
        <v>8730.7900000000009</v>
      </c>
      <c r="G157" s="27"/>
      <c r="H157" s="62">
        <f t="shared" si="116"/>
        <v>26192.370000000003</v>
      </c>
      <c r="I157" s="62">
        <f t="shared" si="117"/>
        <v>654.80925000000002</v>
      </c>
      <c r="J157" s="62">
        <v>0</v>
      </c>
      <c r="K157" s="62">
        <f t="shared" si="118"/>
        <v>4365.3950000000004</v>
      </c>
      <c r="L157" s="36">
        <f t="shared" si="119"/>
        <v>30557.765000000003</v>
      </c>
      <c r="M157" s="62">
        <f t="shared" si="125"/>
        <v>8730.7900000000009</v>
      </c>
      <c r="N157" s="36">
        <f>4000</f>
        <v>4000</v>
      </c>
      <c r="O157" s="62">
        <f t="shared" si="126"/>
        <v>873.07900000000018</v>
      </c>
      <c r="P157" s="62">
        <v>5000</v>
      </c>
      <c r="Q157" s="62">
        <v>0</v>
      </c>
      <c r="R157" s="36">
        <f t="shared" si="122"/>
        <v>89104.998250000004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15"/>
        <v>21473.53</v>
      </c>
      <c r="X157" s="36">
        <v>67631.468250000005</v>
      </c>
      <c r="Y157" s="36">
        <v>20000</v>
      </c>
    </row>
    <row r="158" spans="1:25" ht="20.100000000000001" customHeight="1">
      <c r="A158" s="33">
        <v>30</v>
      </c>
      <c r="B158" s="264" t="s">
        <v>295</v>
      </c>
      <c r="C158" s="264"/>
      <c r="D158" s="61" t="s">
        <v>296</v>
      </c>
      <c r="E158" s="66" t="s">
        <v>507</v>
      </c>
      <c r="F158" s="62">
        <f t="shared" ref="F158:F164" si="127">5598.92</f>
        <v>5598.92</v>
      </c>
      <c r="G158" s="27"/>
      <c r="H158" s="62">
        <f t="shared" si="116"/>
        <v>16796.760000000002</v>
      </c>
      <c r="I158" s="62">
        <f t="shared" si="117"/>
        <v>419.91899999999998</v>
      </c>
      <c r="J158" s="62">
        <v>0</v>
      </c>
      <c r="K158" s="62">
        <f t="shared" si="118"/>
        <v>2799.46</v>
      </c>
      <c r="L158" s="36">
        <f t="shared" si="119"/>
        <v>19596.22</v>
      </c>
      <c r="M158" s="62">
        <f t="shared" si="125"/>
        <v>5598.92</v>
      </c>
      <c r="N158" s="36">
        <f>7000</f>
        <v>7000</v>
      </c>
      <c r="O158" s="62">
        <f t="shared" si="126"/>
        <v>559.89200000000005</v>
      </c>
      <c r="P158" s="62">
        <v>5000</v>
      </c>
      <c r="Q158" s="62">
        <v>0</v>
      </c>
      <c r="R158" s="36">
        <f t="shared" si="122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5"/>
        <v>34666.659999999996</v>
      </c>
      <c r="X158" s="36">
        <v>28703.431000000004</v>
      </c>
      <c r="Y158" s="36">
        <v>20000</v>
      </c>
    </row>
    <row r="159" spans="1:25" ht="20.100000000000001" customHeight="1">
      <c r="A159" s="33">
        <v>31</v>
      </c>
      <c r="B159" s="264" t="s">
        <v>298</v>
      </c>
      <c r="C159" s="264"/>
      <c r="D159" s="61" t="s">
        <v>296</v>
      </c>
      <c r="E159" s="66" t="s">
        <v>507</v>
      </c>
      <c r="F159" s="62">
        <f t="shared" si="127"/>
        <v>5598.92</v>
      </c>
      <c r="G159" s="27"/>
      <c r="H159" s="62">
        <f t="shared" si="116"/>
        <v>16796.760000000002</v>
      </c>
      <c r="I159" s="62">
        <f t="shared" si="117"/>
        <v>419.91899999999998</v>
      </c>
      <c r="J159" s="62">
        <v>0</v>
      </c>
      <c r="K159" s="62">
        <f t="shared" si="118"/>
        <v>2799.46</v>
      </c>
      <c r="L159" s="36">
        <f t="shared" si="119"/>
        <v>19596.22</v>
      </c>
      <c r="M159" s="62">
        <f t="shared" si="125"/>
        <v>5598.92</v>
      </c>
      <c r="N159" s="36">
        <f>4000</f>
        <v>4000</v>
      </c>
      <c r="O159" s="62">
        <f t="shared" si="126"/>
        <v>559.89200000000005</v>
      </c>
      <c r="P159" s="62">
        <v>5000</v>
      </c>
      <c r="Q159" s="62">
        <v>0</v>
      </c>
      <c r="R159" s="36">
        <f t="shared" si="122"/>
        <v>60370.091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15"/>
        <v>19986.04</v>
      </c>
      <c r="X159" s="36">
        <v>40384.050999999999</v>
      </c>
      <c r="Y159" s="36">
        <v>20000</v>
      </c>
    </row>
    <row r="160" spans="1:25" ht="20.100000000000001" customHeight="1">
      <c r="A160" s="33">
        <v>32</v>
      </c>
      <c r="B160" s="264" t="s">
        <v>299</v>
      </c>
      <c r="C160" s="264"/>
      <c r="D160" s="61" t="s">
        <v>296</v>
      </c>
      <c r="E160" s="66" t="s">
        <v>507</v>
      </c>
      <c r="F160" s="62">
        <f t="shared" si="127"/>
        <v>5598.92</v>
      </c>
      <c r="G160" s="27"/>
      <c r="H160" s="62">
        <f t="shared" si="116"/>
        <v>16796.760000000002</v>
      </c>
      <c r="I160" s="62">
        <f t="shared" si="117"/>
        <v>419.91899999999998</v>
      </c>
      <c r="J160" s="62">
        <v>0</v>
      </c>
      <c r="K160" s="62">
        <f t="shared" si="118"/>
        <v>2799.46</v>
      </c>
      <c r="L160" s="36">
        <f t="shared" si="119"/>
        <v>19596.22</v>
      </c>
      <c r="M160" s="62">
        <f t="shared" si="125"/>
        <v>5598.92</v>
      </c>
      <c r="N160" s="36">
        <f>4000</f>
        <v>4000</v>
      </c>
      <c r="O160" s="62">
        <f t="shared" si="126"/>
        <v>559.89200000000005</v>
      </c>
      <c r="P160" s="62">
        <v>5000</v>
      </c>
      <c r="Q160" s="62">
        <v>0</v>
      </c>
      <c r="R160" s="36">
        <f t="shared" si="122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5"/>
        <v>22965.21</v>
      </c>
      <c r="X160" s="36">
        <v>37404.881000000001</v>
      </c>
      <c r="Y160" s="36">
        <v>20000</v>
      </c>
    </row>
    <row r="161" spans="1:25" ht="20.100000000000001" customHeight="1">
      <c r="A161" s="33">
        <v>33</v>
      </c>
      <c r="B161" s="33" t="s">
        <v>300</v>
      </c>
      <c r="C161" s="33"/>
      <c r="D161" s="61" t="s">
        <v>296</v>
      </c>
      <c r="E161" s="66" t="s">
        <v>507</v>
      </c>
      <c r="F161" s="62">
        <f t="shared" si="127"/>
        <v>5598.92</v>
      </c>
      <c r="G161" s="27"/>
      <c r="H161" s="62">
        <f t="shared" si="116"/>
        <v>16796.760000000002</v>
      </c>
      <c r="I161" s="62">
        <f t="shared" si="117"/>
        <v>419.91899999999998</v>
      </c>
      <c r="J161" s="62">
        <v>0</v>
      </c>
      <c r="K161" s="62">
        <f t="shared" si="118"/>
        <v>2799.46</v>
      </c>
      <c r="L161" s="36">
        <f t="shared" si="119"/>
        <v>19596.22</v>
      </c>
      <c r="M161" s="62">
        <f>F160*100%</f>
        <v>5598.92</v>
      </c>
      <c r="N161" s="36">
        <f>7000</f>
        <v>7000</v>
      </c>
      <c r="O161" s="62">
        <f t="shared" si="126"/>
        <v>559.89200000000005</v>
      </c>
      <c r="P161" s="62">
        <v>5000</v>
      </c>
      <c r="Q161" s="62">
        <v>0</v>
      </c>
      <c r="R161" s="36">
        <f t="shared" si="122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5"/>
        <v>34236.04</v>
      </c>
      <c r="X161" s="36">
        <v>29134.050999999999</v>
      </c>
      <c r="Y161" s="36">
        <v>20000</v>
      </c>
    </row>
    <row r="162" spans="1:25" ht="20.100000000000001" customHeight="1">
      <c r="A162" s="33">
        <v>34</v>
      </c>
      <c r="B162" s="257" t="s">
        <v>301</v>
      </c>
      <c r="C162" s="258"/>
      <c r="D162" s="61" t="s">
        <v>296</v>
      </c>
      <c r="E162" s="66" t="s">
        <v>507</v>
      </c>
      <c r="F162" s="62">
        <f t="shared" si="127"/>
        <v>5598.92</v>
      </c>
      <c r="G162" s="27"/>
      <c r="H162" s="62">
        <f t="shared" si="116"/>
        <v>16796.760000000002</v>
      </c>
      <c r="I162" s="62">
        <f t="shared" si="117"/>
        <v>419.91899999999998</v>
      </c>
      <c r="J162" s="62"/>
      <c r="K162" s="62">
        <f t="shared" si="118"/>
        <v>2799.46</v>
      </c>
      <c r="L162" s="36">
        <f t="shared" si="119"/>
        <v>19596.22</v>
      </c>
      <c r="M162" s="62">
        <f t="shared" ref="M162:M178" si="128">F162*100%</f>
        <v>5598.92</v>
      </c>
      <c r="N162" s="36">
        <f>4000</f>
        <v>4000</v>
      </c>
      <c r="O162" s="62">
        <f t="shared" si="126"/>
        <v>559.89200000000005</v>
      </c>
      <c r="P162" s="62">
        <v>5000</v>
      </c>
      <c r="Q162" s="62">
        <v>0</v>
      </c>
      <c r="R162" s="36">
        <f t="shared" si="122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5"/>
        <v>26986.04</v>
      </c>
      <c r="X162" s="36">
        <v>33384.050999999999</v>
      </c>
      <c r="Y162" s="36">
        <v>20000</v>
      </c>
    </row>
    <row r="163" spans="1:25" ht="20.100000000000001" customHeight="1">
      <c r="A163" s="33">
        <v>35</v>
      </c>
      <c r="B163" s="61" t="s">
        <v>302</v>
      </c>
      <c r="C163" s="33"/>
      <c r="D163" s="61" t="s">
        <v>296</v>
      </c>
      <c r="E163" s="66" t="s">
        <v>507</v>
      </c>
      <c r="F163" s="62">
        <f t="shared" si="127"/>
        <v>5598.92</v>
      </c>
      <c r="G163" s="27"/>
      <c r="H163" s="62">
        <f t="shared" si="116"/>
        <v>16796.760000000002</v>
      </c>
      <c r="I163" s="62">
        <f t="shared" si="117"/>
        <v>419.91899999999998</v>
      </c>
      <c r="J163" s="62"/>
      <c r="K163" s="62">
        <f t="shared" si="118"/>
        <v>2799.46</v>
      </c>
      <c r="L163" s="36">
        <f t="shared" si="119"/>
        <v>19596.22</v>
      </c>
      <c r="M163" s="62">
        <f t="shared" si="128"/>
        <v>5598.92</v>
      </c>
      <c r="N163" s="36">
        <f>4000</f>
        <v>4000</v>
      </c>
      <c r="O163" s="62">
        <f t="shared" si="126"/>
        <v>559.89200000000005</v>
      </c>
      <c r="P163" s="62">
        <v>5000</v>
      </c>
      <c r="Q163" s="62">
        <v>0</v>
      </c>
      <c r="R163" s="36">
        <f t="shared" si="122"/>
        <v>60370.091</v>
      </c>
      <c r="S163" s="36">
        <f>3000+3000</f>
        <v>6000</v>
      </c>
      <c r="T163" s="36">
        <f>11458.34</f>
        <v>11458.34</v>
      </c>
      <c r="U163" s="36"/>
      <c r="V163" s="36">
        <v>236.04</v>
      </c>
      <c r="W163" s="36">
        <f t="shared" si="115"/>
        <v>17694.38</v>
      </c>
      <c r="X163" s="36">
        <v>42675.710999999996</v>
      </c>
      <c r="Y163" s="36">
        <v>20000</v>
      </c>
    </row>
    <row r="164" spans="1:25" ht="20.100000000000001" customHeight="1">
      <c r="A164" s="33">
        <v>36</v>
      </c>
      <c r="B164" s="61" t="s">
        <v>303</v>
      </c>
      <c r="C164" s="33"/>
      <c r="D164" s="61" t="s">
        <v>296</v>
      </c>
      <c r="E164" s="66" t="s">
        <v>507</v>
      </c>
      <c r="F164" s="62">
        <f t="shared" si="127"/>
        <v>5598.92</v>
      </c>
      <c r="G164" s="27"/>
      <c r="H164" s="62">
        <f t="shared" si="116"/>
        <v>16796.760000000002</v>
      </c>
      <c r="I164" s="62">
        <f t="shared" si="117"/>
        <v>419.91899999999998</v>
      </c>
      <c r="J164" s="62"/>
      <c r="K164" s="62">
        <f t="shared" si="118"/>
        <v>2799.46</v>
      </c>
      <c r="L164" s="36">
        <f t="shared" si="119"/>
        <v>19596.22</v>
      </c>
      <c r="M164" s="62">
        <f t="shared" si="128"/>
        <v>5598.92</v>
      </c>
      <c r="N164" s="36">
        <f>7000</f>
        <v>7000</v>
      </c>
      <c r="O164" s="62">
        <f t="shared" si="126"/>
        <v>559.89200000000005</v>
      </c>
      <c r="P164" s="62">
        <v>5000</v>
      </c>
      <c r="Q164" s="62">
        <v>0</v>
      </c>
      <c r="R164" s="36">
        <f t="shared" si="122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5"/>
        <v>35597.15</v>
      </c>
      <c r="X164" s="36">
        <v>27772.940999999999</v>
      </c>
      <c r="Y164" s="36">
        <v>20000</v>
      </c>
    </row>
    <row r="165" spans="1:25" ht="20.100000000000001" customHeight="1">
      <c r="A165" s="33">
        <v>37</v>
      </c>
      <c r="B165" s="257" t="s">
        <v>304</v>
      </c>
      <c r="C165" s="258"/>
      <c r="D165" s="61" t="s">
        <v>296</v>
      </c>
      <c r="E165" s="66" t="s">
        <v>310</v>
      </c>
      <c r="F165" s="62">
        <f>5086.76</f>
        <v>5086.76</v>
      </c>
      <c r="G165" s="27"/>
      <c r="H165" s="62">
        <f t="shared" si="116"/>
        <v>15260.28</v>
      </c>
      <c r="I165" s="62">
        <f t="shared" si="117"/>
        <v>381.50700000000001</v>
      </c>
      <c r="J165" s="62"/>
      <c r="K165" s="62">
        <f t="shared" si="118"/>
        <v>2543.38</v>
      </c>
      <c r="L165" s="36">
        <f t="shared" si="119"/>
        <v>17803.66</v>
      </c>
      <c r="M165" s="62">
        <f t="shared" si="128"/>
        <v>5086.76</v>
      </c>
      <c r="N165" s="36">
        <f>7000</f>
        <v>7000</v>
      </c>
      <c r="O165" s="62">
        <f t="shared" si="126"/>
        <v>508.67600000000004</v>
      </c>
      <c r="P165" s="62">
        <v>5000</v>
      </c>
      <c r="Q165" s="62">
        <v>0</v>
      </c>
      <c r="R165" s="36">
        <f t="shared" si="122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5"/>
        <v>26361.040000000001</v>
      </c>
      <c r="X165" s="36">
        <v>32309.983</v>
      </c>
      <c r="Y165" s="36">
        <v>20000</v>
      </c>
    </row>
    <row r="166" spans="1:25" ht="20.100000000000001" customHeight="1">
      <c r="A166" s="33">
        <v>38</v>
      </c>
      <c r="B166" s="257" t="s">
        <v>306</v>
      </c>
      <c r="C166" s="258"/>
      <c r="D166" s="61" t="s">
        <v>296</v>
      </c>
      <c r="E166" s="66" t="s">
        <v>310</v>
      </c>
      <c r="F166" s="62">
        <f>5086.76</f>
        <v>5086.76</v>
      </c>
      <c r="G166" s="27"/>
      <c r="H166" s="62">
        <f t="shared" si="116"/>
        <v>15260.28</v>
      </c>
      <c r="I166" s="62">
        <f t="shared" si="117"/>
        <v>381.50700000000001</v>
      </c>
      <c r="J166" s="62"/>
      <c r="K166" s="62">
        <f t="shared" si="118"/>
        <v>2543.38</v>
      </c>
      <c r="L166" s="36">
        <f t="shared" si="119"/>
        <v>17803.66</v>
      </c>
      <c r="M166" s="62">
        <f t="shared" si="128"/>
        <v>5086.76</v>
      </c>
      <c r="N166" s="36">
        <f>7000</f>
        <v>7000</v>
      </c>
      <c r="O166" s="62">
        <f t="shared" si="126"/>
        <v>508.67600000000004</v>
      </c>
      <c r="P166" s="62">
        <v>5000</v>
      </c>
      <c r="Q166" s="62">
        <v>0</v>
      </c>
      <c r="R166" s="36">
        <f t="shared" si="122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5"/>
        <v>31569.370000000003</v>
      </c>
      <c r="X166" s="36">
        <v>27101.652999999998</v>
      </c>
      <c r="Y166" s="36">
        <v>20000</v>
      </c>
    </row>
    <row r="167" spans="1:25" ht="20.100000000000001" customHeight="1">
      <c r="A167" s="33">
        <v>39</v>
      </c>
      <c r="B167" s="61" t="s">
        <v>307</v>
      </c>
      <c r="C167" s="33"/>
      <c r="D167" s="61" t="s">
        <v>296</v>
      </c>
      <c r="E167" s="66" t="s">
        <v>305</v>
      </c>
      <c r="F167" s="62">
        <f>5257.44</f>
        <v>5257.44</v>
      </c>
      <c r="G167" s="27"/>
      <c r="H167" s="62">
        <f t="shared" si="116"/>
        <v>15772.32</v>
      </c>
      <c r="I167" s="62">
        <f t="shared" si="117"/>
        <v>394.30799999999994</v>
      </c>
      <c r="J167" s="62"/>
      <c r="K167" s="62">
        <f t="shared" si="118"/>
        <v>2628.72</v>
      </c>
      <c r="L167" s="36">
        <f t="shared" si="119"/>
        <v>18401.039999999997</v>
      </c>
      <c r="M167" s="62">
        <f t="shared" si="128"/>
        <v>5257.44</v>
      </c>
      <c r="N167" s="36">
        <f>7000</f>
        <v>7000</v>
      </c>
      <c r="O167" s="62">
        <f t="shared" si="126"/>
        <v>525.74400000000003</v>
      </c>
      <c r="P167" s="62">
        <v>5000</v>
      </c>
      <c r="Q167" s="62">
        <v>0</v>
      </c>
      <c r="R167" s="36">
        <f t="shared" si="122"/>
        <v>60237.011999999995</v>
      </c>
      <c r="S167" s="36">
        <f>3000+3000</f>
        <v>6000</v>
      </c>
      <c r="T167" s="36">
        <f>25000</f>
        <v>25000</v>
      </c>
      <c r="U167" s="36"/>
      <c r="V167" s="36">
        <v>236.04</v>
      </c>
      <c r="W167" s="36">
        <f t="shared" si="115"/>
        <v>31236.04</v>
      </c>
      <c r="X167" s="36">
        <v>29000.971999999994</v>
      </c>
      <c r="Y167" s="36">
        <v>20000</v>
      </c>
    </row>
    <row r="168" spans="1:25" ht="20.100000000000001" customHeight="1">
      <c r="A168" s="33">
        <v>40</v>
      </c>
      <c r="B168" s="257" t="s">
        <v>309</v>
      </c>
      <c r="C168" s="258"/>
      <c r="D168" s="61" t="s">
        <v>296</v>
      </c>
      <c r="E168" s="66" t="s">
        <v>323</v>
      </c>
      <c r="F168" s="62">
        <f>4915.97</f>
        <v>4915.97</v>
      </c>
      <c r="G168" s="27"/>
      <c r="H168" s="62">
        <f t="shared" si="116"/>
        <v>14747.91</v>
      </c>
      <c r="I168" s="62">
        <f t="shared" si="117"/>
        <v>368.69774999999998</v>
      </c>
      <c r="J168" s="62"/>
      <c r="K168" s="62">
        <f t="shared" si="118"/>
        <v>2457.9850000000001</v>
      </c>
      <c r="L168" s="36">
        <f t="shared" si="119"/>
        <v>17205.895</v>
      </c>
      <c r="M168" s="62">
        <f t="shared" si="128"/>
        <v>4915.97</v>
      </c>
      <c r="N168" s="36">
        <f>7000</f>
        <v>7000</v>
      </c>
      <c r="O168" s="62">
        <f t="shared" si="126"/>
        <v>491.59700000000004</v>
      </c>
      <c r="P168" s="62">
        <v>5000</v>
      </c>
      <c r="Q168" s="62">
        <v>0</v>
      </c>
      <c r="R168" s="36">
        <f t="shared" si="122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5"/>
        <v>26694.370000000003</v>
      </c>
      <c r="X168" s="36">
        <v>30409.654750000002</v>
      </c>
      <c r="Y168" s="36">
        <v>20000</v>
      </c>
    </row>
    <row r="169" spans="1:25" ht="20.100000000000001" customHeight="1">
      <c r="A169" s="33">
        <v>41</v>
      </c>
      <c r="B169" s="257" t="s">
        <v>311</v>
      </c>
      <c r="C169" s="258"/>
      <c r="D169" s="61" t="s">
        <v>312</v>
      </c>
      <c r="E169" s="66" t="s">
        <v>319</v>
      </c>
      <c r="F169" s="62">
        <f t="shared" ref="F169:F174" si="129">4836.3</f>
        <v>4836.3</v>
      </c>
      <c r="G169" s="27"/>
      <c r="H169" s="62">
        <f t="shared" si="116"/>
        <v>14508.900000000001</v>
      </c>
      <c r="I169" s="62">
        <f t="shared" si="117"/>
        <v>362.72250000000003</v>
      </c>
      <c r="J169" s="62"/>
      <c r="K169" s="62">
        <f t="shared" si="118"/>
        <v>2418.15</v>
      </c>
      <c r="L169" s="36">
        <f t="shared" si="119"/>
        <v>16927.05</v>
      </c>
      <c r="M169" s="62">
        <f t="shared" si="128"/>
        <v>4836.3</v>
      </c>
      <c r="N169" s="36">
        <f>7000</f>
        <v>7000</v>
      </c>
      <c r="O169" s="62">
        <f t="shared" si="126"/>
        <v>483.63000000000005</v>
      </c>
      <c r="P169" s="62">
        <v>5000</v>
      </c>
      <c r="Q169" s="62">
        <v>0</v>
      </c>
      <c r="R169" s="36">
        <f t="shared" si="122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5"/>
        <v>23236.04</v>
      </c>
      <c r="X169" s="36">
        <v>33137.012499999997</v>
      </c>
      <c r="Y169" s="36">
        <v>20000</v>
      </c>
    </row>
    <row r="170" spans="1:25" ht="20.100000000000001" customHeight="1">
      <c r="A170" s="33">
        <v>42</v>
      </c>
      <c r="B170" s="257" t="s">
        <v>314</v>
      </c>
      <c r="C170" s="258"/>
      <c r="D170" s="61" t="s">
        <v>312</v>
      </c>
      <c r="E170" s="66" t="s">
        <v>319</v>
      </c>
      <c r="F170" s="62">
        <f t="shared" si="129"/>
        <v>4836.3</v>
      </c>
      <c r="G170" s="27"/>
      <c r="H170" s="62">
        <f t="shared" si="116"/>
        <v>14508.900000000001</v>
      </c>
      <c r="I170" s="62">
        <f t="shared" si="117"/>
        <v>362.72250000000003</v>
      </c>
      <c r="J170" s="62"/>
      <c r="K170" s="62">
        <f t="shared" si="118"/>
        <v>2418.15</v>
      </c>
      <c r="L170" s="36">
        <f t="shared" si="119"/>
        <v>16927.05</v>
      </c>
      <c r="M170" s="62">
        <f t="shared" si="128"/>
        <v>4836.3</v>
      </c>
      <c r="N170" s="36">
        <f>4000</f>
        <v>4000</v>
      </c>
      <c r="O170" s="62">
        <f t="shared" si="126"/>
        <v>483.63000000000005</v>
      </c>
      <c r="P170" s="62">
        <v>5000</v>
      </c>
      <c r="Q170" s="62">
        <v>0</v>
      </c>
      <c r="R170" s="36">
        <f t="shared" si="122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5"/>
        <v>43791.6</v>
      </c>
      <c r="X170" s="36">
        <v>9581.4524999999994</v>
      </c>
      <c r="Y170" s="36">
        <v>20000</v>
      </c>
    </row>
    <row r="171" spans="1:25" ht="20.100000000000001" customHeight="1">
      <c r="A171" s="33">
        <v>43</v>
      </c>
      <c r="B171" s="257" t="s">
        <v>315</v>
      </c>
      <c r="C171" s="258"/>
      <c r="D171" s="61" t="s">
        <v>312</v>
      </c>
      <c r="E171" s="66" t="s">
        <v>319</v>
      </c>
      <c r="F171" s="62">
        <f t="shared" si="129"/>
        <v>4836.3</v>
      </c>
      <c r="G171" s="27"/>
      <c r="H171" s="62">
        <f t="shared" si="116"/>
        <v>14508.900000000001</v>
      </c>
      <c r="I171" s="62">
        <f t="shared" si="117"/>
        <v>362.72250000000003</v>
      </c>
      <c r="J171" s="62"/>
      <c r="K171" s="62">
        <f t="shared" si="118"/>
        <v>2418.15</v>
      </c>
      <c r="L171" s="36">
        <f t="shared" si="119"/>
        <v>16927.05</v>
      </c>
      <c r="M171" s="62">
        <f t="shared" si="128"/>
        <v>4836.3</v>
      </c>
      <c r="N171" s="36">
        <f>7000</f>
        <v>7000</v>
      </c>
      <c r="O171" s="62">
        <f t="shared" si="126"/>
        <v>483.63000000000005</v>
      </c>
      <c r="P171" s="62">
        <v>5000</v>
      </c>
      <c r="Q171" s="62">
        <v>0</v>
      </c>
      <c r="R171" s="36">
        <f t="shared" si="122"/>
        <v>56373.052499999998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15"/>
        <v>38323.26</v>
      </c>
      <c r="X171" s="36">
        <v>18049.792499999996</v>
      </c>
      <c r="Y171" s="36">
        <v>20000</v>
      </c>
    </row>
    <row r="172" spans="1:25" ht="20.100000000000001" customHeight="1">
      <c r="A172" s="33">
        <v>44</v>
      </c>
      <c r="B172" s="257" t="s">
        <v>316</v>
      </c>
      <c r="C172" s="258"/>
      <c r="D172" s="61" t="s">
        <v>312</v>
      </c>
      <c r="E172" s="66" t="s">
        <v>319</v>
      </c>
      <c r="F172" s="62">
        <f t="shared" si="129"/>
        <v>4836.3</v>
      </c>
      <c r="G172" s="27"/>
      <c r="H172" s="62">
        <f t="shared" si="116"/>
        <v>14508.900000000001</v>
      </c>
      <c r="I172" s="62">
        <f t="shared" si="117"/>
        <v>362.72250000000003</v>
      </c>
      <c r="J172" s="62"/>
      <c r="K172" s="62">
        <f t="shared" si="118"/>
        <v>2418.15</v>
      </c>
      <c r="L172" s="36">
        <f t="shared" si="119"/>
        <v>16927.05</v>
      </c>
      <c r="M172" s="62">
        <f t="shared" si="128"/>
        <v>4836.3</v>
      </c>
      <c r="N172" s="36">
        <f>4000</f>
        <v>4000</v>
      </c>
      <c r="O172" s="62">
        <f t="shared" si="126"/>
        <v>483.63000000000005</v>
      </c>
      <c r="P172" s="62">
        <v>5000</v>
      </c>
      <c r="Q172" s="62">
        <v>0</v>
      </c>
      <c r="R172" s="36">
        <f t="shared" si="122"/>
        <v>53373.052499999998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15"/>
        <v>21652.71</v>
      </c>
      <c r="X172" s="36">
        <v>31720.342499999999</v>
      </c>
      <c r="Y172" s="36">
        <v>20000</v>
      </c>
    </row>
    <row r="173" spans="1:25" ht="20.100000000000001" customHeight="1">
      <c r="A173" s="33">
        <v>45</v>
      </c>
      <c r="B173" s="257" t="s">
        <v>508</v>
      </c>
      <c r="C173" s="258"/>
      <c r="D173" s="61" t="s">
        <v>312</v>
      </c>
      <c r="E173" s="66" t="s">
        <v>319</v>
      </c>
      <c r="F173" s="62">
        <f t="shared" si="129"/>
        <v>4836.3</v>
      </c>
      <c r="G173" s="27"/>
      <c r="H173" s="62">
        <f t="shared" si="116"/>
        <v>14508.900000000001</v>
      </c>
      <c r="I173" s="62">
        <f t="shared" si="117"/>
        <v>362.72250000000003</v>
      </c>
      <c r="J173" s="62"/>
      <c r="K173" s="62">
        <f t="shared" si="118"/>
        <v>2418.15</v>
      </c>
      <c r="L173" s="36">
        <f t="shared" si="119"/>
        <v>16927.05</v>
      </c>
      <c r="M173" s="62">
        <f t="shared" si="128"/>
        <v>4836.3</v>
      </c>
      <c r="N173" s="36">
        <f>7000</f>
        <v>7000</v>
      </c>
      <c r="O173" s="62">
        <f t="shared" si="126"/>
        <v>483.63000000000005</v>
      </c>
      <c r="P173" s="62">
        <v>5000</v>
      </c>
      <c r="Q173" s="62">
        <v>0</v>
      </c>
      <c r="R173" s="36">
        <f t="shared" si="122"/>
        <v>56373.052499999998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15"/>
        <v>21986.04</v>
      </c>
      <c r="X173" s="36">
        <v>34387.012499999997</v>
      </c>
      <c r="Y173" s="36">
        <v>20000</v>
      </c>
    </row>
    <row r="174" spans="1:25" ht="20.100000000000001" customHeight="1">
      <c r="A174" s="33">
        <v>46</v>
      </c>
      <c r="B174" s="257" t="s">
        <v>317</v>
      </c>
      <c r="C174" s="258"/>
      <c r="D174" s="61" t="s">
        <v>312</v>
      </c>
      <c r="E174" s="66" t="s">
        <v>319</v>
      </c>
      <c r="F174" s="62">
        <f t="shared" si="129"/>
        <v>4836.3</v>
      </c>
      <c r="G174" s="27"/>
      <c r="H174" s="62">
        <f t="shared" si="116"/>
        <v>14508.900000000001</v>
      </c>
      <c r="I174" s="62">
        <f t="shared" si="117"/>
        <v>362.72250000000003</v>
      </c>
      <c r="J174" s="62"/>
      <c r="K174" s="62">
        <f t="shared" si="118"/>
        <v>2418.15</v>
      </c>
      <c r="L174" s="36">
        <f t="shared" si="119"/>
        <v>16927.05</v>
      </c>
      <c r="M174" s="62">
        <f t="shared" si="128"/>
        <v>4836.3</v>
      </c>
      <c r="N174" s="36">
        <f>7000</f>
        <v>7000</v>
      </c>
      <c r="O174" s="62">
        <f t="shared" si="126"/>
        <v>483.63000000000005</v>
      </c>
      <c r="P174" s="62">
        <v>5000</v>
      </c>
      <c r="Q174" s="62">
        <v>0</v>
      </c>
      <c r="R174" s="36">
        <f t="shared" si="122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5"/>
        <v>8786.6</v>
      </c>
      <c r="X174" s="36">
        <v>47586.452499999999</v>
      </c>
      <c r="Y174" s="36">
        <v>20000</v>
      </c>
    </row>
    <row r="175" spans="1:25" ht="20.100000000000001" customHeight="1">
      <c r="A175" s="33">
        <v>47</v>
      </c>
      <c r="B175" s="259" t="s">
        <v>318</v>
      </c>
      <c r="C175" s="260"/>
      <c r="D175" s="61" t="s">
        <v>312</v>
      </c>
      <c r="E175" s="66" t="s">
        <v>509</v>
      </c>
      <c r="F175" s="62">
        <f>4395.43</f>
        <v>4395.43</v>
      </c>
      <c r="G175" s="27"/>
      <c r="H175" s="62">
        <f t="shared" si="116"/>
        <v>13186.29</v>
      </c>
      <c r="I175" s="62">
        <f t="shared" si="117"/>
        <v>329.65725000000003</v>
      </c>
      <c r="J175" s="62"/>
      <c r="K175" s="62">
        <f t="shared" si="118"/>
        <v>2197.7150000000001</v>
      </c>
      <c r="L175" s="36">
        <f t="shared" si="119"/>
        <v>15384.005000000001</v>
      </c>
      <c r="M175" s="62">
        <f t="shared" si="128"/>
        <v>4395.43</v>
      </c>
      <c r="N175" s="36">
        <f>7000</f>
        <v>7000</v>
      </c>
      <c r="O175" s="62">
        <f t="shared" si="126"/>
        <v>439.54300000000006</v>
      </c>
      <c r="P175" s="62">
        <v>5000</v>
      </c>
      <c r="Q175" s="62">
        <v>0</v>
      </c>
      <c r="R175" s="36">
        <f t="shared" si="122"/>
        <v>52328.070250000004</v>
      </c>
      <c r="S175" s="36">
        <f>5000+3000+3000</f>
        <v>11000</v>
      </c>
      <c r="T175" s="36">
        <f>10000</f>
        <v>10000</v>
      </c>
      <c r="U175" s="36"/>
      <c r="V175" s="36"/>
      <c r="W175" s="36">
        <f t="shared" si="115"/>
        <v>21000</v>
      </c>
      <c r="X175" s="36">
        <v>0</v>
      </c>
      <c r="Y175" s="36">
        <v>20000</v>
      </c>
    </row>
    <row r="176" spans="1:25" ht="20.100000000000001" customHeight="1">
      <c r="A176" s="33">
        <v>48</v>
      </c>
      <c r="B176" s="261" t="s">
        <v>320</v>
      </c>
      <c r="C176" s="262"/>
      <c r="D176" s="61" t="s">
        <v>312</v>
      </c>
      <c r="E176" s="66" t="s">
        <v>509</v>
      </c>
      <c r="F176" s="62">
        <f>4395.43</f>
        <v>4395.43</v>
      </c>
      <c r="G176" s="27"/>
      <c r="H176" s="62">
        <f t="shared" si="116"/>
        <v>13186.29</v>
      </c>
      <c r="I176" s="62">
        <f t="shared" si="117"/>
        <v>329.65725000000003</v>
      </c>
      <c r="J176" s="62"/>
      <c r="K176" s="62">
        <f t="shared" si="118"/>
        <v>2197.7150000000001</v>
      </c>
      <c r="L176" s="36">
        <f t="shared" si="119"/>
        <v>15384.005000000001</v>
      </c>
      <c r="M176" s="62">
        <f t="shared" si="128"/>
        <v>4395.43</v>
      </c>
      <c r="N176" s="36">
        <f>7000</f>
        <v>7000</v>
      </c>
      <c r="O176" s="62">
        <f t="shared" si="126"/>
        <v>439.54300000000006</v>
      </c>
      <c r="P176" s="62">
        <v>5000</v>
      </c>
      <c r="Q176" s="62">
        <v>0</v>
      </c>
      <c r="R176" s="36">
        <f t="shared" si="122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5"/>
        <v>22458.1</v>
      </c>
      <c r="X176" s="36">
        <v>29869.970250000006</v>
      </c>
      <c r="Y176" s="36">
        <v>20000</v>
      </c>
    </row>
    <row r="177" spans="1:25" ht="20.100000000000001" customHeight="1">
      <c r="A177" s="33">
        <v>49</v>
      </c>
      <c r="B177" s="102" t="s">
        <v>321</v>
      </c>
      <c r="C177" s="90"/>
      <c r="D177" s="61" t="s">
        <v>312</v>
      </c>
      <c r="E177" s="66" t="s">
        <v>509</v>
      </c>
      <c r="F177" s="62">
        <f>4395.43</f>
        <v>4395.43</v>
      </c>
      <c r="G177" s="27"/>
      <c r="H177" s="62">
        <f t="shared" si="116"/>
        <v>13186.29</v>
      </c>
      <c r="I177" s="62">
        <f t="shared" si="117"/>
        <v>329.65725000000003</v>
      </c>
      <c r="J177" s="62"/>
      <c r="K177" s="62">
        <f t="shared" si="118"/>
        <v>2197.7150000000001</v>
      </c>
      <c r="L177" s="36">
        <f t="shared" si="119"/>
        <v>15384.005000000001</v>
      </c>
      <c r="M177" s="62">
        <f t="shared" si="128"/>
        <v>4395.43</v>
      </c>
      <c r="N177" s="36">
        <f>4000</f>
        <v>4000</v>
      </c>
      <c r="O177" s="62">
        <f t="shared" si="126"/>
        <v>439.54300000000006</v>
      </c>
      <c r="P177" s="62">
        <v>5000</v>
      </c>
      <c r="Q177" s="62">
        <v>0</v>
      </c>
      <c r="R177" s="36">
        <f t="shared" si="122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5"/>
        <v>40736.04</v>
      </c>
      <c r="X177" s="36">
        <v>8592.0302500000034</v>
      </c>
      <c r="Y177" s="36">
        <v>20000</v>
      </c>
    </row>
    <row r="178" spans="1:25" ht="20.100000000000001" customHeight="1">
      <c r="A178" s="33">
        <v>50</v>
      </c>
      <c r="B178" s="102" t="s">
        <v>322</v>
      </c>
      <c r="C178" s="90"/>
      <c r="D178" s="61" t="s">
        <v>312</v>
      </c>
      <c r="E178" s="66" t="s">
        <v>510</v>
      </c>
      <c r="F178" s="62">
        <f>4101.58</f>
        <v>4101.58</v>
      </c>
      <c r="G178" s="27"/>
      <c r="H178" s="62">
        <f t="shared" si="116"/>
        <v>12304.74</v>
      </c>
      <c r="I178" s="62">
        <f t="shared" si="117"/>
        <v>307.61849999999998</v>
      </c>
      <c r="J178" s="62"/>
      <c r="K178" s="62">
        <f t="shared" si="118"/>
        <v>2050.79</v>
      </c>
      <c r="L178" s="36">
        <f t="shared" si="119"/>
        <v>14355.529999999999</v>
      </c>
      <c r="M178" s="62">
        <f t="shared" si="128"/>
        <v>4101.58</v>
      </c>
      <c r="N178" s="36">
        <f>4000</f>
        <v>4000</v>
      </c>
      <c r="O178" s="62">
        <f t="shared" si="126"/>
        <v>410.15800000000002</v>
      </c>
      <c r="P178" s="62">
        <v>5000</v>
      </c>
      <c r="Q178" s="62">
        <v>0</v>
      </c>
      <c r="R178" s="36">
        <f t="shared" si="122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5"/>
        <v>236.04</v>
      </c>
      <c r="X178" s="36">
        <v>46395.9565</v>
      </c>
      <c r="Y178" s="36">
        <v>20000</v>
      </c>
    </row>
    <row r="179" spans="1:25" ht="20.100000000000001" customHeight="1">
      <c r="A179" s="33"/>
      <c r="B179" s="48" t="s">
        <v>34</v>
      </c>
      <c r="D179" s="49" t="s">
        <v>511</v>
      </c>
      <c r="E179" s="37"/>
      <c r="F179" s="39">
        <f>SUM(F129:F178)</f>
        <v>729452.50000000093</v>
      </c>
      <c r="G179" s="39"/>
      <c r="H179" s="39">
        <f t="shared" ref="H179:W179" si="130">SUM(H129:H178)</f>
        <v>2188357.5</v>
      </c>
      <c r="I179" s="39">
        <f t="shared" si="130"/>
        <v>54708.937499999985</v>
      </c>
      <c r="J179" s="39">
        <f t="shared" si="130"/>
        <v>240733.14</v>
      </c>
      <c r="K179" s="39">
        <f t="shared" si="130"/>
        <v>364726.25000000047</v>
      </c>
      <c r="L179" s="39">
        <f t="shared" si="130"/>
        <v>2553083.7500000005</v>
      </c>
      <c r="M179" s="39">
        <f t="shared" si="130"/>
        <v>729452.50000000093</v>
      </c>
      <c r="N179" s="39">
        <f t="shared" si="130"/>
        <v>254000</v>
      </c>
      <c r="O179" s="39">
        <f t="shared" si="130"/>
        <v>72945.250000000044</v>
      </c>
      <c r="P179" s="39">
        <f t="shared" si="130"/>
        <v>420000</v>
      </c>
      <c r="Q179" s="39">
        <f t="shared" si="130"/>
        <v>50000</v>
      </c>
      <c r="R179" s="39">
        <f t="shared" si="130"/>
        <v>7657459.8275000043</v>
      </c>
      <c r="S179" s="39">
        <f t="shared" si="130"/>
        <v>777500</v>
      </c>
      <c r="T179" s="39">
        <f t="shared" si="130"/>
        <v>1515401.2200000007</v>
      </c>
      <c r="U179" s="39">
        <f t="shared" si="130"/>
        <v>6642.5735000000022</v>
      </c>
      <c r="V179" s="39">
        <f t="shared" si="130"/>
        <v>213908.96000000028</v>
      </c>
      <c r="W179" s="39">
        <f t="shared" si="130"/>
        <v>2513452.753500001</v>
      </c>
      <c r="X179" s="39">
        <v>5289561.2375000007</v>
      </c>
      <c r="Y179" s="39">
        <f>SUM(Y129:Y178)</f>
        <v>1620000</v>
      </c>
    </row>
    <row r="180" spans="1:25" ht="20.100000000000001" customHeight="1">
      <c r="A180" s="33"/>
      <c r="B180" s="263" t="s">
        <v>328</v>
      </c>
      <c r="C180" s="263"/>
      <c r="D180" s="73">
        <f>D179+D126+D113+D104+D97+D82+D71+D56+D51+D37+D33</f>
        <v>140</v>
      </c>
      <c r="E180" s="40"/>
      <c r="F180" s="41">
        <f t="shared" ref="F180:W180" si="131">F33+F37+F51+F56+F71+F82+F97+F104+F113+F126+F179</f>
        <v>3576339.8200000008</v>
      </c>
      <c r="G180" s="41">
        <f t="shared" si="131"/>
        <v>0</v>
      </c>
      <c r="H180" s="41">
        <f t="shared" si="131"/>
        <v>10568530.709999999</v>
      </c>
      <c r="I180" s="41">
        <f t="shared" si="131"/>
        <v>304335.46024999995</v>
      </c>
      <c r="J180" s="41">
        <f t="shared" si="131"/>
        <v>1965987.3100000005</v>
      </c>
      <c r="K180" s="41">
        <f t="shared" si="131"/>
        <v>1780145.4750000003</v>
      </c>
      <c r="L180" s="41">
        <f t="shared" si="131"/>
        <v>11955478.745000001</v>
      </c>
      <c r="M180" s="41">
        <f t="shared" si="131"/>
        <v>3536217.6400000011</v>
      </c>
      <c r="N180" s="41">
        <f t="shared" si="131"/>
        <v>6654000</v>
      </c>
      <c r="O180" s="41">
        <f t="shared" si="131"/>
        <v>357633.98700000002</v>
      </c>
      <c r="P180" s="41">
        <f t="shared" si="131"/>
        <v>1875000</v>
      </c>
      <c r="Q180" s="41">
        <f t="shared" si="131"/>
        <v>1055235</v>
      </c>
      <c r="R180" s="41">
        <f t="shared" si="131"/>
        <v>43628904.147250012</v>
      </c>
      <c r="S180" s="41">
        <f t="shared" si="131"/>
        <v>4248500</v>
      </c>
      <c r="T180" s="41">
        <f t="shared" si="131"/>
        <v>5878538.1700000009</v>
      </c>
      <c r="U180" s="41">
        <f t="shared" si="131"/>
        <v>29328.454500000003</v>
      </c>
      <c r="V180" s="41">
        <f t="shared" si="131"/>
        <v>1479962.6600000001</v>
      </c>
      <c r="W180" s="41">
        <f t="shared" si="131"/>
        <v>11636329.284500001</v>
      </c>
      <c r="X180" s="41">
        <v>31561246.792499993</v>
      </c>
      <c r="Y180" s="41">
        <f>Y33+Y37+Y51+Y56+Y71+Y82+Y97+Y104+Y113+Y126+Y179</f>
        <v>7190000</v>
      </c>
    </row>
    <row r="181" spans="1:25" ht="20.100000000000001" customHeight="1">
      <c r="A181" s="33"/>
      <c r="B181" s="256"/>
      <c r="C181" s="256"/>
      <c r="D181" s="46"/>
      <c r="E181" s="70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</row>
    <row r="182" spans="1:25" ht="20.100000000000001" customHeight="1">
      <c r="A182" s="33"/>
      <c r="B182" s="256"/>
      <c r="C182" s="256"/>
      <c r="D182" s="242" t="s">
        <v>329</v>
      </c>
      <c r="E182" s="242"/>
      <c r="F182" s="242"/>
      <c r="G182" s="242"/>
      <c r="H182" s="242"/>
      <c r="I182" s="242"/>
      <c r="J182" s="242"/>
      <c r="K182" s="241" t="s">
        <v>330</v>
      </c>
      <c r="L182" s="241"/>
      <c r="M182" s="241"/>
      <c r="N182" s="40"/>
      <c r="O182" s="241" t="s">
        <v>331</v>
      </c>
      <c r="P182" s="241"/>
      <c r="Q182" s="241"/>
      <c r="R182" s="241"/>
      <c r="S182" s="40"/>
      <c r="T182" s="40"/>
      <c r="U182" s="40"/>
      <c r="V182" s="71"/>
      <c r="W182" s="71"/>
      <c r="X182" s="71"/>
      <c r="Y182" s="71"/>
    </row>
    <row r="183" spans="1:25" ht="20.100000000000001" customHeight="1">
      <c r="A183" s="33"/>
      <c r="B183" s="256"/>
      <c r="C183" s="256"/>
      <c r="D183" s="242"/>
      <c r="E183" s="242"/>
      <c r="F183" s="242"/>
      <c r="G183" s="242"/>
      <c r="H183" s="242"/>
      <c r="I183" s="242"/>
      <c r="J183" s="242"/>
      <c r="K183" s="241"/>
      <c r="L183" s="241"/>
      <c r="M183" s="241"/>
      <c r="N183" s="40"/>
      <c r="O183" s="241"/>
      <c r="P183" s="241"/>
      <c r="Q183" s="241"/>
      <c r="R183" s="241"/>
      <c r="S183" s="40"/>
      <c r="T183" s="40"/>
      <c r="U183" s="40"/>
      <c r="V183" s="71"/>
      <c r="W183" s="71"/>
      <c r="X183" s="71"/>
      <c r="Y183" s="71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86"/>
  <sheetViews>
    <sheetView view="pageBreakPreview" zoomScaleNormal="100" zoomScaleSheetLayoutView="100" workbookViewId="0">
      <pane xSplit="4" ySplit="9" topLeftCell="E160" activePane="bottomRight" state="frozen"/>
      <selection pane="bottomRight" activeCell="Z121" sqref="Z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0" t="s">
        <v>512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4</v>
      </c>
    </row>
    <row r="6" spans="1:30" ht="35.450000000000003" customHeight="1">
      <c r="A6" s="33"/>
      <c r="B6" s="285"/>
      <c r="C6" s="285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513</v>
      </c>
      <c r="Y6" s="7" t="s">
        <v>514</v>
      </c>
      <c r="Z6" s="155" t="s">
        <v>515</v>
      </c>
      <c r="AA6" s="155" t="s">
        <v>388</v>
      </c>
    </row>
    <row r="7" spans="1:30" ht="55.9" customHeight="1">
      <c r="A7" s="33"/>
      <c r="B7" s="286"/>
      <c r="C7" s="286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55" t="s">
        <v>516</v>
      </c>
      <c r="AA7" s="155"/>
    </row>
    <row r="8" spans="1:30" ht="20.100000000000001" customHeight="1">
      <c r="A8" s="21" t="s">
        <v>35</v>
      </c>
      <c r="B8" s="287" t="s">
        <v>36</v>
      </c>
      <c r="C8" s="287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57" t="s">
        <v>38</v>
      </c>
      <c r="C9" s="258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28" si="1">R9-W9</f>
        <v>895672.87</v>
      </c>
      <c r="Z9" s="27">
        <f>200000</f>
        <v>200000</v>
      </c>
      <c r="AA9" s="27"/>
    </row>
    <row r="10" spans="1:30" ht="20.100000000000001" customHeight="1">
      <c r="A10" s="3">
        <v>2</v>
      </c>
      <c r="B10" s="257" t="s">
        <v>41</v>
      </c>
      <c r="C10" s="258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'[5]Jan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/>
    </row>
    <row r="11" spans="1:30" ht="20.100000000000001" customHeight="1">
      <c r="A11" s="3">
        <v>3</v>
      </c>
      <c r="B11" s="271" t="s">
        <v>391</v>
      </c>
      <c r="C11" s="272"/>
      <c r="D11" s="43" t="s">
        <v>478</v>
      </c>
      <c r="E11" s="75" t="s">
        <v>227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6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100000</f>
        <v>100000</v>
      </c>
      <c r="AA11" s="27"/>
    </row>
    <row r="12" spans="1:30" ht="20.100000000000001" customHeight="1">
      <c r="A12" s="3">
        <v>4</v>
      </c>
      <c r="B12" s="257" t="s">
        <v>44</v>
      </c>
      <c r="C12" s="258"/>
      <c r="D12" s="33" t="s">
        <v>45</v>
      </c>
      <c r="E12" s="3" t="s">
        <v>479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'[5]Jan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v>100000</v>
      </c>
      <c r="AA12" s="27"/>
    </row>
    <row r="13" spans="1:30" ht="20.100000000000001" customHeight="1">
      <c r="A13" s="3">
        <v>5</v>
      </c>
      <c r="B13" s="271" t="s">
        <v>47</v>
      </c>
      <c r="C13" s="272"/>
      <c r="D13" s="43" t="s">
        <v>48</v>
      </c>
      <c r="E13" s="75" t="s">
        <v>479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v>100000</v>
      </c>
      <c r="AA13" s="27"/>
    </row>
    <row r="14" spans="1:30" ht="20.100000000000001" customHeight="1">
      <c r="A14" s="3">
        <v>6</v>
      </c>
      <c r="B14" s="257" t="s">
        <v>49</v>
      </c>
      <c r="C14" s="258"/>
      <c r="D14" s="61" t="s">
        <v>50</v>
      </c>
      <c r="E14" s="3" t="s">
        <v>408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v>100000</v>
      </c>
      <c r="AA14" s="27"/>
    </row>
    <row r="15" spans="1:30" ht="20.100000000000001" customHeight="1">
      <c r="A15" s="3">
        <v>7</v>
      </c>
      <c r="B15" s="271" t="s">
        <v>52</v>
      </c>
      <c r="C15" s="272"/>
      <c r="D15" s="33" t="s">
        <v>53</v>
      </c>
      <c r="E15" s="38" t="s">
        <v>54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451167.48249999998</v>
      </c>
      <c r="Z15" s="27">
        <v>80000</v>
      </c>
      <c r="AA15" s="27"/>
    </row>
    <row r="16" spans="1:30" ht="20.100000000000001" customHeight="1">
      <c r="A16" s="3">
        <v>8</v>
      </c>
      <c r="B16" s="269" t="s">
        <v>55</v>
      </c>
      <c r="C16" s="270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v>80000</v>
      </c>
      <c r="AA16" s="27"/>
    </row>
    <row r="17" spans="1:27" ht="20.100000000000001" customHeight="1">
      <c r="A17" s="3">
        <v>9</v>
      </c>
      <c r="B17" s="271" t="s">
        <v>57</v>
      </c>
      <c r="C17" s="272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167149.97500000001</v>
      </c>
      <c r="Z17" s="27">
        <v>80000</v>
      </c>
      <c r="AA17" s="27"/>
    </row>
    <row r="18" spans="1:27" ht="20.100000000000001" customHeight="1">
      <c r="A18" s="3">
        <v>10</v>
      </c>
      <c r="B18" s="97" t="s">
        <v>61</v>
      </c>
      <c r="C18" s="98"/>
      <c r="D18" s="61" t="s">
        <v>480</v>
      </c>
      <c r="E18" s="11" t="s">
        <v>63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251671.717</v>
      </c>
      <c r="Z18" s="27">
        <v>80000</v>
      </c>
      <c r="AA18" s="27"/>
    </row>
    <row r="19" spans="1:27" ht="20.100000000000001" customHeight="1">
      <c r="A19" s="3">
        <v>11</v>
      </c>
      <c r="B19" s="271" t="s">
        <v>64</v>
      </c>
      <c r="C19" s="272"/>
      <c r="D19" s="43" t="s">
        <v>442</v>
      </c>
      <c r="E19" s="44" t="s">
        <v>138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281467.89375000005</v>
      </c>
      <c r="Y19" s="36">
        <f t="shared" si="1"/>
        <v>241467.89375000005</v>
      </c>
      <c r="Z19" s="27">
        <v>80000</v>
      </c>
      <c r="AA19" s="27"/>
    </row>
    <row r="20" spans="1:27" ht="19.5" customHeight="1">
      <c r="A20" s="3">
        <v>12</v>
      </c>
      <c r="B20" s="271" t="s">
        <v>67</v>
      </c>
      <c r="C20" s="272"/>
      <c r="D20" s="33" t="s">
        <v>444</v>
      </c>
      <c r="E20" s="3" t="s">
        <v>73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'[5]Jan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f t="shared" si="1"/>
        <v>348294.83499999996</v>
      </c>
      <c r="Z20" s="27">
        <v>80000</v>
      </c>
      <c r="AA20" s="27"/>
    </row>
    <row r="21" spans="1:27" ht="19.5" customHeight="1">
      <c r="A21" s="3">
        <v>13</v>
      </c>
      <c r="B21" s="271" t="s">
        <v>69</v>
      </c>
      <c r="C21" s="272"/>
      <c r="D21" s="33" t="s">
        <v>445</v>
      </c>
      <c r="E21" s="3" t="s">
        <v>138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0" si="12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v>80000</v>
      </c>
      <c r="AA21" s="27"/>
    </row>
    <row r="22" spans="1:27" ht="20.100000000000001" customHeight="1">
      <c r="A22" s="3">
        <v>14</v>
      </c>
      <c r="B22" s="257" t="s">
        <v>71</v>
      </c>
      <c r="C22" s="258"/>
      <c r="D22" s="61" t="s">
        <v>444</v>
      </c>
      <c r="E22" s="66" t="s">
        <v>73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f t="shared" si="1"/>
        <v>348953.31749999995</v>
      </c>
      <c r="Z22" s="27">
        <v>80000</v>
      </c>
      <c r="AA22" s="27"/>
    </row>
    <row r="23" spans="1:27" ht="20.100000000000001" customHeight="1">
      <c r="A23" s="3">
        <v>15</v>
      </c>
      <c r="B23" s="271" t="s">
        <v>74</v>
      </c>
      <c r="C23" s="272"/>
      <c r="D23" s="33" t="s">
        <v>393</v>
      </c>
      <c r="E23" s="66" t="s">
        <v>76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/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si="8"/>
        <v>326713.03324999998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f t="shared" si="1"/>
        <v>319003.27324999997</v>
      </c>
      <c r="Z23" s="27">
        <v>80000</v>
      </c>
      <c r="AA23" s="27"/>
    </row>
    <row r="24" spans="1:27" ht="20.100000000000001" customHeight="1">
      <c r="A24" s="3">
        <v>16</v>
      </c>
      <c r="B24" s="257" t="s">
        <v>80</v>
      </c>
      <c r="C24" s="258"/>
      <c r="D24" s="61" t="s">
        <v>81</v>
      </c>
      <c r="E24" s="66" t="s">
        <v>103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f t="shared" si="1"/>
        <v>42531.206999999937</v>
      </c>
      <c r="Z24" s="27">
        <v>50000</v>
      </c>
      <c r="AA24" s="27"/>
    </row>
    <row r="25" spans="1:27" ht="18.75" customHeight="1">
      <c r="A25" s="3">
        <v>17</v>
      </c>
      <c r="B25" s="257" t="s">
        <v>83</v>
      </c>
      <c r="C25" s="258"/>
      <c r="D25" s="61" t="s">
        <v>89</v>
      </c>
      <c r="E25" s="66" t="s">
        <v>208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'[5]Jan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f t="shared" si="1"/>
        <v>180514.58250000005</v>
      </c>
      <c r="Z25" s="27">
        <v>50000</v>
      </c>
      <c r="AA25" s="27"/>
    </row>
    <row r="26" spans="1:27" ht="18.75" customHeight="1">
      <c r="A26" s="3">
        <v>18</v>
      </c>
      <c r="B26" s="97" t="s">
        <v>88</v>
      </c>
      <c r="C26" s="98"/>
      <c r="D26" s="61" t="s">
        <v>89</v>
      </c>
      <c r="E26" s="66" t="s">
        <v>108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3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f t="shared" si="1"/>
        <v>218819.698</v>
      </c>
      <c r="Z26" s="27">
        <v>50000</v>
      </c>
      <c r="AA26" s="27"/>
    </row>
    <row r="27" spans="1:27" ht="18.75" customHeight="1">
      <c r="A27" s="3">
        <v>19</v>
      </c>
      <c r="B27" s="97" t="s">
        <v>91</v>
      </c>
      <c r="C27" s="98"/>
      <c r="D27" s="61" t="s">
        <v>92</v>
      </c>
      <c r="E27" s="66" t="s">
        <v>93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3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4">SUM(S27:V27)</f>
        <v>1235.19</v>
      </c>
      <c r="X27" s="26">
        <v>122093.85950000001</v>
      </c>
      <c r="Y27" s="26">
        <f t="shared" si="1"/>
        <v>122093.85950000001</v>
      </c>
      <c r="Z27" s="27">
        <f>50000</f>
        <v>50000</v>
      </c>
      <c r="AA27" s="27"/>
    </row>
    <row r="28" spans="1:27" ht="18.75" customHeight="1">
      <c r="A28" s="3">
        <v>20</v>
      </c>
      <c r="B28" s="97" t="s">
        <v>94</v>
      </c>
      <c r="C28" s="98"/>
      <c r="D28" s="61" t="s">
        <v>92</v>
      </c>
      <c r="E28" s="66" t="s">
        <v>93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3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5">SUM(S28:V28)</f>
        <v>11235.19</v>
      </c>
      <c r="X28" s="26">
        <v>112093.85950000001</v>
      </c>
      <c r="Y28" s="26">
        <f t="shared" si="1"/>
        <v>112093.85950000001</v>
      </c>
      <c r="Z28" s="27">
        <f>50000</f>
        <v>50000</v>
      </c>
      <c r="AA28" s="27"/>
    </row>
    <row r="29" spans="1:27" ht="18.75" customHeight="1">
      <c r="A29" s="3">
        <v>21</v>
      </c>
      <c r="B29" s="264" t="s">
        <v>96</v>
      </c>
      <c r="C29" s="264"/>
      <c r="D29" s="33" t="s">
        <v>97</v>
      </c>
      <c r="E29" s="66" t="s">
        <v>79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10000</v>
      </c>
      <c r="T29" s="36"/>
      <c r="U29" s="36">
        <f>'[5]Jan 2021'!$H$39</f>
        <v>597.27800000000002</v>
      </c>
      <c r="V29" s="62">
        <f>7709.76</f>
        <v>7709.76</v>
      </c>
      <c r="W29" s="36">
        <f>SUM(S29:V29)</f>
        <v>18307.038</v>
      </c>
      <c r="X29" s="36">
        <v>315893.98800000001</v>
      </c>
      <c r="Y29" s="36">
        <f>R29-W29</f>
        <v>315893.98800000001</v>
      </c>
      <c r="Z29" s="27">
        <v>80000</v>
      </c>
      <c r="AA29" s="27"/>
    </row>
    <row r="30" spans="1:27" ht="18.75" customHeight="1">
      <c r="A30" s="3">
        <v>22</v>
      </c>
      <c r="B30" s="257" t="s">
        <v>99</v>
      </c>
      <c r="C30" s="258"/>
      <c r="D30" s="33" t="s">
        <v>100</v>
      </c>
      <c r="E30" s="66" t="s">
        <v>103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f>R30-W30</f>
        <v>123114.53699999995</v>
      </c>
      <c r="Z30" s="27">
        <f>50000</f>
        <v>50000</v>
      </c>
      <c r="AA30" s="27"/>
    </row>
    <row r="31" spans="1:27" ht="18.75" customHeight="1">
      <c r="A31" s="3">
        <v>23</v>
      </c>
      <c r="B31" s="97" t="s">
        <v>101</v>
      </c>
      <c r="C31" s="98"/>
      <c r="D31" s="33" t="s">
        <v>102</v>
      </c>
      <c r="E31" s="66" t="s">
        <v>95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30000+20000</f>
        <v>50000</v>
      </c>
      <c r="T31" s="36"/>
      <c r="U31" s="36">
        <f>0</f>
        <v>0</v>
      </c>
      <c r="V31" s="62">
        <v>3369.51</v>
      </c>
      <c r="W31" s="36">
        <f>S31+T31+U31+V31</f>
        <v>53369.51</v>
      </c>
      <c r="X31" s="36">
        <v>119798.68999999997</v>
      </c>
      <c r="Y31" s="36">
        <f>R31-W31</f>
        <v>119798.68999999997</v>
      </c>
      <c r="Z31" s="27">
        <f>50000</f>
        <v>50000</v>
      </c>
      <c r="AA31" s="27"/>
    </row>
    <row r="32" spans="1:27" ht="18.75" customHeight="1">
      <c r="A32" s="3">
        <v>24</v>
      </c>
      <c r="B32" s="269" t="s">
        <v>481</v>
      </c>
      <c r="C32" s="270"/>
      <c r="D32" s="47" t="s">
        <v>110</v>
      </c>
      <c r="E32" s="66" t="s">
        <v>455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10000</f>
        <v>10000</v>
      </c>
      <c r="T32" s="36"/>
      <c r="U32" s="36">
        <f>0</f>
        <v>0</v>
      </c>
      <c r="V32" s="62">
        <f>1235.19</f>
        <v>1235.19</v>
      </c>
      <c r="W32" s="36">
        <f>S32+T32+U32+V32</f>
        <v>11235.19</v>
      </c>
      <c r="X32" s="36">
        <v>115580.90999999999</v>
      </c>
      <c r="Y32" s="36">
        <f>R32-W32</f>
        <v>115580.90999999999</v>
      </c>
      <c r="Z32" s="27">
        <f>50000</f>
        <v>50000</v>
      </c>
      <c r="AA32" s="27"/>
    </row>
    <row r="33" spans="1:27" ht="18.75" customHeight="1">
      <c r="A33" s="3"/>
      <c r="B33" s="267" t="s">
        <v>34</v>
      </c>
      <c r="C33" s="267"/>
      <c r="D33" s="7">
        <v>24</v>
      </c>
      <c r="E33" s="66"/>
      <c r="F33" s="68">
        <f>SUM(F9:F32)</f>
        <v>810273.90999999992</v>
      </c>
      <c r="G33" s="68"/>
      <c r="H33" s="68">
        <f t="shared" ref="H33:Y33" si="16">SUM(H9:H32)</f>
        <v>2270332.98</v>
      </c>
      <c r="I33" s="68">
        <f t="shared" si="16"/>
        <v>96880.516999999978</v>
      </c>
      <c r="J33" s="68">
        <f t="shared" si="16"/>
        <v>521588.47000000003</v>
      </c>
      <c r="K33" s="68">
        <f t="shared" si="16"/>
        <v>397112.51999999996</v>
      </c>
      <c r="L33" s="68">
        <f t="shared" si="16"/>
        <v>2274248.0600000005</v>
      </c>
      <c r="M33" s="68">
        <f t="shared" si="16"/>
        <v>770151.73</v>
      </c>
      <c r="N33" s="68">
        <f t="shared" si="16"/>
        <v>1200000</v>
      </c>
      <c r="O33" s="68">
        <f t="shared" si="16"/>
        <v>81027.396000000008</v>
      </c>
      <c r="P33" s="68">
        <f t="shared" si="16"/>
        <v>375000</v>
      </c>
      <c r="Q33" s="68">
        <f t="shared" si="16"/>
        <v>675235</v>
      </c>
      <c r="R33" s="68">
        <f t="shared" si="16"/>
        <v>9471850.5830000006</v>
      </c>
      <c r="S33" s="68">
        <f t="shared" si="16"/>
        <v>580000</v>
      </c>
      <c r="T33" s="68">
        <f t="shared" si="16"/>
        <v>966965.05999999994</v>
      </c>
      <c r="U33" s="68">
        <f t="shared" si="16"/>
        <v>7285.8060000000005</v>
      </c>
      <c r="V33" s="68">
        <f t="shared" si="16"/>
        <v>379545.82000000012</v>
      </c>
      <c r="W33" s="68">
        <f t="shared" si="16"/>
        <v>1933796.6860000002</v>
      </c>
      <c r="X33" s="68">
        <v>7578053.8969999999</v>
      </c>
      <c r="Y33" s="68">
        <f t="shared" si="16"/>
        <v>7538053.8969999999</v>
      </c>
      <c r="Z33" s="134">
        <f>SUM(Z9:Z32)</f>
        <v>1900000</v>
      </c>
      <c r="AA33" s="134"/>
    </row>
    <row r="34" spans="1:27" ht="18.75" customHeight="1">
      <c r="A34" s="3"/>
      <c r="B34" s="96"/>
      <c r="C34" s="96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33"/>
      <c r="AA34" s="27"/>
    </row>
    <row r="35" spans="1:27" ht="18.75" customHeight="1">
      <c r="A35" s="3"/>
      <c r="B35" s="267" t="s">
        <v>115</v>
      </c>
      <c r="C35" s="267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  <c r="Z35" s="33"/>
      <c r="AA35" s="27"/>
    </row>
    <row r="36" spans="1:27" ht="18.75" customHeight="1">
      <c r="A36" s="3">
        <v>1</v>
      </c>
      <c r="B36" s="311" t="s">
        <v>482</v>
      </c>
      <c r="C36" s="312"/>
      <c r="D36" s="61" t="s">
        <v>483</v>
      </c>
      <c r="E36" s="66" t="s">
        <v>118</v>
      </c>
      <c r="F36" s="62">
        <f>79039.64</f>
        <v>79039.64</v>
      </c>
      <c r="G36" s="62"/>
      <c r="H36" s="62">
        <f t="shared" ref="H36" si="17">F36*300%</f>
        <v>237118.91999999998</v>
      </c>
      <c r="I36" s="62">
        <f t="shared" ref="I36" si="18">F36*7.5%</f>
        <v>5927.973</v>
      </c>
      <c r="J36" s="62">
        <f>80244.38</f>
        <v>80244.38</v>
      </c>
      <c r="K36" s="62">
        <f t="shared" ref="K36" si="19">F36*50%</f>
        <v>39519.82</v>
      </c>
      <c r="L36" s="62">
        <f t="shared" ref="L36" si="20">F36*350%</f>
        <v>276638.74</v>
      </c>
      <c r="M36" s="62">
        <f t="shared" ref="M36" si="21">F36*100%</f>
        <v>79039.64</v>
      </c>
      <c r="N36" s="64"/>
      <c r="O36" s="62">
        <f t="shared" ref="O36" si="22">F36*10%</f>
        <v>7903.9639999999999</v>
      </c>
      <c r="P36" s="62">
        <v>20000</v>
      </c>
      <c r="Q36" s="62">
        <v>0</v>
      </c>
      <c r="R36" s="36">
        <f t="shared" ref="R36" si="23">SUM(F36:Q36)</f>
        <v>825433.07700000005</v>
      </c>
      <c r="S36" s="62">
        <f>100000</f>
        <v>100000</v>
      </c>
      <c r="T36" s="62">
        <f>287500</f>
        <v>287500</v>
      </c>
      <c r="U36" s="62">
        <f>'[5]Jan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f>R36-W36</f>
        <v>383180.45600000006</v>
      </c>
      <c r="Z36" s="27">
        <f>100000</f>
        <v>100000</v>
      </c>
      <c r="AA36" s="27"/>
    </row>
    <row r="37" spans="1:27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4">SUM(H36:H36)</f>
        <v>237118.91999999998</v>
      </c>
      <c r="I37" s="68">
        <f t="shared" si="24"/>
        <v>5927.973</v>
      </c>
      <c r="J37" s="68">
        <f t="shared" si="24"/>
        <v>80244.38</v>
      </c>
      <c r="K37" s="68">
        <f t="shared" si="24"/>
        <v>39519.82</v>
      </c>
      <c r="L37" s="68">
        <f t="shared" si="24"/>
        <v>276638.74</v>
      </c>
      <c r="M37" s="68">
        <f t="shared" si="24"/>
        <v>79039.64</v>
      </c>
      <c r="N37" s="68">
        <f t="shared" si="24"/>
        <v>0</v>
      </c>
      <c r="O37" s="68">
        <f t="shared" si="24"/>
        <v>7903.9639999999999</v>
      </c>
      <c r="P37" s="68">
        <f t="shared" si="24"/>
        <v>20000</v>
      </c>
      <c r="Q37" s="68">
        <f t="shared" si="24"/>
        <v>0</v>
      </c>
      <c r="R37" s="68">
        <f t="shared" si="24"/>
        <v>825433.07700000005</v>
      </c>
      <c r="S37" s="68">
        <f t="shared" si="24"/>
        <v>100000</v>
      </c>
      <c r="T37" s="68">
        <f t="shared" si="24"/>
        <v>287500</v>
      </c>
      <c r="U37" s="68">
        <f t="shared" si="24"/>
        <v>1975.991</v>
      </c>
      <c r="V37" s="68">
        <f t="shared" si="24"/>
        <v>52776.63</v>
      </c>
      <c r="W37" s="68">
        <f t="shared" si="24"/>
        <v>442252.62099999998</v>
      </c>
      <c r="X37" s="68">
        <v>383180.45600000006</v>
      </c>
      <c r="Y37" s="68">
        <f>SUM(Y36:Y36)</f>
        <v>383180.45600000006</v>
      </c>
      <c r="Z37" s="134">
        <f>SUM(Z36)</f>
        <v>100000</v>
      </c>
      <c r="AA37" s="134"/>
    </row>
    <row r="38" spans="1:27" ht="20.100000000000001" customHeight="1">
      <c r="A38" s="3"/>
      <c r="B38" s="281"/>
      <c r="C38" s="282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  <c r="Z38" s="33"/>
      <c r="AA38" s="27"/>
    </row>
    <row r="39" spans="1:27" ht="20.100000000000001" customHeight="1">
      <c r="A39" s="3"/>
      <c r="B39" s="283" t="s">
        <v>121</v>
      </c>
      <c r="C39" s="284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27"/>
    </row>
    <row r="40" spans="1:27" ht="20.100000000000001" customHeight="1">
      <c r="A40" s="3">
        <v>1</v>
      </c>
      <c r="B40" s="257" t="s">
        <v>122</v>
      </c>
      <c r="C40" s="258"/>
      <c r="D40" s="33" t="s">
        <v>123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5">F40*100%</f>
        <v>81740.02</v>
      </c>
      <c r="N40" s="62">
        <v>100000</v>
      </c>
      <c r="O40" s="62">
        <f t="shared" ref="O40:O50" si="26">F40*10%</f>
        <v>8174.0020000000004</v>
      </c>
      <c r="P40" s="62">
        <v>20000</v>
      </c>
      <c r="Q40" s="62"/>
      <c r="R40" s="36">
        <f t="shared" ref="R40:R50" si="27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8">V40+S40+T40+U40</f>
        <v>152776.63</v>
      </c>
      <c r="X40" s="36">
        <v>797432.43350000004</v>
      </c>
      <c r="Y40" s="36">
        <f t="shared" ref="Y40:Y50" si="29">R40-W40</f>
        <v>797432.43350000004</v>
      </c>
      <c r="Z40" s="27">
        <f>100000</f>
        <v>100000</v>
      </c>
      <c r="AA40" s="27"/>
    </row>
    <row r="41" spans="1:27" ht="20.100000000000001" customHeight="1">
      <c r="A41" s="3">
        <v>2</v>
      </c>
      <c r="B41" s="257" t="s">
        <v>124</v>
      </c>
      <c r="C41" s="258"/>
      <c r="D41" s="33" t="s">
        <v>125</v>
      </c>
      <c r="E41" s="3" t="s">
        <v>54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>R41-W41</f>
        <v>161096.0625</v>
      </c>
      <c r="Z41" s="27">
        <v>80000</v>
      </c>
      <c r="AA41" s="27"/>
    </row>
    <row r="42" spans="1:27" ht="20.100000000000001" customHeight="1">
      <c r="A42" s="3">
        <v>3</v>
      </c>
      <c r="B42" s="257" t="s">
        <v>126</v>
      </c>
      <c r="C42" s="258"/>
      <c r="D42" s="33" t="s">
        <v>127</v>
      </c>
      <c r="E42" s="3" t="s">
        <v>54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>R42-W42</f>
        <v>162099.21250000002</v>
      </c>
      <c r="Z42" s="27">
        <v>80000</v>
      </c>
      <c r="AA42" s="27"/>
    </row>
    <row r="43" spans="1:27" ht="20.100000000000001" customHeight="1">
      <c r="A43" s="3">
        <v>4</v>
      </c>
      <c r="B43" s="257" t="s">
        <v>128</v>
      </c>
      <c r="C43" s="258"/>
      <c r="D43" s="33" t="s">
        <v>131</v>
      </c>
      <c r="E43" s="3" t="s">
        <v>132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f>R43-W43</f>
        <v>138268.64675000004</v>
      </c>
      <c r="Z43" s="27">
        <v>80000</v>
      </c>
      <c r="AA43" s="27"/>
    </row>
    <row r="44" spans="1:27" ht="20.100000000000001" customHeight="1">
      <c r="A44" s="3">
        <v>5</v>
      </c>
      <c r="B44" s="257" t="s">
        <v>130</v>
      </c>
      <c r="C44" s="258"/>
      <c r="D44" s="33" t="s">
        <v>131</v>
      </c>
      <c r="E44" s="3" t="s">
        <v>132</v>
      </c>
      <c r="F44" s="62">
        <f>28489.81</f>
        <v>28489.81</v>
      </c>
      <c r="G44" s="62"/>
      <c r="H44" s="62">
        <f t="shared" ref="H44:H50" si="30">F44*300%</f>
        <v>85469.430000000008</v>
      </c>
      <c r="I44" s="62">
        <f t="shared" ref="I44:I50" si="31">F44*7.5%</f>
        <v>2136.7357499999998</v>
      </c>
      <c r="J44" s="62">
        <v>0</v>
      </c>
      <c r="K44" s="62">
        <f t="shared" ref="K44:K50" si="32">F44*50%</f>
        <v>14244.905000000001</v>
      </c>
      <c r="L44" s="62">
        <f t="shared" ref="L44:L50" si="33">F44*350%</f>
        <v>99714.335000000006</v>
      </c>
      <c r="M44" s="62">
        <f t="shared" si="25"/>
        <v>28489.81</v>
      </c>
      <c r="N44" s="62">
        <v>100000</v>
      </c>
      <c r="O44" s="62">
        <f t="shared" si="26"/>
        <v>2848.9810000000002</v>
      </c>
      <c r="P44" s="62">
        <v>20000</v>
      </c>
      <c r="Q44" s="62">
        <v>0</v>
      </c>
      <c r="R44" s="36">
        <f t="shared" si="27"/>
        <v>381394.00675000006</v>
      </c>
      <c r="S44" s="36"/>
      <c r="T44" s="36"/>
      <c r="U44" s="36">
        <f>'[5]Jan 2021'!$H$24</f>
        <v>712.24525000000006</v>
      </c>
      <c r="V44" s="62">
        <v>7709.76</v>
      </c>
      <c r="W44" s="36">
        <f t="shared" si="28"/>
        <v>8422.0052500000002</v>
      </c>
      <c r="X44" s="36">
        <v>372972.00150000007</v>
      </c>
      <c r="Y44" s="36">
        <f t="shared" si="29"/>
        <v>372972.00150000007</v>
      </c>
      <c r="Z44" s="27">
        <v>80000</v>
      </c>
      <c r="AA44" s="27"/>
    </row>
    <row r="45" spans="1:27" ht="20.100000000000001" customHeight="1">
      <c r="A45" s="3">
        <v>6</v>
      </c>
      <c r="B45" s="257" t="s">
        <v>133</v>
      </c>
      <c r="C45" s="258"/>
      <c r="D45" s="33" t="s">
        <v>131</v>
      </c>
      <c r="E45" s="3" t="s">
        <v>395</v>
      </c>
      <c r="F45" s="62">
        <f>25854.1</f>
        <v>25854.1</v>
      </c>
      <c r="G45" s="62"/>
      <c r="H45" s="62">
        <f t="shared" si="30"/>
        <v>77562.299999999988</v>
      </c>
      <c r="I45" s="62">
        <f t="shared" si="31"/>
        <v>1939.0574999999999</v>
      </c>
      <c r="J45" s="62"/>
      <c r="K45" s="62">
        <f t="shared" si="32"/>
        <v>12927.05</v>
      </c>
      <c r="L45" s="62">
        <f t="shared" si="33"/>
        <v>90489.349999999991</v>
      </c>
      <c r="M45" s="62">
        <f t="shared" si="25"/>
        <v>25854.1</v>
      </c>
      <c r="N45" s="62">
        <v>100000</v>
      </c>
      <c r="O45" s="62">
        <f t="shared" si="26"/>
        <v>2585.41</v>
      </c>
      <c r="P45" s="62">
        <v>20000</v>
      </c>
      <c r="Q45" s="62"/>
      <c r="R45" s="36">
        <f t="shared" si="27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8"/>
        <v>129376.43</v>
      </c>
      <c r="X45" s="36">
        <v>227834.9375</v>
      </c>
      <c r="Y45" s="36">
        <f t="shared" si="29"/>
        <v>227834.9375</v>
      </c>
      <c r="Z45" s="27">
        <v>80000</v>
      </c>
      <c r="AA45" s="27"/>
    </row>
    <row r="46" spans="1:27" ht="20.100000000000001" customHeight="1">
      <c r="A46" s="3">
        <v>7</v>
      </c>
      <c r="B46" s="265" t="s">
        <v>134</v>
      </c>
      <c r="C46" s="266"/>
      <c r="D46" s="20" t="s">
        <v>517</v>
      </c>
      <c r="E46" s="25" t="s">
        <v>73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f>R46-W46</f>
        <v>348953.31749999995</v>
      </c>
      <c r="Z46" s="27">
        <v>80000</v>
      </c>
      <c r="AA46" s="27"/>
    </row>
    <row r="47" spans="1:27" ht="20.100000000000001" customHeight="1">
      <c r="A47" s="3">
        <v>8</v>
      </c>
      <c r="B47" s="257" t="s">
        <v>136</v>
      </c>
      <c r="C47" s="258"/>
      <c r="D47" s="33" t="s">
        <v>137</v>
      </c>
      <c r="E47" s="3" t="s">
        <v>98</v>
      </c>
      <c r="F47" s="62">
        <f>24741.26</f>
        <v>24741.26</v>
      </c>
      <c r="G47" s="62"/>
      <c r="H47" s="62">
        <f t="shared" si="30"/>
        <v>74223.78</v>
      </c>
      <c r="I47" s="62">
        <f t="shared" si="31"/>
        <v>1855.5944999999997</v>
      </c>
      <c r="J47" s="62">
        <v>0</v>
      </c>
      <c r="K47" s="62">
        <f t="shared" si="32"/>
        <v>12370.63</v>
      </c>
      <c r="L47" s="62">
        <f t="shared" si="33"/>
        <v>86594.409999999989</v>
      </c>
      <c r="M47" s="62">
        <f t="shared" si="25"/>
        <v>24741.26</v>
      </c>
      <c r="N47" s="62">
        <v>100000</v>
      </c>
      <c r="O47" s="62">
        <f t="shared" si="26"/>
        <v>2474.1260000000002</v>
      </c>
      <c r="P47" s="62">
        <v>15000</v>
      </c>
      <c r="Q47" s="62">
        <v>0</v>
      </c>
      <c r="R47" s="36">
        <f t="shared" si="27"/>
        <v>342001.06049999996</v>
      </c>
      <c r="S47" s="36"/>
      <c r="T47" s="36"/>
      <c r="U47" s="36"/>
      <c r="V47" s="62">
        <v>7709.76</v>
      </c>
      <c r="W47" s="36">
        <f t="shared" si="28"/>
        <v>7709.76</v>
      </c>
      <c r="X47" s="36">
        <v>334291.30049999995</v>
      </c>
      <c r="Y47" s="36">
        <f t="shared" si="29"/>
        <v>334291.30049999995</v>
      </c>
      <c r="Z47" s="27">
        <v>80000</v>
      </c>
      <c r="AA47" s="27"/>
    </row>
    <row r="48" spans="1:27" ht="20.100000000000001" customHeight="1">
      <c r="A48" s="3">
        <v>9</v>
      </c>
      <c r="B48" s="257" t="s">
        <v>394</v>
      </c>
      <c r="C48" s="258"/>
      <c r="D48" s="33" t="s">
        <v>140</v>
      </c>
      <c r="E48" s="3" t="s">
        <v>395</v>
      </c>
      <c r="F48" s="62">
        <f>25854.1</f>
        <v>25854.1</v>
      </c>
      <c r="G48" s="62"/>
      <c r="H48" s="62">
        <f t="shared" si="30"/>
        <v>77562.299999999988</v>
      </c>
      <c r="I48" s="62">
        <f t="shared" si="31"/>
        <v>1939.0574999999999</v>
      </c>
      <c r="J48" s="62">
        <v>0</v>
      </c>
      <c r="K48" s="62">
        <f t="shared" si="32"/>
        <v>12927.05</v>
      </c>
      <c r="L48" s="62">
        <f t="shared" si="33"/>
        <v>90489.349999999991</v>
      </c>
      <c r="M48" s="62">
        <f t="shared" si="25"/>
        <v>25854.1</v>
      </c>
      <c r="N48" s="62">
        <v>100000</v>
      </c>
      <c r="O48" s="62">
        <f t="shared" si="26"/>
        <v>2585.41</v>
      </c>
      <c r="P48" s="62">
        <v>20000</v>
      </c>
      <c r="Q48" s="62">
        <v>0</v>
      </c>
      <c r="R48" s="36">
        <f t="shared" si="27"/>
        <v>357211.36749999999</v>
      </c>
      <c r="S48" s="36"/>
      <c r="T48" s="36"/>
      <c r="U48" s="36"/>
      <c r="V48" s="62">
        <v>7709.76</v>
      </c>
      <c r="W48" s="36">
        <f t="shared" si="28"/>
        <v>7709.76</v>
      </c>
      <c r="X48" s="36">
        <v>349501.60749999998</v>
      </c>
      <c r="Y48" s="36">
        <f t="shared" si="29"/>
        <v>349501.60749999998</v>
      </c>
      <c r="Z48" s="27">
        <v>80000</v>
      </c>
      <c r="AA48" s="27"/>
    </row>
    <row r="49" spans="1:27" ht="20.100000000000001" customHeight="1">
      <c r="A49" s="3">
        <v>10</v>
      </c>
      <c r="B49" s="257" t="s">
        <v>484</v>
      </c>
      <c r="C49" s="258"/>
      <c r="D49" s="33" t="s">
        <v>140</v>
      </c>
      <c r="E49" s="3" t="s">
        <v>138</v>
      </c>
      <c r="F49" s="62">
        <f>25523.45</f>
        <v>25523.45</v>
      </c>
      <c r="G49" s="62"/>
      <c r="H49" s="62">
        <f t="shared" si="30"/>
        <v>76570.350000000006</v>
      </c>
      <c r="I49" s="62">
        <f t="shared" si="31"/>
        <v>1914.25875</v>
      </c>
      <c r="J49" s="62">
        <f>J22</f>
        <v>0</v>
      </c>
      <c r="K49" s="62">
        <f t="shared" si="32"/>
        <v>12761.725</v>
      </c>
      <c r="L49" s="62">
        <f t="shared" si="33"/>
        <v>89332.074999999997</v>
      </c>
      <c r="M49" s="62">
        <f t="shared" si="25"/>
        <v>25523.45</v>
      </c>
      <c r="N49" s="62">
        <v>100000</v>
      </c>
      <c r="O49" s="62">
        <f t="shared" si="26"/>
        <v>2552.3450000000003</v>
      </c>
      <c r="P49" s="62">
        <v>15000</v>
      </c>
      <c r="Q49" s="62">
        <v>0</v>
      </c>
      <c r="R49" s="36">
        <f t="shared" si="27"/>
        <v>349177.65375</v>
      </c>
      <c r="S49" s="36">
        <f>30000</f>
        <v>30000</v>
      </c>
      <c r="T49" s="36">
        <f>182107.04</f>
        <v>182107.04</v>
      </c>
      <c r="U49" s="36">
        <f>'[5]Jan 2021'!$H$42</f>
        <v>638.08625000000006</v>
      </c>
      <c r="V49" s="62">
        <v>7709.76</v>
      </c>
      <c r="W49" s="36">
        <f t="shared" si="28"/>
        <v>220454.88625000001</v>
      </c>
      <c r="X49" s="36">
        <v>128722.76749999999</v>
      </c>
      <c r="Y49" s="36">
        <f t="shared" si="29"/>
        <v>128722.76749999999</v>
      </c>
      <c r="Z49" s="27">
        <v>80000</v>
      </c>
      <c r="AA49" s="27"/>
    </row>
    <row r="50" spans="1:27" ht="20.100000000000001" customHeight="1">
      <c r="A50" s="3">
        <v>11</v>
      </c>
      <c r="B50" s="269" t="s">
        <v>139</v>
      </c>
      <c r="C50" s="270"/>
      <c r="D50" s="33" t="s">
        <v>140</v>
      </c>
      <c r="E50" s="29" t="s">
        <v>79</v>
      </c>
      <c r="F50" s="26">
        <f>23891.12</f>
        <v>23891.119999999999</v>
      </c>
      <c r="G50" s="62"/>
      <c r="H50" s="26">
        <f t="shared" si="30"/>
        <v>71673.36</v>
      </c>
      <c r="I50" s="26">
        <f t="shared" si="31"/>
        <v>1791.8339999999998</v>
      </c>
      <c r="J50" s="26"/>
      <c r="K50" s="26">
        <f t="shared" si="32"/>
        <v>11945.56</v>
      </c>
      <c r="L50" s="26">
        <f t="shared" si="33"/>
        <v>83618.92</v>
      </c>
      <c r="M50" s="26">
        <f t="shared" si="25"/>
        <v>23891.119999999999</v>
      </c>
      <c r="N50" s="62">
        <v>100000</v>
      </c>
      <c r="O50" s="26">
        <f t="shared" si="26"/>
        <v>2389.1120000000001</v>
      </c>
      <c r="P50" s="26">
        <v>15000</v>
      </c>
      <c r="Q50" s="26"/>
      <c r="R50" s="36">
        <f t="shared" si="27"/>
        <v>334201.02600000001</v>
      </c>
      <c r="S50" s="24">
        <f>100000+10000</f>
        <v>110000</v>
      </c>
      <c r="T50" s="24"/>
      <c r="U50" s="24">
        <f>'[5]Jan 2021'!$H$48</f>
        <v>597.27800000000002</v>
      </c>
      <c r="V50" s="26">
        <f>7709.76</f>
        <v>7709.76</v>
      </c>
      <c r="W50" s="36">
        <f t="shared" si="28"/>
        <v>118307.038</v>
      </c>
      <c r="X50" s="36">
        <v>215893.98800000001</v>
      </c>
      <c r="Y50" s="36">
        <f t="shared" si="29"/>
        <v>215893.98800000001</v>
      </c>
      <c r="Z50" s="27">
        <v>80000</v>
      </c>
      <c r="AA50" s="27"/>
    </row>
    <row r="51" spans="1:27" ht="20.100000000000001" customHeight="1">
      <c r="A51" s="3"/>
      <c r="B51" s="273" t="s">
        <v>34</v>
      </c>
      <c r="C51" s="274"/>
      <c r="D51" s="30">
        <v>11</v>
      </c>
      <c r="E51" s="30"/>
      <c r="F51" s="92">
        <f>SUM(F40:F50)</f>
        <v>357937.97</v>
      </c>
      <c r="G51" s="92"/>
      <c r="H51" s="92">
        <f t="shared" ref="H51:Y51" si="34">SUM(H40:H50)</f>
        <v>1073813.9099999999</v>
      </c>
      <c r="I51" s="92">
        <f t="shared" si="34"/>
        <v>26845.347749999997</v>
      </c>
      <c r="J51" s="92">
        <f t="shared" si="34"/>
        <v>160488.76</v>
      </c>
      <c r="K51" s="92">
        <f t="shared" si="34"/>
        <v>178968.98499999999</v>
      </c>
      <c r="L51" s="92">
        <f t="shared" si="34"/>
        <v>1252782.895</v>
      </c>
      <c r="M51" s="92">
        <f t="shared" si="34"/>
        <v>357937.97</v>
      </c>
      <c r="N51" s="92">
        <f t="shared" si="34"/>
        <v>1100000</v>
      </c>
      <c r="O51" s="92">
        <f t="shared" si="34"/>
        <v>35793.796999999999</v>
      </c>
      <c r="P51" s="92">
        <f t="shared" si="34"/>
        <v>200000</v>
      </c>
      <c r="Q51" s="92">
        <f t="shared" si="34"/>
        <v>0</v>
      </c>
      <c r="R51" s="92">
        <f t="shared" si="34"/>
        <v>4744569.6347500002</v>
      </c>
      <c r="S51" s="92">
        <f t="shared" si="34"/>
        <v>378000</v>
      </c>
      <c r="T51" s="92">
        <f t="shared" si="34"/>
        <v>982004.38</v>
      </c>
      <c r="U51" s="92">
        <f t="shared" si="34"/>
        <v>1947.6095000000003</v>
      </c>
      <c r="V51" s="92">
        <f t="shared" si="34"/>
        <v>145551.36999999997</v>
      </c>
      <c r="W51" s="92">
        <f t="shared" si="34"/>
        <v>1507503.3595</v>
      </c>
      <c r="X51" s="92">
        <v>3237066.2752499999</v>
      </c>
      <c r="Y51" s="92">
        <f t="shared" si="34"/>
        <v>3237066.2752499999</v>
      </c>
      <c r="Z51" s="134">
        <f>SUM(Z40:Z50)</f>
        <v>900000</v>
      </c>
      <c r="AA51" s="134"/>
    </row>
    <row r="52" spans="1:27" ht="20.100000000000001" customHeight="1">
      <c r="A52" s="3"/>
      <c r="B52" s="105"/>
      <c r="C52" s="105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3"/>
      <c r="AA52" s="27"/>
    </row>
    <row r="53" spans="1:27" ht="20.100000000000001" customHeight="1">
      <c r="A53" s="3"/>
      <c r="B53" s="273" t="s">
        <v>144</v>
      </c>
      <c r="C53" s="274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3"/>
      <c r="AA53" s="27"/>
    </row>
    <row r="54" spans="1:27" ht="20.100000000000001" customHeight="1">
      <c r="A54" s="3">
        <v>1</v>
      </c>
      <c r="B54" s="257" t="s">
        <v>145</v>
      </c>
      <c r="C54" s="258"/>
      <c r="D54" s="61" t="s">
        <v>146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f>R54-W54</f>
        <v>897432.43350000004</v>
      </c>
      <c r="Z54" s="27">
        <v>100000</v>
      </c>
      <c r="AA54" s="27"/>
    </row>
    <row r="55" spans="1:27" ht="20.100000000000001" customHeight="1">
      <c r="A55" s="3">
        <v>2</v>
      </c>
      <c r="B55" s="97" t="s">
        <v>147</v>
      </c>
      <c r="C55" s="98"/>
      <c r="D55" s="61" t="s">
        <v>148</v>
      </c>
      <c r="E55" s="66" t="s">
        <v>63</v>
      </c>
      <c r="F55" s="36">
        <v>31018.84</v>
      </c>
      <c r="G55" s="62"/>
      <c r="H55" s="62">
        <f t="shared" ref="H55" si="35">F55*300%</f>
        <v>93056.52</v>
      </c>
      <c r="I55" s="62">
        <f t="shared" ref="I55" si="36">F55*7.5%</f>
        <v>2326.413</v>
      </c>
      <c r="J55" s="62">
        <v>40122.19</v>
      </c>
      <c r="K55" s="62">
        <f t="shared" ref="K55" si="37">F55*50%</f>
        <v>15509.42</v>
      </c>
      <c r="L55" s="62">
        <f t="shared" ref="L55" si="38">F55*350%</f>
        <v>108565.94</v>
      </c>
      <c r="M55" s="62">
        <f t="shared" ref="M55" si="39">F55*100%</f>
        <v>31018.84</v>
      </c>
      <c r="N55" s="36"/>
      <c r="O55" s="62">
        <f t="shared" ref="O55" si="40">F55*10%</f>
        <v>3101.884</v>
      </c>
      <c r="P55" s="62">
        <v>20000</v>
      </c>
      <c r="Q55" s="63">
        <v>0</v>
      </c>
      <c r="R55" s="36">
        <f t="shared" ref="R55" si="41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>R55-W55</f>
        <v>229171.717</v>
      </c>
      <c r="Z55" s="27">
        <v>80000</v>
      </c>
      <c r="AA55" s="27"/>
    </row>
    <row r="56" spans="1:27" ht="20.100000000000001" customHeight="1">
      <c r="A56" s="3"/>
      <c r="B56" s="273" t="s">
        <v>34</v>
      </c>
      <c r="C56" s="274"/>
      <c r="D56" s="30">
        <v>2</v>
      </c>
      <c r="E56" s="30"/>
      <c r="F56" s="92">
        <f>SUM(F54:F55)</f>
        <v>112758.86</v>
      </c>
      <c r="G56" s="92"/>
      <c r="H56" s="92">
        <f t="shared" ref="H56:R56" si="42">SUM(H54:H55)</f>
        <v>338276.58</v>
      </c>
      <c r="I56" s="92">
        <f t="shared" si="42"/>
        <v>8456.9145000000008</v>
      </c>
      <c r="J56" s="92">
        <f t="shared" si="42"/>
        <v>120366.57</v>
      </c>
      <c r="K56" s="92">
        <f t="shared" si="42"/>
        <v>56379.43</v>
      </c>
      <c r="L56" s="92">
        <f t="shared" si="42"/>
        <v>394656.01</v>
      </c>
      <c r="M56" s="92">
        <f t="shared" si="42"/>
        <v>112758.86</v>
      </c>
      <c r="N56" s="92">
        <f t="shared" si="42"/>
        <v>100000</v>
      </c>
      <c r="O56" s="92">
        <f t="shared" si="42"/>
        <v>11275.886</v>
      </c>
      <c r="P56" s="92">
        <f t="shared" si="42"/>
        <v>40000</v>
      </c>
      <c r="Q56" s="92">
        <f t="shared" si="42"/>
        <v>0</v>
      </c>
      <c r="R56" s="92">
        <f t="shared" si="42"/>
        <v>1294929.1105</v>
      </c>
      <c r="S56" s="92">
        <f>SUM(S54:S55)</f>
        <v>100000</v>
      </c>
      <c r="T56" s="92"/>
      <c r="U56" s="92">
        <f>SUM(U54:U55)</f>
        <v>0</v>
      </c>
      <c r="V56" s="92">
        <f>SUM(V54:V55)</f>
        <v>68324.959999999992</v>
      </c>
      <c r="W56" s="92">
        <f>SUM(W54:W55)</f>
        <v>168324.96</v>
      </c>
      <c r="X56" s="92">
        <v>1126604.1505</v>
      </c>
      <c r="Y56" s="92">
        <f>SUM(Y54:Y55)</f>
        <v>1126604.1505</v>
      </c>
      <c r="Z56" s="134">
        <f>SUM(Z54:Z55)</f>
        <v>180000</v>
      </c>
      <c r="AA56" s="134"/>
    </row>
    <row r="57" spans="1:27" ht="20.100000000000001" customHeight="1">
      <c r="A57" s="3"/>
      <c r="B57" s="273"/>
      <c r="C57" s="27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3"/>
      <c r="AA57" s="27"/>
    </row>
    <row r="58" spans="1:27" ht="20.100000000000001" customHeight="1">
      <c r="A58" s="3"/>
      <c r="B58" s="273" t="s">
        <v>467</v>
      </c>
      <c r="C58" s="274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3"/>
      <c r="AA58" s="27"/>
    </row>
    <row r="59" spans="1:27" ht="20.100000000000001" customHeight="1">
      <c r="A59" s="3">
        <v>1</v>
      </c>
      <c r="B59" s="269" t="s">
        <v>151</v>
      </c>
      <c r="C59" s="270"/>
      <c r="D59" s="47" t="s">
        <v>152</v>
      </c>
      <c r="E59" s="29" t="s">
        <v>118</v>
      </c>
      <c r="F59" s="26">
        <f>79039.64</f>
        <v>79039.64</v>
      </c>
      <c r="G59" s="26"/>
      <c r="H59" s="26">
        <f t="shared" ref="H59:H69" si="43">F59*300%</f>
        <v>237118.91999999998</v>
      </c>
      <c r="I59" s="26">
        <f t="shared" ref="I59:I69" si="44">F59*7.5%</f>
        <v>5927.973</v>
      </c>
      <c r="J59" s="26">
        <f>80244.38</f>
        <v>80244.38</v>
      </c>
      <c r="K59" s="26">
        <f t="shared" ref="K59:K69" si="45">F59*50%</f>
        <v>39519.82</v>
      </c>
      <c r="L59" s="26">
        <f t="shared" ref="L59:L69" si="46">F59*350%</f>
        <v>276638.74</v>
      </c>
      <c r="M59" s="26">
        <f t="shared" ref="M59:M69" si="47">F59*100%</f>
        <v>79039.64</v>
      </c>
      <c r="N59" s="62">
        <f t="shared" ref="N59:N66" si="48">100000</f>
        <v>100000</v>
      </c>
      <c r="O59" s="26">
        <f t="shared" ref="O59:O69" si="49">F59*10%</f>
        <v>7903.9639999999999</v>
      </c>
      <c r="P59" s="26">
        <v>20000</v>
      </c>
      <c r="Q59" s="26">
        <v>0</v>
      </c>
      <c r="R59" s="26">
        <f t="shared" ref="R59:R69" si="50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26">
        <f t="shared" ref="Y59:Y69" si="51">R59-W59</f>
        <v>772656.44700000004</v>
      </c>
      <c r="Z59" s="27">
        <v>100000</v>
      </c>
      <c r="AA59" s="27"/>
    </row>
    <row r="60" spans="1:27" ht="20.100000000000001" customHeight="1">
      <c r="A60" s="3">
        <v>2</v>
      </c>
      <c r="B60" s="135" t="s">
        <v>153</v>
      </c>
      <c r="C60" s="136"/>
      <c r="D60" s="47" t="s">
        <v>56</v>
      </c>
      <c r="E60" s="66" t="s">
        <v>63</v>
      </c>
      <c r="F60" s="36">
        <v>31018.84</v>
      </c>
      <c r="G60" s="62"/>
      <c r="H60" s="62">
        <f t="shared" si="43"/>
        <v>93056.52</v>
      </c>
      <c r="I60" s="62">
        <f t="shared" si="44"/>
        <v>2326.413</v>
      </c>
      <c r="J60" s="62">
        <v>40122.19</v>
      </c>
      <c r="K60" s="62">
        <f t="shared" si="45"/>
        <v>15509.42</v>
      </c>
      <c r="L60" s="62">
        <f t="shared" si="46"/>
        <v>108565.94</v>
      </c>
      <c r="M60" s="62">
        <f t="shared" si="47"/>
        <v>31018.84</v>
      </c>
      <c r="N60" s="62"/>
      <c r="O60" s="62">
        <f t="shared" si="49"/>
        <v>3101.884</v>
      </c>
      <c r="P60" s="62">
        <v>20000</v>
      </c>
      <c r="Q60" s="63">
        <v>0</v>
      </c>
      <c r="R60" s="36">
        <f t="shared" si="50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229171.717</v>
      </c>
      <c r="Y60" s="36">
        <f>R60-W60</f>
        <v>97921.717000000033</v>
      </c>
      <c r="Z60" s="27">
        <v>80000</v>
      </c>
      <c r="AA60" s="27"/>
    </row>
    <row r="61" spans="1:27" ht="20.100000000000001" customHeight="1">
      <c r="A61" s="3">
        <v>3</v>
      </c>
      <c r="B61" s="269" t="s">
        <v>154</v>
      </c>
      <c r="C61" s="270"/>
      <c r="D61" s="20" t="s">
        <v>140</v>
      </c>
      <c r="E61" s="29" t="s">
        <v>138</v>
      </c>
      <c r="F61" s="26">
        <f>25523.45</f>
        <v>25523.45</v>
      </c>
      <c r="G61" s="26"/>
      <c r="H61" s="26">
        <f t="shared" si="43"/>
        <v>76570.350000000006</v>
      </c>
      <c r="I61" s="26">
        <f t="shared" si="44"/>
        <v>1914.25875</v>
      </c>
      <c r="J61" s="26"/>
      <c r="K61" s="26">
        <f t="shared" si="45"/>
        <v>12761.725</v>
      </c>
      <c r="L61" s="26">
        <f t="shared" si="46"/>
        <v>89332.074999999997</v>
      </c>
      <c r="M61" s="26">
        <f t="shared" si="47"/>
        <v>25523.45</v>
      </c>
      <c r="N61" s="62">
        <f t="shared" si="48"/>
        <v>100000</v>
      </c>
      <c r="O61" s="26">
        <f t="shared" si="49"/>
        <v>2552.3450000000003</v>
      </c>
      <c r="P61" s="26">
        <v>15000</v>
      </c>
      <c r="Q61" s="26"/>
      <c r="R61" s="36">
        <f t="shared" si="50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f t="shared" si="51"/>
        <v>245634.56375</v>
      </c>
      <c r="Z61" s="27">
        <v>80000</v>
      </c>
      <c r="AA61" s="27"/>
    </row>
    <row r="62" spans="1:27" ht="20.100000000000001" customHeight="1">
      <c r="A62" s="3">
        <v>4</v>
      </c>
      <c r="B62" s="269" t="s">
        <v>155</v>
      </c>
      <c r="C62" s="270"/>
      <c r="D62" s="33" t="s">
        <v>137</v>
      </c>
      <c r="E62" s="29" t="s">
        <v>79</v>
      </c>
      <c r="F62" s="26">
        <f>23891.12</f>
        <v>23891.119999999999</v>
      </c>
      <c r="G62" s="26"/>
      <c r="H62" s="26">
        <f t="shared" si="43"/>
        <v>71673.36</v>
      </c>
      <c r="I62" s="26">
        <f t="shared" si="44"/>
        <v>1791.8339999999998</v>
      </c>
      <c r="J62" s="26"/>
      <c r="K62" s="26">
        <f t="shared" si="45"/>
        <v>11945.56</v>
      </c>
      <c r="L62" s="26">
        <f t="shared" si="46"/>
        <v>83618.92</v>
      </c>
      <c r="M62" s="26">
        <f t="shared" si="47"/>
        <v>23891.119999999999</v>
      </c>
      <c r="N62" s="62">
        <f t="shared" si="48"/>
        <v>100000</v>
      </c>
      <c r="O62" s="26">
        <f t="shared" si="49"/>
        <v>2389.1120000000001</v>
      </c>
      <c r="P62" s="26">
        <v>15000</v>
      </c>
      <c r="Q62" s="26"/>
      <c r="R62" s="26">
        <f t="shared" si="50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5" si="52">S62+T62+U62+V62</f>
        <v>117709.75999999999</v>
      </c>
      <c r="X62" s="26">
        <v>216491.266</v>
      </c>
      <c r="Y62" s="26">
        <f t="shared" si="51"/>
        <v>216491.266</v>
      </c>
      <c r="Z62" s="27">
        <v>80000</v>
      </c>
      <c r="AA62" s="27"/>
    </row>
    <row r="63" spans="1:27" ht="20.100000000000001" customHeight="1">
      <c r="A63" s="3">
        <v>5</v>
      </c>
      <c r="B63" s="135" t="s">
        <v>156</v>
      </c>
      <c r="C63" s="136"/>
      <c r="D63" s="47" t="s">
        <v>137</v>
      </c>
      <c r="E63" s="66" t="s">
        <v>485</v>
      </c>
      <c r="F63" s="62">
        <f>23074.99</f>
        <v>23074.99</v>
      </c>
      <c r="G63" s="62"/>
      <c r="H63" s="62">
        <f t="shared" si="43"/>
        <v>69224.97</v>
      </c>
      <c r="I63" s="62">
        <f t="shared" si="44"/>
        <v>1730.6242500000001</v>
      </c>
      <c r="J63" s="62">
        <v>0</v>
      </c>
      <c r="K63" s="62">
        <f t="shared" si="45"/>
        <v>11537.495000000001</v>
      </c>
      <c r="L63" s="36">
        <f t="shared" si="46"/>
        <v>80762.465000000011</v>
      </c>
      <c r="M63" s="62">
        <f t="shared" si="47"/>
        <v>23074.99</v>
      </c>
      <c r="N63" s="62">
        <f t="shared" si="48"/>
        <v>100000</v>
      </c>
      <c r="O63" s="62">
        <f t="shared" si="49"/>
        <v>2307.4990000000003</v>
      </c>
      <c r="P63" s="62">
        <v>15000</v>
      </c>
      <c r="Q63" s="62">
        <v>0</v>
      </c>
      <c r="R63" s="36">
        <f t="shared" si="50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3">SUM(S63:V63)</f>
        <v>147154.20000000001</v>
      </c>
      <c r="X63" s="36">
        <v>179558.83325000003</v>
      </c>
      <c r="Y63" s="36">
        <f t="shared" si="51"/>
        <v>179558.83325000003</v>
      </c>
      <c r="Z63" s="27">
        <v>80000</v>
      </c>
      <c r="AA63" s="27"/>
    </row>
    <row r="64" spans="1:27" ht="20.100000000000001" customHeight="1">
      <c r="A64" s="3">
        <v>6</v>
      </c>
      <c r="B64" s="269" t="s">
        <v>158</v>
      </c>
      <c r="C64" s="270"/>
      <c r="D64" s="20" t="s">
        <v>142</v>
      </c>
      <c r="E64" s="29" t="s">
        <v>159</v>
      </c>
      <c r="F64" s="26">
        <f>19774.62</f>
        <v>19774.62</v>
      </c>
      <c r="G64" s="26"/>
      <c r="H64" s="26">
        <f t="shared" si="43"/>
        <v>59323.86</v>
      </c>
      <c r="I64" s="26">
        <f t="shared" si="44"/>
        <v>1483.0964999999999</v>
      </c>
      <c r="J64" s="26">
        <v>0</v>
      </c>
      <c r="K64" s="26">
        <f t="shared" si="45"/>
        <v>9887.31</v>
      </c>
      <c r="L64" s="26">
        <f t="shared" si="46"/>
        <v>69211.17</v>
      </c>
      <c r="M64" s="26">
        <f t="shared" si="47"/>
        <v>19774.62</v>
      </c>
      <c r="N64" s="62">
        <f t="shared" si="48"/>
        <v>100000</v>
      </c>
      <c r="O64" s="26">
        <f t="shared" si="49"/>
        <v>1977.462</v>
      </c>
      <c r="P64" s="26">
        <v>10000</v>
      </c>
      <c r="Q64" s="26">
        <v>0</v>
      </c>
      <c r="R64" s="36">
        <f t="shared" si="50"/>
        <v>291432.1385</v>
      </c>
      <c r="S64" s="24">
        <f>10000</f>
        <v>10000</v>
      </c>
      <c r="T64" s="24">
        <f>131771.66</f>
        <v>131771.66</v>
      </c>
      <c r="U64" s="24"/>
      <c r="V64" s="26">
        <v>3369.51</v>
      </c>
      <c r="W64" s="36">
        <f>SUM(S64:V64)</f>
        <v>145141.17000000001</v>
      </c>
      <c r="X64" s="36">
        <v>146290.96849999999</v>
      </c>
      <c r="Y64" s="36">
        <f t="shared" si="51"/>
        <v>146290.96849999999</v>
      </c>
      <c r="Z64" s="27">
        <v>50000</v>
      </c>
      <c r="AA64" s="27"/>
    </row>
    <row r="65" spans="1:27" ht="20.100000000000001" customHeight="1">
      <c r="A65" s="3">
        <v>7</v>
      </c>
      <c r="B65" s="264" t="s">
        <v>160</v>
      </c>
      <c r="C65" s="264"/>
      <c r="D65" s="61" t="s">
        <v>447</v>
      </c>
      <c r="E65" s="66" t="s">
        <v>208</v>
      </c>
      <c r="F65" s="62">
        <f>19276.95</f>
        <v>19276.95</v>
      </c>
      <c r="G65" s="62"/>
      <c r="H65" s="62">
        <f t="shared" si="43"/>
        <v>57830.850000000006</v>
      </c>
      <c r="I65" s="62">
        <f t="shared" si="44"/>
        <v>1445.77125</v>
      </c>
      <c r="J65" s="62">
        <v>0</v>
      </c>
      <c r="K65" s="62">
        <f t="shared" si="45"/>
        <v>9638.4750000000004</v>
      </c>
      <c r="L65" s="36">
        <f t="shared" si="46"/>
        <v>67469.324999999997</v>
      </c>
      <c r="M65" s="62">
        <f t="shared" si="47"/>
        <v>19276.95</v>
      </c>
      <c r="N65" s="62">
        <f t="shared" si="48"/>
        <v>100000</v>
      </c>
      <c r="O65" s="62">
        <f t="shared" si="49"/>
        <v>1927.6950000000002</v>
      </c>
      <c r="P65" s="62">
        <v>10000</v>
      </c>
      <c r="Q65" s="62">
        <v>0</v>
      </c>
      <c r="R65" s="36">
        <f t="shared" si="50"/>
        <v>286866.01625000004</v>
      </c>
      <c r="S65" s="36">
        <f>20000</f>
        <v>20000</v>
      </c>
      <c r="T65" s="36">
        <f>100000</f>
        <v>100000</v>
      </c>
      <c r="U65" s="36">
        <f>'[5]Jan 2021'!$H$43</f>
        <v>481.92375000000004</v>
      </c>
      <c r="V65" s="62">
        <f>3369.51</f>
        <v>3369.51</v>
      </c>
      <c r="W65" s="26">
        <f t="shared" si="52"/>
        <v>123851.43375</v>
      </c>
      <c r="X65" s="36">
        <v>163014.58250000005</v>
      </c>
      <c r="Y65" s="36">
        <f t="shared" si="51"/>
        <v>163014.58250000005</v>
      </c>
      <c r="Z65" s="27">
        <v>50000</v>
      </c>
      <c r="AA65" s="27"/>
    </row>
    <row r="66" spans="1:27" ht="20.100000000000001" customHeight="1">
      <c r="A66" s="3">
        <v>8</v>
      </c>
      <c r="B66" s="257" t="s">
        <v>165</v>
      </c>
      <c r="C66" s="258"/>
      <c r="D66" s="33" t="s">
        <v>166</v>
      </c>
      <c r="E66" s="3" t="s">
        <v>103</v>
      </c>
      <c r="F66" s="62">
        <f>18281.64</f>
        <v>18281.64</v>
      </c>
      <c r="G66" s="62"/>
      <c r="H66" s="62">
        <f t="shared" si="43"/>
        <v>54844.92</v>
      </c>
      <c r="I66" s="62">
        <f t="shared" si="44"/>
        <v>1371.1229999999998</v>
      </c>
      <c r="J66" s="62"/>
      <c r="K66" s="62">
        <f t="shared" si="45"/>
        <v>9140.82</v>
      </c>
      <c r="L66" s="62">
        <f t="shared" si="46"/>
        <v>63985.74</v>
      </c>
      <c r="M66" s="62">
        <f t="shared" si="47"/>
        <v>18281.64</v>
      </c>
      <c r="N66" s="62">
        <f t="shared" si="48"/>
        <v>100000</v>
      </c>
      <c r="O66" s="62">
        <f t="shared" si="49"/>
        <v>1828.164</v>
      </c>
      <c r="P66" s="62">
        <v>10000</v>
      </c>
      <c r="Q66" s="62"/>
      <c r="R66" s="36">
        <f t="shared" si="50"/>
        <v>277734.04699999996</v>
      </c>
      <c r="S66" s="36">
        <f>70000+20000</f>
        <v>90000</v>
      </c>
      <c r="T66" s="36">
        <f>31500</f>
        <v>31500</v>
      </c>
      <c r="U66" s="36"/>
      <c r="V66" s="62">
        <v>3369.51</v>
      </c>
      <c r="W66" s="36">
        <f>SUM(S66:V66)</f>
        <v>124869.51</v>
      </c>
      <c r="X66" s="36">
        <v>152864.53699999995</v>
      </c>
      <c r="Y66" s="36">
        <f t="shared" si="51"/>
        <v>152864.53699999995</v>
      </c>
      <c r="Z66" s="27">
        <v>50000</v>
      </c>
      <c r="AA66" s="27"/>
    </row>
    <row r="67" spans="1:27" ht="20.100000000000001" customHeight="1">
      <c r="A67" s="3">
        <v>9</v>
      </c>
      <c r="B67" s="269" t="s">
        <v>167</v>
      </c>
      <c r="C67" s="270"/>
      <c r="D67" s="47" t="s">
        <v>142</v>
      </c>
      <c r="E67" s="3" t="s">
        <v>168</v>
      </c>
      <c r="F67" s="62">
        <f>17286.33</f>
        <v>17286.330000000002</v>
      </c>
      <c r="G67" s="62"/>
      <c r="H67" s="62">
        <f t="shared" si="43"/>
        <v>51858.990000000005</v>
      </c>
      <c r="I67" s="62">
        <f t="shared" si="44"/>
        <v>1296.4747500000001</v>
      </c>
      <c r="J67" s="62"/>
      <c r="K67" s="62">
        <f t="shared" si="45"/>
        <v>8643.1650000000009</v>
      </c>
      <c r="L67" s="62">
        <f t="shared" si="46"/>
        <v>60502.155000000006</v>
      </c>
      <c r="M67" s="62">
        <f t="shared" si="47"/>
        <v>17286.330000000002</v>
      </c>
      <c r="N67" s="62">
        <f>100000</f>
        <v>100000</v>
      </c>
      <c r="O67" s="62">
        <f t="shared" si="49"/>
        <v>1728.6330000000003</v>
      </c>
      <c r="P67" s="62">
        <v>10000</v>
      </c>
      <c r="Q67" s="62"/>
      <c r="R67" s="36">
        <f t="shared" si="50"/>
        <v>268602.07775000005</v>
      </c>
      <c r="S67" s="36">
        <f>50000</f>
        <v>50000</v>
      </c>
      <c r="T67" s="36">
        <v>0</v>
      </c>
      <c r="U67" s="36"/>
      <c r="V67" s="62">
        <v>3369.51</v>
      </c>
      <c r="W67" s="36">
        <f t="shared" ref="W67:W69" si="54">SUM(S67:V67)</f>
        <v>53369.51</v>
      </c>
      <c r="X67" s="36">
        <v>215232.56775000005</v>
      </c>
      <c r="Y67" s="36">
        <f t="shared" si="51"/>
        <v>215232.56775000005</v>
      </c>
      <c r="Z67" s="27">
        <v>50000</v>
      </c>
      <c r="AA67" s="27"/>
    </row>
    <row r="68" spans="1:27" ht="20.100000000000001" customHeight="1">
      <c r="A68" s="3">
        <v>10</v>
      </c>
      <c r="B68" s="269" t="s">
        <v>169</v>
      </c>
      <c r="C68" s="270"/>
      <c r="D68" s="47" t="s">
        <v>170</v>
      </c>
      <c r="E68" s="3" t="s">
        <v>93</v>
      </c>
      <c r="F68" s="62">
        <f>12351.94</f>
        <v>12351.94</v>
      </c>
      <c r="G68" s="62"/>
      <c r="H68" s="62">
        <f t="shared" si="43"/>
        <v>37055.82</v>
      </c>
      <c r="I68" s="62">
        <f t="shared" si="44"/>
        <v>926.39549999999997</v>
      </c>
      <c r="J68" s="62"/>
      <c r="K68" s="62">
        <f t="shared" si="45"/>
        <v>6175.97</v>
      </c>
      <c r="L68" s="62">
        <f t="shared" si="46"/>
        <v>43231.79</v>
      </c>
      <c r="M68" s="62">
        <f t="shared" si="47"/>
        <v>12351.94</v>
      </c>
      <c r="N68" s="62">
        <f>100000</f>
        <v>100000</v>
      </c>
      <c r="O68" s="62">
        <f t="shared" si="49"/>
        <v>1235.1940000000002</v>
      </c>
      <c r="P68" s="62">
        <v>10000</v>
      </c>
      <c r="Q68" s="62"/>
      <c r="R68" s="36">
        <f t="shared" si="50"/>
        <v>223329.04949999999</v>
      </c>
      <c r="S68" s="36">
        <f>20000+100000+2000</f>
        <v>122000</v>
      </c>
      <c r="T68" s="36"/>
      <c r="U68" s="36"/>
      <c r="V68" s="62">
        <f>1235.19</f>
        <v>1235.19</v>
      </c>
      <c r="W68" s="36">
        <f t="shared" si="54"/>
        <v>123235.19</v>
      </c>
      <c r="X68" s="36">
        <v>222093.85949999999</v>
      </c>
      <c r="Y68" s="36">
        <f t="shared" si="51"/>
        <v>100093.85949999999</v>
      </c>
      <c r="Z68" s="27">
        <v>50000</v>
      </c>
      <c r="AA68" s="27"/>
    </row>
    <row r="69" spans="1:27" ht="20.100000000000001" customHeight="1">
      <c r="A69" s="3">
        <v>11</v>
      </c>
      <c r="B69" s="271" t="s">
        <v>171</v>
      </c>
      <c r="C69" s="272"/>
      <c r="D69" s="47" t="s">
        <v>170</v>
      </c>
      <c r="E69" s="3" t="s">
        <v>93</v>
      </c>
      <c r="F69" s="62">
        <f>12351.94</f>
        <v>12351.94</v>
      </c>
      <c r="G69" s="62"/>
      <c r="H69" s="62">
        <f t="shared" si="43"/>
        <v>37055.82</v>
      </c>
      <c r="I69" s="62">
        <f t="shared" si="44"/>
        <v>926.39549999999997</v>
      </c>
      <c r="J69" s="62"/>
      <c r="K69" s="62">
        <f t="shared" si="45"/>
        <v>6175.97</v>
      </c>
      <c r="L69" s="62">
        <f t="shared" si="46"/>
        <v>43231.79</v>
      </c>
      <c r="M69" s="62">
        <f t="shared" si="47"/>
        <v>12351.94</v>
      </c>
      <c r="N69" s="62">
        <f>100000</f>
        <v>100000</v>
      </c>
      <c r="O69" s="62">
        <f t="shared" si="49"/>
        <v>1235.1940000000002</v>
      </c>
      <c r="P69" s="62">
        <v>10000</v>
      </c>
      <c r="Q69" s="62"/>
      <c r="R69" s="36">
        <f t="shared" si="50"/>
        <v>223329.04949999999</v>
      </c>
      <c r="S69" s="36"/>
      <c r="T69" s="36"/>
      <c r="U69" s="36"/>
      <c r="V69" s="62">
        <f>1235.19</f>
        <v>1235.19</v>
      </c>
      <c r="W69" s="36">
        <f t="shared" si="54"/>
        <v>1235.19</v>
      </c>
      <c r="X69" s="36">
        <v>222093.85949999999</v>
      </c>
      <c r="Y69" s="36">
        <f t="shared" si="51"/>
        <v>222093.85949999999</v>
      </c>
      <c r="Z69" s="27">
        <v>50000</v>
      </c>
      <c r="AA69" s="27"/>
    </row>
    <row r="70" spans="1:27" ht="20.100000000000001" customHeight="1">
      <c r="A70" s="3"/>
      <c r="B70" s="273" t="s">
        <v>34</v>
      </c>
      <c r="C70" s="274"/>
      <c r="D70" s="30">
        <v>11</v>
      </c>
      <c r="E70" s="30"/>
      <c r="F70" s="92">
        <f>SUM(F59:F69)</f>
        <v>281871.46000000002</v>
      </c>
      <c r="G70" s="92"/>
      <c r="H70" s="92">
        <f t="shared" ref="H70:Y70" si="55">SUM(H59:H69)</f>
        <v>845614.37999999989</v>
      </c>
      <c r="I70" s="92">
        <f t="shared" si="55"/>
        <v>21140.359499999999</v>
      </c>
      <c r="J70" s="92">
        <f t="shared" si="55"/>
        <v>120366.57</v>
      </c>
      <c r="K70" s="92">
        <f t="shared" si="55"/>
        <v>140935.73000000001</v>
      </c>
      <c r="L70" s="92">
        <f t="shared" si="55"/>
        <v>986550.1100000001</v>
      </c>
      <c r="M70" s="92">
        <f t="shared" si="55"/>
        <v>281871.46000000002</v>
      </c>
      <c r="N70" s="92">
        <f t="shared" si="55"/>
        <v>1000000</v>
      </c>
      <c r="O70" s="92">
        <f t="shared" si="55"/>
        <v>28187.146000000001</v>
      </c>
      <c r="P70" s="92">
        <f t="shared" si="55"/>
        <v>145000</v>
      </c>
      <c r="Q70" s="92">
        <f t="shared" si="55"/>
        <v>0</v>
      </c>
      <c r="R70" s="92">
        <f t="shared" si="55"/>
        <v>3851537.2155000004</v>
      </c>
      <c r="S70" s="92">
        <f t="shared" si="55"/>
        <v>672000</v>
      </c>
      <c r="T70" s="92">
        <f t="shared" si="55"/>
        <v>559799.43000000005</v>
      </c>
      <c r="U70" s="92">
        <f t="shared" si="55"/>
        <v>481.92375000000004</v>
      </c>
      <c r="V70" s="92">
        <f t="shared" si="55"/>
        <v>107402.65999999996</v>
      </c>
      <c r="W70" s="92">
        <f t="shared" si="55"/>
        <v>1339684.0137499999</v>
      </c>
      <c r="X70" s="92">
        <v>2765103.2017499995</v>
      </c>
      <c r="Y70" s="92">
        <f t="shared" si="55"/>
        <v>2511853.2017499995</v>
      </c>
      <c r="Z70" s="134">
        <f>SUM(Z59:Z69)</f>
        <v>720000</v>
      </c>
      <c r="AA70" s="134"/>
    </row>
    <row r="71" spans="1:27" ht="20.100000000000001" customHeight="1">
      <c r="A71" s="3"/>
      <c r="B71" s="99"/>
      <c r="C71" s="100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3"/>
      <c r="AA71" s="27"/>
    </row>
    <row r="72" spans="1:27" ht="20.100000000000001" customHeight="1">
      <c r="A72" s="3"/>
      <c r="B72" s="273" t="s">
        <v>486</v>
      </c>
      <c r="C72" s="27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3"/>
      <c r="AA72" s="27"/>
    </row>
    <row r="73" spans="1:27" ht="20.100000000000001" customHeight="1">
      <c r="A73" s="3">
        <v>1</v>
      </c>
      <c r="B73" s="257" t="s">
        <v>173</v>
      </c>
      <c r="C73" s="258"/>
      <c r="D73" s="33" t="s">
        <v>174</v>
      </c>
      <c r="E73" s="3" t="s">
        <v>43</v>
      </c>
      <c r="F73" s="62">
        <f>81740.02</f>
        <v>81740.02</v>
      </c>
      <c r="G73" s="62"/>
      <c r="H73" s="62">
        <f t="shared" ref="H73:H80" si="56">F73*300%</f>
        <v>245220.06</v>
      </c>
      <c r="I73" s="62">
        <f t="shared" ref="I73:I80" si="57">F73*7.5%</f>
        <v>6130.5015000000003</v>
      </c>
      <c r="J73" s="62">
        <v>80244.38</v>
      </c>
      <c r="K73" s="62">
        <f>F73*50%</f>
        <v>40870.01</v>
      </c>
      <c r="L73" s="62">
        <f t="shared" ref="L73:L80" si="58">F73*350%</f>
        <v>286090.07</v>
      </c>
      <c r="M73" s="62">
        <f>F73*100%</f>
        <v>81740.02</v>
      </c>
      <c r="N73" s="62">
        <f t="shared" ref="N73:N77" si="59">100000</f>
        <v>100000</v>
      </c>
      <c r="O73" s="62">
        <f>F73*10%</f>
        <v>8174.0020000000004</v>
      </c>
      <c r="P73" s="62">
        <v>20000</v>
      </c>
      <c r="Q73" s="62">
        <v>0</v>
      </c>
      <c r="R73" s="36">
        <f>SUM(F73:Q73)</f>
        <v>950209.06350000005</v>
      </c>
      <c r="S73" s="36">
        <v>150000</v>
      </c>
      <c r="T73" s="36">
        <f>0</f>
        <v>0</v>
      </c>
      <c r="U73" s="36">
        <v>0</v>
      </c>
      <c r="V73" s="62">
        <v>52776.63</v>
      </c>
      <c r="W73" s="36">
        <f>SUM(S73:V73)</f>
        <v>202776.63</v>
      </c>
      <c r="X73" s="36">
        <v>656493.1335</v>
      </c>
      <c r="Y73" s="36">
        <f>R73-W73</f>
        <v>747432.43350000004</v>
      </c>
      <c r="Z73" s="27">
        <v>100000</v>
      </c>
      <c r="AA73" s="27"/>
    </row>
    <row r="74" spans="1:27" ht="20.100000000000001" customHeight="1">
      <c r="A74" s="3">
        <v>2</v>
      </c>
      <c r="B74" s="1" t="s">
        <v>175</v>
      </c>
      <c r="D74" s="1" t="s">
        <v>487</v>
      </c>
      <c r="E74" s="66" t="s">
        <v>63</v>
      </c>
      <c r="F74" s="36">
        <v>31018.84</v>
      </c>
      <c r="G74" s="62"/>
      <c r="H74" s="62">
        <f t="shared" si="56"/>
        <v>93056.52</v>
      </c>
      <c r="I74" s="62">
        <f t="shared" si="57"/>
        <v>2326.413</v>
      </c>
      <c r="J74" s="62">
        <v>40122.19</v>
      </c>
      <c r="K74" s="62">
        <f t="shared" ref="K74:K76" si="60">F74*50%</f>
        <v>15509.42</v>
      </c>
      <c r="L74" s="62">
        <f t="shared" si="58"/>
        <v>108565.94</v>
      </c>
      <c r="M74" s="62">
        <f t="shared" ref="M74:M76" si="61">F74*100%</f>
        <v>31018.84</v>
      </c>
      <c r="N74" s="62"/>
      <c r="O74" s="62">
        <f t="shared" ref="O74:O76" si="62">F74*10%</f>
        <v>3101.884</v>
      </c>
      <c r="P74" s="62">
        <v>20000</v>
      </c>
      <c r="Q74" s="63">
        <v>0</v>
      </c>
      <c r="R74" s="36">
        <f t="shared" ref="R74:R76" si="63">SUM(F74:Q74)</f>
        <v>344720.04700000002</v>
      </c>
      <c r="S74" s="36"/>
      <c r="T74" s="36"/>
      <c r="U74" s="36">
        <v>0</v>
      </c>
      <c r="V74" s="62">
        <f t="shared" ref="V74:V76" si="64">15548.33</f>
        <v>15548.33</v>
      </c>
      <c r="W74" s="36">
        <f t="shared" ref="W74:W76" si="65">S74+T74+U74+V74</f>
        <v>15548.33</v>
      </c>
      <c r="X74" s="36">
        <v>329171.717</v>
      </c>
      <c r="Y74" s="36">
        <f t="shared" ref="Y74:Y76" si="66">R74-W74</f>
        <v>329171.717</v>
      </c>
      <c r="Z74" s="27">
        <v>80000</v>
      </c>
      <c r="AA74" s="27"/>
    </row>
    <row r="75" spans="1:27" ht="20.100000000000001" customHeight="1">
      <c r="A75" s="3">
        <v>3</v>
      </c>
      <c r="B75" s="1" t="s">
        <v>177</v>
      </c>
      <c r="D75" s="1" t="s">
        <v>178</v>
      </c>
      <c r="E75" s="66" t="s">
        <v>63</v>
      </c>
      <c r="F75" s="36">
        <v>31018.84</v>
      </c>
      <c r="G75" s="62"/>
      <c r="H75" s="62">
        <f t="shared" si="56"/>
        <v>93056.52</v>
      </c>
      <c r="I75" s="62">
        <f t="shared" si="57"/>
        <v>2326.413</v>
      </c>
      <c r="J75" s="62">
        <v>40122.19</v>
      </c>
      <c r="K75" s="62">
        <f t="shared" si="60"/>
        <v>15509.42</v>
      </c>
      <c r="L75" s="62">
        <f t="shared" si="58"/>
        <v>108565.94</v>
      </c>
      <c r="M75" s="62">
        <f t="shared" si="61"/>
        <v>31018.84</v>
      </c>
      <c r="N75" s="62">
        <f>100000</f>
        <v>100000</v>
      </c>
      <c r="O75" s="62">
        <f t="shared" si="62"/>
        <v>3101.884</v>
      </c>
      <c r="P75" s="62">
        <v>20000</v>
      </c>
      <c r="Q75" s="63">
        <v>0</v>
      </c>
      <c r="R75" s="36">
        <f t="shared" si="63"/>
        <v>444720.04700000002</v>
      </c>
      <c r="S75" s="36"/>
      <c r="T75" s="36"/>
      <c r="U75" s="36">
        <v>0</v>
      </c>
      <c r="V75" s="62">
        <f t="shared" si="64"/>
        <v>15548.33</v>
      </c>
      <c r="W75" s="36">
        <f t="shared" si="65"/>
        <v>15548.33</v>
      </c>
      <c r="X75" s="36">
        <v>429171.717</v>
      </c>
      <c r="Y75" s="36">
        <f t="shared" si="66"/>
        <v>429171.717</v>
      </c>
      <c r="Z75" s="27">
        <v>80000</v>
      </c>
      <c r="AA75" s="27"/>
    </row>
    <row r="76" spans="1:27" ht="20.100000000000001" customHeight="1">
      <c r="A76" s="3">
        <v>4</v>
      </c>
      <c r="B76" s="1" t="s">
        <v>488</v>
      </c>
      <c r="D76" s="1" t="s">
        <v>489</v>
      </c>
      <c r="E76" s="66" t="s">
        <v>63</v>
      </c>
      <c r="F76" s="36">
        <v>31018.84</v>
      </c>
      <c r="G76" s="62"/>
      <c r="H76" s="62">
        <f t="shared" si="56"/>
        <v>93056.52</v>
      </c>
      <c r="I76" s="62">
        <f t="shared" si="57"/>
        <v>2326.413</v>
      </c>
      <c r="J76" s="62">
        <v>40122.19</v>
      </c>
      <c r="K76" s="62">
        <f t="shared" si="60"/>
        <v>15509.42</v>
      </c>
      <c r="L76" s="62">
        <f t="shared" si="58"/>
        <v>108565.94</v>
      </c>
      <c r="M76" s="62">
        <f t="shared" si="61"/>
        <v>31018.84</v>
      </c>
      <c r="N76" s="62"/>
      <c r="O76" s="62">
        <f t="shared" si="62"/>
        <v>3101.884</v>
      </c>
      <c r="P76" s="62">
        <v>20000</v>
      </c>
      <c r="Q76" s="63">
        <v>0</v>
      </c>
      <c r="R76" s="36">
        <f t="shared" si="63"/>
        <v>344720.04700000002</v>
      </c>
      <c r="S76" s="36"/>
      <c r="T76" s="36"/>
      <c r="U76" s="36">
        <v>0</v>
      </c>
      <c r="V76" s="62">
        <f t="shared" si="64"/>
        <v>15548.33</v>
      </c>
      <c r="W76" s="36">
        <f t="shared" si="65"/>
        <v>15548.33</v>
      </c>
      <c r="X76" s="36">
        <v>329171.717</v>
      </c>
      <c r="Y76" s="36">
        <f t="shared" si="66"/>
        <v>329171.717</v>
      </c>
      <c r="Z76" s="27">
        <v>80000</v>
      </c>
      <c r="AA76" s="27"/>
    </row>
    <row r="77" spans="1:27" ht="20.100000000000001" customHeight="1">
      <c r="A77" s="3">
        <v>5</v>
      </c>
      <c r="B77" s="257" t="s">
        <v>179</v>
      </c>
      <c r="C77" s="258"/>
      <c r="D77" s="33" t="s">
        <v>140</v>
      </c>
      <c r="E77" s="66" t="s">
        <v>79</v>
      </c>
      <c r="F77" s="62">
        <f>23891.12</f>
        <v>23891.119999999999</v>
      </c>
      <c r="G77" s="62"/>
      <c r="H77" s="62">
        <f t="shared" si="56"/>
        <v>71673.36</v>
      </c>
      <c r="I77" s="62">
        <f t="shared" si="57"/>
        <v>1791.8339999999998</v>
      </c>
      <c r="J77" s="36">
        <v>0</v>
      </c>
      <c r="K77" s="62">
        <f>F77*50%</f>
        <v>11945.56</v>
      </c>
      <c r="L77" s="36">
        <f t="shared" si="58"/>
        <v>83618.92</v>
      </c>
      <c r="M77" s="62">
        <f>F77*100%</f>
        <v>23891.119999999999</v>
      </c>
      <c r="N77" s="62">
        <f t="shared" si="59"/>
        <v>100000</v>
      </c>
      <c r="O77" s="62">
        <f>F77*10%</f>
        <v>2389.1120000000001</v>
      </c>
      <c r="P77" s="62">
        <v>15000</v>
      </c>
      <c r="Q77" s="62">
        <v>0</v>
      </c>
      <c r="R77" s="36">
        <f>SUM(F77:Q77)</f>
        <v>334201.02600000001</v>
      </c>
      <c r="S77" s="36">
        <f>0</f>
        <v>0</v>
      </c>
      <c r="T77" s="36">
        <f>0</f>
        <v>0</v>
      </c>
      <c r="U77" s="36">
        <f>'[5]Jan 2021'!$H$44</f>
        <v>597.27800000000002</v>
      </c>
      <c r="V77" s="62">
        <f>7709.76</f>
        <v>7709.76</v>
      </c>
      <c r="W77" s="36">
        <f>S77+T77+U77+V77</f>
        <v>8307.0380000000005</v>
      </c>
      <c r="X77" s="36">
        <v>325893.98800000001</v>
      </c>
      <c r="Y77" s="36">
        <f>R77-W77</f>
        <v>325893.98800000001</v>
      </c>
      <c r="Z77" s="27">
        <v>80000</v>
      </c>
      <c r="AA77" s="27"/>
    </row>
    <row r="78" spans="1:27" ht="20.100000000000001" customHeight="1">
      <c r="A78" s="3">
        <v>6</v>
      </c>
      <c r="B78" s="257" t="s">
        <v>180</v>
      </c>
      <c r="C78" s="258"/>
      <c r="D78" s="33" t="s">
        <v>166</v>
      </c>
      <c r="E78" s="3" t="s">
        <v>168</v>
      </c>
      <c r="F78" s="62">
        <f t="shared" ref="F78" si="67">17286.33</f>
        <v>17286.330000000002</v>
      </c>
      <c r="G78" s="62"/>
      <c r="H78" s="62">
        <f t="shared" si="56"/>
        <v>51858.990000000005</v>
      </c>
      <c r="I78" s="62">
        <f t="shared" si="57"/>
        <v>1296.4747500000001</v>
      </c>
      <c r="J78" s="62"/>
      <c r="K78" s="62">
        <f t="shared" ref="K78:K80" si="68">F78*50%</f>
        <v>8643.1650000000009</v>
      </c>
      <c r="L78" s="62">
        <f t="shared" si="58"/>
        <v>60502.155000000006</v>
      </c>
      <c r="M78" s="62">
        <f t="shared" ref="M78:M80" si="69">F78*100%</f>
        <v>17286.330000000002</v>
      </c>
      <c r="N78" s="62">
        <f>100000</f>
        <v>100000</v>
      </c>
      <c r="O78" s="62">
        <f t="shared" ref="O78:O80" si="70">F78*10%</f>
        <v>1728.6330000000003</v>
      </c>
      <c r="P78" s="62">
        <v>10000</v>
      </c>
      <c r="Q78" s="62"/>
      <c r="R78" s="36">
        <f t="shared" ref="R78:R80" si="71">SUM(F78:Q78)</f>
        <v>268602.07775000005</v>
      </c>
      <c r="S78" s="36">
        <f>50000</f>
        <v>50000</v>
      </c>
      <c r="T78" s="36">
        <v>0</v>
      </c>
      <c r="U78" s="36"/>
      <c r="V78" s="62">
        <v>3369.51</v>
      </c>
      <c r="W78" s="36">
        <f t="shared" ref="W78:W80" si="72">SUM(S78:V78)</f>
        <v>53369.51</v>
      </c>
      <c r="X78" s="36">
        <v>215232.56775000005</v>
      </c>
      <c r="Y78" s="36">
        <f t="shared" ref="Y78:Y80" si="73">R78-W78</f>
        <v>215232.56775000005</v>
      </c>
      <c r="Z78" s="27">
        <v>50000</v>
      </c>
      <c r="AA78" s="27"/>
    </row>
    <row r="79" spans="1:27" ht="20.100000000000001" customHeight="1">
      <c r="A79" s="3">
        <v>7</v>
      </c>
      <c r="B79" s="97" t="s">
        <v>181</v>
      </c>
      <c r="C79" s="98"/>
      <c r="D79" s="33" t="s">
        <v>182</v>
      </c>
      <c r="E79" s="3" t="s">
        <v>455</v>
      </c>
      <c r="F79" s="62">
        <f>12732</f>
        <v>12732</v>
      </c>
      <c r="G79" s="62"/>
      <c r="H79" s="62">
        <f t="shared" si="56"/>
        <v>38196</v>
      </c>
      <c r="I79" s="62">
        <f t="shared" si="57"/>
        <v>954.9</v>
      </c>
      <c r="J79" s="62"/>
      <c r="K79" s="62">
        <f t="shared" si="68"/>
        <v>6366</v>
      </c>
      <c r="L79" s="62">
        <f t="shared" si="58"/>
        <v>44562</v>
      </c>
      <c r="M79" s="62">
        <f t="shared" si="69"/>
        <v>12732</v>
      </c>
      <c r="N79" s="62"/>
      <c r="O79" s="62">
        <f t="shared" si="70"/>
        <v>1273.2</v>
      </c>
      <c r="P79" s="62">
        <v>10000</v>
      </c>
      <c r="Q79" s="62"/>
      <c r="R79" s="36">
        <f t="shared" si="71"/>
        <v>126816.09999999999</v>
      </c>
      <c r="S79" s="36">
        <f>3000+20000</f>
        <v>23000</v>
      </c>
      <c r="T79" s="36">
        <v>0</v>
      </c>
      <c r="U79" s="36"/>
      <c r="V79" s="62">
        <f>1235.19</f>
        <v>1235.19</v>
      </c>
      <c r="W79" s="36">
        <f t="shared" si="72"/>
        <v>24235.19</v>
      </c>
      <c r="X79" s="36">
        <v>102580.90999999999</v>
      </c>
      <c r="Y79" s="36">
        <f t="shared" si="73"/>
        <v>102580.90999999999</v>
      </c>
      <c r="Z79" s="27">
        <v>50000</v>
      </c>
      <c r="AA79" s="27"/>
    </row>
    <row r="80" spans="1:27" ht="20.100000000000001" customHeight="1">
      <c r="A80" s="3">
        <v>8</v>
      </c>
      <c r="B80" s="97" t="s">
        <v>183</v>
      </c>
      <c r="C80" s="98"/>
      <c r="D80" s="33" t="s">
        <v>184</v>
      </c>
      <c r="E80" s="3" t="s">
        <v>93</v>
      </c>
      <c r="F80" s="62">
        <f>12351.94</f>
        <v>12351.94</v>
      </c>
      <c r="G80" s="62"/>
      <c r="H80" s="62">
        <f t="shared" si="56"/>
        <v>37055.82</v>
      </c>
      <c r="I80" s="62">
        <f t="shared" si="57"/>
        <v>926.39549999999997</v>
      </c>
      <c r="J80" s="62"/>
      <c r="K80" s="62">
        <f t="shared" si="68"/>
        <v>6175.97</v>
      </c>
      <c r="L80" s="62">
        <f t="shared" si="58"/>
        <v>43231.79</v>
      </c>
      <c r="M80" s="62">
        <f t="shared" si="69"/>
        <v>12351.94</v>
      </c>
      <c r="N80" s="62">
        <f>100000</f>
        <v>100000</v>
      </c>
      <c r="O80" s="62">
        <f t="shared" si="70"/>
        <v>1235.1940000000002</v>
      </c>
      <c r="P80" s="62">
        <v>10000</v>
      </c>
      <c r="Q80" s="62"/>
      <c r="R80" s="36">
        <f t="shared" si="71"/>
        <v>223329.04949999999</v>
      </c>
      <c r="S80" s="36">
        <f>0</f>
        <v>0</v>
      </c>
      <c r="T80" s="36">
        <v>0</v>
      </c>
      <c r="U80" s="36"/>
      <c r="V80" s="62">
        <f>1235.19</f>
        <v>1235.19</v>
      </c>
      <c r="W80" s="36">
        <f t="shared" si="72"/>
        <v>1235.19</v>
      </c>
      <c r="X80" s="36">
        <v>222093.85949999999</v>
      </c>
      <c r="Y80" s="36">
        <f t="shared" si="73"/>
        <v>222093.85949999999</v>
      </c>
      <c r="Z80" s="27">
        <v>50000</v>
      </c>
      <c r="AA80" s="27"/>
    </row>
    <row r="81" spans="1:27" ht="20.100000000000001" customHeight="1">
      <c r="A81" s="3"/>
      <c r="B81" s="273" t="s">
        <v>34</v>
      </c>
      <c r="C81" s="274"/>
      <c r="D81" s="30">
        <v>8</v>
      </c>
      <c r="E81" s="30"/>
      <c r="F81" s="92">
        <f>SUM(F73:F80)</f>
        <v>241057.93</v>
      </c>
      <c r="G81" s="92"/>
      <c r="H81" s="92">
        <f t="shared" ref="H81:Y81" si="74">SUM(H73:H80)</f>
        <v>723173.78999999992</v>
      </c>
      <c r="I81" s="92">
        <f t="shared" si="74"/>
        <v>18079.34475</v>
      </c>
      <c r="J81" s="92">
        <f t="shared" si="74"/>
        <v>200610.95</v>
      </c>
      <c r="K81" s="92">
        <f t="shared" si="74"/>
        <v>120528.965</v>
      </c>
      <c r="L81" s="92">
        <f t="shared" si="74"/>
        <v>843702.75500000012</v>
      </c>
      <c r="M81" s="92">
        <f t="shared" si="74"/>
        <v>241057.93</v>
      </c>
      <c r="N81" s="95">
        <f t="shared" si="74"/>
        <v>500000</v>
      </c>
      <c r="O81" s="92">
        <f t="shared" si="74"/>
        <v>24105.793000000005</v>
      </c>
      <c r="P81" s="92">
        <f t="shared" si="74"/>
        <v>125000</v>
      </c>
      <c r="Q81" s="92">
        <f t="shared" si="74"/>
        <v>0</v>
      </c>
      <c r="R81" s="92">
        <f t="shared" si="74"/>
        <v>3037317.4577500005</v>
      </c>
      <c r="S81" s="92">
        <f t="shared" si="74"/>
        <v>223000</v>
      </c>
      <c r="T81" s="92">
        <f t="shared" si="74"/>
        <v>0</v>
      </c>
      <c r="U81" s="92">
        <f t="shared" si="74"/>
        <v>597.27800000000002</v>
      </c>
      <c r="V81" s="92">
        <f t="shared" si="74"/>
        <v>112971.26999999999</v>
      </c>
      <c r="W81" s="92">
        <f t="shared" si="74"/>
        <v>336568.54799999995</v>
      </c>
      <c r="X81" s="92">
        <v>2609809.6097499998</v>
      </c>
      <c r="Y81" s="92">
        <f t="shared" si="74"/>
        <v>2700748.9097499996</v>
      </c>
      <c r="Z81" s="134">
        <f>SUM(Z73:Z80)</f>
        <v>570000</v>
      </c>
      <c r="AA81" s="134"/>
    </row>
    <row r="82" spans="1:27" ht="20.100000000000001" customHeight="1">
      <c r="A82" s="3"/>
      <c r="B82" s="275"/>
      <c r="C82" s="276"/>
      <c r="D82" s="7"/>
      <c r="E82" s="7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63"/>
      <c r="S82" s="63"/>
      <c r="T82" s="63"/>
      <c r="U82" s="63"/>
      <c r="V82" s="39"/>
      <c r="W82" s="36"/>
      <c r="X82" s="36"/>
      <c r="Y82" s="36"/>
      <c r="Z82" s="27"/>
      <c r="AA82" s="27"/>
    </row>
    <row r="83" spans="1:27" ht="20.100000000000001" customHeight="1">
      <c r="A83" s="3"/>
      <c r="B83" s="277" t="s">
        <v>469</v>
      </c>
      <c r="C83" s="278"/>
      <c r="D83" s="69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  <c r="Z83" s="27"/>
      <c r="AA83" s="27"/>
    </row>
    <row r="84" spans="1:27" ht="20.100000000000001" customHeight="1">
      <c r="A84" s="3">
        <v>1</v>
      </c>
      <c r="B84" s="257" t="s">
        <v>186</v>
      </c>
      <c r="C84" s="258"/>
      <c r="D84" s="33" t="s">
        <v>187</v>
      </c>
      <c r="E84" s="3" t="s">
        <v>479</v>
      </c>
      <c r="F84" s="62">
        <f>39662.25</f>
        <v>39662.25</v>
      </c>
      <c r="G84" s="62"/>
      <c r="H84" s="62">
        <f t="shared" ref="H84:H95" si="75">F84*300%</f>
        <v>118986.75</v>
      </c>
      <c r="I84" s="62">
        <f t="shared" ref="I84:I95" si="76">F84*7.5%</f>
        <v>2974.6687499999998</v>
      </c>
      <c r="J84" s="62">
        <v>40122.19</v>
      </c>
      <c r="K84" s="62">
        <f t="shared" ref="K84:K95" si="77">F84*50%</f>
        <v>19831.125</v>
      </c>
      <c r="L84" s="62">
        <f t="shared" ref="L84:L95" si="78">F84*350%</f>
        <v>138817.875</v>
      </c>
      <c r="M84" s="62">
        <f t="shared" ref="M84:M95" si="79">F84*100%</f>
        <v>39662.25</v>
      </c>
      <c r="N84" s="62">
        <f t="shared" ref="N84:N95" si="80">100000</f>
        <v>100000</v>
      </c>
      <c r="O84" s="62">
        <f t="shared" ref="O84:O95" si="81">F84*10%</f>
        <v>3966.2250000000004</v>
      </c>
      <c r="P84" s="62">
        <v>20000</v>
      </c>
      <c r="Q84" s="62"/>
      <c r="R84" s="36">
        <f t="shared" ref="R84:R95" si="82">SUM(F84:Q84)</f>
        <v>524023.33374999999</v>
      </c>
      <c r="S84" s="36"/>
      <c r="T84" s="36"/>
      <c r="U84" s="36"/>
      <c r="V84" s="62">
        <f>21618.09</f>
        <v>21618.09</v>
      </c>
      <c r="W84" s="36">
        <f t="shared" ref="W84:W95" si="83">SUM(S84:V84)</f>
        <v>21618.09</v>
      </c>
      <c r="X84" s="36">
        <v>502405.24374999997</v>
      </c>
      <c r="Y84" s="36">
        <f t="shared" ref="Y84:Y95" si="84">R84-W84</f>
        <v>502405.24374999997</v>
      </c>
      <c r="Z84" s="27">
        <v>100000</v>
      </c>
      <c r="AA84" s="27"/>
    </row>
    <row r="85" spans="1:27" ht="20.100000000000001" customHeight="1">
      <c r="A85" s="3">
        <v>2</v>
      </c>
      <c r="B85" s="257" t="s">
        <v>188</v>
      </c>
      <c r="C85" s="258"/>
      <c r="D85" s="33" t="s">
        <v>127</v>
      </c>
      <c r="E85" s="3" t="s">
        <v>129</v>
      </c>
      <c r="F85" s="62">
        <f>32263.2</f>
        <v>32263.200000000001</v>
      </c>
      <c r="G85" s="62"/>
      <c r="H85" s="62">
        <f t="shared" si="75"/>
        <v>96789.6</v>
      </c>
      <c r="I85" s="62">
        <f t="shared" si="76"/>
        <v>2419.7399999999998</v>
      </c>
      <c r="J85" s="62">
        <f>40122.19</f>
        <v>40122.19</v>
      </c>
      <c r="K85" s="62">
        <f t="shared" si="77"/>
        <v>16131.6</v>
      </c>
      <c r="L85" s="62">
        <f t="shared" si="78"/>
        <v>112921.2</v>
      </c>
      <c r="M85" s="62">
        <f t="shared" si="79"/>
        <v>32263.200000000001</v>
      </c>
      <c r="N85" s="62">
        <f t="shared" si="80"/>
        <v>100000</v>
      </c>
      <c r="O85" s="62">
        <f t="shared" si="81"/>
        <v>3226.32</v>
      </c>
      <c r="P85" s="62">
        <v>20000</v>
      </c>
      <c r="Q85" s="62"/>
      <c r="R85" s="36">
        <f t="shared" si="82"/>
        <v>456137.05000000005</v>
      </c>
      <c r="S85" s="36"/>
      <c r="T85" s="36"/>
      <c r="U85" s="36"/>
      <c r="V85" s="62">
        <f>15548.33</f>
        <v>15548.33</v>
      </c>
      <c r="W85" s="36">
        <f t="shared" si="83"/>
        <v>15548.33</v>
      </c>
      <c r="X85" s="36">
        <v>440588.72000000003</v>
      </c>
      <c r="Y85" s="36">
        <f t="shared" si="84"/>
        <v>440588.72000000003</v>
      </c>
      <c r="Z85" s="27">
        <v>80000</v>
      </c>
      <c r="AA85" s="27"/>
    </row>
    <row r="86" spans="1:27" ht="20.100000000000001" customHeight="1">
      <c r="A86" s="3">
        <v>3</v>
      </c>
      <c r="B86" s="257" t="s">
        <v>189</v>
      </c>
      <c r="C86" s="258"/>
      <c r="D86" s="33" t="s">
        <v>127</v>
      </c>
      <c r="E86" s="3" t="s">
        <v>129</v>
      </c>
      <c r="F86" s="62">
        <f>32263.2</f>
        <v>32263.200000000001</v>
      </c>
      <c r="G86" s="62"/>
      <c r="H86" s="62">
        <f>F86*300%</f>
        <v>96789.6</v>
      </c>
      <c r="I86" s="62">
        <f>F86*7.5%</f>
        <v>2419.7399999999998</v>
      </c>
      <c r="J86" s="62">
        <f>40122.19</f>
        <v>40122.19</v>
      </c>
      <c r="K86" s="62">
        <f>F86*50%</f>
        <v>16131.6</v>
      </c>
      <c r="L86" s="62">
        <f>F86*350%</f>
        <v>112921.2</v>
      </c>
      <c r="M86" s="62">
        <f>F86*100%</f>
        <v>32263.200000000001</v>
      </c>
      <c r="N86" s="62">
        <f t="shared" si="80"/>
        <v>100000</v>
      </c>
      <c r="O86" s="62">
        <f>F86*10%</f>
        <v>3226.32</v>
      </c>
      <c r="P86" s="62">
        <v>20000</v>
      </c>
      <c r="Q86" s="62"/>
      <c r="R86" s="36">
        <f>SUM(F86:Q86)</f>
        <v>456137.05000000005</v>
      </c>
      <c r="S86" s="36">
        <f>20000</f>
        <v>20000</v>
      </c>
      <c r="T86" s="36">
        <f>68750</f>
        <v>68750</v>
      </c>
      <c r="U86" s="36">
        <f>'[5]Jan 2021'!$H$38</f>
        <v>806.58</v>
      </c>
      <c r="V86" s="62">
        <f>15548.33</f>
        <v>15548.33</v>
      </c>
      <c r="W86" s="36">
        <f>SUM(S86:V86)</f>
        <v>105104.91</v>
      </c>
      <c r="X86" s="36">
        <v>351032.14</v>
      </c>
      <c r="Y86" s="36">
        <f>R86-W86</f>
        <v>351032.14</v>
      </c>
      <c r="Z86" s="27">
        <v>80000</v>
      </c>
      <c r="AA86" s="27"/>
    </row>
    <row r="87" spans="1:27" ht="20.100000000000001" customHeight="1">
      <c r="A87" s="3">
        <v>4</v>
      </c>
      <c r="B87" s="257" t="s">
        <v>396</v>
      </c>
      <c r="C87" s="258"/>
      <c r="D87" s="33" t="s">
        <v>131</v>
      </c>
      <c r="E87" s="3" t="s">
        <v>395</v>
      </c>
      <c r="F87" s="62">
        <f>25854.1</f>
        <v>25854.1</v>
      </c>
      <c r="G87" s="62"/>
      <c r="H87" s="62">
        <f t="shared" si="75"/>
        <v>77562.299999999988</v>
      </c>
      <c r="I87" s="62">
        <f t="shared" si="76"/>
        <v>1939.0574999999999</v>
      </c>
      <c r="J87" s="62">
        <v>0</v>
      </c>
      <c r="K87" s="62">
        <f t="shared" si="77"/>
        <v>12927.05</v>
      </c>
      <c r="L87" s="62">
        <f t="shared" si="78"/>
        <v>90489.349999999991</v>
      </c>
      <c r="M87" s="62">
        <f t="shared" si="79"/>
        <v>25854.1</v>
      </c>
      <c r="N87" s="62">
        <f t="shared" si="80"/>
        <v>100000</v>
      </c>
      <c r="O87" s="62">
        <f t="shared" si="81"/>
        <v>2585.41</v>
      </c>
      <c r="P87" s="62">
        <v>20000</v>
      </c>
      <c r="Q87" s="62">
        <v>0</v>
      </c>
      <c r="R87" s="36">
        <f t="shared" si="82"/>
        <v>357211.36749999999</v>
      </c>
      <c r="S87" s="36">
        <v>5000</v>
      </c>
      <c r="T87" s="36"/>
      <c r="U87" s="36"/>
      <c r="V87" s="36">
        <f t="shared" si="12"/>
        <v>7709.76</v>
      </c>
      <c r="W87" s="36">
        <f t="shared" si="83"/>
        <v>12709.76</v>
      </c>
      <c r="X87" s="36">
        <v>344501.60749999998</v>
      </c>
      <c r="Y87" s="36">
        <f t="shared" si="84"/>
        <v>344501.60749999998</v>
      </c>
      <c r="Z87" s="27">
        <v>80000</v>
      </c>
      <c r="AA87" s="27"/>
    </row>
    <row r="88" spans="1:27" ht="20.100000000000001" customHeight="1">
      <c r="A88" s="3">
        <v>5</v>
      </c>
      <c r="B88" s="271" t="s">
        <v>190</v>
      </c>
      <c r="C88" s="272"/>
      <c r="D88" s="33" t="s">
        <v>135</v>
      </c>
      <c r="E88" s="3" t="s">
        <v>66</v>
      </c>
      <c r="F88" s="62">
        <f>26732.65</f>
        <v>26732.65</v>
      </c>
      <c r="G88" s="62"/>
      <c r="H88" s="62">
        <f>F88*300%</f>
        <v>80197.950000000012</v>
      </c>
      <c r="I88" s="62">
        <f>F88*7.5%</f>
        <v>2004.94875</v>
      </c>
      <c r="J88" s="62"/>
      <c r="K88" s="62">
        <f>F88*50%</f>
        <v>13366.325000000001</v>
      </c>
      <c r="L88" s="36">
        <f>F88*350%</f>
        <v>93564.275000000009</v>
      </c>
      <c r="M88" s="62">
        <f>F88*100%</f>
        <v>26732.65</v>
      </c>
      <c r="N88" s="62">
        <f t="shared" si="80"/>
        <v>100000</v>
      </c>
      <c r="O88" s="62">
        <f>F88*10%</f>
        <v>2673.2650000000003</v>
      </c>
      <c r="P88" s="62">
        <v>20000</v>
      </c>
      <c r="Q88" s="62">
        <v>0</v>
      </c>
      <c r="R88" s="26">
        <f>SUM(F88:Q88)</f>
        <v>365272.06374999997</v>
      </c>
      <c r="S88" s="36">
        <f>20000</f>
        <v>20000</v>
      </c>
      <c r="T88" s="36">
        <f>163103.59</f>
        <v>163103.59</v>
      </c>
      <c r="U88" s="36">
        <f>'[5]Jan 2021'!$H$46</f>
        <v>668.31625000000008</v>
      </c>
      <c r="V88" s="36">
        <f>7709.76</f>
        <v>7709.76</v>
      </c>
      <c r="W88" s="26">
        <f>S88+T88+U88+V88</f>
        <v>191481.66625000001</v>
      </c>
      <c r="X88" s="26">
        <v>173790.39749999996</v>
      </c>
      <c r="Y88" s="26">
        <f>R88-W88</f>
        <v>173790.39749999996</v>
      </c>
      <c r="Z88" s="27">
        <v>80000</v>
      </c>
      <c r="AA88" s="27"/>
    </row>
    <row r="89" spans="1:27" ht="20.100000000000001" customHeight="1">
      <c r="A89" s="3">
        <v>6</v>
      </c>
      <c r="B89" s="269" t="s">
        <v>192</v>
      </c>
      <c r="C89" s="270"/>
      <c r="D89" s="33" t="s">
        <v>131</v>
      </c>
      <c r="E89" s="3" t="s">
        <v>395</v>
      </c>
      <c r="F89" s="26">
        <f>25854.1</f>
        <v>25854.1</v>
      </c>
      <c r="G89" s="62"/>
      <c r="H89" s="26">
        <f t="shared" si="75"/>
        <v>77562.299999999988</v>
      </c>
      <c r="I89" s="26">
        <f t="shared" si="76"/>
        <v>1939.0574999999999</v>
      </c>
      <c r="J89" s="26"/>
      <c r="K89" s="26">
        <f t="shared" si="77"/>
        <v>12927.05</v>
      </c>
      <c r="L89" s="26">
        <f t="shared" si="78"/>
        <v>90489.349999999991</v>
      </c>
      <c r="M89" s="26">
        <f t="shared" si="79"/>
        <v>25854.1</v>
      </c>
      <c r="N89" s="62">
        <f t="shared" si="80"/>
        <v>100000</v>
      </c>
      <c r="O89" s="26">
        <f t="shared" si="81"/>
        <v>2585.41</v>
      </c>
      <c r="P89" s="26">
        <v>20000</v>
      </c>
      <c r="Q89" s="26"/>
      <c r="R89" s="36">
        <f t="shared" si="82"/>
        <v>357211.36749999999</v>
      </c>
      <c r="S89" s="24">
        <f>50000</f>
        <v>50000</v>
      </c>
      <c r="T89" s="24">
        <f>87500</f>
        <v>87500</v>
      </c>
      <c r="U89" s="24"/>
      <c r="V89" s="36">
        <f t="shared" si="12"/>
        <v>7709.76</v>
      </c>
      <c r="W89" s="36">
        <f t="shared" si="83"/>
        <v>145209.76</v>
      </c>
      <c r="X89" s="36">
        <v>212001.60749999998</v>
      </c>
      <c r="Y89" s="36">
        <f t="shared" si="84"/>
        <v>212001.60749999998</v>
      </c>
      <c r="Z89" s="27">
        <v>80000</v>
      </c>
      <c r="AA89" s="27"/>
    </row>
    <row r="90" spans="1:27" ht="20.100000000000001" customHeight="1">
      <c r="A90" s="3">
        <v>7</v>
      </c>
      <c r="B90" s="269" t="s">
        <v>491</v>
      </c>
      <c r="C90" s="270"/>
      <c r="D90" s="33" t="s">
        <v>131</v>
      </c>
      <c r="E90" s="3" t="s">
        <v>395</v>
      </c>
      <c r="F90" s="26">
        <f>25854.1</f>
        <v>25854.1</v>
      </c>
      <c r="G90" s="26"/>
      <c r="H90" s="26">
        <f t="shared" si="75"/>
        <v>77562.299999999988</v>
      </c>
      <c r="I90" s="26">
        <f t="shared" si="76"/>
        <v>1939.0574999999999</v>
      </c>
      <c r="J90" s="26"/>
      <c r="K90" s="26">
        <f t="shared" si="77"/>
        <v>12927.05</v>
      </c>
      <c r="L90" s="26">
        <f t="shared" si="78"/>
        <v>90489.349999999991</v>
      </c>
      <c r="M90" s="26">
        <f t="shared" si="79"/>
        <v>25854.1</v>
      </c>
      <c r="N90" s="62">
        <f t="shared" si="80"/>
        <v>100000</v>
      </c>
      <c r="O90" s="26">
        <f t="shared" si="81"/>
        <v>2585.41</v>
      </c>
      <c r="P90" s="26">
        <v>20000</v>
      </c>
      <c r="Q90" s="26"/>
      <c r="R90" s="36">
        <f t="shared" si="82"/>
        <v>357211.36749999999</v>
      </c>
      <c r="S90" s="24">
        <f>50000</f>
        <v>50000</v>
      </c>
      <c r="T90" s="24"/>
      <c r="U90" s="24">
        <f>'[5]Jan 2021'!$H$50</f>
        <v>646.35249999999996</v>
      </c>
      <c r="V90" s="26">
        <v>7709.76</v>
      </c>
      <c r="W90" s="36">
        <f t="shared" si="83"/>
        <v>58356.112500000003</v>
      </c>
      <c r="X90" s="36">
        <v>298855.255</v>
      </c>
      <c r="Y90" s="36">
        <f t="shared" si="84"/>
        <v>298855.255</v>
      </c>
      <c r="Z90" s="27">
        <v>80000</v>
      </c>
      <c r="AA90" s="27"/>
    </row>
    <row r="91" spans="1:27" ht="20.100000000000001" customHeight="1">
      <c r="A91" s="3">
        <v>8</v>
      </c>
      <c r="B91" s="257" t="s">
        <v>397</v>
      </c>
      <c r="C91" s="258"/>
      <c r="D91" s="61" t="s">
        <v>135</v>
      </c>
      <c r="E91" s="66" t="s">
        <v>194</v>
      </c>
      <c r="F91" s="62">
        <f>24975.81</f>
        <v>24975.81</v>
      </c>
      <c r="G91" s="62"/>
      <c r="H91" s="62">
        <f>F91*300%</f>
        <v>74927.430000000008</v>
      </c>
      <c r="I91" s="62">
        <f>F91*7.5%</f>
        <v>1873.1857500000001</v>
      </c>
      <c r="J91" s="62">
        <v>0</v>
      </c>
      <c r="K91" s="62">
        <f>F91*50%</f>
        <v>12487.905000000001</v>
      </c>
      <c r="L91" s="36">
        <f>F91*350%</f>
        <v>87415.335000000006</v>
      </c>
      <c r="M91" s="62">
        <f>F91*100%</f>
        <v>24975.81</v>
      </c>
      <c r="N91" s="62">
        <f t="shared" si="80"/>
        <v>100000</v>
      </c>
      <c r="O91" s="62">
        <f>F91*10%</f>
        <v>2497.5810000000001</v>
      </c>
      <c r="P91" s="62">
        <v>20000</v>
      </c>
      <c r="Q91" s="62">
        <v>0</v>
      </c>
      <c r="R91" s="36">
        <f>SUM(F91:Q91)</f>
        <v>349153.05674999999</v>
      </c>
      <c r="S91" s="36">
        <f>100000</f>
        <v>100000</v>
      </c>
      <c r="T91" s="36">
        <f>0</f>
        <v>0</v>
      </c>
      <c r="U91" s="36"/>
      <c r="V91" s="62">
        <f t="shared" ref="V91:V95" si="85">7709.76</f>
        <v>7709.76</v>
      </c>
      <c r="W91" s="36">
        <f>SUM(S91:V91)</f>
        <v>107709.75999999999</v>
      </c>
      <c r="X91" s="36">
        <v>241443.29674999998</v>
      </c>
      <c r="Y91" s="36">
        <f>R91-W91</f>
        <v>241443.29674999998</v>
      </c>
      <c r="Z91" s="27">
        <v>80000</v>
      </c>
      <c r="AA91" s="27"/>
    </row>
    <row r="92" spans="1:27" ht="21.6" customHeight="1">
      <c r="A92" s="3">
        <v>9</v>
      </c>
      <c r="B92" s="264" t="s">
        <v>195</v>
      </c>
      <c r="C92" s="264"/>
      <c r="D92" s="33" t="s">
        <v>140</v>
      </c>
      <c r="E92" s="66" t="s">
        <v>79</v>
      </c>
      <c r="F92" s="62">
        <f>23891.12</f>
        <v>23891.119999999999</v>
      </c>
      <c r="G92" s="62"/>
      <c r="H92" s="62">
        <f t="shared" si="75"/>
        <v>71673.36</v>
      </c>
      <c r="I92" s="62">
        <f t="shared" si="76"/>
        <v>1791.8339999999998</v>
      </c>
      <c r="J92" s="62">
        <v>0</v>
      </c>
      <c r="K92" s="62">
        <f t="shared" si="77"/>
        <v>11945.56</v>
      </c>
      <c r="L92" s="36">
        <f t="shared" si="78"/>
        <v>83618.92</v>
      </c>
      <c r="M92" s="62">
        <f t="shared" si="79"/>
        <v>23891.119999999999</v>
      </c>
      <c r="N92" s="62">
        <f t="shared" si="80"/>
        <v>100000</v>
      </c>
      <c r="O92" s="62">
        <f t="shared" si="81"/>
        <v>2389.1120000000001</v>
      </c>
      <c r="P92" s="62">
        <v>15000</v>
      </c>
      <c r="Q92" s="62">
        <v>0</v>
      </c>
      <c r="R92" s="36">
        <f t="shared" si="82"/>
        <v>334201.02600000001</v>
      </c>
      <c r="S92" s="36">
        <f>50000</f>
        <v>50000</v>
      </c>
      <c r="T92" s="36"/>
      <c r="U92" s="36"/>
      <c r="V92" s="62">
        <f>7709.76</f>
        <v>7709.76</v>
      </c>
      <c r="W92" s="36">
        <f t="shared" si="83"/>
        <v>57709.760000000002</v>
      </c>
      <c r="X92" s="36">
        <v>276491.266</v>
      </c>
      <c r="Y92" s="36">
        <f t="shared" si="84"/>
        <v>276491.266</v>
      </c>
      <c r="Z92" s="27">
        <v>80000</v>
      </c>
      <c r="AA92" s="27"/>
    </row>
    <row r="93" spans="1:27" ht="21.6" customHeight="1">
      <c r="A93" s="3">
        <v>10</v>
      </c>
      <c r="B93" s="257" t="s">
        <v>77</v>
      </c>
      <c r="C93" s="258"/>
      <c r="D93" s="61" t="s">
        <v>137</v>
      </c>
      <c r="E93" s="66" t="s">
        <v>485</v>
      </c>
      <c r="F93" s="62">
        <f>23074.99</f>
        <v>23074.99</v>
      </c>
      <c r="G93" s="62"/>
      <c r="H93" s="62">
        <f t="shared" si="75"/>
        <v>69224.97</v>
      </c>
      <c r="I93" s="62">
        <f t="shared" si="76"/>
        <v>1730.6242500000001</v>
      </c>
      <c r="J93" s="62">
        <v>0</v>
      </c>
      <c r="K93" s="62">
        <f t="shared" si="77"/>
        <v>11537.495000000001</v>
      </c>
      <c r="L93" s="36">
        <f t="shared" si="78"/>
        <v>80762.465000000011</v>
      </c>
      <c r="M93" s="62">
        <f t="shared" si="79"/>
        <v>23074.99</v>
      </c>
      <c r="N93" s="62">
        <f t="shared" si="80"/>
        <v>100000</v>
      </c>
      <c r="O93" s="62">
        <f t="shared" si="81"/>
        <v>2307.4990000000003</v>
      </c>
      <c r="P93" s="62">
        <v>15000</v>
      </c>
      <c r="Q93" s="62">
        <v>0</v>
      </c>
      <c r="R93" s="36">
        <f t="shared" si="82"/>
        <v>326713.03325000004</v>
      </c>
      <c r="S93" s="36">
        <f>10000</f>
        <v>10000</v>
      </c>
      <c r="T93" s="36">
        <f>131666.67</f>
        <v>131666.67000000001</v>
      </c>
      <c r="U93" s="36"/>
      <c r="V93" s="62">
        <f t="shared" si="85"/>
        <v>7709.76</v>
      </c>
      <c r="W93" s="36">
        <f t="shared" si="83"/>
        <v>149376.43000000002</v>
      </c>
      <c r="X93" s="36">
        <v>177336.60325000001</v>
      </c>
      <c r="Y93" s="36">
        <f t="shared" si="84"/>
        <v>177336.60325000001</v>
      </c>
      <c r="Z93" s="27">
        <v>80000</v>
      </c>
      <c r="AA93" s="27"/>
    </row>
    <row r="94" spans="1:27" ht="21.6" customHeight="1">
      <c r="A94" s="3">
        <v>11</v>
      </c>
      <c r="B94" s="257" t="s">
        <v>196</v>
      </c>
      <c r="C94" s="258"/>
      <c r="D94" s="61" t="s">
        <v>137</v>
      </c>
      <c r="E94" s="66" t="s">
        <v>485</v>
      </c>
      <c r="F94" s="62">
        <f t="shared" ref="F94:F95" si="86">23074.99</f>
        <v>23074.99</v>
      </c>
      <c r="G94" s="62"/>
      <c r="H94" s="62">
        <f t="shared" si="75"/>
        <v>69224.97</v>
      </c>
      <c r="I94" s="62">
        <f t="shared" si="76"/>
        <v>1730.6242500000001</v>
      </c>
      <c r="J94" s="62">
        <v>0</v>
      </c>
      <c r="K94" s="62">
        <f t="shared" si="77"/>
        <v>11537.495000000001</v>
      </c>
      <c r="L94" s="36">
        <f t="shared" si="78"/>
        <v>80762.465000000011</v>
      </c>
      <c r="M94" s="62">
        <f t="shared" si="79"/>
        <v>23074.99</v>
      </c>
      <c r="N94" s="62">
        <f t="shared" si="80"/>
        <v>100000</v>
      </c>
      <c r="O94" s="62">
        <f t="shared" si="81"/>
        <v>2307.4990000000003</v>
      </c>
      <c r="P94" s="62">
        <v>15000</v>
      </c>
      <c r="Q94" s="62">
        <v>0</v>
      </c>
      <c r="R94" s="36">
        <f t="shared" si="82"/>
        <v>326713.03325000004</v>
      </c>
      <c r="S94" s="36">
        <f>25000</f>
        <v>25000</v>
      </c>
      <c r="T94" s="36">
        <f>94262.15</f>
        <v>94262.15</v>
      </c>
      <c r="U94" s="36"/>
      <c r="V94" s="62">
        <f t="shared" si="85"/>
        <v>7709.76</v>
      </c>
      <c r="W94" s="36">
        <f t="shared" si="83"/>
        <v>126971.90999999999</v>
      </c>
      <c r="X94" s="36">
        <v>199741.12325000006</v>
      </c>
      <c r="Y94" s="36">
        <f t="shared" si="84"/>
        <v>199741.12325000006</v>
      </c>
      <c r="Z94" s="27">
        <v>80000</v>
      </c>
      <c r="AA94" s="27"/>
    </row>
    <row r="95" spans="1:27" ht="21.6" customHeight="1">
      <c r="A95" s="3">
        <v>12</v>
      </c>
      <c r="B95" s="257" t="s">
        <v>197</v>
      </c>
      <c r="C95" s="258"/>
      <c r="D95" s="61" t="s">
        <v>137</v>
      </c>
      <c r="E95" s="66" t="s">
        <v>485</v>
      </c>
      <c r="F95" s="62">
        <f t="shared" si="86"/>
        <v>23074.99</v>
      </c>
      <c r="G95" s="62"/>
      <c r="H95" s="62">
        <f t="shared" si="75"/>
        <v>69224.97</v>
      </c>
      <c r="I95" s="62">
        <f t="shared" si="76"/>
        <v>1730.6242500000001</v>
      </c>
      <c r="J95" s="62">
        <v>0</v>
      </c>
      <c r="K95" s="62">
        <f t="shared" si="77"/>
        <v>11537.495000000001</v>
      </c>
      <c r="L95" s="36">
        <f t="shared" si="78"/>
        <v>80762.465000000011</v>
      </c>
      <c r="M95" s="62">
        <f t="shared" si="79"/>
        <v>23074.99</v>
      </c>
      <c r="N95" s="62">
        <f t="shared" si="80"/>
        <v>100000</v>
      </c>
      <c r="O95" s="62">
        <f t="shared" si="81"/>
        <v>2307.4990000000003</v>
      </c>
      <c r="P95" s="62">
        <v>15000</v>
      </c>
      <c r="Q95" s="62">
        <v>0</v>
      </c>
      <c r="R95" s="36">
        <f t="shared" si="82"/>
        <v>326713.03325000004</v>
      </c>
      <c r="S95" s="36">
        <f>70000</f>
        <v>70000</v>
      </c>
      <c r="T95" s="36"/>
      <c r="U95" s="36"/>
      <c r="V95" s="62">
        <f t="shared" si="85"/>
        <v>7709.76</v>
      </c>
      <c r="W95" s="36">
        <f t="shared" si="83"/>
        <v>77709.759999999995</v>
      </c>
      <c r="X95" s="36">
        <v>249003.27325000003</v>
      </c>
      <c r="Y95" s="36">
        <f t="shared" si="84"/>
        <v>249003.27325000003</v>
      </c>
      <c r="Z95" s="27">
        <v>80000</v>
      </c>
      <c r="AA95" s="27"/>
    </row>
    <row r="96" spans="1:27" ht="20.100000000000001" customHeight="1">
      <c r="A96" s="3"/>
      <c r="B96" s="267" t="s">
        <v>34</v>
      </c>
      <c r="C96" s="267"/>
      <c r="D96" s="7">
        <v>12</v>
      </c>
      <c r="E96" s="7"/>
      <c r="F96" s="95">
        <f>SUM(F84:F95)</f>
        <v>326575.5</v>
      </c>
      <c r="G96" s="95"/>
      <c r="H96" s="95">
        <f t="shared" ref="H96:Y96" si="87">SUM(H84:H95)</f>
        <v>979726.5</v>
      </c>
      <c r="I96" s="95">
        <f t="shared" si="87"/>
        <v>24493.162499999999</v>
      </c>
      <c r="J96" s="95">
        <f t="shared" si="87"/>
        <v>120366.57</v>
      </c>
      <c r="K96" s="95">
        <f t="shared" si="87"/>
        <v>163287.75</v>
      </c>
      <c r="L96" s="95">
        <f t="shared" si="87"/>
        <v>1143014.25</v>
      </c>
      <c r="M96" s="95">
        <f t="shared" si="87"/>
        <v>326575.5</v>
      </c>
      <c r="N96" s="95">
        <f t="shared" si="87"/>
        <v>1200000</v>
      </c>
      <c r="O96" s="95">
        <f t="shared" si="87"/>
        <v>32657.55</v>
      </c>
      <c r="P96" s="95">
        <f t="shared" si="87"/>
        <v>220000</v>
      </c>
      <c r="Q96" s="95">
        <f t="shared" si="87"/>
        <v>0</v>
      </c>
      <c r="R96" s="95">
        <f t="shared" si="87"/>
        <v>4536696.7825000007</v>
      </c>
      <c r="S96" s="95">
        <f t="shared" si="87"/>
        <v>400000</v>
      </c>
      <c r="T96" s="95">
        <f t="shared" si="87"/>
        <v>545282.41</v>
      </c>
      <c r="U96" s="95">
        <f t="shared" si="87"/>
        <v>2121.2487500000002</v>
      </c>
      <c r="V96" s="95">
        <f t="shared" si="87"/>
        <v>122102.58999999997</v>
      </c>
      <c r="W96" s="95">
        <f t="shared" si="87"/>
        <v>1069506.24875</v>
      </c>
      <c r="X96" s="95">
        <v>3467190.5337500004</v>
      </c>
      <c r="Y96" s="95">
        <f t="shared" si="87"/>
        <v>3467190.5337500004</v>
      </c>
      <c r="Z96" s="28">
        <f>SUM(Z84:Z95)</f>
        <v>980000</v>
      </c>
      <c r="AA96" s="28"/>
    </row>
    <row r="97" spans="1:27" ht="20.100000000000001" customHeight="1">
      <c r="A97" s="3"/>
      <c r="B97" s="96"/>
      <c r="C97" s="96"/>
      <c r="D97" s="7"/>
      <c r="E97" s="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27"/>
      <c r="AA97" s="27"/>
    </row>
    <row r="98" spans="1:27" ht="20.100000000000001" customHeight="1">
      <c r="A98" s="3"/>
      <c r="B98" s="267" t="s">
        <v>199</v>
      </c>
      <c r="C98" s="26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27"/>
      <c r="AA98" s="27"/>
    </row>
    <row r="99" spans="1:27" ht="20.100000000000001" customHeight="1">
      <c r="A99" s="3">
        <v>1</v>
      </c>
      <c r="B99" s="97" t="s">
        <v>492</v>
      </c>
      <c r="C99" s="98"/>
      <c r="D99" s="3" t="s">
        <v>201</v>
      </c>
      <c r="E99" s="3" t="s">
        <v>408</v>
      </c>
      <c r="F99" s="65">
        <f>39662.25</f>
        <v>39662.25</v>
      </c>
      <c r="G99" s="64"/>
      <c r="H99" s="62">
        <f>F99*300%</f>
        <v>118986.75</v>
      </c>
      <c r="I99" s="62">
        <f>F99*7.5%</f>
        <v>2974.6687499999998</v>
      </c>
      <c r="J99" s="62">
        <v>40122.19</v>
      </c>
      <c r="K99" s="62">
        <f>F99*50%</f>
        <v>19831.125</v>
      </c>
      <c r="L99" s="62">
        <f>F99*350%</f>
        <v>138817.875</v>
      </c>
      <c r="M99" s="62">
        <f>F99*100%</f>
        <v>39662.25</v>
      </c>
      <c r="N99" s="65"/>
      <c r="O99" s="62">
        <f>F99*10%</f>
        <v>3966.2250000000004</v>
      </c>
      <c r="P99" s="62">
        <v>20000</v>
      </c>
      <c r="Q99" s="65">
        <v>0</v>
      </c>
      <c r="R99" s="36">
        <f t="shared" ref="R99" si="88">SUM(F99:Q99)</f>
        <v>424023.33374999999</v>
      </c>
      <c r="S99" s="65"/>
      <c r="T99" s="65"/>
      <c r="U99" s="65"/>
      <c r="V99" s="36">
        <f>21618.09</f>
        <v>21618.09</v>
      </c>
      <c r="W99" s="36">
        <f>S99+T99+U99+V99</f>
        <v>21618.09</v>
      </c>
      <c r="X99" s="36">
        <v>402405.24374999997</v>
      </c>
      <c r="Y99" s="36">
        <f t="shared" ref="Y99" si="89">R99-W99</f>
        <v>402405.24374999997</v>
      </c>
      <c r="Z99" s="27">
        <f>100000</f>
        <v>100000</v>
      </c>
      <c r="AA99" s="27"/>
    </row>
    <row r="100" spans="1:27" ht="20.100000000000001" customHeight="1">
      <c r="A100" s="3">
        <v>2</v>
      </c>
      <c r="B100" s="269" t="s">
        <v>202</v>
      </c>
      <c r="C100" s="270"/>
      <c r="D100" s="20" t="s">
        <v>493</v>
      </c>
      <c r="E100" s="29" t="s">
        <v>395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>
        <v>100000</v>
      </c>
      <c r="O100" s="26">
        <f>F100*10%</f>
        <v>2585.41</v>
      </c>
      <c r="P100" s="26">
        <v>20000</v>
      </c>
      <c r="Q100" s="26"/>
      <c r="R100" s="36">
        <f>SUM(F100:Q100)</f>
        <v>357211.36749999999</v>
      </c>
      <c r="S100" s="24"/>
      <c r="T100" s="24"/>
      <c r="U100" s="24">
        <f>646.35</f>
        <v>646.35</v>
      </c>
      <c r="V100" s="36">
        <f t="shared" si="12"/>
        <v>7709.76</v>
      </c>
      <c r="W100" s="36">
        <f>SUM(S100:V100)</f>
        <v>8356.11</v>
      </c>
      <c r="X100" s="36">
        <v>348855.25750000001</v>
      </c>
      <c r="Y100" s="36">
        <f>R100-W100</f>
        <v>348855.25750000001</v>
      </c>
      <c r="Z100" s="27">
        <v>80000</v>
      </c>
      <c r="AA100" s="27"/>
    </row>
    <row r="101" spans="1:27" ht="20.100000000000001" customHeight="1">
      <c r="A101" s="3">
        <v>3</v>
      </c>
      <c r="B101" s="257" t="s">
        <v>206</v>
      </c>
      <c r="C101" s="258"/>
      <c r="D101" s="33" t="s">
        <v>207</v>
      </c>
      <c r="E101" s="66" t="s">
        <v>103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>
        <f t="shared" ref="N101" si="90">100000</f>
        <v>100000</v>
      </c>
      <c r="O101" s="62">
        <f>F101*10%</f>
        <v>1828.164</v>
      </c>
      <c r="P101" s="62">
        <v>10000</v>
      </c>
      <c r="Q101" s="62"/>
      <c r="R101" s="36">
        <f>SUM(F101:Q101)</f>
        <v>277734.04699999996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269364.53699999995</v>
      </c>
      <c r="Z101" s="27">
        <v>50000</v>
      </c>
      <c r="AA101" s="27"/>
    </row>
    <row r="102" spans="1:27" ht="20.100000000000001" customHeight="1">
      <c r="A102" s="3">
        <v>4</v>
      </c>
      <c r="B102" s="97" t="s">
        <v>86</v>
      </c>
      <c r="C102" s="98"/>
      <c r="D102" s="33" t="s">
        <v>207</v>
      </c>
      <c r="E102" s="66" t="s">
        <v>95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>
        <v>100000</v>
      </c>
      <c r="O102" s="26">
        <f>F102*10%</f>
        <v>1778.4</v>
      </c>
      <c r="P102" s="26">
        <v>10000</v>
      </c>
      <c r="Q102" s="26"/>
      <c r="R102" s="26">
        <f>SUM(F102:Q102)</f>
        <v>273168.2</v>
      </c>
      <c r="S102" s="26">
        <f>30000</f>
        <v>30000</v>
      </c>
      <c r="T102" s="26"/>
      <c r="U102" s="26">
        <f>'[5]Jan 2021'!$H$55</f>
        <v>444.6</v>
      </c>
      <c r="V102" s="26">
        <v>3369.51</v>
      </c>
      <c r="W102" s="26">
        <f t="shared" ref="W102" si="91">SUM(S102:V102)</f>
        <v>33814.11</v>
      </c>
      <c r="X102" s="26">
        <v>239354.09000000003</v>
      </c>
      <c r="Y102" s="26">
        <f>R102-W102</f>
        <v>239354.09000000003</v>
      </c>
      <c r="Z102" s="27">
        <v>50000</v>
      </c>
      <c r="AA102" s="27"/>
    </row>
    <row r="103" spans="1:27" ht="20.100000000000001" customHeight="1">
      <c r="A103" s="33"/>
      <c r="B103" s="267" t="s">
        <v>34</v>
      </c>
      <c r="C103" s="267"/>
      <c r="D103" s="7">
        <v>4</v>
      </c>
      <c r="E103" s="91"/>
      <c r="F103" s="92">
        <f>SUM(F99:F102)</f>
        <v>101581.98999999999</v>
      </c>
      <c r="G103" s="92"/>
      <c r="H103" s="92">
        <f t="shared" ref="H103:Y103" si="92">SUM(H99:H102)</f>
        <v>304745.96999999997</v>
      </c>
      <c r="I103" s="92">
        <f t="shared" si="92"/>
        <v>7618.6492499999995</v>
      </c>
      <c r="J103" s="92">
        <f t="shared" si="92"/>
        <v>40122.19</v>
      </c>
      <c r="K103" s="92">
        <f t="shared" si="92"/>
        <v>50790.994999999995</v>
      </c>
      <c r="L103" s="92">
        <f t="shared" si="92"/>
        <v>355536.96499999997</v>
      </c>
      <c r="M103" s="92">
        <f t="shared" si="92"/>
        <v>101581.98999999999</v>
      </c>
      <c r="N103" s="92">
        <f t="shared" si="92"/>
        <v>300000</v>
      </c>
      <c r="O103" s="92">
        <f t="shared" si="92"/>
        <v>10158.199000000001</v>
      </c>
      <c r="P103" s="92">
        <f t="shared" si="92"/>
        <v>60000</v>
      </c>
      <c r="Q103" s="92">
        <f t="shared" si="92"/>
        <v>0</v>
      </c>
      <c r="R103" s="92">
        <f t="shared" si="92"/>
        <v>1332136.9482499999</v>
      </c>
      <c r="S103" s="92">
        <f t="shared" si="92"/>
        <v>35000</v>
      </c>
      <c r="T103" s="92">
        <f t="shared" si="92"/>
        <v>0</v>
      </c>
      <c r="U103" s="92">
        <f t="shared" si="92"/>
        <v>1090.95</v>
      </c>
      <c r="V103" s="92">
        <f t="shared" si="92"/>
        <v>36066.870000000003</v>
      </c>
      <c r="W103" s="92">
        <f t="shared" si="92"/>
        <v>72157.820000000007</v>
      </c>
      <c r="X103" s="92">
        <v>1259979.1282500001</v>
      </c>
      <c r="Y103" s="92">
        <f t="shared" si="92"/>
        <v>1259979.1282500001</v>
      </c>
      <c r="Z103" s="28">
        <f>SUM(Z99:Z102)</f>
        <v>280000</v>
      </c>
      <c r="AA103" s="28"/>
    </row>
    <row r="104" spans="1:27" ht="20.100000000000001" customHeight="1">
      <c r="A104" s="33"/>
      <c r="B104" s="96"/>
      <c r="C104" s="96"/>
      <c r="D104" s="7"/>
      <c r="E104" s="9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67" t="s">
        <v>209</v>
      </c>
      <c r="C105" s="267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57" t="s">
        <v>210</v>
      </c>
      <c r="C106" s="258"/>
      <c r="D106" s="61" t="s">
        <v>211</v>
      </c>
      <c r="E106" s="66" t="s">
        <v>118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100000</f>
        <v>100000</v>
      </c>
      <c r="AA106" s="27"/>
    </row>
    <row r="107" spans="1:27" ht="20.100000000000001" customHeight="1">
      <c r="A107" s="33">
        <v>2</v>
      </c>
      <c r="B107" s="311" t="s">
        <v>212</v>
      </c>
      <c r="C107" s="312"/>
      <c r="D107" s="33" t="s">
        <v>213</v>
      </c>
      <c r="E107" s="3" t="s">
        <v>54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93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'[5]Jan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v>80000</v>
      </c>
      <c r="AA107" s="27"/>
    </row>
    <row r="108" spans="1:27" ht="20.100000000000001" customHeight="1">
      <c r="A108" s="33">
        <v>3</v>
      </c>
      <c r="B108" s="257" t="s">
        <v>214</v>
      </c>
      <c r="C108" s="258"/>
      <c r="D108" s="33" t="s">
        <v>215</v>
      </c>
      <c r="E108" s="3" t="s">
        <v>73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93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'[5]Jan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v>80000</v>
      </c>
      <c r="AA108" s="27"/>
    </row>
    <row r="109" spans="1:27" ht="20.100000000000001" customHeight="1">
      <c r="A109" s="33">
        <v>4</v>
      </c>
      <c r="B109" s="269" t="s">
        <v>216</v>
      </c>
      <c r="C109" s="270"/>
      <c r="D109" s="33" t="s">
        <v>215</v>
      </c>
      <c r="E109" s="29" t="s">
        <v>98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93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241207.97049999997</v>
      </c>
      <c r="Y109" s="36">
        <f>R109-W109</f>
        <v>241207.97049999997</v>
      </c>
      <c r="Z109" s="27">
        <v>80000</v>
      </c>
      <c r="AA109" s="27"/>
    </row>
    <row r="110" spans="1:27" ht="20.100000000000001" customHeight="1">
      <c r="A110" s="33">
        <v>5</v>
      </c>
      <c r="B110" s="135" t="s">
        <v>219</v>
      </c>
      <c r="C110" s="136"/>
      <c r="D110" s="1" t="s">
        <v>218</v>
      </c>
      <c r="E110" s="3" t="s">
        <v>455</v>
      </c>
      <c r="F110" s="62">
        <f>12732</f>
        <v>12732</v>
      </c>
      <c r="G110" s="62"/>
      <c r="H110" s="62">
        <f t="shared" ref="H110" si="94">F110*300%</f>
        <v>38196</v>
      </c>
      <c r="I110" s="62">
        <f t="shared" ref="I110" si="95">F110*7.5%</f>
        <v>954.9</v>
      </c>
      <c r="J110" s="62"/>
      <c r="K110" s="62">
        <f t="shared" ref="K110" si="96">F110*50%</f>
        <v>6366</v>
      </c>
      <c r="L110" s="62">
        <f t="shared" ref="L110" si="97">F110*350%</f>
        <v>44562</v>
      </c>
      <c r="M110" s="62">
        <f t="shared" ref="M110" si="98">F110*100%</f>
        <v>12732</v>
      </c>
      <c r="N110" s="62">
        <f t="shared" si="93"/>
        <v>100000</v>
      </c>
      <c r="O110" s="62">
        <f t="shared" ref="O110" si="99">F110*10%</f>
        <v>1273.2</v>
      </c>
      <c r="P110" s="62">
        <v>10000</v>
      </c>
      <c r="Q110" s="62"/>
      <c r="R110" s="36">
        <f t="shared" ref="R110" si="100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01">SUM(S110:V110)</f>
        <v>26235.19</v>
      </c>
      <c r="X110" s="36">
        <v>200580.91</v>
      </c>
      <c r="Y110" s="36">
        <f t="shared" ref="Y110" si="102">R110-W110</f>
        <v>200580.91</v>
      </c>
      <c r="Z110" s="27">
        <v>50000</v>
      </c>
      <c r="AA110" s="27"/>
    </row>
    <row r="111" spans="1:27" ht="20.100000000000001" customHeight="1">
      <c r="A111" s="33"/>
      <c r="B111" s="267" t="s">
        <v>34</v>
      </c>
      <c r="C111" s="267"/>
      <c r="D111" s="3">
        <v>5</v>
      </c>
      <c r="E111" s="33"/>
      <c r="F111" s="93">
        <f>SUM(F106:F110)</f>
        <v>176359.7</v>
      </c>
      <c r="G111" s="93"/>
      <c r="H111" s="93">
        <f t="shared" ref="H111:Y111" si="103">SUM(H106:H110)</f>
        <v>529079.1</v>
      </c>
      <c r="I111" s="93">
        <f t="shared" si="103"/>
        <v>13226.977499999999</v>
      </c>
      <c r="J111" s="93">
        <f t="shared" si="103"/>
        <v>120366.57</v>
      </c>
      <c r="K111" s="93">
        <f t="shared" si="103"/>
        <v>88179.85</v>
      </c>
      <c r="L111" s="93">
        <f t="shared" si="103"/>
        <v>617258.94999999995</v>
      </c>
      <c r="M111" s="93">
        <f t="shared" si="103"/>
        <v>176359.7</v>
      </c>
      <c r="N111" s="93">
        <f t="shared" si="103"/>
        <v>500000</v>
      </c>
      <c r="O111" s="93">
        <f t="shared" si="103"/>
        <v>17635.97</v>
      </c>
      <c r="P111" s="93">
        <f t="shared" si="103"/>
        <v>80000</v>
      </c>
      <c r="Q111" s="93">
        <f t="shared" si="103"/>
        <v>0</v>
      </c>
      <c r="R111" s="93">
        <f t="shared" si="103"/>
        <v>2318466.8174999999</v>
      </c>
      <c r="S111" s="93">
        <f t="shared" si="103"/>
        <v>245000</v>
      </c>
      <c r="T111" s="93">
        <f t="shared" si="103"/>
        <v>174333.33000000002</v>
      </c>
      <c r="U111" s="93">
        <f t="shared" si="103"/>
        <v>1496.17</v>
      </c>
      <c r="V111" s="93">
        <f t="shared" si="103"/>
        <v>84979.669999999984</v>
      </c>
      <c r="W111" s="93">
        <f t="shared" si="103"/>
        <v>505809.17</v>
      </c>
      <c r="X111" s="93">
        <v>1812657.6475</v>
      </c>
      <c r="Y111" s="93">
        <f t="shared" si="103"/>
        <v>1812657.6475</v>
      </c>
      <c r="Z111" s="28">
        <f>SUM(Z106:Z110)</f>
        <v>390000</v>
      </c>
      <c r="AA111" s="28"/>
    </row>
    <row r="112" spans="1:27" ht="20.100000000000001" customHeight="1">
      <c r="A112" s="33"/>
      <c r="B112" s="96"/>
      <c r="C112" s="96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  <c r="AA112" s="27"/>
    </row>
    <row r="113" spans="1:27" ht="20.100000000000001" customHeight="1">
      <c r="A113" s="33"/>
      <c r="B113" s="267" t="s">
        <v>222</v>
      </c>
      <c r="C113" s="267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  <c r="Z113" s="27"/>
      <c r="AA113" s="27"/>
    </row>
    <row r="114" spans="1:27" ht="20.100000000000001" customHeight="1">
      <c r="A114" s="33">
        <v>1</v>
      </c>
      <c r="B114" s="264" t="s">
        <v>223</v>
      </c>
      <c r="C114" s="264"/>
      <c r="D114" s="61" t="s">
        <v>224</v>
      </c>
      <c r="E114" s="66" t="s">
        <v>43</v>
      </c>
      <c r="F114" s="62">
        <f>81740.02</f>
        <v>81740.02</v>
      </c>
      <c r="G114" s="62"/>
      <c r="H114" s="62">
        <f t="shared" ref="H114:H123" si="104">F114*300%</f>
        <v>245220.06</v>
      </c>
      <c r="I114" s="62">
        <f t="shared" ref="I114:I123" si="105">F114*7.5%</f>
        <v>6130.5015000000003</v>
      </c>
      <c r="J114" s="62">
        <f>80244.38</f>
        <v>80244.38</v>
      </c>
      <c r="K114" s="62">
        <f t="shared" ref="K114:K123" si="106">F114*50%</f>
        <v>40870.01</v>
      </c>
      <c r="L114" s="62">
        <f t="shared" ref="L114:L123" si="107">F114*350%</f>
        <v>286090.07</v>
      </c>
      <c r="M114" s="62">
        <f t="shared" ref="M114:M122" si="108">F114*100%</f>
        <v>81740.02</v>
      </c>
      <c r="N114" s="62"/>
      <c r="O114" s="62">
        <f t="shared" ref="O114:O122" si="109">F114*10%</f>
        <v>8174.0020000000004</v>
      </c>
      <c r="P114" s="62">
        <v>20000</v>
      </c>
      <c r="Q114" s="62">
        <v>100000</v>
      </c>
      <c r="R114" s="36">
        <f t="shared" ref="R114:R123" si="110">SUM(F114:Q114)</f>
        <v>950209.06350000005</v>
      </c>
      <c r="S114" s="36">
        <f>200000</f>
        <v>200000</v>
      </c>
      <c r="T114" s="36">
        <f>227777.78</f>
        <v>227777.78</v>
      </c>
      <c r="U114" s="36">
        <f>'[5]Jan 2021'!$H$21</f>
        <v>2043.5005000000001</v>
      </c>
      <c r="V114" s="62">
        <f>52776.63</f>
        <v>52776.63</v>
      </c>
      <c r="W114" s="36">
        <f t="shared" ref="W114:W122" si="111">SUM(S114:V114)</f>
        <v>482597.91050000006</v>
      </c>
      <c r="X114" s="36">
        <v>467611.15299999999</v>
      </c>
      <c r="Y114" s="36">
        <f t="shared" ref="Y114:Y123" si="112">R114-W114</f>
        <v>467611.15299999999</v>
      </c>
      <c r="Z114" s="27">
        <f>100000</f>
        <v>100000</v>
      </c>
      <c r="AA114" s="27"/>
    </row>
    <row r="115" spans="1:27" ht="20.100000000000001" customHeight="1">
      <c r="A115" s="33">
        <v>2</v>
      </c>
      <c r="B115" s="264" t="s">
        <v>225</v>
      </c>
      <c r="C115" s="264"/>
      <c r="D115" s="61" t="s">
        <v>226</v>
      </c>
      <c r="E115" s="66" t="s">
        <v>227</v>
      </c>
      <c r="F115" s="62">
        <f>42653.17</f>
        <v>42653.17</v>
      </c>
      <c r="G115" s="62"/>
      <c r="H115" s="62">
        <f t="shared" si="104"/>
        <v>127959.51</v>
      </c>
      <c r="I115" s="62">
        <f t="shared" si="105"/>
        <v>3198.9877499999998</v>
      </c>
      <c r="J115" s="62">
        <v>40122.19</v>
      </c>
      <c r="K115" s="62">
        <f t="shared" si="106"/>
        <v>21326.584999999999</v>
      </c>
      <c r="L115" s="62">
        <f t="shared" si="107"/>
        <v>149286.095</v>
      </c>
      <c r="M115" s="62">
        <f t="shared" si="108"/>
        <v>42653.17</v>
      </c>
      <c r="N115" s="62"/>
      <c r="O115" s="62">
        <f t="shared" si="109"/>
        <v>4265.317</v>
      </c>
      <c r="P115" s="62">
        <v>20000</v>
      </c>
      <c r="Q115" s="62">
        <f>100000</f>
        <v>100000</v>
      </c>
      <c r="R115" s="36">
        <f t="shared" si="110"/>
        <v>551465.02474999998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11"/>
        <v>121618.09</v>
      </c>
      <c r="X115" s="36">
        <v>429846.93475000001</v>
      </c>
      <c r="Y115" s="36">
        <f t="shared" si="112"/>
        <v>429846.93475000001</v>
      </c>
      <c r="Z115" s="27">
        <f t="shared" ref="Z115" si="113">100000</f>
        <v>100000</v>
      </c>
      <c r="AA115" s="27"/>
    </row>
    <row r="116" spans="1:27" ht="20.100000000000001" customHeight="1">
      <c r="A116" s="33">
        <v>3</v>
      </c>
      <c r="B116" s="264" t="s">
        <v>228</v>
      </c>
      <c r="C116" s="264"/>
      <c r="D116" s="61" t="s">
        <v>495</v>
      </c>
      <c r="E116" s="66" t="s">
        <v>54</v>
      </c>
      <c r="F116" s="26">
        <f>33507.5</f>
        <v>33507.5</v>
      </c>
      <c r="G116" s="62"/>
      <c r="H116" s="62">
        <f t="shared" si="104"/>
        <v>100522.5</v>
      </c>
      <c r="I116" s="62">
        <f t="shared" si="105"/>
        <v>2513.0625</v>
      </c>
      <c r="J116" s="62">
        <v>40122.19</v>
      </c>
      <c r="K116" s="62">
        <f t="shared" si="106"/>
        <v>16753.75</v>
      </c>
      <c r="L116" s="36">
        <f t="shared" si="107"/>
        <v>117276.25</v>
      </c>
      <c r="M116" s="62">
        <f t="shared" si="108"/>
        <v>33507.5</v>
      </c>
      <c r="N116" s="62"/>
      <c r="O116" s="62">
        <f t="shared" si="109"/>
        <v>3350.75</v>
      </c>
      <c r="P116" s="62">
        <v>20000</v>
      </c>
      <c r="Q116" s="62">
        <v>0</v>
      </c>
      <c r="R116" s="36">
        <f t="shared" si="110"/>
        <v>367553.5025</v>
      </c>
      <c r="S116" s="36">
        <f>70000</f>
        <v>70000</v>
      </c>
      <c r="T116" s="36">
        <f>129166.67</f>
        <v>129166.67</v>
      </c>
      <c r="U116" s="36">
        <f>'[5]Jan 2021'!$H$20</f>
        <v>837.6875</v>
      </c>
      <c r="V116" s="62">
        <v>15548.33</v>
      </c>
      <c r="W116" s="36">
        <f t="shared" si="111"/>
        <v>215552.68749999997</v>
      </c>
      <c r="X116" s="36">
        <v>152000.81500000003</v>
      </c>
      <c r="Y116" s="36">
        <f t="shared" si="112"/>
        <v>152000.81500000003</v>
      </c>
      <c r="Z116" s="27">
        <v>80000</v>
      </c>
      <c r="AA116" s="27"/>
    </row>
    <row r="117" spans="1:27" ht="20.100000000000001" customHeight="1">
      <c r="A117" s="33">
        <v>4</v>
      </c>
      <c r="B117" s="264" t="s">
        <v>59</v>
      </c>
      <c r="C117" s="264"/>
      <c r="D117" s="61" t="s">
        <v>496</v>
      </c>
      <c r="E117" s="66" t="s">
        <v>129</v>
      </c>
      <c r="F117" s="62">
        <f>32263.2</f>
        <v>32263.200000000001</v>
      </c>
      <c r="G117" s="62"/>
      <c r="H117" s="62">
        <f t="shared" si="104"/>
        <v>96789.6</v>
      </c>
      <c r="I117" s="62">
        <f t="shared" si="105"/>
        <v>2419.7399999999998</v>
      </c>
      <c r="J117" s="62">
        <f>40122.19</f>
        <v>40122.19</v>
      </c>
      <c r="K117" s="62">
        <f t="shared" si="106"/>
        <v>16131.6</v>
      </c>
      <c r="L117" s="36">
        <f t="shared" si="107"/>
        <v>112921.2</v>
      </c>
      <c r="M117" s="62">
        <f t="shared" si="108"/>
        <v>32263.200000000001</v>
      </c>
      <c r="N117" s="62"/>
      <c r="O117" s="62">
        <f t="shared" si="109"/>
        <v>3226.32</v>
      </c>
      <c r="P117" s="62">
        <v>20000</v>
      </c>
      <c r="Q117" s="62">
        <v>0</v>
      </c>
      <c r="R117" s="36">
        <f t="shared" si="110"/>
        <v>356137.05000000005</v>
      </c>
      <c r="S117" s="36">
        <f>50000</f>
        <v>50000</v>
      </c>
      <c r="T117" s="36">
        <f>90000</f>
        <v>90000</v>
      </c>
      <c r="U117" s="36">
        <f>'[5]Jan 2021'!$H$29</f>
        <v>806.58</v>
      </c>
      <c r="V117" s="62">
        <f>15548.33</f>
        <v>15548.33</v>
      </c>
      <c r="W117" s="36">
        <f t="shared" si="111"/>
        <v>156354.90999999997</v>
      </c>
      <c r="X117" s="36">
        <v>199782.14000000007</v>
      </c>
      <c r="Y117" s="36">
        <f t="shared" si="112"/>
        <v>199782.14000000007</v>
      </c>
      <c r="Z117" s="27">
        <v>80000</v>
      </c>
      <c r="AA117" s="27"/>
    </row>
    <row r="118" spans="1:27" ht="20.100000000000001" customHeight="1">
      <c r="A118" s="33">
        <v>5</v>
      </c>
      <c r="B118" s="268" t="s">
        <v>230</v>
      </c>
      <c r="C118" s="268"/>
      <c r="D118" s="33" t="s">
        <v>497</v>
      </c>
      <c r="E118" s="66" t="s">
        <v>129</v>
      </c>
      <c r="F118" s="62">
        <f>32263.2</f>
        <v>32263.200000000001</v>
      </c>
      <c r="G118" s="62"/>
      <c r="H118" s="62">
        <f t="shared" si="104"/>
        <v>96789.6</v>
      </c>
      <c r="I118" s="62">
        <f t="shared" si="105"/>
        <v>2419.7399999999998</v>
      </c>
      <c r="J118" s="62">
        <f>40122.19</f>
        <v>40122.19</v>
      </c>
      <c r="K118" s="62">
        <f t="shared" si="106"/>
        <v>16131.6</v>
      </c>
      <c r="L118" s="36">
        <f t="shared" si="107"/>
        <v>112921.2</v>
      </c>
      <c r="M118" s="62">
        <f t="shared" si="108"/>
        <v>32263.200000000001</v>
      </c>
      <c r="N118" s="62"/>
      <c r="O118" s="62">
        <f t="shared" si="109"/>
        <v>3226.32</v>
      </c>
      <c r="P118" s="62">
        <v>20000</v>
      </c>
      <c r="Q118" s="62">
        <f>100000</f>
        <v>100000</v>
      </c>
      <c r="R118" s="36">
        <f t="shared" si="110"/>
        <v>456137.05000000005</v>
      </c>
      <c r="S118" s="36">
        <f>100000</f>
        <v>100000</v>
      </c>
      <c r="T118" s="36"/>
      <c r="U118" s="36">
        <f>'[5]Jan 2021'!$H$22</f>
        <v>806.58</v>
      </c>
      <c r="V118" s="36">
        <f>15548.33</f>
        <v>15548.33</v>
      </c>
      <c r="W118" s="36">
        <f t="shared" si="111"/>
        <v>116354.91</v>
      </c>
      <c r="X118" s="36">
        <v>339782.14</v>
      </c>
      <c r="Y118" s="36">
        <f t="shared" si="112"/>
        <v>339782.14</v>
      </c>
      <c r="Z118" s="27">
        <v>80000</v>
      </c>
      <c r="AA118" s="27"/>
    </row>
    <row r="119" spans="1:27" ht="20.100000000000001" customHeight="1">
      <c r="A119" s="33">
        <v>6</v>
      </c>
      <c r="B119" s="313" t="s">
        <v>233</v>
      </c>
      <c r="C119" s="313"/>
      <c r="D119" s="61" t="s">
        <v>498</v>
      </c>
      <c r="E119" s="66" t="s">
        <v>98</v>
      </c>
      <c r="F119" s="62">
        <f>24741.26</f>
        <v>24741.26</v>
      </c>
      <c r="G119" s="62"/>
      <c r="H119" s="62">
        <f t="shared" si="104"/>
        <v>74223.78</v>
      </c>
      <c r="I119" s="62">
        <f t="shared" si="105"/>
        <v>1855.5944999999997</v>
      </c>
      <c r="J119" s="62">
        <v>0</v>
      </c>
      <c r="K119" s="62">
        <f t="shared" si="106"/>
        <v>12370.63</v>
      </c>
      <c r="L119" s="36">
        <f t="shared" si="107"/>
        <v>86594.409999999989</v>
      </c>
      <c r="M119" s="62">
        <f t="shared" si="108"/>
        <v>24741.26</v>
      </c>
      <c r="N119" s="62"/>
      <c r="O119" s="62">
        <f t="shared" si="109"/>
        <v>2474.1260000000002</v>
      </c>
      <c r="P119" s="62">
        <v>15000</v>
      </c>
      <c r="Q119" s="62">
        <v>0</v>
      </c>
      <c r="R119" s="36">
        <f t="shared" si="110"/>
        <v>242001.06049999999</v>
      </c>
      <c r="S119" s="36">
        <f>30000</f>
        <v>30000</v>
      </c>
      <c r="T119" s="36">
        <f>50000</f>
        <v>50000</v>
      </c>
      <c r="U119" s="36"/>
      <c r="V119" s="62">
        <f>7709.76</f>
        <v>7709.76</v>
      </c>
      <c r="W119" s="36">
        <f t="shared" si="111"/>
        <v>87709.759999999995</v>
      </c>
      <c r="X119" s="36">
        <v>154291.30050000001</v>
      </c>
      <c r="Y119" s="36">
        <f t="shared" si="112"/>
        <v>154291.30050000001</v>
      </c>
      <c r="Z119" s="27">
        <v>80000</v>
      </c>
      <c r="AA119" s="27"/>
    </row>
    <row r="120" spans="1:27" ht="20.100000000000001" customHeight="1">
      <c r="A120" s="33">
        <v>7</v>
      </c>
      <c r="B120" s="264" t="s">
        <v>235</v>
      </c>
      <c r="C120" s="264"/>
      <c r="D120" s="61" t="s">
        <v>499</v>
      </c>
      <c r="E120" s="66" t="s">
        <v>79</v>
      </c>
      <c r="F120" s="62">
        <f>23891.12</f>
        <v>23891.119999999999</v>
      </c>
      <c r="G120" s="62"/>
      <c r="H120" s="62">
        <f t="shared" si="104"/>
        <v>71673.36</v>
      </c>
      <c r="I120" s="62">
        <f t="shared" si="105"/>
        <v>1791.8339999999998</v>
      </c>
      <c r="J120" s="62"/>
      <c r="K120" s="62">
        <f t="shared" si="106"/>
        <v>11945.56</v>
      </c>
      <c r="L120" s="36">
        <f t="shared" si="107"/>
        <v>83618.92</v>
      </c>
      <c r="M120" s="62">
        <f t="shared" si="108"/>
        <v>23891.119999999999</v>
      </c>
      <c r="N120" s="62"/>
      <c r="O120" s="62">
        <f t="shared" si="109"/>
        <v>2389.1120000000001</v>
      </c>
      <c r="P120" s="62">
        <v>15000</v>
      </c>
      <c r="Q120" s="62">
        <f>30000</f>
        <v>30000</v>
      </c>
      <c r="R120" s="36">
        <f t="shared" si="110"/>
        <v>264201.02599999995</v>
      </c>
      <c r="S120" s="36">
        <f>50000+20000</f>
        <v>70000</v>
      </c>
      <c r="T120" s="36">
        <f>45833.33</f>
        <v>45833.33</v>
      </c>
      <c r="U120" s="36">
        <f>'[5]Jan 2021'!$H$51</f>
        <v>597.27800000000002</v>
      </c>
      <c r="V120" s="62">
        <f>7709.76</f>
        <v>7709.76</v>
      </c>
      <c r="W120" s="36">
        <f t="shared" si="111"/>
        <v>124140.368</v>
      </c>
      <c r="X120" s="36">
        <v>140060.65799999994</v>
      </c>
      <c r="Y120" s="36">
        <f t="shared" si="112"/>
        <v>140060.65799999994</v>
      </c>
      <c r="Z120" s="27">
        <v>80000</v>
      </c>
      <c r="AA120" s="27"/>
    </row>
    <row r="121" spans="1:27" ht="20.100000000000001" customHeight="1">
      <c r="A121" s="33">
        <v>8</v>
      </c>
      <c r="B121" s="264" t="s">
        <v>237</v>
      </c>
      <c r="C121" s="264"/>
      <c r="D121" s="61" t="s">
        <v>499</v>
      </c>
      <c r="E121" s="66" t="s">
        <v>79</v>
      </c>
      <c r="F121" s="62">
        <f>23891.12</f>
        <v>23891.119999999999</v>
      </c>
      <c r="G121" s="62"/>
      <c r="H121" s="62">
        <f t="shared" si="104"/>
        <v>71673.36</v>
      </c>
      <c r="I121" s="62">
        <f t="shared" si="105"/>
        <v>1791.8339999999998</v>
      </c>
      <c r="J121" s="62"/>
      <c r="K121" s="62">
        <f t="shared" si="106"/>
        <v>11945.56</v>
      </c>
      <c r="L121" s="36">
        <f t="shared" si="107"/>
        <v>83618.92</v>
      </c>
      <c r="M121" s="62">
        <f t="shared" si="108"/>
        <v>23891.119999999999</v>
      </c>
      <c r="N121" s="62"/>
      <c r="O121" s="62">
        <f t="shared" si="109"/>
        <v>2389.1120000000001</v>
      </c>
      <c r="P121" s="62">
        <v>15000</v>
      </c>
      <c r="Q121" s="62"/>
      <c r="R121" s="36">
        <f t="shared" si="110"/>
        <v>234201.02599999998</v>
      </c>
      <c r="S121" s="36">
        <f>30000+20000</f>
        <v>50000</v>
      </c>
      <c r="T121" s="36">
        <f>65555.56</f>
        <v>65555.56</v>
      </c>
      <c r="U121" s="36">
        <f>'[5]Jan 2021'!$H$25</f>
        <v>597.27800000000002</v>
      </c>
      <c r="V121" s="62">
        <f>7709.76</f>
        <v>7709.76</v>
      </c>
      <c r="W121" s="36">
        <f t="shared" si="111"/>
        <v>123862.598</v>
      </c>
      <c r="X121" s="36">
        <v>110338.42799999999</v>
      </c>
      <c r="Y121" s="36">
        <f t="shared" si="112"/>
        <v>110338.42799999999</v>
      </c>
      <c r="Z121" s="27">
        <v>80000</v>
      </c>
      <c r="AA121" s="27"/>
    </row>
    <row r="122" spans="1:27" ht="20.100000000000001" customHeight="1">
      <c r="A122" s="33">
        <v>9</v>
      </c>
      <c r="B122" s="257" t="s">
        <v>104</v>
      </c>
      <c r="C122" s="258"/>
      <c r="D122" s="61" t="s">
        <v>105</v>
      </c>
      <c r="E122" s="66" t="s">
        <v>111</v>
      </c>
      <c r="F122" s="67">
        <f>13112.16</f>
        <v>13112.16</v>
      </c>
      <c r="G122" s="62"/>
      <c r="H122" s="62">
        <f t="shared" si="104"/>
        <v>39336.479999999996</v>
      </c>
      <c r="I122" s="62">
        <f t="shared" si="105"/>
        <v>983.41199999999992</v>
      </c>
      <c r="J122" s="62"/>
      <c r="K122" s="62">
        <f t="shared" si="106"/>
        <v>6556.08</v>
      </c>
      <c r="L122" s="36">
        <f t="shared" si="107"/>
        <v>45892.56</v>
      </c>
      <c r="M122" s="62">
        <f t="shared" si="108"/>
        <v>13112.16</v>
      </c>
      <c r="N122" s="62"/>
      <c r="O122" s="62">
        <f t="shared" si="109"/>
        <v>1311.2160000000001</v>
      </c>
      <c r="P122" s="62">
        <v>10000</v>
      </c>
      <c r="Q122" s="62"/>
      <c r="R122" s="36">
        <f t="shared" si="110"/>
        <v>130304.068</v>
      </c>
      <c r="S122" s="36">
        <f>10000</f>
        <v>10000</v>
      </c>
      <c r="T122" s="36"/>
      <c r="U122" s="36"/>
      <c r="V122" s="62">
        <v>1484.37</v>
      </c>
      <c r="W122" s="36">
        <f t="shared" si="111"/>
        <v>11484.369999999999</v>
      </c>
      <c r="X122" s="36">
        <v>118819.698</v>
      </c>
      <c r="Y122" s="36">
        <f t="shared" si="112"/>
        <v>118819.698</v>
      </c>
      <c r="Z122" s="27">
        <v>50000</v>
      </c>
      <c r="AA122" s="27"/>
    </row>
    <row r="123" spans="1:27" ht="20.100000000000001" customHeight="1">
      <c r="A123" s="33">
        <v>10</v>
      </c>
      <c r="B123" s="97" t="s">
        <v>107</v>
      </c>
      <c r="C123" s="98"/>
      <c r="D123" s="61" t="s">
        <v>105</v>
      </c>
      <c r="E123" s="66" t="s">
        <v>500</v>
      </c>
      <c r="F123" s="67">
        <f>12732</f>
        <v>12732</v>
      </c>
      <c r="G123" s="62"/>
      <c r="H123" s="62">
        <f t="shared" si="104"/>
        <v>38196</v>
      </c>
      <c r="I123" s="62">
        <f t="shared" si="105"/>
        <v>954.9</v>
      </c>
      <c r="J123" s="62"/>
      <c r="K123" s="62">
        <f t="shared" si="106"/>
        <v>6366</v>
      </c>
      <c r="L123" s="36">
        <f t="shared" si="107"/>
        <v>44562</v>
      </c>
      <c r="M123" s="62">
        <f>F123*100%</f>
        <v>12732</v>
      </c>
      <c r="N123" s="42"/>
      <c r="O123" s="62">
        <f>F123*10%</f>
        <v>1273.2</v>
      </c>
      <c r="P123" s="62">
        <v>10000</v>
      </c>
      <c r="R123" s="62">
        <f t="shared" si="110"/>
        <v>126816.09999999999</v>
      </c>
      <c r="S123" s="36">
        <f>20000</f>
        <v>20000</v>
      </c>
      <c r="T123" s="36"/>
      <c r="U123" s="36"/>
      <c r="V123" s="62">
        <f>(1484.37)</f>
        <v>1484.37</v>
      </c>
      <c r="W123" s="107">
        <f>S123+T123+U123+V123</f>
        <v>21484.37</v>
      </c>
      <c r="X123" s="36">
        <v>105331.73</v>
      </c>
      <c r="Y123" s="36">
        <f t="shared" si="112"/>
        <v>105331.73</v>
      </c>
      <c r="Z123" s="27">
        <v>50000</v>
      </c>
      <c r="AA123" s="27"/>
    </row>
    <row r="124" spans="1:27" ht="20.100000000000001" customHeight="1">
      <c r="A124" s="33"/>
      <c r="B124" s="267" t="s">
        <v>34</v>
      </c>
      <c r="C124" s="267"/>
      <c r="D124" s="91" t="s">
        <v>501</v>
      </c>
      <c r="E124" s="66"/>
      <c r="F124" s="39">
        <f>SUM(F114:F123)</f>
        <v>320794.75</v>
      </c>
      <c r="G124" s="39"/>
      <c r="H124" s="39">
        <f t="shared" ref="H124:Y124" si="114">SUM(H114:H123)</f>
        <v>962384.25</v>
      </c>
      <c r="I124" s="39">
        <f t="shared" si="114"/>
        <v>24059.606250000001</v>
      </c>
      <c r="J124" s="39">
        <f t="shared" si="114"/>
        <v>240733.14</v>
      </c>
      <c r="K124" s="39">
        <f t="shared" si="114"/>
        <v>160397.375</v>
      </c>
      <c r="L124" s="63">
        <f t="shared" si="114"/>
        <v>1122781.625</v>
      </c>
      <c r="M124" s="39">
        <f t="shared" si="114"/>
        <v>320794.75</v>
      </c>
      <c r="N124" s="95">
        <f t="shared" si="114"/>
        <v>0</v>
      </c>
      <c r="O124" s="39">
        <f t="shared" si="114"/>
        <v>32079.475000000002</v>
      </c>
      <c r="P124" s="39">
        <f t="shared" si="114"/>
        <v>165000</v>
      </c>
      <c r="Q124" s="39">
        <f t="shared" si="114"/>
        <v>330000</v>
      </c>
      <c r="R124" s="63">
        <f t="shared" si="114"/>
        <v>3679024.9712500004</v>
      </c>
      <c r="S124" s="63">
        <f t="shared" si="114"/>
        <v>700000</v>
      </c>
      <c r="T124" s="63">
        <f t="shared" si="114"/>
        <v>608333.34000000008</v>
      </c>
      <c r="U124" s="63">
        <f t="shared" si="114"/>
        <v>5688.9040000000005</v>
      </c>
      <c r="V124" s="39">
        <f t="shared" si="114"/>
        <v>147137.73000000001</v>
      </c>
      <c r="W124" s="63">
        <f t="shared" si="114"/>
        <v>1461159.9740000002</v>
      </c>
      <c r="X124" s="63">
        <v>2217864.99725</v>
      </c>
      <c r="Y124" s="63">
        <f t="shared" si="114"/>
        <v>2217864.99725</v>
      </c>
      <c r="Z124" s="134">
        <f>SUM(Z114:Z123)</f>
        <v>780000</v>
      </c>
      <c r="AA124" s="134"/>
    </row>
    <row r="125" spans="1:27" ht="20.100000000000001" customHeight="1">
      <c r="A125" s="33"/>
      <c r="B125" s="96"/>
      <c r="C125" s="96"/>
      <c r="D125" s="91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  <c r="Z125" s="27"/>
      <c r="AA125" s="27"/>
    </row>
    <row r="126" spans="1:27" ht="20.100000000000001" customHeight="1">
      <c r="A126" s="33"/>
      <c r="B126" s="267" t="s">
        <v>242</v>
      </c>
      <c r="C126" s="267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  <c r="Z126" s="27"/>
      <c r="AA126" s="27"/>
    </row>
    <row r="127" spans="1:27" ht="20.100000000000001" customHeight="1">
      <c r="A127" s="33">
        <v>1</v>
      </c>
      <c r="B127" s="264" t="s">
        <v>243</v>
      </c>
      <c r="C127" s="264"/>
      <c r="D127" s="61" t="s">
        <v>502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/>
      <c r="O127" s="62">
        <f>F127*10%</f>
        <v>8174.0020000000004</v>
      </c>
      <c r="P127" s="62">
        <v>20000</v>
      </c>
      <c r="Q127" s="62">
        <v>0</v>
      </c>
      <c r="R127" s="36">
        <f>SUM(F127:Q127)</f>
        <v>850209.06350000005</v>
      </c>
      <c r="S127" s="36">
        <v>50000</v>
      </c>
      <c r="T127" s="36">
        <f>275000</f>
        <v>275000</v>
      </c>
      <c r="U127" s="36">
        <f>2043.5</f>
        <v>2043.5</v>
      </c>
      <c r="V127" s="62">
        <v>52776.63</v>
      </c>
      <c r="W127" s="36">
        <f>SUM(S127:V127)</f>
        <v>379820.13</v>
      </c>
      <c r="X127" s="36">
        <v>470388.93350000004</v>
      </c>
      <c r="Y127" s="36">
        <f t="shared" ref="Y127:Y178" si="115">R127-W127</f>
        <v>470388.93350000004</v>
      </c>
      <c r="Z127" s="27">
        <f t="shared" ref="Z127:Z129" si="116">100000</f>
        <v>100000</v>
      </c>
      <c r="AA127" s="27"/>
    </row>
    <row r="128" spans="1:27" ht="20.100000000000001" customHeight="1">
      <c r="A128" s="33">
        <v>2</v>
      </c>
      <c r="B128" s="264" t="s">
        <v>245</v>
      </c>
      <c r="C128" s="264"/>
      <c r="D128" s="61" t="s">
        <v>503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f>100000</f>
        <v>100000</v>
      </c>
      <c r="T128" s="36">
        <f>159722.22</f>
        <v>159722.22</v>
      </c>
      <c r="U128" s="36"/>
      <c r="V128" s="62">
        <f>52776.63</f>
        <v>52776.63</v>
      </c>
      <c r="W128" s="36">
        <f t="shared" ref="W128:W178" si="117">SUM(S128:V128)</f>
        <v>312498.84999999998</v>
      </c>
      <c r="X128" s="36">
        <v>697432.43350000004</v>
      </c>
      <c r="Y128" s="36">
        <f t="shared" si="115"/>
        <v>537710.21350000007</v>
      </c>
      <c r="Z128" s="27">
        <f t="shared" si="116"/>
        <v>100000</v>
      </c>
      <c r="AA128" s="27"/>
    </row>
    <row r="129" spans="1:27" ht="20.100000000000001" customHeight="1">
      <c r="A129" s="33">
        <v>3</v>
      </c>
      <c r="B129" s="313" t="s">
        <v>247</v>
      </c>
      <c r="C129" s="313"/>
      <c r="D129" s="61" t="s">
        <v>504</v>
      </c>
      <c r="E129" s="66" t="s">
        <v>227</v>
      </c>
      <c r="F129" s="62">
        <f>42653.17</f>
        <v>42653.17</v>
      </c>
      <c r="G129" s="62"/>
      <c r="H129" s="62">
        <f t="shared" ref="H129:H178" si="118">F129*300%</f>
        <v>127959.51</v>
      </c>
      <c r="I129" s="62">
        <f t="shared" ref="I129:I178" si="119">F129*7.5%</f>
        <v>3198.9877499999998</v>
      </c>
      <c r="J129" s="62">
        <v>40122.19</v>
      </c>
      <c r="K129" s="62">
        <f t="shared" ref="K129:K178" si="120">F129*50%</f>
        <v>21326.584999999999</v>
      </c>
      <c r="L129" s="62">
        <f t="shared" ref="L129:L178" si="121">F129*350%</f>
        <v>149286.095</v>
      </c>
      <c r="M129" s="62">
        <f t="shared" ref="M129:M149" si="122">F129*100%</f>
        <v>42653.17</v>
      </c>
      <c r="N129" s="62"/>
      <c r="O129" s="62">
        <f t="shared" ref="O129:O149" si="123">F129*10%</f>
        <v>4265.317</v>
      </c>
      <c r="P129" s="62">
        <v>20000</v>
      </c>
      <c r="Q129" s="62">
        <v>0</v>
      </c>
      <c r="R129" s="36">
        <f t="shared" ref="R129:R178" si="124">SUM(F129:Q129)</f>
        <v>451465.02474999998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17"/>
        <v>214673.63</v>
      </c>
      <c r="X129" s="36">
        <v>236791.39474999998</v>
      </c>
      <c r="Y129" s="36">
        <f t="shared" si="115"/>
        <v>236791.39474999998</v>
      </c>
      <c r="Z129" s="27">
        <f t="shared" si="116"/>
        <v>100000</v>
      </c>
      <c r="AA129" s="27"/>
    </row>
    <row r="130" spans="1:27" ht="20.100000000000001" customHeight="1">
      <c r="A130" s="33">
        <v>4</v>
      </c>
      <c r="B130" s="265" t="s">
        <v>249</v>
      </c>
      <c r="C130" s="266"/>
      <c r="D130" s="20" t="s">
        <v>505</v>
      </c>
      <c r="E130" s="25" t="s">
        <v>54</v>
      </c>
      <c r="F130" s="62">
        <v>33507.5</v>
      </c>
      <c r="G130" s="26"/>
      <c r="H130" s="26">
        <f t="shared" si="118"/>
        <v>100522.5</v>
      </c>
      <c r="I130" s="26">
        <f t="shared" si="119"/>
        <v>2513.0625</v>
      </c>
      <c r="J130" s="26">
        <v>40122.19</v>
      </c>
      <c r="K130" s="26">
        <f t="shared" si="120"/>
        <v>16753.75</v>
      </c>
      <c r="L130" s="26">
        <f t="shared" si="121"/>
        <v>117276.25</v>
      </c>
      <c r="M130" s="26">
        <f t="shared" si="122"/>
        <v>33507.5</v>
      </c>
      <c r="N130" s="62"/>
      <c r="O130" s="26">
        <f t="shared" si="123"/>
        <v>3350.75</v>
      </c>
      <c r="P130" s="26">
        <v>20000</v>
      </c>
      <c r="Q130" s="26">
        <v>50000</v>
      </c>
      <c r="R130" s="36">
        <f t="shared" si="124"/>
        <v>417553.5025</v>
      </c>
      <c r="S130" s="24">
        <f>37500</f>
        <v>37500</v>
      </c>
      <c r="T130" s="24"/>
      <c r="U130" s="24">
        <f>'[5]Jan 2021'!$H$52</f>
        <v>837.6875</v>
      </c>
      <c r="V130" s="24">
        <v>15548.33</v>
      </c>
      <c r="W130" s="36">
        <f t="shared" si="117"/>
        <v>53886.017500000002</v>
      </c>
      <c r="X130" s="36">
        <v>363667.48499999999</v>
      </c>
      <c r="Y130" s="36">
        <f t="shared" si="115"/>
        <v>363667.48499999999</v>
      </c>
      <c r="Z130" s="27">
        <v>80000</v>
      </c>
      <c r="AA130" s="27"/>
    </row>
    <row r="131" spans="1:27" ht="20.100000000000001" customHeight="1">
      <c r="A131" s="33">
        <v>5</v>
      </c>
      <c r="B131" s="271" t="s">
        <v>157</v>
      </c>
      <c r="C131" s="272"/>
      <c r="D131" s="33" t="s">
        <v>518</v>
      </c>
      <c r="E131" s="66" t="s">
        <v>138</v>
      </c>
      <c r="F131" s="62">
        <f>25523.45</f>
        <v>25523.45</v>
      </c>
      <c r="G131" s="62"/>
      <c r="H131" s="62">
        <f t="shared" si="118"/>
        <v>76570.350000000006</v>
      </c>
      <c r="I131" s="62">
        <f t="shared" si="119"/>
        <v>1914.25875</v>
      </c>
      <c r="J131" s="62"/>
      <c r="K131" s="62">
        <f t="shared" si="120"/>
        <v>12761.725</v>
      </c>
      <c r="L131" s="36">
        <f t="shared" si="121"/>
        <v>89332.074999999997</v>
      </c>
      <c r="M131" s="62">
        <f t="shared" si="122"/>
        <v>25523.45</v>
      </c>
      <c r="N131" s="62"/>
      <c r="O131" s="62">
        <f t="shared" si="123"/>
        <v>2552.3450000000003</v>
      </c>
      <c r="P131" s="62">
        <v>15000</v>
      </c>
      <c r="Q131" s="62"/>
      <c r="R131" s="36">
        <f t="shared" si="124"/>
        <v>249177.65375000003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17"/>
        <v>60152.200000000004</v>
      </c>
      <c r="X131" s="36">
        <v>189025.45375000002</v>
      </c>
      <c r="Y131" s="36">
        <f t="shared" si="115"/>
        <v>189025.45375000002</v>
      </c>
      <c r="Z131" s="27">
        <v>80000</v>
      </c>
      <c r="AA131" s="27"/>
    </row>
    <row r="132" spans="1:27" ht="20.100000000000001" customHeight="1">
      <c r="A132" s="33">
        <v>6</v>
      </c>
      <c r="B132" s="257" t="s">
        <v>259</v>
      </c>
      <c r="C132" s="258"/>
      <c r="D132" s="61" t="s">
        <v>447</v>
      </c>
      <c r="E132" s="66" t="s">
        <v>208</v>
      </c>
      <c r="F132" s="62">
        <f>19276.95</f>
        <v>19276.95</v>
      </c>
      <c r="G132" s="62"/>
      <c r="H132" s="62">
        <f t="shared" si="118"/>
        <v>57830.850000000006</v>
      </c>
      <c r="I132" s="62">
        <f t="shared" si="119"/>
        <v>1445.77125</v>
      </c>
      <c r="J132" s="62">
        <v>0</v>
      </c>
      <c r="K132" s="62">
        <f t="shared" si="120"/>
        <v>9638.4750000000004</v>
      </c>
      <c r="L132" s="36">
        <f t="shared" si="121"/>
        <v>67469.324999999997</v>
      </c>
      <c r="M132" s="62">
        <f t="shared" si="122"/>
        <v>19276.95</v>
      </c>
      <c r="N132" s="62"/>
      <c r="O132" s="62">
        <f t="shared" si="123"/>
        <v>1927.6950000000002</v>
      </c>
      <c r="P132" s="62">
        <v>10000</v>
      </c>
      <c r="Q132" s="62">
        <v>0</v>
      </c>
      <c r="R132" s="36">
        <f t="shared" si="124"/>
        <v>186866.01625000004</v>
      </c>
      <c r="S132" s="36">
        <v>10000</v>
      </c>
      <c r="T132" s="36">
        <f>0</f>
        <v>0</v>
      </c>
      <c r="U132" s="36">
        <f>'[5]Jan 2021'!$H$41</f>
        <v>481.92375000000004</v>
      </c>
      <c r="V132" s="62">
        <f>3369.51</f>
        <v>3369.51</v>
      </c>
      <c r="W132" s="36">
        <f t="shared" si="117"/>
        <v>13851.43375</v>
      </c>
      <c r="X132" s="36">
        <v>173014.58250000005</v>
      </c>
      <c r="Y132" s="36">
        <f t="shared" si="115"/>
        <v>173014.58250000005</v>
      </c>
      <c r="Z132" s="27">
        <v>50000</v>
      </c>
      <c r="AA132" s="27"/>
    </row>
    <row r="133" spans="1:27" ht="20.100000000000001" customHeight="1">
      <c r="A133" s="33">
        <v>7</v>
      </c>
      <c r="B133" s="264" t="s">
        <v>253</v>
      </c>
      <c r="C133" s="264"/>
      <c r="D133" s="61" t="s">
        <v>446</v>
      </c>
      <c r="E133" s="66" t="s">
        <v>138</v>
      </c>
      <c r="F133" s="62">
        <f>25523.45</f>
        <v>25523.45</v>
      </c>
      <c r="G133" s="62"/>
      <c r="H133" s="62">
        <f t="shared" si="118"/>
        <v>76570.350000000006</v>
      </c>
      <c r="I133" s="62">
        <f t="shared" si="119"/>
        <v>1914.25875</v>
      </c>
      <c r="J133" s="62">
        <v>0</v>
      </c>
      <c r="K133" s="62">
        <f t="shared" si="120"/>
        <v>12761.725</v>
      </c>
      <c r="L133" s="36">
        <f t="shared" si="121"/>
        <v>89332.074999999997</v>
      </c>
      <c r="M133" s="62">
        <f t="shared" si="122"/>
        <v>25523.45</v>
      </c>
      <c r="N133" s="62"/>
      <c r="O133" s="62">
        <f t="shared" si="123"/>
        <v>2552.3450000000003</v>
      </c>
      <c r="P133" s="62">
        <v>15000</v>
      </c>
      <c r="Q133" s="62"/>
      <c r="R133" s="36">
        <f t="shared" si="124"/>
        <v>249177.65375000003</v>
      </c>
      <c r="S133" s="36">
        <v>10000</v>
      </c>
      <c r="T133" s="36">
        <f>52500</f>
        <v>52500</v>
      </c>
      <c r="U133" s="36">
        <f>'[5]Jan 2021'!$H$49</f>
        <v>638.08625000000006</v>
      </c>
      <c r="V133" s="62">
        <v>7709.76</v>
      </c>
      <c r="W133" s="36">
        <f t="shared" si="117"/>
        <v>70847.846250000002</v>
      </c>
      <c r="X133" s="36">
        <v>178329.80750000002</v>
      </c>
      <c r="Y133" s="36">
        <f t="shared" si="115"/>
        <v>178329.80750000002</v>
      </c>
      <c r="Z133" s="27">
        <v>80000</v>
      </c>
      <c r="AA133" s="27"/>
    </row>
    <row r="134" spans="1:27" ht="20.100000000000001" customHeight="1">
      <c r="A134" s="33">
        <v>8</v>
      </c>
      <c r="B134" s="264" t="s">
        <v>255</v>
      </c>
      <c r="C134" s="264"/>
      <c r="D134" s="33" t="s">
        <v>258</v>
      </c>
      <c r="E134" s="66" t="s">
        <v>138</v>
      </c>
      <c r="F134" s="62">
        <f>25523.45</f>
        <v>25523.45</v>
      </c>
      <c r="G134" s="62"/>
      <c r="H134" s="62">
        <f t="shared" si="118"/>
        <v>76570.350000000006</v>
      </c>
      <c r="I134" s="62">
        <f t="shared" si="119"/>
        <v>1914.25875</v>
      </c>
      <c r="J134" s="62">
        <v>0</v>
      </c>
      <c r="K134" s="62">
        <f t="shared" si="120"/>
        <v>12761.725</v>
      </c>
      <c r="L134" s="36">
        <f t="shared" si="121"/>
        <v>89332.074999999997</v>
      </c>
      <c r="M134" s="62">
        <f t="shared" si="122"/>
        <v>25523.45</v>
      </c>
      <c r="N134" s="62"/>
      <c r="O134" s="62">
        <f t="shared" si="123"/>
        <v>2552.3450000000003</v>
      </c>
      <c r="P134" s="62">
        <v>15000</v>
      </c>
      <c r="Q134" s="62">
        <v>0</v>
      </c>
      <c r="R134" s="36">
        <f t="shared" si="124"/>
        <v>249177.65375000003</v>
      </c>
      <c r="S134" s="36">
        <f>0</f>
        <v>0</v>
      </c>
      <c r="T134" s="36">
        <f>0</f>
        <v>0</v>
      </c>
      <c r="U134" s="36">
        <f>'[5]Jan 2021'!$H$53</f>
        <v>638.08625000000006</v>
      </c>
      <c r="V134" s="62">
        <v>7709.76</v>
      </c>
      <c r="W134" s="36">
        <f t="shared" si="117"/>
        <v>8347.8462500000005</v>
      </c>
      <c r="X134" s="36">
        <v>240829.80750000002</v>
      </c>
      <c r="Y134" s="36">
        <f t="shared" si="115"/>
        <v>240829.80750000002</v>
      </c>
      <c r="Z134" s="27">
        <v>80000</v>
      </c>
      <c r="AA134" s="27"/>
    </row>
    <row r="135" spans="1:27" ht="20.100000000000001" customHeight="1">
      <c r="A135" s="33">
        <v>9</v>
      </c>
      <c r="B135" s="264" t="s">
        <v>399</v>
      </c>
      <c r="C135" s="264"/>
      <c r="D135" s="33" t="s">
        <v>258</v>
      </c>
      <c r="E135" s="66" t="s">
        <v>138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50000+38000</f>
        <v>88000</v>
      </c>
      <c r="U135" s="36"/>
      <c r="V135" s="62">
        <v>7709.76</v>
      </c>
      <c r="W135" s="36">
        <f>SUM(S135:V135)</f>
        <v>98709.759999999995</v>
      </c>
      <c r="X135" s="36">
        <v>188467.89375000002</v>
      </c>
      <c r="Y135" s="36">
        <f>R135-W135</f>
        <v>150467.89375000005</v>
      </c>
      <c r="Z135" s="27">
        <v>80000</v>
      </c>
      <c r="AA135" s="27"/>
    </row>
    <row r="136" spans="1:27" ht="20.100000000000001" customHeight="1">
      <c r="A136" s="33">
        <v>10</v>
      </c>
      <c r="B136" s="264" t="s">
        <v>257</v>
      </c>
      <c r="C136" s="264"/>
      <c r="D136" s="33" t="s">
        <v>258</v>
      </c>
      <c r="E136" s="66" t="s">
        <v>79</v>
      </c>
      <c r="F136" s="62">
        <f>23891.12</f>
        <v>23891.119999999999</v>
      </c>
      <c r="G136" s="62"/>
      <c r="H136" s="62">
        <f t="shared" si="118"/>
        <v>71673.36</v>
      </c>
      <c r="I136" s="62">
        <f t="shared" si="119"/>
        <v>1791.8339999999998</v>
      </c>
      <c r="J136" s="36">
        <v>0</v>
      </c>
      <c r="K136" s="62">
        <f t="shared" si="120"/>
        <v>11945.56</v>
      </c>
      <c r="L136" s="36">
        <f t="shared" si="121"/>
        <v>83618.92</v>
      </c>
      <c r="M136" s="62">
        <f t="shared" si="122"/>
        <v>23891.119999999999</v>
      </c>
      <c r="N136" s="62"/>
      <c r="O136" s="62">
        <f t="shared" si="123"/>
        <v>2389.1120000000001</v>
      </c>
      <c r="P136" s="62">
        <v>15000</v>
      </c>
      <c r="Q136" s="62">
        <v>0</v>
      </c>
      <c r="R136" s="36">
        <f t="shared" si="124"/>
        <v>234201.02599999998</v>
      </c>
      <c r="S136" s="36">
        <f>10000</f>
        <v>10000</v>
      </c>
      <c r="T136" s="36">
        <f>35000</f>
        <v>35000</v>
      </c>
      <c r="U136" s="36"/>
      <c r="V136" s="62">
        <f>7709.76</f>
        <v>7709.76</v>
      </c>
      <c r="W136" s="36">
        <f t="shared" si="117"/>
        <v>52709.760000000002</v>
      </c>
      <c r="X136" s="36">
        <v>166491.266</v>
      </c>
      <c r="Y136" s="36">
        <f t="shared" si="115"/>
        <v>181491.26599999997</v>
      </c>
      <c r="Z136" s="27">
        <v>80000</v>
      </c>
      <c r="AA136" s="27"/>
    </row>
    <row r="137" spans="1:27" ht="20.100000000000001" customHeight="1">
      <c r="A137" s="33">
        <v>11</v>
      </c>
      <c r="B137" s="264" t="s">
        <v>261</v>
      </c>
      <c r="C137" s="264"/>
      <c r="D137" s="33" t="s">
        <v>447</v>
      </c>
      <c r="E137" s="66" t="s">
        <v>82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22"/>
        <v>18779.3</v>
      </c>
      <c r="N137" s="62"/>
      <c r="O137" s="62">
        <f t="shared" si="123"/>
        <v>1877.93</v>
      </c>
      <c r="P137" s="62">
        <v>10000</v>
      </c>
      <c r="Q137" s="62">
        <v>0</v>
      </c>
      <c r="R137" s="36">
        <f t="shared" si="124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17"/>
        <v>53369.51</v>
      </c>
      <c r="X137" s="36">
        <v>128930.56749999995</v>
      </c>
      <c r="Y137" s="36">
        <f t="shared" si="115"/>
        <v>128930.56749999995</v>
      </c>
      <c r="Z137" s="27">
        <v>50000</v>
      </c>
      <c r="AA137" s="27"/>
    </row>
    <row r="138" spans="1:27" ht="20.100000000000001" customHeight="1">
      <c r="A138" s="33">
        <v>12</v>
      </c>
      <c r="B138" s="257" t="s">
        <v>263</v>
      </c>
      <c r="C138" s="258"/>
      <c r="D138" s="33" t="s">
        <v>264</v>
      </c>
      <c r="E138" s="66" t="s">
        <v>103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22"/>
        <v>18281.64</v>
      </c>
      <c r="N138" s="62"/>
      <c r="O138" s="62">
        <f t="shared" si="123"/>
        <v>1828.164</v>
      </c>
      <c r="P138" s="62">
        <v>10000</v>
      </c>
      <c r="Q138" s="62"/>
      <c r="R138" s="36">
        <f t="shared" si="124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17"/>
        <v>147091.06</v>
      </c>
      <c r="X138" s="36">
        <v>30642.986999999965</v>
      </c>
      <c r="Y138" s="36">
        <f t="shared" si="115"/>
        <v>30642.986999999965</v>
      </c>
      <c r="Z138" s="27">
        <v>50000</v>
      </c>
      <c r="AA138" s="27"/>
    </row>
    <row r="139" spans="1:27" ht="20.100000000000001" customHeight="1">
      <c r="A139" s="33">
        <v>13</v>
      </c>
      <c r="B139" s="257" t="s">
        <v>265</v>
      </c>
      <c r="C139" s="258"/>
      <c r="D139" s="61" t="s">
        <v>266</v>
      </c>
      <c r="E139" s="66" t="s">
        <v>95</v>
      </c>
      <c r="F139" s="67">
        <f>17784</f>
        <v>17784</v>
      </c>
      <c r="G139" s="62"/>
      <c r="H139" s="62">
        <f t="shared" si="118"/>
        <v>53352</v>
      </c>
      <c r="I139" s="62">
        <f t="shared" si="119"/>
        <v>1333.8</v>
      </c>
      <c r="J139" s="62"/>
      <c r="K139" s="62">
        <f t="shared" si="120"/>
        <v>8892</v>
      </c>
      <c r="L139" s="36">
        <f t="shared" si="121"/>
        <v>62244</v>
      </c>
      <c r="M139" s="62">
        <f t="shared" si="122"/>
        <v>17784</v>
      </c>
      <c r="N139" s="62"/>
      <c r="O139" s="62">
        <f t="shared" si="123"/>
        <v>1778.4</v>
      </c>
      <c r="P139" s="62">
        <v>10000</v>
      </c>
      <c r="Q139" s="62"/>
      <c r="R139" s="36">
        <f t="shared" si="124"/>
        <v>173168.19999999998</v>
      </c>
      <c r="S139" s="36">
        <f>10000</f>
        <v>10000</v>
      </c>
      <c r="T139" s="36">
        <f>50000</f>
        <v>50000</v>
      </c>
      <c r="U139" s="36">
        <f>'[5]Jan 2021'!$H$45</f>
        <v>444.6</v>
      </c>
      <c r="V139" s="62">
        <f>3369.51</f>
        <v>3369.51</v>
      </c>
      <c r="W139" s="36">
        <f t="shared" si="117"/>
        <v>63814.11</v>
      </c>
      <c r="X139" s="36">
        <v>109354.08999999998</v>
      </c>
      <c r="Y139" s="36">
        <f t="shared" si="115"/>
        <v>109354.08999999998</v>
      </c>
      <c r="Z139" s="27">
        <v>50000</v>
      </c>
      <c r="AA139" s="27"/>
    </row>
    <row r="140" spans="1:27" ht="20.100000000000001" customHeight="1">
      <c r="A140" s="33">
        <v>14</v>
      </c>
      <c r="B140" s="257" t="s">
        <v>269</v>
      </c>
      <c r="C140" s="258"/>
      <c r="D140" s="61" t="s">
        <v>268</v>
      </c>
      <c r="E140" s="66" t="s">
        <v>106</v>
      </c>
      <c r="F140" s="67">
        <f>13492.21</f>
        <v>13492.21</v>
      </c>
      <c r="G140" s="62"/>
      <c r="H140" s="62">
        <f t="shared" si="118"/>
        <v>40476.629999999997</v>
      </c>
      <c r="I140" s="62">
        <f t="shared" si="119"/>
        <v>1011.9157499999999</v>
      </c>
      <c r="J140" s="62"/>
      <c r="K140" s="62">
        <f t="shared" si="120"/>
        <v>6746.1049999999996</v>
      </c>
      <c r="L140" s="36">
        <f t="shared" si="121"/>
        <v>47222.735000000001</v>
      </c>
      <c r="M140" s="62">
        <f t="shared" si="122"/>
        <v>13492.21</v>
      </c>
      <c r="N140" s="62"/>
      <c r="O140" s="62">
        <f t="shared" si="123"/>
        <v>1349.221</v>
      </c>
      <c r="P140" s="62">
        <v>10000</v>
      </c>
      <c r="Q140" s="62"/>
      <c r="R140" s="36">
        <f t="shared" si="124"/>
        <v>133791.02675000002</v>
      </c>
      <c r="S140" s="36">
        <f>10000</f>
        <v>10000</v>
      </c>
      <c r="T140" s="36"/>
      <c r="U140" s="36"/>
      <c r="V140" s="62">
        <v>1484.37</v>
      </c>
      <c r="W140" s="36">
        <f t="shared" si="117"/>
        <v>11484.369999999999</v>
      </c>
      <c r="X140" s="36">
        <v>122306.65675000002</v>
      </c>
      <c r="Y140" s="36">
        <f t="shared" si="115"/>
        <v>122306.65675000002</v>
      </c>
      <c r="Z140" s="27">
        <v>50000</v>
      </c>
      <c r="AA140" s="27"/>
    </row>
    <row r="141" spans="1:27" ht="20.100000000000001" customHeight="1">
      <c r="A141" s="33">
        <v>15</v>
      </c>
      <c r="B141" s="257" t="s">
        <v>270</v>
      </c>
      <c r="C141" s="258"/>
      <c r="D141" s="61" t="s">
        <v>268</v>
      </c>
      <c r="E141" s="66" t="s">
        <v>106</v>
      </c>
      <c r="F141" s="67">
        <f>13492.21</f>
        <v>13492.21</v>
      </c>
      <c r="G141" s="62"/>
      <c r="H141" s="62">
        <f t="shared" si="118"/>
        <v>40476.629999999997</v>
      </c>
      <c r="I141" s="62">
        <f t="shared" si="119"/>
        <v>1011.9157499999999</v>
      </c>
      <c r="J141" s="62"/>
      <c r="K141" s="62">
        <f t="shared" si="120"/>
        <v>6746.1049999999996</v>
      </c>
      <c r="L141" s="36">
        <f t="shared" si="121"/>
        <v>47222.735000000001</v>
      </c>
      <c r="M141" s="62">
        <f t="shared" si="122"/>
        <v>13492.21</v>
      </c>
      <c r="N141" s="62"/>
      <c r="O141" s="62">
        <f t="shared" si="123"/>
        <v>1349.221</v>
      </c>
      <c r="P141" s="62">
        <v>10000</v>
      </c>
      <c r="Q141" s="62"/>
      <c r="R141" s="36">
        <f t="shared" si="124"/>
        <v>133791.02675000002</v>
      </c>
      <c r="S141" s="36">
        <f>10000+30000</f>
        <v>40000</v>
      </c>
      <c r="T141" s="36">
        <f>7500</f>
        <v>7500</v>
      </c>
      <c r="U141" s="36">
        <f>'[5]Jan 2021'!$H$37</f>
        <v>337.30525</v>
      </c>
      <c r="V141" s="62">
        <v>1484.37</v>
      </c>
      <c r="W141" s="36">
        <f t="shared" si="117"/>
        <v>49321.67525</v>
      </c>
      <c r="X141" s="36">
        <v>84469.351500000019</v>
      </c>
      <c r="Y141" s="36">
        <f t="shared" si="115"/>
        <v>84469.351500000019</v>
      </c>
      <c r="Z141" s="27">
        <v>50000</v>
      </c>
      <c r="AA141" s="27"/>
    </row>
    <row r="142" spans="1:27" ht="20.100000000000001" customHeight="1">
      <c r="A142" s="33">
        <v>16</v>
      </c>
      <c r="B142" s="257" t="s">
        <v>271</v>
      </c>
      <c r="C142" s="258"/>
      <c r="D142" s="61" t="s">
        <v>268</v>
      </c>
      <c r="E142" s="66" t="s">
        <v>106</v>
      </c>
      <c r="F142" s="67">
        <f>13492.21</f>
        <v>13492.21</v>
      </c>
      <c r="G142" s="62"/>
      <c r="H142" s="62">
        <f t="shared" si="118"/>
        <v>40476.629999999997</v>
      </c>
      <c r="I142" s="62">
        <f t="shared" si="119"/>
        <v>1011.9157499999999</v>
      </c>
      <c r="J142" s="62"/>
      <c r="K142" s="62">
        <f t="shared" si="120"/>
        <v>6746.1049999999996</v>
      </c>
      <c r="L142" s="36">
        <f t="shared" si="121"/>
        <v>47222.735000000001</v>
      </c>
      <c r="M142" s="62">
        <f t="shared" si="122"/>
        <v>13492.21</v>
      </c>
      <c r="N142" s="62"/>
      <c r="O142" s="62">
        <f t="shared" si="123"/>
        <v>1349.221</v>
      </c>
      <c r="P142" s="62">
        <v>10000</v>
      </c>
      <c r="Q142" s="62"/>
      <c r="R142" s="36">
        <f t="shared" si="124"/>
        <v>133791.02675000002</v>
      </c>
      <c r="S142" s="36"/>
      <c r="T142" s="36"/>
      <c r="U142" s="36"/>
      <c r="V142" s="62">
        <v>1484.37</v>
      </c>
      <c r="W142" s="36">
        <f t="shared" si="117"/>
        <v>1484.37</v>
      </c>
      <c r="X142" s="36">
        <v>132306.65675000002</v>
      </c>
      <c r="Y142" s="36">
        <f t="shared" si="115"/>
        <v>132306.65675000002</v>
      </c>
      <c r="Z142" s="27">
        <v>50000</v>
      </c>
      <c r="AA142" s="27"/>
    </row>
    <row r="143" spans="1:27" ht="20.100000000000001" customHeight="1">
      <c r="A143" s="33">
        <v>17</v>
      </c>
      <c r="B143" s="257" t="s">
        <v>274</v>
      </c>
      <c r="C143" s="258"/>
      <c r="D143" s="61" t="s">
        <v>268</v>
      </c>
      <c r="E143" s="66" t="s">
        <v>111</v>
      </c>
      <c r="F143" s="67">
        <f>13112.16</f>
        <v>13112.16</v>
      </c>
      <c r="G143" s="62"/>
      <c r="H143" s="62">
        <f t="shared" si="118"/>
        <v>39336.479999999996</v>
      </c>
      <c r="I143" s="62">
        <f t="shared" si="119"/>
        <v>983.41199999999992</v>
      </c>
      <c r="J143" s="62"/>
      <c r="K143" s="62">
        <f t="shared" si="120"/>
        <v>6556.08</v>
      </c>
      <c r="L143" s="36">
        <f t="shared" si="121"/>
        <v>45892.56</v>
      </c>
      <c r="M143" s="62">
        <f t="shared" si="122"/>
        <v>13112.16</v>
      </c>
      <c r="N143" s="62"/>
      <c r="O143" s="62">
        <f t="shared" si="123"/>
        <v>1311.2160000000001</v>
      </c>
      <c r="P143" s="62">
        <v>10000</v>
      </c>
      <c r="Q143" s="62"/>
      <c r="R143" s="36">
        <f t="shared" si="124"/>
        <v>130304.068</v>
      </c>
      <c r="S143" s="36"/>
      <c r="T143" s="36"/>
      <c r="U143" s="36"/>
      <c r="V143" s="62">
        <v>1484.37</v>
      </c>
      <c r="W143" s="36">
        <f t="shared" si="117"/>
        <v>1484.37</v>
      </c>
      <c r="X143" s="36">
        <v>128819.698</v>
      </c>
      <c r="Y143" s="36">
        <f t="shared" si="115"/>
        <v>128819.698</v>
      </c>
      <c r="Z143" s="27">
        <v>50000</v>
      </c>
      <c r="AA143" s="27"/>
    </row>
    <row r="144" spans="1:27" ht="20.100000000000001" customHeight="1">
      <c r="A144" s="33">
        <v>18</v>
      </c>
      <c r="B144" s="257" t="s">
        <v>275</v>
      </c>
      <c r="C144" s="258"/>
      <c r="D144" s="61" t="s">
        <v>276</v>
      </c>
      <c r="E144" s="66" t="s">
        <v>111</v>
      </c>
      <c r="F144" s="67">
        <f>13112.16</f>
        <v>13112.16</v>
      </c>
      <c r="G144" s="62"/>
      <c r="H144" s="62">
        <f t="shared" si="118"/>
        <v>39336.479999999996</v>
      </c>
      <c r="I144" s="62">
        <f t="shared" si="119"/>
        <v>983.41199999999992</v>
      </c>
      <c r="J144" s="62"/>
      <c r="K144" s="62">
        <f t="shared" si="120"/>
        <v>6556.08</v>
      </c>
      <c r="L144" s="36">
        <f t="shared" si="121"/>
        <v>45892.56</v>
      </c>
      <c r="M144" s="62">
        <f t="shared" si="122"/>
        <v>13112.16</v>
      </c>
      <c r="N144" s="62"/>
      <c r="O144" s="62">
        <f t="shared" si="123"/>
        <v>1311.2160000000001</v>
      </c>
      <c r="P144" s="62">
        <v>10000</v>
      </c>
      <c r="Q144" s="62"/>
      <c r="R144" s="36">
        <f t="shared" si="124"/>
        <v>130304.068</v>
      </c>
      <c r="S144" s="36">
        <v>25000</v>
      </c>
      <c r="T144" s="36">
        <f>50000</f>
        <v>50000</v>
      </c>
      <c r="U144" s="36"/>
      <c r="V144" s="62">
        <v>1484.37</v>
      </c>
      <c r="W144" s="36">
        <f t="shared" si="117"/>
        <v>76484.37</v>
      </c>
      <c r="X144" s="36">
        <v>63819.698000000004</v>
      </c>
      <c r="Y144" s="36">
        <f t="shared" si="115"/>
        <v>53819.698000000004</v>
      </c>
      <c r="Z144" s="27">
        <v>50000</v>
      </c>
      <c r="AA144" s="27"/>
    </row>
    <row r="145" spans="1:27" ht="20.100000000000001" customHeight="1">
      <c r="A145" s="33">
        <v>19</v>
      </c>
      <c r="B145" s="257" t="s">
        <v>217</v>
      </c>
      <c r="C145" s="258"/>
      <c r="D145" s="61" t="s">
        <v>494</v>
      </c>
      <c r="E145" s="66" t="s">
        <v>111</v>
      </c>
      <c r="F145" s="67">
        <f>13112.16</f>
        <v>13112.16</v>
      </c>
      <c r="G145" s="62"/>
      <c r="H145" s="62">
        <f t="shared" si="118"/>
        <v>39336.479999999996</v>
      </c>
      <c r="I145" s="62">
        <f t="shared" si="119"/>
        <v>983.41199999999992</v>
      </c>
      <c r="J145" s="62"/>
      <c r="K145" s="62">
        <f t="shared" si="120"/>
        <v>6556.08</v>
      </c>
      <c r="L145" s="36">
        <f t="shared" si="121"/>
        <v>45892.56</v>
      </c>
      <c r="M145" s="62">
        <f t="shared" si="122"/>
        <v>13112.16</v>
      </c>
      <c r="N145" s="62"/>
      <c r="O145" s="62">
        <f t="shared" si="123"/>
        <v>1311.2160000000001</v>
      </c>
      <c r="P145" s="62">
        <v>10000</v>
      </c>
      <c r="Q145" s="62"/>
      <c r="R145" s="36">
        <f t="shared" si="124"/>
        <v>130304.068</v>
      </c>
      <c r="S145" s="36">
        <v>20000</v>
      </c>
      <c r="T145" s="36">
        <f>27500</f>
        <v>27500</v>
      </c>
      <c r="U145" s="36"/>
      <c r="V145" s="62">
        <v>1484.37</v>
      </c>
      <c r="W145" s="36">
        <f t="shared" si="117"/>
        <v>48984.37</v>
      </c>
      <c r="X145" s="36">
        <v>108819.698</v>
      </c>
      <c r="Y145" s="36">
        <f t="shared" si="115"/>
        <v>81319.698000000004</v>
      </c>
      <c r="Z145" s="27">
        <v>50000</v>
      </c>
      <c r="AA145" s="27"/>
    </row>
    <row r="146" spans="1:27" ht="20.100000000000001" customHeight="1">
      <c r="A146" s="33">
        <v>20</v>
      </c>
      <c r="B146" s="257" t="s">
        <v>278</v>
      </c>
      <c r="C146" s="258"/>
      <c r="D146" s="61" t="s">
        <v>494</v>
      </c>
      <c r="E146" s="66" t="s">
        <v>111</v>
      </c>
      <c r="F146" s="67">
        <f>13112.16</f>
        <v>13112.16</v>
      </c>
      <c r="G146" s="62"/>
      <c r="H146" s="62">
        <f t="shared" si="118"/>
        <v>39336.479999999996</v>
      </c>
      <c r="I146" s="62">
        <f t="shared" si="119"/>
        <v>983.41199999999992</v>
      </c>
      <c r="J146" s="62"/>
      <c r="K146" s="62">
        <f t="shared" si="120"/>
        <v>6556.08</v>
      </c>
      <c r="L146" s="36">
        <f t="shared" si="121"/>
        <v>45892.56</v>
      </c>
      <c r="M146" s="62">
        <f t="shared" si="122"/>
        <v>13112.16</v>
      </c>
      <c r="N146" s="62"/>
      <c r="O146" s="62">
        <f t="shared" si="123"/>
        <v>1311.2160000000001</v>
      </c>
      <c r="P146" s="62">
        <v>10000</v>
      </c>
      <c r="Q146" s="62"/>
      <c r="R146" s="36">
        <f t="shared" si="124"/>
        <v>130304.068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7"/>
        <v>30234.37</v>
      </c>
      <c r="X146" s="36">
        <v>100069.698</v>
      </c>
      <c r="Y146" s="36">
        <f t="shared" si="115"/>
        <v>100069.698</v>
      </c>
      <c r="Z146" s="27">
        <v>50000</v>
      </c>
      <c r="AA146" s="27"/>
    </row>
    <row r="147" spans="1:27" ht="20.100000000000001" customHeight="1">
      <c r="A147" s="33">
        <v>21</v>
      </c>
      <c r="B147" s="257" t="s">
        <v>277</v>
      </c>
      <c r="C147" s="258"/>
      <c r="D147" s="61" t="s">
        <v>268</v>
      </c>
      <c r="E147" s="66" t="s">
        <v>111</v>
      </c>
      <c r="F147" s="67">
        <f>13112.16</f>
        <v>13112.16</v>
      </c>
      <c r="G147" s="62"/>
      <c r="H147" s="62">
        <f t="shared" si="118"/>
        <v>39336.479999999996</v>
      </c>
      <c r="I147" s="62">
        <f t="shared" si="119"/>
        <v>983.41199999999992</v>
      </c>
      <c r="J147" s="62"/>
      <c r="K147" s="62">
        <f t="shared" si="120"/>
        <v>6556.08</v>
      </c>
      <c r="L147" s="36">
        <f t="shared" si="121"/>
        <v>45892.56</v>
      </c>
      <c r="M147" s="62">
        <f t="shared" si="122"/>
        <v>13112.16</v>
      </c>
      <c r="N147" s="62"/>
      <c r="O147" s="62">
        <f t="shared" si="123"/>
        <v>1311.2160000000001</v>
      </c>
      <c r="P147" s="62">
        <v>10000</v>
      </c>
      <c r="Q147" s="62"/>
      <c r="R147" s="36">
        <f t="shared" si="124"/>
        <v>130304.068</v>
      </c>
      <c r="S147" s="36">
        <f>10000</f>
        <v>10000</v>
      </c>
      <c r="T147" s="36">
        <f>34485.28</f>
        <v>34485.279999999999</v>
      </c>
      <c r="U147" s="36">
        <f>'[5]Jan 2021'!$H$56</f>
        <v>327.80400000000003</v>
      </c>
      <c r="V147" s="62">
        <v>1484.37</v>
      </c>
      <c r="W147" s="36">
        <f t="shared" si="117"/>
        <v>46297.453999999998</v>
      </c>
      <c r="X147" s="36">
        <v>84006.614000000001</v>
      </c>
      <c r="Y147" s="36">
        <f t="shared" si="115"/>
        <v>84006.614000000001</v>
      </c>
      <c r="Z147" s="27">
        <v>50000</v>
      </c>
      <c r="AA147" s="27"/>
    </row>
    <row r="148" spans="1:27" ht="20.100000000000001" customHeight="1">
      <c r="A148" s="33">
        <v>22</v>
      </c>
      <c r="B148" s="257" t="s">
        <v>262</v>
      </c>
      <c r="C148" s="258"/>
      <c r="D148" s="61" t="s">
        <v>448</v>
      </c>
      <c r="E148" s="66" t="s">
        <v>208</v>
      </c>
      <c r="F148" s="62">
        <f>19276.95</f>
        <v>19276.95</v>
      </c>
      <c r="G148" s="62"/>
      <c r="H148" s="62">
        <f t="shared" si="118"/>
        <v>57830.850000000006</v>
      </c>
      <c r="I148" s="62">
        <f t="shared" si="119"/>
        <v>1445.77125</v>
      </c>
      <c r="J148" s="36"/>
      <c r="K148" s="62">
        <f t="shared" si="120"/>
        <v>9638.4750000000004</v>
      </c>
      <c r="L148" s="36">
        <f t="shared" si="121"/>
        <v>67469.324999999997</v>
      </c>
      <c r="M148" s="62">
        <f t="shared" si="122"/>
        <v>19276.95</v>
      </c>
      <c r="N148" s="62"/>
      <c r="O148" s="62">
        <f t="shared" si="123"/>
        <v>1927.6950000000002</v>
      </c>
      <c r="P148" s="62">
        <v>10000</v>
      </c>
      <c r="Q148" s="62"/>
      <c r="R148" s="36">
        <f t="shared" si="124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7"/>
        <v>33369.51</v>
      </c>
      <c r="X148" s="36">
        <v>153496.50625000003</v>
      </c>
      <c r="Y148" s="36">
        <f t="shared" si="115"/>
        <v>153496.50625000003</v>
      </c>
      <c r="Z148" s="27">
        <v>50000</v>
      </c>
      <c r="AA148" s="27"/>
    </row>
    <row r="149" spans="1:27" ht="20.100000000000001" customHeight="1">
      <c r="A149" s="33">
        <v>23</v>
      </c>
      <c r="B149" s="257" t="s">
        <v>267</v>
      </c>
      <c r="C149" s="258"/>
      <c r="D149" s="61" t="s">
        <v>268</v>
      </c>
      <c r="E149" s="66" t="s">
        <v>103</v>
      </c>
      <c r="F149" s="26">
        <f>18281.64</f>
        <v>18281.64</v>
      </c>
      <c r="G149" s="62"/>
      <c r="H149" s="62">
        <f t="shared" si="118"/>
        <v>54844.92</v>
      </c>
      <c r="I149" s="62">
        <f t="shared" si="119"/>
        <v>1371.1229999999998</v>
      </c>
      <c r="J149" s="36"/>
      <c r="K149" s="62">
        <f t="shared" si="120"/>
        <v>9140.82</v>
      </c>
      <c r="L149" s="36">
        <f t="shared" si="121"/>
        <v>63985.74</v>
      </c>
      <c r="M149" s="62">
        <f t="shared" si="122"/>
        <v>18281.64</v>
      </c>
      <c r="N149" s="62"/>
      <c r="O149" s="62">
        <f t="shared" si="123"/>
        <v>1828.164</v>
      </c>
      <c r="P149" s="62">
        <v>10000</v>
      </c>
      <c r="Q149" s="62"/>
      <c r="R149" s="36">
        <f t="shared" si="124"/>
        <v>177734.04699999996</v>
      </c>
      <c r="S149" s="36">
        <v>20000</v>
      </c>
      <c r="T149" s="36">
        <f>68750</f>
        <v>68750</v>
      </c>
      <c r="U149" s="36">
        <f>'[5]Jan 2021'!$H$31</f>
        <v>457.041</v>
      </c>
      <c r="V149" s="62">
        <v>3369.51</v>
      </c>
      <c r="W149" s="36">
        <f t="shared" si="117"/>
        <v>92576.550999999992</v>
      </c>
      <c r="X149" s="36">
        <v>153907.49599999996</v>
      </c>
      <c r="Y149" s="36">
        <f t="shared" si="115"/>
        <v>85157.49599999997</v>
      </c>
      <c r="Z149" s="27">
        <v>50000</v>
      </c>
      <c r="AA149" s="27"/>
    </row>
    <row r="150" spans="1:27" ht="20.100000000000001" customHeight="1">
      <c r="A150" s="33">
        <v>24</v>
      </c>
      <c r="B150" s="97" t="s">
        <v>280</v>
      </c>
      <c r="C150" s="98"/>
      <c r="D150" s="61" t="s">
        <v>281</v>
      </c>
      <c r="E150" s="66" t="s">
        <v>500</v>
      </c>
      <c r="F150" s="67">
        <f>17784</f>
        <v>17784</v>
      </c>
      <c r="G150" s="62"/>
      <c r="H150" s="62">
        <f t="shared" si="118"/>
        <v>53352</v>
      </c>
      <c r="I150" s="62">
        <f t="shared" si="119"/>
        <v>1333.8</v>
      </c>
      <c r="J150" s="62"/>
      <c r="K150" s="62">
        <f t="shared" si="120"/>
        <v>8892</v>
      </c>
      <c r="L150" s="36">
        <f t="shared" si="121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4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7"/>
        <v>33369.51</v>
      </c>
      <c r="X150" s="36">
        <v>139798.68999999997</v>
      </c>
      <c r="Y150" s="36">
        <f t="shared" si="115"/>
        <v>139798.68999999997</v>
      </c>
      <c r="Z150" s="27">
        <v>50000</v>
      </c>
      <c r="AA150" s="27"/>
    </row>
    <row r="151" spans="1:27" ht="20.100000000000001" customHeight="1">
      <c r="A151" s="33">
        <v>25</v>
      </c>
      <c r="B151" s="264" t="s">
        <v>286</v>
      </c>
      <c r="C151" s="264"/>
      <c r="D151" s="61" t="s">
        <v>287</v>
      </c>
      <c r="E151" s="77" t="s">
        <v>506</v>
      </c>
      <c r="F151" s="78">
        <f t="shared" ref="F151:F157" si="125">8730.79</f>
        <v>8730.7900000000009</v>
      </c>
      <c r="G151" s="27"/>
      <c r="H151" s="62">
        <f t="shared" si="118"/>
        <v>26192.370000000003</v>
      </c>
      <c r="I151" s="62">
        <f t="shared" si="119"/>
        <v>654.80925000000002</v>
      </c>
      <c r="J151" s="67">
        <v>0</v>
      </c>
      <c r="K151" s="62">
        <f t="shared" si="120"/>
        <v>4365.3950000000004</v>
      </c>
      <c r="L151" s="36">
        <f t="shared" si="121"/>
        <v>30557.765000000003</v>
      </c>
      <c r="M151" s="62">
        <f t="shared" ref="M151:M160" si="126">F151*100%</f>
        <v>8730.7900000000009</v>
      </c>
      <c r="N151" s="36">
        <f>4000</f>
        <v>4000</v>
      </c>
      <c r="O151" s="62">
        <f t="shared" ref="O151:O178" si="127">F151*10%</f>
        <v>873.07900000000018</v>
      </c>
      <c r="P151" s="67">
        <v>5000</v>
      </c>
      <c r="Q151" s="62">
        <v>0</v>
      </c>
      <c r="R151" s="36">
        <f t="shared" si="124"/>
        <v>89104.998250000004</v>
      </c>
      <c r="S151" s="36">
        <f>20000+3000</f>
        <v>23000</v>
      </c>
      <c r="T151" s="36">
        <f>24750</f>
        <v>24750</v>
      </c>
      <c r="U151" s="36">
        <f>'[5]Jan 2021'!$H$40</f>
        <v>218.26975000000004</v>
      </c>
      <c r="V151" s="36">
        <v>236.04</v>
      </c>
      <c r="W151" s="36">
        <f t="shared" si="117"/>
        <v>48204.30975</v>
      </c>
      <c r="X151" s="36">
        <v>40900.688500000004</v>
      </c>
      <c r="Y151" s="36">
        <f t="shared" si="115"/>
        <v>40900.688500000004</v>
      </c>
      <c r="Z151" s="27">
        <f>25000</f>
        <v>25000</v>
      </c>
      <c r="AA151" s="27"/>
    </row>
    <row r="152" spans="1:27" ht="20.100000000000001" customHeight="1">
      <c r="A152" s="33">
        <v>26</v>
      </c>
      <c r="B152" s="264" t="s">
        <v>289</v>
      </c>
      <c r="C152" s="264"/>
      <c r="D152" s="61" t="s">
        <v>287</v>
      </c>
      <c r="E152" s="77" t="s">
        <v>506</v>
      </c>
      <c r="F152" s="78">
        <f t="shared" si="125"/>
        <v>8730.7900000000009</v>
      </c>
      <c r="G152" s="27"/>
      <c r="H152" s="62">
        <f t="shared" si="118"/>
        <v>26192.370000000003</v>
      </c>
      <c r="I152" s="62">
        <f t="shared" si="119"/>
        <v>654.80925000000002</v>
      </c>
      <c r="J152" s="67">
        <v>0</v>
      </c>
      <c r="K152" s="62">
        <f t="shared" si="120"/>
        <v>4365.3950000000004</v>
      </c>
      <c r="L152" s="36">
        <f t="shared" si="121"/>
        <v>30557.765000000003</v>
      </c>
      <c r="M152" s="62">
        <f t="shared" si="126"/>
        <v>8730.7900000000009</v>
      </c>
      <c r="N152" s="36">
        <f>7000</f>
        <v>7000</v>
      </c>
      <c r="O152" s="62">
        <f t="shared" si="127"/>
        <v>873.07900000000018</v>
      </c>
      <c r="P152" s="67">
        <v>5000</v>
      </c>
      <c r="Q152" s="62">
        <v>0</v>
      </c>
      <c r="R152" s="36">
        <f t="shared" si="124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7"/>
        <v>22760.15</v>
      </c>
      <c r="X152" s="36">
        <v>69344.84825000001</v>
      </c>
      <c r="Y152" s="36">
        <f t="shared" si="115"/>
        <v>69344.84825000001</v>
      </c>
      <c r="Z152" s="27">
        <f>25000</f>
        <v>25000</v>
      </c>
      <c r="AA152" s="27"/>
    </row>
    <row r="153" spans="1:27" ht="20.100000000000001" customHeight="1">
      <c r="A153" s="33">
        <v>27</v>
      </c>
      <c r="B153" s="264" t="s">
        <v>290</v>
      </c>
      <c r="C153" s="264"/>
      <c r="D153" s="61" t="s">
        <v>287</v>
      </c>
      <c r="E153" s="77" t="s">
        <v>506</v>
      </c>
      <c r="F153" s="78">
        <f t="shared" si="125"/>
        <v>8730.7900000000009</v>
      </c>
      <c r="G153" s="27"/>
      <c r="H153" s="62">
        <f t="shared" si="118"/>
        <v>26192.370000000003</v>
      </c>
      <c r="I153" s="62">
        <f t="shared" si="119"/>
        <v>654.80925000000002</v>
      </c>
      <c r="J153" s="62">
        <v>0</v>
      </c>
      <c r="K153" s="62">
        <f t="shared" si="120"/>
        <v>4365.3950000000004</v>
      </c>
      <c r="L153" s="36">
        <f t="shared" si="121"/>
        <v>30557.765000000003</v>
      </c>
      <c r="M153" s="62">
        <f t="shared" si="126"/>
        <v>8730.7900000000009</v>
      </c>
      <c r="N153" s="36">
        <f>4000</f>
        <v>4000</v>
      </c>
      <c r="O153" s="62">
        <f t="shared" si="127"/>
        <v>873.07900000000018</v>
      </c>
      <c r="P153" s="62">
        <v>5000</v>
      </c>
      <c r="Q153" s="62">
        <v>0</v>
      </c>
      <c r="R153" s="36">
        <f t="shared" si="124"/>
        <v>89104.998250000004</v>
      </c>
      <c r="S153" s="36">
        <f>10000+3000</f>
        <v>13000</v>
      </c>
      <c r="T153" s="36">
        <f>25000+20000</f>
        <v>45000</v>
      </c>
      <c r="U153" s="36"/>
      <c r="V153" s="36">
        <v>236.04</v>
      </c>
      <c r="W153" s="36">
        <f t="shared" si="117"/>
        <v>58236.04</v>
      </c>
      <c r="X153" s="36">
        <v>50868.958250000003</v>
      </c>
      <c r="Y153" s="36">
        <f t="shared" si="115"/>
        <v>30868.958250000003</v>
      </c>
      <c r="Z153" s="27">
        <f>25000</f>
        <v>25000</v>
      </c>
      <c r="AA153" s="27"/>
    </row>
    <row r="154" spans="1:27" ht="20.100000000000001" customHeight="1">
      <c r="A154" s="33">
        <v>28</v>
      </c>
      <c r="B154" s="264" t="s">
        <v>291</v>
      </c>
      <c r="C154" s="264"/>
      <c r="D154" s="61" t="s">
        <v>287</v>
      </c>
      <c r="E154" s="77" t="s">
        <v>506</v>
      </c>
      <c r="F154" s="78">
        <f t="shared" si="125"/>
        <v>8730.7900000000009</v>
      </c>
      <c r="G154" s="27"/>
      <c r="H154" s="62">
        <f t="shared" si="118"/>
        <v>26192.370000000003</v>
      </c>
      <c r="I154" s="62">
        <f t="shared" si="119"/>
        <v>654.80925000000002</v>
      </c>
      <c r="J154" s="62">
        <v>0</v>
      </c>
      <c r="K154" s="62">
        <f t="shared" si="120"/>
        <v>4365.3950000000004</v>
      </c>
      <c r="L154" s="36">
        <f t="shared" si="121"/>
        <v>30557.765000000003</v>
      </c>
      <c r="M154" s="62">
        <f t="shared" si="126"/>
        <v>8730.7900000000009</v>
      </c>
      <c r="N154" s="36">
        <f>4000</f>
        <v>4000</v>
      </c>
      <c r="O154" s="62">
        <f t="shared" si="127"/>
        <v>873.07900000000018</v>
      </c>
      <c r="P154" s="62">
        <v>5000</v>
      </c>
      <c r="Q154" s="62">
        <v>0</v>
      </c>
      <c r="R154" s="36">
        <f t="shared" si="124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7"/>
        <v>24208.260000000002</v>
      </c>
      <c r="X154" s="36">
        <v>64896.738250000002</v>
      </c>
      <c r="Y154" s="36">
        <f t="shared" si="115"/>
        <v>64896.738250000002</v>
      </c>
      <c r="Z154" s="27">
        <f>25000</f>
        <v>25000</v>
      </c>
      <c r="AA154" s="27"/>
    </row>
    <row r="155" spans="1:27" ht="20.100000000000001" customHeight="1">
      <c r="A155" s="33">
        <v>29</v>
      </c>
      <c r="B155" s="264" t="s">
        <v>292</v>
      </c>
      <c r="C155" s="264"/>
      <c r="D155" s="61" t="s">
        <v>287</v>
      </c>
      <c r="E155" s="77" t="s">
        <v>506</v>
      </c>
      <c r="F155" s="78">
        <f t="shared" si="125"/>
        <v>8730.7900000000009</v>
      </c>
      <c r="G155" s="27"/>
      <c r="H155" s="62">
        <f t="shared" si="118"/>
        <v>26192.370000000003</v>
      </c>
      <c r="I155" s="62">
        <f t="shared" si="119"/>
        <v>654.80925000000002</v>
      </c>
      <c r="J155" s="62">
        <v>0</v>
      </c>
      <c r="K155" s="62">
        <f t="shared" si="120"/>
        <v>4365.3950000000004</v>
      </c>
      <c r="L155" s="36">
        <f t="shared" si="121"/>
        <v>30557.765000000003</v>
      </c>
      <c r="M155" s="62">
        <f t="shared" si="126"/>
        <v>8730.7900000000009</v>
      </c>
      <c r="N155" s="36">
        <f>4000</f>
        <v>4000</v>
      </c>
      <c r="O155" s="62">
        <f t="shared" si="127"/>
        <v>873.07900000000018</v>
      </c>
      <c r="P155" s="62">
        <v>5000</v>
      </c>
      <c r="Q155" s="62">
        <v>0</v>
      </c>
      <c r="R155" s="36">
        <f t="shared" si="124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7"/>
        <v>5236.04</v>
      </c>
      <c r="X155" s="36">
        <v>83868.958250000011</v>
      </c>
      <c r="Y155" s="36">
        <f t="shared" si="115"/>
        <v>83868.958250000011</v>
      </c>
      <c r="Z155" s="27">
        <f>25000</f>
        <v>25000</v>
      </c>
      <c r="AA155" s="27"/>
    </row>
    <row r="156" spans="1:27" ht="20.100000000000001" customHeight="1">
      <c r="A156" s="33">
        <v>30</v>
      </c>
      <c r="B156" s="264" t="s">
        <v>293</v>
      </c>
      <c r="C156" s="264"/>
      <c r="D156" s="61" t="s">
        <v>287</v>
      </c>
      <c r="E156" s="77" t="s">
        <v>506</v>
      </c>
      <c r="F156" s="78">
        <f t="shared" si="125"/>
        <v>8730.7900000000009</v>
      </c>
      <c r="G156" s="27"/>
      <c r="H156" s="62">
        <f t="shared" si="118"/>
        <v>26192.370000000003</v>
      </c>
      <c r="I156" s="62">
        <f t="shared" si="119"/>
        <v>654.80925000000002</v>
      </c>
      <c r="J156" s="62">
        <v>0</v>
      </c>
      <c r="K156" s="62">
        <f t="shared" si="120"/>
        <v>4365.3950000000004</v>
      </c>
      <c r="L156" s="36">
        <f t="shared" si="121"/>
        <v>30557.765000000003</v>
      </c>
      <c r="M156" s="62">
        <f t="shared" si="126"/>
        <v>8730.7900000000009</v>
      </c>
      <c r="N156" s="36">
        <f>4000</f>
        <v>4000</v>
      </c>
      <c r="O156" s="62">
        <f t="shared" si="127"/>
        <v>873.07900000000018</v>
      </c>
      <c r="P156" s="62">
        <v>5000</v>
      </c>
      <c r="Q156" s="62">
        <v>0</v>
      </c>
      <c r="R156" s="36">
        <f t="shared" si="124"/>
        <v>89104.998250000004</v>
      </c>
      <c r="S156" s="36">
        <f>10000+3000</f>
        <v>13000</v>
      </c>
      <c r="T156" s="36">
        <f>25704.84+30000</f>
        <v>55704.84</v>
      </c>
      <c r="U156" s="36">
        <f>'[5]Jan 2021'!$H$54</f>
        <v>218.26975000000004</v>
      </c>
      <c r="V156" s="36">
        <v>236.04</v>
      </c>
      <c r="W156" s="36">
        <f t="shared" si="117"/>
        <v>69159.149749999997</v>
      </c>
      <c r="X156" s="36">
        <v>19945.848500000007</v>
      </c>
      <c r="Y156" s="36">
        <f t="shared" si="115"/>
        <v>19945.848500000007</v>
      </c>
      <c r="Z156" s="27">
        <f>25000</f>
        <v>25000</v>
      </c>
      <c r="AA156" s="27"/>
    </row>
    <row r="157" spans="1:27" ht="20.100000000000001" customHeight="1">
      <c r="A157" s="33">
        <v>31</v>
      </c>
      <c r="B157" s="264" t="s">
        <v>294</v>
      </c>
      <c r="C157" s="264"/>
      <c r="D157" s="61" t="s">
        <v>287</v>
      </c>
      <c r="E157" s="77" t="s">
        <v>506</v>
      </c>
      <c r="F157" s="78">
        <f t="shared" si="125"/>
        <v>8730.7900000000009</v>
      </c>
      <c r="G157" s="27"/>
      <c r="H157" s="62">
        <f t="shared" si="118"/>
        <v>26192.370000000003</v>
      </c>
      <c r="I157" s="62">
        <f t="shared" si="119"/>
        <v>654.80925000000002</v>
      </c>
      <c r="J157" s="62">
        <v>0</v>
      </c>
      <c r="K157" s="62">
        <f t="shared" si="120"/>
        <v>4365.3950000000004</v>
      </c>
      <c r="L157" s="36">
        <f t="shared" si="121"/>
        <v>30557.765000000003</v>
      </c>
      <c r="M157" s="62">
        <f t="shared" si="126"/>
        <v>8730.7900000000009</v>
      </c>
      <c r="N157" s="36">
        <f>4000</f>
        <v>4000</v>
      </c>
      <c r="O157" s="62">
        <f t="shared" si="127"/>
        <v>873.07900000000018</v>
      </c>
      <c r="P157" s="62">
        <v>5000</v>
      </c>
      <c r="Q157" s="62">
        <v>0</v>
      </c>
      <c r="R157" s="36">
        <f t="shared" si="124"/>
        <v>89104.998250000004</v>
      </c>
      <c r="S157" s="36">
        <f>10000+3000</f>
        <v>13000</v>
      </c>
      <c r="T157" s="36">
        <f>8237.49+15000</f>
        <v>23237.489999999998</v>
      </c>
      <c r="U157" s="36"/>
      <c r="V157" s="36">
        <v>236.04</v>
      </c>
      <c r="W157" s="36">
        <f t="shared" si="117"/>
        <v>36473.53</v>
      </c>
      <c r="X157" s="36">
        <v>67631.468250000005</v>
      </c>
      <c r="Y157" s="36">
        <f t="shared" si="115"/>
        <v>52631.468250000005</v>
      </c>
      <c r="Z157" s="27">
        <f>25000</f>
        <v>25000</v>
      </c>
      <c r="AA157" s="27"/>
    </row>
    <row r="158" spans="1:27" ht="20.100000000000001" customHeight="1">
      <c r="A158" s="33">
        <v>32</v>
      </c>
      <c r="B158" s="264" t="s">
        <v>295</v>
      </c>
      <c r="C158" s="264"/>
      <c r="D158" s="61" t="s">
        <v>296</v>
      </c>
      <c r="E158" s="66" t="s">
        <v>507</v>
      </c>
      <c r="F158" s="62">
        <f t="shared" ref="F158:F164" si="128">5598.92</f>
        <v>5598.92</v>
      </c>
      <c r="G158" s="27"/>
      <c r="H158" s="62">
        <f t="shared" si="118"/>
        <v>16796.760000000002</v>
      </c>
      <c r="I158" s="62">
        <f t="shared" si="119"/>
        <v>419.91899999999998</v>
      </c>
      <c r="J158" s="62">
        <v>0</v>
      </c>
      <c r="K158" s="62">
        <f t="shared" si="120"/>
        <v>2799.46</v>
      </c>
      <c r="L158" s="36">
        <f t="shared" si="121"/>
        <v>19596.22</v>
      </c>
      <c r="M158" s="62">
        <f t="shared" si="126"/>
        <v>5598.92</v>
      </c>
      <c r="N158" s="36">
        <f>7000</f>
        <v>7000</v>
      </c>
      <c r="O158" s="62">
        <f t="shared" si="127"/>
        <v>559.89200000000005</v>
      </c>
      <c r="P158" s="62">
        <v>5000</v>
      </c>
      <c r="Q158" s="62">
        <v>0</v>
      </c>
      <c r="R158" s="36">
        <f t="shared" si="124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7"/>
        <v>34666.659999999996</v>
      </c>
      <c r="X158" s="36">
        <v>28703.431000000004</v>
      </c>
      <c r="Y158" s="36">
        <f t="shared" si="115"/>
        <v>28703.431000000004</v>
      </c>
      <c r="Z158" s="27">
        <f>25000</f>
        <v>25000</v>
      </c>
      <c r="AA158" s="27"/>
    </row>
    <row r="159" spans="1:27" ht="20.100000000000001" customHeight="1">
      <c r="A159" s="33">
        <v>33</v>
      </c>
      <c r="B159" s="264" t="s">
        <v>298</v>
      </c>
      <c r="C159" s="264"/>
      <c r="D159" s="61" t="s">
        <v>296</v>
      </c>
      <c r="E159" s="66" t="s">
        <v>507</v>
      </c>
      <c r="F159" s="62">
        <f t="shared" si="128"/>
        <v>5598.92</v>
      </c>
      <c r="G159" s="27"/>
      <c r="H159" s="62">
        <f t="shared" si="118"/>
        <v>16796.760000000002</v>
      </c>
      <c r="I159" s="62">
        <f t="shared" si="119"/>
        <v>419.91899999999998</v>
      </c>
      <c r="J159" s="62">
        <v>0</v>
      </c>
      <c r="K159" s="62">
        <f t="shared" si="120"/>
        <v>2799.46</v>
      </c>
      <c r="L159" s="36">
        <f t="shared" si="121"/>
        <v>19596.22</v>
      </c>
      <c r="M159" s="62">
        <f t="shared" si="126"/>
        <v>5598.92</v>
      </c>
      <c r="N159" s="36">
        <f>4000</f>
        <v>4000</v>
      </c>
      <c r="O159" s="62">
        <f t="shared" si="127"/>
        <v>559.89200000000005</v>
      </c>
      <c r="P159" s="62">
        <v>5000</v>
      </c>
      <c r="Q159" s="62">
        <v>0</v>
      </c>
      <c r="R159" s="36">
        <f t="shared" si="124"/>
        <v>60370.091</v>
      </c>
      <c r="S159" s="36">
        <f>3000+3000</f>
        <v>6000</v>
      </c>
      <c r="T159" s="36">
        <f>13750+15000</f>
        <v>28750</v>
      </c>
      <c r="U159" s="36"/>
      <c r="V159" s="36">
        <v>236.04</v>
      </c>
      <c r="W159" s="36">
        <f t="shared" si="117"/>
        <v>34986.04</v>
      </c>
      <c r="X159" s="36">
        <v>40384.050999999999</v>
      </c>
      <c r="Y159" s="36">
        <f t="shared" si="115"/>
        <v>25384.050999999999</v>
      </c>
      <c r="Z159" s="27">
        <f>25000</f>
        <v>25000</v>
      </c>
      <c r="AA159" s="27"/>
    </row>
    <row r="160" spans="1:27" ht="20.100000000000001" customHeight="1">
      <c r="A160" s="33">
        <v>34</v>
      </c>
      <c r="B160" s="264" t="s">
        <v>299</v>
      </c>
      <c r="C160" s="264"/>
      <c r="D160" s="61" t="s">
        <v>296</v>
      </c>
      <c r="E160" s="66" t="s">
        <v>507</v>
      </c>
      <c r="F160" s="62">
        <f t="shared" si="128"/>
        <v>5598.92</v>
      </c>
      <c r="G160" s="27"/>
      <c r="H160" s="62">
        <f t="shared" si="118"/>
        <v>16796.760000000002</v>
      </c>
      <c r="I160" s="62">
        <f t="shared" si="119"/>
        <v>419.91899999999998</v>
      </c>
      <c r="J160" s="62">
        <v>0</v>
      </c>
      <c r="K160" s="62">
        <f t="shared" si="120"/>
        <v>2799.46</v>
      </c>
      <c r="L160" s="36">
        <f t="shared" si="121"/>
        <v>19596.22</v>
      </c>
      <c r="M160" s="62">
        <f t="shared" si="126"/>
        <v>5598.92</v>
      </c>
      <c r="N160" s="36">
        <f>4000</f>
        <v>4000</v>
      </c>
      <c r="O160" s="62">
        <f t="shared" si="127"/>
        <v>559.89200000000005</v>
      </c>
      <c r="P160" s="62">
        <v>5000</v>
      </c>
      <c r="Q160" s="62">
        <v>0</v>
      </c>
      <c r="R160" s="36">
        <f t="shared" si="124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7"/>
        <v>22965.21</v>
      </c>
      <c r="X160" s="36">
        <v>37404.881000000001</v>
      </c>
      <c r="Y160" s="36">
        <f t="shared" si="115"/>
        <v>37404.881000000001</v>
      </c>
      <c r="Z160" s="27">
        <f>25000</f>
        <v>25000</v>
      </c>
      <c r="AA160" s="27"/>
    </row>
    <row r="161" spans="1:27" ht="20.100000000000001" customHeight="1">
      <c r="A161" s="33">
        <v>35</v>
      </c>
      <c r="B161" s="33" t="s">
        <v>300</v>
      </c>
      <c r="C161" s="33"/>
      <c r="D161" s="61" t="s">
        <v>296</v>
      </c>
      <c r="E161" s="66" t="s">
        <v>507</v>
      </c>
      <c r="F161" s="62">
        <f t="shared" si="128"/>
        <v>5598.92</v>
      </c>
      <c r="G161" s="27"/>
      <c r="H161" s="62">
        <f t="shared" si="118"/>
        <v>16796.760000000002</v>
      </c>
      <c r="I161" s="62">
        <f t="shared" si="119"/>
        <v>419.91899999999998</v>
      </c>
      <c r="J161" s="62">
        <v>0</v>
      </c>
      <c r="K161" s="62">
        <f t="shared" si="120"/>
        <v>2799.46</v>
      </c>
      <c r="L161" s="36">
        <f t="shared" si="121"/>
        <v>19596.22</v>
      </c>
      <c r="M161" s="62">
        <f>F160*100%</f>
        <v>5598.92</v>
      </c>
      <c r="N161" s="36">
        <f>7000</f>
        <v>7000</v>
      </c>
      <c r="O161" s="62">
        <f t="shared" si="127"/>
        <v>559.89200000000005</v>
      </c>
      <c r="P161" s="62">
        <v>5000</v>
      </c>
      <c r="Q161" s="62">
        <v>0</v>
      </c>
      <c r="R161" s="36">
        <f t="shared" si="124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7"/>
        <v>34236.04</v>
      </c>
      <c r="X161" s="36">
        <v>29134.050999999999</v>
      </c>
      <c r="Y161" s="36">
        <f t="shared" si="115"/>
        <v>29134.050999999999</v>
      </c>
      <c r="Z161" s="27">
        <f>25000</f>
        <v>25000</v>
      </c>
      <c r="AA161" s="27"/>
    </row>
    <row r="162" spans="1:27" ht="20.100000000000001" customHeight="1">
      <c r="A162" s="33">
        <v>36</v>
      </c>
      <c r="B162" s="257" t="s">
        <v>301</v>
      </c>
      <c r="C162" s="258"/>
      <c r="D162" s="61" t="s">
        <v>296</v>
      </c>
      <c r="E162" s="66" t="s">
        <v>507</v>
      </c>
      <c r="F162" s="62">
        <f t="shared" si="128"/>
        <v>5598.92</v>
      </c>
      <c r="G162" s="27"/>
      <c r="H162" s="62">
        <f t="shared" si="118"/>
        <v>16796.760000000002</v>
      </c>
      <c r="I162" s="62">
        <f t="shared" si="119"/>
        <v>419.91899999999998</v>
      </c>
      <c r="J162" s="62"/>
      <c r="K162" s="62">
        <f t="shared" si="120"/>
        <v>2799.46</v>
      </c>
      <c r="L162" s="36">
        <f t="shared" si="121"/>
        <v>19596.22</v>
      </c>
      <c r="M162" s="62">
        <f t="shared" ref="M162:M178" si="129">F162*100%</f>
        <v>5598.92</v>
      </c>
      <c r="N162" s="36">
        <f>4000</f>
        <v>4000</v>
      </c>
      <c r="O162" s="62">
        <f t="shared" si="127"/>
        <v>559.89200000000005</v>
      </c>
      <c r="P162" s="62">
        <v>5000</v>
      </c>
      <c r="Q162" s="62">
        <v>0</v>
      </c>
      <c r="R162" s="36">
        <f t="shared" si="124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7"/>
        <v>26986.04</v>
      </c>
      <c r="X162" s="36">
        <v>33384.050999999999</v>
      </c>
      <c r="Y162" s="36">
        <f t="shared" si="115"/>
        <v>33384.050999999999</v>
      </c>
      <c r="Z162" s="27">
        <f>25000</f>
        <v>25000</v>
      </c>
      <c r="AA162" s="27"/>
    </row>
    <row r="163" spans="1:27" ht="20.100000000000001" customHeight="1">
      <c r="A163" s="33">
        <v>37</v>
      </c>
      <c r="B163" s="61" t="s">
        <v>302</v>
      </c>
      <c r="C163" s="33"/>
      <c r="D163" s="61" t="s">
        <v>296</v>
      </c>
      <c r="E163" s="66" t="s">
        <v>507</v>
      </c>
      <c r="F163" s="62">
        <f t="shared" si="128"/>
        <v>5598.92</v>
      </c>
      <c r="G163" s="27"/>
      <c r="H163" s="62">
        <f t="shared" si="118"/>
        <v>16796.760000000002</v>
      </c>
      <c r="I163" s="62">
        <f t="shared" si="119"/>
        <v>419.91899999999998</v>
      </c>
      <c r="J163" s="62"/>
      <c r="K163" s="62">
        <f t="shared" si="120"/>
        <v>2799.46</v>
      </c>
      <c r="L163" s="36">
        <f t="shared" si="121"/>
        <v>19596.22</v>
      </c>
      <c r="M163" s="62">
        <f t="shared" si="129"/>
        <v>5598.92</v>
      </c>
      <c r="N163" s="36">
        <f>4000</f>
        <v>4000</v>
      </c>
      <c r="O163" s="62">
        <f t="shared" si="127"/>
        <v>559.89200000000005</v>
      </c>
      <c r="P163" s="62">
        <v>5000</v>
      </c>
      <c r="Q163" s="62">
        <v>0</v>
      </c>
      <c r="R163" s="36">
        <f t="shared" si="124"/>
        <v>60370.091</v>
      </c>
      <c r="S163" s="36">
        <f>3000+3000</f>
        <v>6000</v>
      </c>
      <c r="T163" s="36">
        <f>9166.67+20000</f>
        <v>29166.67</v>
      </c>
      <c r="U163" s="36"/>
      <c r="V163" s="36">
        <v>236.04</v>
      </c>
      <c r="W163" s="36">
        <f t="shared" si="117"/>
        <v>35402.71</v>
      </c>
      <c r="X163" s="36">
        <v>44967.381000000001</v>
      </c>
      <c r="Y163" s="36">
        <f t="shared" si="115"/>
        <v>24967.381000000001</v>
      </c>
      <c r="Z163" s="27">
        <f>25000</f>
        <v>25000</v>
      </c>
      <c r="AA163" s="27"/>
    </row>
    <row r="164" spans="1:27" ht="20.100000000000001" customHeight="1">
      <c r="A164" s="33">
        <v>38</v>
      </c>
      <c r="B164" s="61" t="s">
        <v>303</v>
      </c>
      <c r="C164" s="33"/>
      <c r="D164" s="61" t="s">
        <v>296</v>
      </c>
      <c r="E164" s="66" t="s">
        <v>507</v>
      </c>
      <c r="F164" s="62">
        <f t="shared" si="128"/>
        <v>5598.92</v>
      </c>
      <c r="G164" s="27"/>
      <c r="H164" s="62">
        <f t="shared" si="118"/>
        <v>16796.760000000002</v>
      </c>
      <c r="I164" s="62">
        <f t="shared" si="119"/>
        <v>419.91899999999998</v>
      </c>
      <c r="J164" s="62"/>
      <c r="K164" s="62">
        <f t="shared" si="120"/>
        <v>2799.46</v>
      </c>
      <c r="L164" s="36">
        <f t="shared" si="121"/>
        <v>19596.22</v>
      </c>
      <c r="M164" s="62">
        <f t="shared" si="129"/>
        <v>5598.92</v>
      </c>
      <c r="N164" s="36">
        <f>7000</f>
        <v>7000</v>
      </c>
      <c r="O164" s="62">
        <f t="shared" si="127"/>
        <v>559.89200000000005</v>
      </c>
      <c r="P164" s="62">
        <v>5000</v>
      </c>
      <c r="Q164" s="62">
        <v>0</v>
      </c>
      <c r="R164" s="36">
        <f t="shared" si="124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7"/>
        <v>35597.15</v>
      </c>
      <c r="X164" s="36">
        <v>27772.940999999999</v>
      </c>
      <c r="Y164" s="36">
        <f t="shared" si="115"/>
        <v>27772.940999999999</v>
      </c>
      <c r="Z164" s="27">
        <f>25000</f>
        <v>25000</v>
      </c>
      <c r="AA164" s="27"/>
    </row>
    <row r="165" spans="1:27" ht="20.100000000000001" customHeight="1">
      <c r="A165" s="33">
        <v>39</v>
      </c>
      <c r="B165" s="257" t="s">
        <v>304</v>
      </c>
      <c r="C165" s="258"/>
      <c r="D165" s="61" t="s">
        <v>296</v>
      </c>
      <c r="E165" s="66" t="s">
        <v>310</v>
      </c>
      <c r="F165" s="62">
        <f>5086.76</f>
        <v>5086.76</v>
      </c>
      <c r="G165" s="27"/>
      <c r="H165" s="62">
        <f t="shared" si="118"/>
        <v>15260.28</v>
      </c>
      <c r="I165" s="62">
        <f t="shared" si="119"/>
        <v>381.50700000000001</v>
      </c>
      <c r="J165" s="62"/>
      <c r="K165" s="62">
        <f t="shared" si="120"/>
        <v>2543.38</v>
      </c>
      <c r="L165" s="36">
        <f t="shared" si="121"/>
        <v>17803.66</v>
      </c>
      <c r="M165" s="62">
        <f t="shared" si="129"/>
        <v>5086.76</v>
      </c>
      <c r="N165" s="36">
        <f>7000</f>
        <v>7000</v>
      </c>
      <c r="O165" s="62">
        <f t="shared" si="127"/>
        <v>508.67600000000004</v>
      </c>
      <c r="P165" s="62">
        <v>5000</v>
      </c>
      <c r="Q165" s="62">
        <v>0</v>
      </c>
      <c r="R165" s="36">
        <f t="shared" si="124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7"/>
        <v>26361.040000000001</v>
      </c>
      <c r="X165" s="36">
        <v>32309.983</v>
      </c>
      <c r="Y165" s="36">
        <f t="shared" si="115"/>
        <v>32309.983</v>
      </c>
      <c r="Z165" s="27">
        <f>25000</f>
        <v>25000</v>
      </c>
      <c r="AA165" s="27"/>
    </row>
    <row r="166" spans="1:27" ht="20.100000000000001" customHeight="1">
      <c r="A166" s="33">
        <v>40</v>
      </c>
      <c r="B166" s="257" t="s">
        <v>306</v>
      </c>
      <c r="C166" s="258"/>
      <c r="D166" s="61" t="s">
        <v>296</v>
      </c>
      <c r="E166" s="66" t="s">
        <v>310</v>
      </c>
      <c r="F166" s="62">
        <f>5086.76</f>
        <v>5086.76</v>
      </c>
      <c r="G166" s="27"/>
      <c r="H166" s="62">
        <f t="shared" si="118"/>
        <v>15260.28</v>
      </c>
      <c r="I166" s="62">
        <f t="shared" si="119"/>
        <v>381.50700000000001</v>
      </c>
      <c r="J166" s="62"/>
      <c r="K166" s="62">
        <f t="shared" si="120"/>
        <v>2543.38</v>
      </c>
      <c r="L166" s="36">
        <f t="shared" si="121"/>
        <v>17803.66</v>
      </c>
      <c r="M166" s="62">
        <f t="shared" si="129"/>
        <v>5086.76</v>
      </c>
      <c r="N166" s="36">
        <f>7000</f>
        <v>7000</v>
      </c>
      <c r="O166" s="62">
        <f t="shared" si="127"/>
        <v>508.67600000000004</v>
      </c>
      <c r="P166" s="62">
        <v>5000</v>
      </c>
      <c r="Q166" s="62">
        <v>0</v>
      </c>
      <c r="R166" s="36">
        <f t="shared" si="124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7"/>
        <v>31569.370000000003</v>
      </c>
      <c r="X166" s="36">
        <v>27101.652999999998</v>
      </c>
      <c r="Y166" s="36">
        <f t="shared" si="115"/>
        <v>27101.652999999998</v>
      </c>
      <c r="Z166" s="27">
        <f>25000</f>
        <v>25000</v>
      </c>
      <c r="AA166" s="27"/>
    </row>
    <row r="167" spans="1:27" ht="20.100000000000001" customHeight="1">
      <c r="A167" s="33">
        <v>41</v>
      </c>
      <c r="B167" s="61" t="s">
        <v>307</v>
      </c>
      <c r="C167" s="33"/>
      <c r="D167" s="61" t="s">
        <v>296</v>
      </c>
      <c r="E167" s="66" t="s">
        <v>305</v>
      </c>
      <c r="F167" s="62">
        <f>5257.44</f>
        <v>5257.44</v>
      </c>
      <c r="G167" s="27"/>
      <c r="H167" s="62">
        <f t="shared" si="118"/>
        <v>15772.32</v>
      </c>
      <c r="I167" s="62">
        <f t="shared" si="119"/>
        <v>394.30799999999994</v>
      </c>
      <c r="J167" s="62"/>
      <c r="K167" s="62">
        <f t="shared" si="120"/>
        <v>2628.72</v>
      </c>
      <c r="L167" s="36">
        <f t="shared" si="121"/>
        <v>18401.039999999997</v>
      </c>
      <c r="M167" s="62">
        <f t="shared" si="129"/>
        <v>5257.44</v>
      </c>
      <c r="N167" s="36">
        <f>7000</f>
        <v>7000</v>
      </c>
      <c r="O167" s="62">
        <f t="shared" si="127"/>
        <v>525.74400000000003</v>
      </c>
      <c r="P167" s="62">
        <v>5000</v>
      </c>
      <c r="Q167" s="62">
        <v>0</v>
      </c>
      <c r="R167" s="36">
        <f t="shared" si="124"/>
        <v>60237.011999999995</v>
      </c>
      <c r="S167" s="36">
        <f>3000+3000</f>
        <v>6000</v>
      </c>
      <c r="T167" s="36">
        <f>25000+15000</f>
        <v>40000</v>
      </c>
      <c r="U167" s="36"/>
      <c r="V167" s="36">
        <v>236.04</v>
      </c>
      <c r="W167" s="36">
        <f t="shared" si="117"/>
        <v>46236.04</v>
      </c>
      <c r="X167" s="36">
        <v>29000.971999999994</v>
      </c>
      <c r="Y167" s="36">
        <f t="shared" si="115"/>
        <v>14000.971999999994</v>
      </c>
      <c r="Z167" s="27">
        <f>25000</f>
        <v>25000</v>
      </c>
      <c r="AA167" s="27"/>
    </row>
    <row r="168" spans="1:27" ht="20.100000000000001" customHeight="1">
      <c r="A168" s="33">
        <v>42</v>
      </c>
      <c r="B168" s="257" t="s">
        <v>309</v>
      </c>
      <c r="C168" s="258"/>
      <c r="D168" s="61" t="s">
        <v>296</v>
      </c>
      <c r="E168" s="66" t="s">
        <v>323</v>
      </c>
      <c r="F168" s="62">
        <f>4915.97</f>
        <v>4915.97</v>
      </c>
      <c r="G168" s="27"/>
      <c r="H168" s="62">
        <f t="shared" si="118"/>
        <v>14747.91</v>
      </c>
      <c r="I168" s="62">
        <f t="shared" si="119"/>
        <v>368.69774999999998</v>
      </c>
      <c r="J168" s="62"/>
      <c r="K168" s="62">
        <f t="shared" si="120"/>
        <v>2457.9850000000001</v>
      </c>
      <c r="L168" s="36">
        <f t="shared" si="121"/>
        <v>17205.895</v>
      </c>
      <c r="M168" s="62">
        <f t="shared" si="129"/>
        <v>4915.97</v>
      </c>
      <c r="N168" s="36">
        <f>7000</f>
        <v>7000</v>
      </c>
      <c r="O168" s="62">
        <f t="shared" si="127"/>
        <v>491.59700000000004</v>
      </c>
      <c r="P168" s="62">
        <v>5000</v>
      </c>
      <c r="Q168" s="62">
        <v>0</v>
      </c>
      <c r="R168" s="36">
        <f t="shared" si="124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7"/>
        <v>26694.370000000003</v>
      </c>
      <c r="X168" s="36">
        <v>30409.654750000002</v>
      </c>
      <c r="Y168" s="36">
        <f t="shared" si="115"/>
        <v>30409.654750000002</v>
      </c>
      <c r="Z168" s="27">
        <f>25000</f>
        <v>25000</v>
      </c>
      <c r="AA168" s="27"/>
    </row>
    <row r="169" spans="1:27" ht="20.100000000000001" customHeight="1">
      <c r="A169" s="33">
        <v>43</v>
      </c>
      <c r="B169" s="257" t="s">
        <v>311</v>
      </c>
      <c r="C169" s="258"/>
      <c r="D169" s="61" t="s">
        <v>312</v>
      </c>
      <c r="E169" s="66" t="s">
        <v>319</v>
      </c>
      <c r="F169" s="62">
        <f t="shared" ref="F169:F174" si="130">4836.3</f>
        <v>4836.3</v>
      </c>
      <c r="G169" s="27"/>
      <c r="H169" s="62">
        <f t="shared" si="118"/>
        <v>14508.900000000001</v>
      </c>
      <c r="I169" s="62">
        <f t="shared" si="119"/>
        <v>362.72250000000003</v>
      </c>
      <c r="J169" s="62"/>
      <c r="K169" s="62">
        <f t="shared" si="120"/>
        <v>2418.15</v>
      </c>
      <c r="L169" s="36">
        <f t="shared" si="121"/>
        <v>16927.05</v>
      </c>
      <c r="M169" s="62">
        <f t="shared" si="129"/>
        <v>4836.3</v>
      </c>
      <c r="N169" s="36">
        <f>7000</f>
        <v>7000</v>
      </c>
      <c r="O169" s="62">
        <f t="shared" si="127"/>
        <v>483.63000000000005</v>
      </c>
      <c r="P169" s="62">
        <v>5000</v>
      </c>
      <c r="Q169" s="62">
        <v>0</v>
      </c>
      <c r="R169" s="36">
        <f t="shared" si="124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7"/>
        <v>23236.04</v>
      </c>
      <c r="X169" s="36">
        <v>48137.012499999997</v>
      </c>
      <c r="Y169" s="36">
        <f t="shared" si="115"/>
        <v>33137.012499999997</v>
      </c>
      <c r="Z169" s="27">
        <f>25000</f>
        <v>25000</v>
      </c>
      <c r="AA169" s="27"/>
    </row>
    <row r="170" spans="1:27" ht="20.100000000000001" customHeight="1">
      <c r="A170" s="33">
        <v>44</v>
      </c>
      <c r="B170" s="257" t="s">
        <v>314</v>
      </c>
      <c r="C170" s="258"/>
      <c r="D170" s="61" t="s">
        <v>312</v>
      </c>
      <c r="E170" s="66" t="s">
        <v>319</v>
      </c>
      <c r="F170" s="62">
        <f t="shared" si="130"/>
        <v>4836.3</v>
      </c>
      <c r="G170" s="27"/>
      <c r="H170" s="62">
        <f t="shared" si="118"/>
        <v>14508.900000000001</v>
      </c>
      <c r="I170" s="62">
        <f t="shared" si="119"/>
        <v>362.72250000000003</v>
      </c>
      <c r="J170" s="62"/>
      <c r="K170" s="62">
        <f t="shared" si="120"/>
        <v>2418.15</v>
      </c>
      <c r="L170" s="36">
        <f t="shared" si="121"/>
        <v>16927.05</v>
      </c>
      <c r="M170" s="62">
        <f t="shared" si="129"/>
        <v>4836.3</v>
      </c>
      <c r="N170" s="36">
        <f>4000</f>
        <v>4000</v>
      </c>
      <c r="O170" s="62">
        <f t="shared" si="127"/>
        <v>483.63000000000005</v>
      </c>
      <c r="P170" s="62">
        <v>5000</v>
      </c>
      <c r="Q170" s="62">
        <v>0</v>
      </c>
      <c r="R170" s="36">
        <f t="shared" si="124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7"/>
        <v>43791.6</v>
      </c>
      <c r="X170" s="36">
        <v>15137.012499999997</v>
      </c>
      <c r="Y170" s="36">
        <f t="shared" si="115"/>
        <v>9581.4524999999994</v>
      </c>
      <c r="Z170" s="27">
        <f>25000</f>
        <v>25000</v>
      </c>
      <c r="AA170" s="27"/>
    </row>
    <row r="171" spans="1:27" ht="20.100000000000001" customHeight="1">
      <c r="A171" s="33">
        <v>45</v>
      </c>
      <c r="B171" s="257" t="s">
        <v>315</v>
      </c>
      <c r="C171" s="258"/>
      <c r="D171" s="61" t="s">
        <v>312</v>
      </c>
      <c r="E171" s="66" t="s">
        <v>319</v>
      </c>
      <c r="F171" s="62">
        <f t="shared" si="130"/>
        <v>4836.3</v>
      </c>
      <c r="G171" s="27"/>
      <c r="H171" s="62">
        <f t="shared" si="118"/>
        <v>14508.900000000001</v>
      </c>
      <c r="I171" s="62">
        <f t="shared" si="119"/>
        <v>362.72250000000003</v>
      </c>
      <c r="J171" s="62"/>
      <c r="K171" s="62">
        <f t="shared" si="120"/>
        <v>2418.15</v>
      </c>
      <c r="L171" s="36">
        <f t="shared" si="121"/>
        <v>16927.05</v>
      </c>
      <c r="M171" s="62">
        <f t="shared" si="129"/>
        <v>4836.3</v>
      </c>
      <c r="N171" s="36">
        <f>7000</f>
        <v>7000</v>
      </c>
      <c r="O171" s="62">
        <f t="shared" si="127"/>
        <v>483.63000000000005</v>
      </c>
      <c r="P171" s="62">
        <v>5000</v>
      </c>
      <c r="Q171" s="62">
        <v>0</v>
      </c>
      <c r="R171" s="36">
        <f t="shared" si="124"/>
        <v>56373.052499999998</v>
      </c>
      <c r="S171" s="36">
        <f>5000+3000</f>
        <v>8000</v>
      </c>
      <c r="T171" s="36">
        <f>30087.22+5000</f>
        <v>35087.22</v>
      </c>
      <c r="U171" s="36"/>
      <c r="V171" s="36">
        <v>236.04</v>
      </c>
      <c r="W171" s="36">
        <f t="shared" si="117"/>
        <v>43323.26</v>
      </c>
      <c r="X171" s="36">
        <v>18049.792499999996</v>
      </c>
      <c r="Y171" s="36">
        <f t="shared" si="115"/>
        <v>13049.792499999996</v>
      </c>
      <c r="Z171" s="27">
        <f>25000</f>
        <v>25000</v>
      </c>
      <c r="AA171" s="27"/>
    </row>
    <row r="172" spans="1:27" ht="20.100000000000001" customHeight="1">
      <c r="A172" s="33">
        <v>46</v>
      </c>
      <c r="B172" s="257" t="s">
        <v>316</v>
      </c>
      <c r="C172" s="258"/>
      <c r="D172" s="61" t="s">
        <v>312</v>
      </c>
      <c r="E172" s="66" t="s">
        <v>319</v>
      </c>
      <c r="F172" s="62">
        <f t="shared" si="130"/>
        <v>4836.3</v>
      </c>
      <c r="G172" s="27"/>
      <c r="H172" s="62">
        <f t="shared" si="118"/>
        <v>14508.900000000001</v>
      </c>
      <c r="I172" s="62">
        <f t="shared" si="119"/>
        <v>362.72250000000003</v>
      </c>
      <c r="J172" s="62"/>
      <c r="K172" s="62">
        <f t="shared" si="120"/>
        <v>2418.15</v>
      </c>
      <c r="L172" s="36">
        <f t="shared" si="121"/>
        <v>16927.05</v>
      </c>
      <c r="M172" s="62">
        <f t="shared" si="129"/>
        <v>4836.3</v>
      </c>
      <c r="N172" s="36">
        <f>4000</f>
        <v>4000</v>
      </c>
      <c r="O172" s="62">
        <f t="shared" si="127"/>
        <v>483.63000000000005</v>
      </c>
      <c r="P172" s="62">
        <v>5000</v>
      </c>
      <c r="Q172" s="62">
        <v>0</v>
      </c>
      <c r="R172" s="36">
        <f t="shared" si="124"/>
        <v>53373.052499999998</v>
      </c>
      <c r="S172" s="36">
        <f>10000+3000</f>
        <v>13000</v>
      </c>
      <c r="T172" s="36">
        <f>8416.67+15000</f>
        <v>23416.67</v>
      </c>
      <c r="U172" s="36"/>
      <c r="V172" s="36">
        <v>236.04</v>
      </c>
      <c r="W172" s="36">
        <f t="shared" si="117"/>
        <v>36652.71</v>
      </c>
      <c r="X172" s="36">
        <v>31720.342499999999</v>
      </c>
      <c r="Y172" s="36">
        <f t="shared" si="115"/>
        <v>16720.342499999999</v>
      </c>
      <c r="Z172" s="27">
        <f>25000</f>
        <v>25000</v>
      </c>
      <c r="AA172" s="27"/>
    </row>
    <row r="173" spans="1:27" ht="20.100000000000001" customHeight="1">
      <c r="A173" s="33">
        <v>47</v>
      </c>
      <c r="B173" s="257" t="s">
        <v>508</v>
      </c>
      <c r="C173" s="258"/>
      <c r="D173" s="61" t="s">
        <v>312</v>
      </c>
      <c r="E173" s="66" t="s">
        <v>319</v>
      </c>
      <c r="F173" s="62">
        <f t="shared" si="130"/>
        <v>4836.3</v>
      </c>
      <c r="G173" s="27"/>
      <c r="H173" s="62">
        <f t="shared" si="118"/>
        <v>14508.900000000001</v>
      </c>
      <c r="I173" s="62">
        <f t="shared" si="119"/>
        <v>362.72250000000003</v>
      </c>
      <c r="J173" s="62"/>
      <c r="K173" s="62">
        <f t="shared" si="120"/>
        <v>2418.15</v>
      </c>
      <c r="L173" s="36">
        <f t="shared" si="121"/>
        <v>16927.05</v>
      </c>
      <c r="M173" s="62">
        <f t="shared" si="129"/>
        <v>4836.3</v>
      </c>
      <c r="N173" s="36">
        <f>7000</f>
        <v>7000</v>
      </c>
      <c r="O173" s="62">
        <f t="shared" si="127"/>
        <v>483.63000000000005</v>
      </c>
      <c r="P173" s="62">
        <v>5000</v>
      </c>
      <c r="Q173" s="62">
        <v>0</v>
      </c>
      <c r="R173" s="36">
        <f t="shared" si="124"/>
        <v>56373.052499999998</v>
      </c>
      <c r="S173" s="36">
        <f>5000+3000</f>
        <v>8000</v>
      </c>
      <c r="T173" s="36">
        <f>13750+15000</f>
        <v>28750</v>
      </c>
      <c r="U173" s="36">
        <v>0</v>
      </c>
      <c r="V173" s="36">
        <v>236.04</v>
      </c>
      <c r="W173" s="36">
        <f t="shared" si="117"/>
        <v>36986.04</v>
      </c>
      <c r="X173" s="36">
        <v>34387.012499999997</v>
      </c>
      <c r="Y173" s="36">
        <f t="shared" si="115"/>
        <v>19387.012499999997</v>
      </c>
      <c r="Z173" s="27">
        <f>25000</f>
        <v>25000</v>
      </c>
      <c r="AA173" s="27"/>
    </row>
    <row r="174" spans="1:27" ht="20.100000000000001" customHeight="1">
      <c r="A174" s="33">
        <v>48</v>
      </c>
      <c r="B174" s="257" t="s">
        <v>317</v>
      </c>
      <c r="C174" s="258"/>
      <c r="D174" s="61" t="s">
        <v>312</v>
      </c>
      <c r="E174" s="66" t="s">
        <v>319</v>
      </c>
      <c r="F174" s="62">
        <f t="shared" si="130"/>
        <v>4836.3</v>
      </c>
      <c r="G174" s="27"/>
      <c r="H174" s="62">
        <f t="shared" si="118"/>
        <v>14508.900000000001</v>
      </c>
      <c r="I174" s="62">
        <f t="shared" si="119"/>
        <v>362.72250000000003</v>
      </c>
      <c r="J174" s="62"/>
      <c r="K174" s="62">
        <f t="shared" si="120"/>
        <v>2418.15</v>
      </c>
      <c r="L174" s="36">
        <f t="shared" si="121"/>
        <v>16927.05</v>
      </c>
      <c r="M174" s="62">
        <f t="shared" si="129"/>
        <v>4836.3</v>
      </c>
      <c r="N174" s="36">
        <f>7000</f>
        <v>7000</v>
      </c>
      <c r="O174" s="62">
        <f t="shared" si="127"/>
        <v>483.63000000000005</v>
      </c>
      <c r="P174" s="62">
        <v>5000</v>
      </c>
      <c r="Q174" s="62">
        <v>0</v>
      </c>
      <c r="R174" s="36">
        <f t="shared" si="124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7"/>
        <v>8786.6</v>
      </c>
      <c r="X174" s="36">
        <v>47586.452499999999</v>
      </c>
      <c r="Y174" s="36">
        <f t="shared" si="115"/>
        <v>47586.452499999999</v>
      </c>
      <c r="Z174" s="27">
        <f>25000</f>
        <v>25000</v>
      </c>
      <c r="AA174" s="27"/>
    </row>
    <row r="175" spans="1:27" ht="20.100000000000001" customHeight="1">
      <c r="A175" s="33">
        <v>49</v>
      </c>
      <c r="B175" s="259" t="s">
        <v>318</v>
      </c>
      <c r="C175" s="260"/>
      <c r="D175" s="61" t="s">
        <v>312</v>
      </c>
      <c r="E175" s="66" t="s">
        <v>509</v>
      </c>
      <c r="F175" s="62">
        <f>4395.43</f>
        <v>4395.43</v>
      </c>
      <c r="G175" s="27"/>
      <c r="H175" s="62">
        <f t="shared" si="118"/>
        <v>13186.29</v>
      </c>
      <c r="I175" s="62">
        <f t="shared" si="119"/>
        <v>329.65725000000003</v>
      </c>
      <c r="J175" s="62"/>
      <c r="K175" s="62">
        <f t="shared" si="120"/>
        <v>2197.7150000000001</v>
      </c>
      <c r="L175" s="36">
        <f t="shared" si="121"/>
        <v>15384.005000000001</v>
      </c>
      <c r="M175" s="62">
        <f t="shared" si="129"/>
        <v>4395.43</v>
      </c>
      <c r="N175" s="36">
        <f>7000</f>
        <v>7000</v>
      </c>
      <c r="O175" s="62">
        <f t="shared" si="127"/>
        <v>439.54300000000006</v>
      </c>
      <c r="P175" s="62">
        <v>5000</v>
      </c>
      <c r="Q175" s="62">
        <v>0</v>
      </c>
      <c r="R175" s="36">
        <f>SUM(F175:Q175)</f>
        <v>52328.070250000004</v>
      </c>
      <c r="S175" s="36">
        <f>5000+3000</f>
        <v>8000</v>
      </c>
      <c r="T175" s="36">
        <f>10000</f>
        <v>10000</v>
      </c>
      <c r="U175" s="36"/>
      <c r="V175" s="36">
        <v>236.04</v>
      </c>
      <c r="W175" s="36">
        <f t="shared" si="117"/>
        <v>18236.04</v>
      </c>
      <c r="X175" s="36">
        <v>34092.030250000003</v>
      </c>
      <c r="Y175" s="36">
        <f t="shared" si="115"/>
        <v>34092.030250000003</v>
      </c>
      <c r="Z175" s="27">
        <f>25000</f>
        <v>25000</v>
      </c>
      <c r="AA175" s="27"/>
    </row>
    <row r="176" spans="1:27" ht="20.100000000000001" customHeight="1">
      <c r="A176" s="33">
        <v>50</v>
      </c>
      <c r="B176" s="261" t="s">
        <v>320</v>
      </c>
      <c r="C176" s="262"/>
      <c r="D176" s="61" t="s">
        <v>312</v>
      </c>
      <c r="E176" s="66" t="s">
        <v>509</v>
      </c>
      <c r="F176" s="62">
        <f>4395.43</f>
        <v>4395.43</v>
      </c>
      <c r="G176" s="27"/>
      <c r="H176" s="62">
        <f t="shared" si="118"/>
        <v>13186.29</v>
      </c>
      <c r="I176" s="62">
        <f t="shared" si="119"/>
        <v>329.65725000000003</v>
      </c>
      <c r="J176" s="62"/>
      <c r="K176" s="62">
        <f t="shared" si="120"/>
        <v>2197.7150000000001</v>
      </c>
      <c r="L176" s="36">
        <f t="shared" si="121"/>
        <v>15384.005000000001</v>
      </c>
      <c r="M176" s="62">
        <f t="shared" si="129"/>
        <v>4395.43</v>
      </c>
      <c r="N176" s="36">
        <f>7000</f>
        <v>7000</v>
      </c>
      <c r="O176" s="62">
        <f t="shared" si="127"/>
        <v>439.54300000000006</v>
      </c>
      <c r="P176" s="62">
        <v>5000</v>
      </c>
      <c r="Q176" s="62">
        <v>0</v>
      </c>
      <c r="R176" s="36">
        <f t="shared" si="124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7"/>
        <v>22458.1</v>
      </c>
      <c r="X176" s="36">
        <v>29869.970250000006</v>
      </c>
      <c r="Y176" s="36">
        <f t="shared" si="115"/>
        <v>29869.970250000006</v>
      </c>
      <c r="Z176" s="27">
        <f>25000</f>
        <v>25000</v>
      </c>
      <c r="AA176" s="27"/>
    </row>
    <row r="177" spans="1:27" ht="20.100000000000001" customHeight="1">
      <c r="A177" s="33">
        <v>51</v>
      </c>
      <c r="B177" s="102" t="s">
        <v>321</v>
      </c>
      <c r="C177" s="90"/>
      <c r="D177" s="61" t="s">
        <v>312</v>
      </c>
      <c r="E177" s="66" t="s">
        <v>509</v>
      </c>
      <c r="F177" s="62">
        <f>4395.43</f>
        <v>4395.43</v>
      </c>
      <c r="G177" s="27"/>
      <c r="H177" s="62">
        <f t="shared" si="118"/>
        <v>13186.29</v>
      </c>
      <c r="I177" s="62">
        <f t="shared" si="119"/>
        <v>329.65725000000003</v>
      </c>
      <c r="J177" s="62"/>
      <c r="K177" s="62">
        <f t="shared" si="120"/>
        <v>2197.7150000000001</v>
      </c>
      <c r="L177" s="36">
        <f t="shared" si="121"/>
        <v>15384.005000000001</v>
      </c>
      <c r="M177" s="62">
        <f t="shared" si="129"/>
        <v>4395.43</v>
      </c>
      <c r="N177" s="36">
        <f>4000</f>
        <v>4000</v>
      </c>
      <c r="O177" s="62">
        <f t="shared" si="127"/>
        <v>439.54300000000006</v>
      </c>
      <c r="P177" s="62">
        <v>5000</v>
      </c>
      <c r="Q177" s="62">
        <v>0</v>
      </c>
      <c r="R177" s="36">
        <f t="shared" si="124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7"/>
        <v>40736.04</v>
      </c>
      <c r="X177" s="36">
        <v>8592.0302500000034</v>
      </c>
      <c r="Y177" s="36">
        <f t="shared" si="115"/>
        <v>8592.0302500000034</v>
      </c>
      <c r="Z177" s="27">
        <f>25000</f>
        <v>25000</v>
      </c>
      <c r="AA177" s="27"/>
    </row>
    <row r="178" spans="1:27" ht="20.100000000000001" customHeight="1">
      <c r="A178" s="33">
        <v>52</v>
      </c>
      <c r="B178" s="102" t="s">
        <v>322</v>
      </c>
      <c r="C178" s="90"/>
      <c r="D178" s="61" t="s">
        <v>312</v>
      </c>
      <c r="E178" s="66" t="s">
        <v>510</v>
      </c>
      <c r="F178" s="62">
        <f>4101.58</f>
        <v>4101.58</v>
      </c>
      <c r="G178" s="27"/>
      <c r="H178" s="62">
        <f t="shared" si="118"/>
        <v>12304.74</v>
      </c>
      <c r="I178" s="62">
        <f t="shared" si="119"/>
        <v>307.61849999999998</v>
      </c>
      <c r="J178" s="62"/>
      <c r="K178" s="62">
        <f t="shared" si="120"/>
        <v>2050.79</v>
      </c>
      <c r="L178" s="36">
        <f t="shared" si="121"/>
        <v>14355.529999999999</v>
      </c>
      <c r="M178" s="62">
        <f t="shared" si="129"/>
        <v>4101.58</v>
      </c>
      <c r="N178" s="36">
        <f>4000</f>
        <v>4000</v>
      </c>
      <c r="O178" s="62">
        <f t="shared" si="127"/>
        <v>410.15800000000002</v>
      </c>
      <c r="P178" s="62">
        <v>5000</v>
      </c>
      <c r="Q178" s="62">
        <v>0</v>
      </c>
      <c r="R178" s="36">
        <f t="shared" si="124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7"/>
        <v>236.04</v>
      </c>
      <c r="X178" s="36">
        <v>46395.9565</v>
      </c>
      <c r="Y178" s="36">
        <f t="shared" si="115"/>
        <v>46395.9565</v>
      </c>
      <c r="Z178" s="27">
        <f>25000</f>
        <v>25000</v>
      </c>
      <c r="AA178" s="27"/>
    </row>
    <row r="179" spans="1:27" ht="20.100000000000001" customHeight="1">
      <c r="A179" s="33"/>
      <c r="B179" s="48" t="s">
        <v>34</v>
      </c>
      <c r="D179" s="49" t="s">
        <v>519</v>
      </c>
      <c r="E179" s="37"/>
      <c r="F179" s="39">
        <f>SUM(F127:F178)</f>
        <v>768088.11000000092</v>
      </c>
      <c r="G179" s="39"/>
      <c r="H179" s="39">
        <f t="shared" ref="H179:Y179" si="131">SUM(H127:H178)</f>
        <v>2304264.3299999996</v>
      </c>
      <c r="I179" s="39">
        <f t="shared" si="131"/>
        <v>57606.60824999999</v>
      </c>
      <c r="J179" s="39">
        <f t="shared" si="131"/>
        <v>240733.14</v>
      </c>
      <c r="K179" s="39">
        <f t="shared" si="131"/>
        <v>384044.05500000046</v>
      </c>
      <c r="L179" s="39">
        <f t="shared" si="131"/>
        <v>2688308.3850000016</v>
      </c>
      <c r="M179" s="39">
        <f t="shared" si="131"/>
        <v>768088.11000000092</v>
      </c>
      <c r="N179" s="39">
        <f t="shared" si="131"/>
        <v>154000</v>
      </c>
      <c r="O179" s="39">
        <f t="shared" si="131"/>
        <v>76808.811000000089</v>
      </c>
      <c r="P179" s="39">
        <f t="shared" si="131"/>
        <v>445000</v>
      </c>
      <c r="Q179" s="39">
        <f t="shared" si="131"/>
        <v>50000</v>
      </c>
      <c r="R179" s="39">
        <f t="shared" si="131"/>
        <v>7936941.5492500048</v>
      </c>
      <c r="S179" s="39">
        <f t="shared" si="131"/>
        <v>802500</v>
      </c>
      <c r="T179" s="39">
        <f t="shared" si="131"/>
        <v>1816801.9900000005</v>
      </c>
      <c r="U179" s="39">
        <f t="shared" si="131"/>
        <v>6642.5735000000022</v>
      </c>
      <c r="V179" s="39">
        <f t="shared" si="131"/>
        <v>223339.1300000003</v>
      </c>
      <c r="W179" s="39">
        <f t="shared" si="131"/>
        <v>2849283.6935000005</v>
      </c>
      <c r="X179" s="39">
        <v>5517185.6357500013</v>
      </c>
      <c r="Y179" s="39">
        <f t="shared" si="131"/>
        <v>5087657.8557499992</v>
      </c>
      <c r="Z179" s="134">
        <f>SUM(Z127:Z178)</f>
        <v>2230000</v>
      </c>
      <c r="AA179" s="134"/>
    </row>
    <row r="180" spans="1:27" ht="20.100000000000001" customHeight="1">
      <c r="A180" s="33"/>
      <c r="B180" s="263" t="s">
        <v>520</v>
      </c>
      <c r="C180" s="263"/>
      <c r="D180" s="73">
        <f>D179+D124+D111+D103+D96+D81+D70+D56+D51+D37+D33</f>
        <v>140</v>
      </c>
      <c r="E180" s="40"/>
      <c r="F180" s="41">
        <f t="shared" ref="F180:Z180" si="132">F33+F37+F51+F56+F70+F81+F96+F103+F111+F124+F179</f>
        <v>3576339.8200000008</v>
      </c>
      <c r="G180" s="41">
        <f t="shared" si="132"/>
        <v>0</v>
      </c>
      <c r="H180" s="41">
        <f t="shared" si="132"/>
        <v>10568530.709999999</v>
      </c>
      <c r="I180" s="41">
        <f t="shared" si="132"/>
        <v>304335.46025</v>
      </c>
      <c r="J180" s="41">
        <f t="shared" si="132"/>
        <v>1965987.3100000005</v>
      </c>
      <c r="K180" s="41">
        <f t="shared" si="132"/>
        <v>1780145.4750000003</v>
      </c>
      <c r="L180" s="41">
        <f t="shared" si="132"/>
        <v>11955478.745000003</v>
      </c>
      <c r="M180" s="41">
        <f t="shared" si="132"/>
        <v>3536217.6400000011</v>
      </c>
      <c r="N180" s="41">
        <f t="shared" si="132"/>
        <v>6054000</v>
      </c>
      <c r="O180" s="41">
        <f t="shared" si="132"/>
        <v>357633.98700000008</v>
      </c>
      <c r="P180" s="41">
        <f t="shared" si="132"/>
        <v>1875000</v>
      </c>
      <c r="Q180" s="41">
        <f t="shared" si="132"/>
        <v>1055235</v>
      </c>
      <c r="R180" s="41">
        <f t="shared" si="132"/>
        <v>43028904.147250004</v>
      </c>
      <c r="S180" s="41">
        <f t="shared" si="132"/>
        <v>4235500</v>
      </c>
      <c r="T180" s="41">
        <f t="shared" si="132"/>
        <v>5941019.9400000004</v>
      </c>
      <c r="U180" s="41">
        <f t="shared" si="132"/>
        <v>29328.454500000003</v>
      </c>
      <c r="V180" s="41">
        <f t="shared" si="132"/>
        <v>1480198.7000000002</v>
      </c>
      <c r="W180" s="41">
        <f t="shared" si="132"/>
        <v>11686047.094500002</v>
      </c>
      <c r="X180" s="41">
        <f t="shared" si="132"/>
        <v>31974695.532750003</v>
      </c>
      <c r="Y180" s="41">
        <f t="shared" si="132"/>
        <v>31342857.052749995</v>
      </c>
      <c r="Z180" s="106">
        <f t="shared" si="132"/>
        <v>9030000</v>
      </c>
      <c r="AA180" s="41"/>
    </row>
    <row r="181" spans="1:27" ht="20.100000000000001" customHeight="1">
      <c r="A181" s="33"/>
      <c r="B181" s="256" t="s">
        <v>521</v>
      </c>
      <c r="C181" s="256"/>
      <c r="D181" s="73">
        <v>43</v>
      </c>
      <c r="E181" s="70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27">
        <f>1090000</f>
        <v>1090000</v>
      </c>
      <c r="AA181" s="27"/>
    </row>
    <row r="182" spans="1:27" ht="24" customHeight="1">
      <c r="A182" s="33"/>
      <c r="B182" s="263" t="s">
        <v>328</v>
      </c>
      <c r="C182" s="263"/>
      <c r="D182" s="157">
        <v>183</v>
      </c>
      <c r="E182" s="242"/>
      <c r="F182" s="242"/>
      <c r="G182" s="242"/>
      <c r="H182" s="242"/>
      <c r="I182" s="242"/>
      <c r="J182" s="242"/>
      <c r="K182" s="241" t="s">
        <v>330</v>
      </c>
      <c r="L182" s="241"/>
      <c r="M182" s="241"/>
      <c r="N182" s="40"/>
      <c r="O182" s="241" t="s">
        <v>331</v>
      </c>
      <c r="P182" s="241"/>
      <c r="Q182" s="241"/>
      <c r="R182" s="241"/>
      <c r="S182" s="40"/>
      <c r="T182" s="40"/>
      <c r="U182" s="40"/>
      <c r="V182" s="71"/>
      <c r="W182" s="71"/>
      <c r="X182" s="71"/>
      <c r="Y182" s="71"/>
      <c r="Z182" s="93">
        <f>SUM(Z180:Z181)</f>
        <v>10120000</v>
      </c>
      <c r="AA182" s="156"/>
    </row>
    <row r="183" spans="1:27" ht="20.100000000000001" customHeight="1">
      <c r="A183" s="33"/>
      <c r="B183" s="256"/>
      <c r="C183" s="256"/>
      <c r="D183" s="157"/>
      <c r="E183" s="242"/>
      <c r="F183" s="242"/>
      <c r="G183" s="242"/>
      <c r="H183" s="242"/>
      <c r="I183" s="242"/>
      <c r="J183" s="242"/>
      <c r="K183" s="241"/>
      <c r="L183" s="241"/>
      <c r="M183" s="241"/>
      <c r="N183" s="40"/>
      <c r="O183" s="241"/>
      <c r="P183" s="241"/>
      <c r="Q183" s="241"/>
      <c r="R183" s="241"/>
      <c r="S183" s="40"/>
      <c r="T183" s="40"/>
      <c r="U183" s="40"/>
      <c r="V183" s="71"/>
      <c r="W183" s="71"/>
      <c r="X183" s="71"/>
      <c r="Y183" s="71"/>
      <c r="Z183" s="33"/>
      <c r="AA183" s="33"/>
    </row>
    <row r="184" spans="1:27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86"/>
  <sheetViews>
    <sheetView zoomScaleNormal="100" zoomScaleSheetLayoutView="100" workbookViewId="0">
      <pane xSplit="4" ySplit="9" topLeftCell="E10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0" t="s">
        <v>522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4</v>
      </c>
    </row>
    <row r="6" spans="1:30" ht="35.450000000000003" customHeight="1">
      <c r="A6" s="33"/>
      <c r="B6" s="285"/>
      <c r="C6" s="285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523</v>
      </c>
      <c r="Y6" s="7" t="s">
        <v>524</v>
      </c>
    </row>
    <row r="7" spans="1:30" ht="55.9" customHeight="1">
      <c r="A7" s="33"/>
      <c r="B7" s="286"/>
      <c r="C7" s="286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87" t="s">
        <v>36</v>
      </c>
      <c r="C8" s="287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57" t="s">
        <v>38</v>
      </c>
      <c r="C9" s="258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00000000000001" customHeight="1">
      <c r="A10" s="3">
        <v>2</v>
      </c>
      <c r="B10" s="257" t="s">
        <v>41</v>
      </c>
      <c r="C10" s="258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v>50000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'[5]Jan 2021'!$H$35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00000000000001" customHeight="1">
      <c r="A11" s="3">
        <v>3</v>
      </c>
      <c r="B11" s="271" t="s">
        <v>391</v>
      </c>
      <c r="C11" s="272"/>
      <c r="D11" s="43" t="s">
        <v>478</v>
      </c>
      <c r="E11" s="75" t="s">
        <v>227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>
        <v>100000</v>
      </c>
      <c r="O11" s="62">
        <f>F11*10%</f>
        <v>4265.317</v>
      </c>
      <c r="P11" s="62">
        <v>20000</v>
      </c>
      <c r="Q11" s="76"/>
      <c r="R11" s="36">
        <f t="shared" si="0"/>
        <v>551465.0247500001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00000000000001" customHeight="1">
      <c r="A12" s="3">
        <v>4</v>
      </c>
      <c r="B12" s="257" t="s">
        <v>44</v>
      </c>
      <c r="C12" s="258"/>
      <c r="D12" s="33" t="s">
        <v>45</v>
      </c>
      <c r="E12" s="3" t="s">
        <v>479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62">
        <v>50000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624023.33374999999</v>
      </c>
      <c r="S12" s="36"/>
      <c r="T12" s="36"/>
      <c r="U12" s="36">
        <f>'[5]Jan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00000000000001" customHeight="1">
      <c r="A13" s="3">
        <v>5</v>
      </c>
      <c r="B13" s="271" t="s">
        <v>47</v>
      </c>
      <c r="C13" s="272"/>
      <c r="D13" s="43" t="s">
        <v>48</v>
      </c>
      <c r="E13" s="75" t="s">
        <v>479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62">
        <v>50000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574023.33374999999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00000000000001" customHeight="1">
      <c r="A14" s="3">
        <v>6</v>
      </c>
      <c r="B14" s="257" t="s">
        <v>49</v>
      </c>
      <c r="C14" s="258"/>
      <c r="D14" s="61" t="s">
        <v>50</v>
      </c>
      <c r="E14" s="3" t="s">
        <v>408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>
        <v>100000</v>
      </c>
      <c r="O14" s="62">
        <f>F14*10%</f>
        <v>3966.2250000000004</v>
      </c>
      <c r="P14" s="62">
        <v>20000</v>
      </c>
      <c r="Q14" s="65">
        <v>0</v>
      </c>
      <c r="R14" s="36">
        <f t="shared" si="0"/>
        <v>524023.33374999999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00000000000001" customHeight="1">
      <c r="A15" s="3">
        <v>7</v>
      </c>
      <c r="B15" s="271" t="s">
        <v>52</v>
      </c>
      <c r="C15" s="272"/>
      <c r="D15" s="33" t="s">
        <v>53</v>
      </c>
      <c r="E15" s="38" t="s">
        <v>54</v>
      </c>
      <c r="F15" s="62">
        <v>33507.5</v>
      </c>
      <c r="G15" s="62"/>
      <c r="H15" s="62">
        <f t="shared" ref="H15:H29" si="2">F15*300%</f>
        <v>100522.5</v>
      </c>
      <c r="I15" s="62">
        <f t="shared" ref="I15:I29" si="3">F15*7.5%</f>
        <v>2513.0625</v>
      </c>
      <c r="J15" s="62">
        <v>40122.19</v>
      </c>
      <c r="K15" s="62">
        <f t="shared" ref="K15:K21" si="4">F15*50%</f>
        <v>16753.75</v>
      </c>
      <c r="L15" s="62">
        <f t="shared" ref="L15:L29" si="5">F15*350%</f>
        <v>117276.25</v>
      </c>
      <c r="M15" s="62">
        <f t="shared" ref="M15:M29" si="6">F15*100%</f>
        <v>33507.5</v>
      </c>
      <c r="N15" s="62">
        <v>100000</v>
      </c>
      <c r="O15" s="62">
        <f t="shared" ref="O15:O29" si="7">F15*10%</f>
        <v>3350.75</v>
      </c>
      <c r="P15" s="62">
        <v>20000</v>
      </c>
      <c r="Q15" s="62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00000000000001" customHeight="1">
      <c r="A16" s="3">
        <v>8</v>
      </c>
      <c r="B16" s="269" t="s">
        <v>55</v>
      </c>
      <c r="C16" s="270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00000000000001" customHeight="1">
      <c r="A17" s="3">
        <v>9</v>
      </c>
      <c r="B17" s="271" t="s">
        <v>57</v>
      </c>
      <c r="C17" s="272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>
        <v>100000</v>
      </c>
      <c r="O17" s="62">
        <f t="shared" si="7"/>
        <v>3350.75</v>
      </c>
      <c r="P17" s="62">
        <v>20000</v>
      </c>
      <c r="Q17" s="63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00000000000001" customHeight="1">
      <c r="A18" s="3">
        <v>10</v>
      </c>
      <c r="B18" s="97" t="s">
        <v>61</v>
      </c>
      <c r="C18" s="98"/>
      <c r="D18" s="61" t="s">
        <v>480</v>
      </c>
      <c r="E18" s="11" t="s">
        <v>63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>
        <v>100000</v>
      </c>
      <c r="O18" s="62">
        <f t="shared" si="7"/>
        <v>3101.884</v>
      </c>
      <c r="P18" s="62">
        <v>20000</v>
      </c>
      <c r="Q18" s="63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00000000000001" customHeight="1">
      <c r="A19" s="3">
        <v>11</v>
      </c>
      <c r="B19" s="271" t="s">
        <v>525</v>
      </c>
      <c r="C19" s="272"/>
      <c r="D19" s="43" t="s">
        <v>526</v>
      </c>
      <c r="E19" s="44" t="s">
        <v>138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>
        <v>100000</v>
      </c>
      <c r="O19" s="64">
        <f t="shared" si="7"/>
        <v>2552.3450000000003</v>
      </c>
      <c r="P19" s="64">
        <v>15000</v>
      </c>
      <c r="Q19" s="64">
        <f>100000</f>
        <v>100000</v>
      </c>
      <c r="R19" s="36">
        <f t="shared" si="8"/>
        <v>449177.65375</v>
      </c>
      <c r="S19" s="65">
        <f>100000</f>
        <v>100000</v>
      </c>
      <c r="T19" s="65">
        <f>0</f>
        <v>0</v>
      </c>
      <c r="U19" s="65">
        <f>'[6]JANURAY, 2021'!$U$16</f>
        <v>638.08625000000006</v>
      </c>
      <c r="V19" s="65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00000000000001" customHeight="1">
      <c r="A20" s="3">
        <v>12</v>
      </c>
      <c r="B20" s="271" t="s">
        <v>64</v>
      </c>
      <c r="C20" s="272"/>
      <c r="D20" s="43" t="s">
        <v>442</v>
      </c>
      <c r="E20" s="44" t="s">
        <v>138</v>
      </c>
      <c r="F20" s="64">
        <f>25523.45</f>
        <v>25523.45</v>
      </c>
      <c r="G20" s="64"/>
      <c r="H20" s="64">
        <f t="shared" si="2"/>
        <v>76570.350000000006</v>
      </c>
      <c r="I20" s="64">
        <f t="shared" si="3"/>
        <v>1914.25875</v>
      </c>
      <c r="J20" s="64"/>
      <c r="K20" s="64">
        <f t="shared" si="4"/>
        <v>12761.725</v>
      </c>
      <c r="L20" s="64">
        <f t="shared" si="5"/>
        <v>89332.074999999997</v>
      </c>
      <c r="M20" s="64">
        <f t="shared" si="6"/>
        <v>25523.45</v>
      </c>
      <c r="N20" s="64">
        <v>100000</v>
      </c>
      <c r="O20" s="64">
        <f t="shared" si="7"/>
        <v>2552.3450000000003</v>
      </c>
      <c r="P20" s="64">
        <v>15000</v>
      </c>
      <c r="Q20" s="64">
        <v>50000</v>
      </c>
      <c r="R20" s="36">
        <f t="shared" si="8"/>
        <v>399177.65375</v>
      </c>
      <c r="S20" s="65">
        <v>10000</v>
      </c>
      <c r="T20" s="65">
        <f>103000</f>
        <v>103000</v>
      </c>
      <c r="U20" s="65">
        <v>0</v>
      </c>
      <c r="V20" s="65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271" t="s">
        <v>67</v>
      </c>
      <c r="C21" s="272"/>
      <c r="D21" s="33" t="s">
        <v>444</v>
      </c>
      <c r="E21" s="3" t="s">
        <v>73</v>
      </c>
      <c r="F21" s="62">
        <v>26339.3</v>
      </c>
      <c r="G21" s="62"/>
      <c r="H21" s="62">
        <f t="shared" si="2"/>
        <v>79017.899999999994</v>
      </c>
      <c r="I21" s="62">
        <f t="shared" si="3"/>
        <v>1975.4474999999998</v>
      </c>
      <c r="J21" s="62"/>
      <c r="K21" s="62">
        <f t="shared" si="4"/>
        <v>13169.65</v>
      </c>
      <c r="L21" s="36">
        <f t="shared" si="5"/>
        <v>92187.55</v>
      </c>
      <c r="M21" s="62">
        <f t="shared" si="6"/>
        <v>26339.3</v>
      </c>
      <c r="N21" s="64"/>
      <c r="O21" s="62">
        <f t="shared" si="7"/>
        <v>2633.9300000000003</v>
      </c>
      <c r="P21" s="62">
        <v>15000</v>
      </c>
      <c r="Q21" s="62">
        <v>0</v>
      </c>
      <c r="R21" s="36">
        <f t="shared" si="8"/>
        <v>256663.07749999996</v>
      </c>
      <c r="S21" s="36"/>
      <c r="T21" s="36"/>
      <c r="U21" s="36">
        <f>'[5]Jan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271" t="s">
        <v>69</v>
      </c>
      <c r="C22" s="272"/>
      <c r="D22" s="33" t="s">
        <v>445</v>
      </c>
      <c r="E22" s="3" t="s">
        <v>138</v>
      </c>
      <c r="F22" s="26">
        <f>25523.45</f>
        <v>25523.45</v>
      </c>
      <c r="G22" s="62"/>
      <c r="H22" s="62">
        <f>F22*300%</f>
        <v>76570.350000000006</v>
      </c>
      <c r="I22" s="62">
        <f>F22*7.5%</f>
        <v>1914.25875</v>
      </c>
      <c r="J22" s="62"/>
      <c r="K22" s="62">
        <f>F22*50%</f>
        <v>12761.725</v>
      </c>
      <c r="L22" s="36">
        <f>F22*350%</f>
        <v>89332.074999999997</v>
      </c>
      <c r="M22" s="62">
        <f>F22*100%</f>
        <v>25523.45</v>
      </c>
      <c r="N22" s="26">
        <v>50000</v>
      </c>
      <c r="O22" s="62">
        <f>F22*10%</f>
        <v>2552.3450000000003</v>
      </c>
      <c r="P22" s="62">
        <v>15000</v>
      </c>
      <c r="Q22" s="62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00000000000001" customHeight="1">
      <c r="A23" s="3">
        <v>15</v>
      </c>
      <c r="B23" s="257" t="s">
        <v>71</v>
      </c>
      <c r="C23" s="258"/>
      <c r="D23" s="61" t="s">
        <v>444</v>
      </c>
      <c r="E23" s="66" t="s">
        <v>73</v>
      </c>
      <c r="F23" s="62">
        <f>26339.3</f>
        <v>26339.3</v>
      </c>
      <c r="G23" s="62"/>
      <c r="H23" s="62">
        <f t="shared" si="2"/>
        <v>79017.899999999994</v>
      </c>
      <c r="I23" s="62">
        <f t="shared" si="3"/>
        <v>1975.4474999999998</v>
      </c>
      <c r="J23" s="36">
        <v>0</v>
      </c>
      <c r="K23" s="62">
        <f>F23*50%</f>
        <v>13169.65</v>
      </c>
      <c r="L23" s="36">
        <f t="shared" si="5"/>
        <v>92187.55</v>
      </c>
      <c r="M23" s="62">
        <f t="shared" si="6"/>
        <v>26339.3</v>
      </c>
      <c r="N23" s="64"/>
      <c r="O23" s="62">
        <f t="shared" si="7"/>
        <v>2633.9300000000003</v>
      </c>
      <c r="P23" s="62">
        <v>15000</v>
      </c>
      <c r="Q23" s="62">
        <f>0</f>
        <v>0</v>
      </c>
      <c r="R23" s="36">
        <f t="shared" si="8"/>
        <v>256663.07749999996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00000000000001" customHeight="1">
      <c r="A24" s="3">
        <v>16</v>
      </c>
      <c r="B24" s="271" t="s">
        <v>74</v>
      </c>
      <c r="C24" s="272"/>
      <c r="D24" s="33" t="s">
        <v>393</v>
      </c>
      <c r="E24" s="66" t="s">
        <v>76</v>
      </c>
      <c r="F24" s="62">
        <f>23074.99</f>
        <v>23074.99</v>
      </c>
      <c r="G24" s="62"/>
      <c r="H24" s="62">
        <f t="shared" si="2"/>
        <v>69224.97</v>
      </c>
      <c r="I24" s="62">
        <f t="shared" si="3"/>
        <v>1730.6242500000001</v>
      </c>
      <c r="J24" s="36">
        <v>0</v>
      </c>
      <c r="K24" s="62">
        <f>F24*50%</f>
        <v>11537.495000000001</v>
      </c>
      <c r="L24" s="36">
        <f t="shared" si="5"/>
        <v>80762.465000000011</v>
      </c>
      <c r="M24" s="62">
        <f t="shared" si="6"/>
        <v>23074.99</v>
      </c>
      <c r="N24" s="64">
        <v>100000</v>
      </c>
      <c r="O24" s="62">
        <f t="shared" si="7"/>
        <v>2307.4990000000003</v>
      </c>
      <c r="P24" s="62">
        <v>15000</v>
      </c>
      <c r="Q24" s="62">
        <f>100000</f>
        <v>100000</v>
      </c>
      <c r="R24" s="36">
        <f t="shared" si="8"/>
        <v>426713.03325000004</v>
      </c>
      <c r="S24" s="36"/>
      <c r="T24" s="36"/>
      <c r="U24" s="36"/>
      <c r="V24" s="62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00000000000001" customHeight="1">
      <c r="A25" s="3">
        <v>17</v>
      </c>
      <c r="B25" s="257" t="s">
        <v>80</v>
      </c>
      <c r="C25" s="258"/>
      <c r="D25" s="61" t="s">
        <v>81</v>
      </c>
      <c r="E25" s="66" t="s">
        <v>103</v>
      </c>
      <c r="F25" s="62">
        <f>18281.64</f>
        <v>18281.64</v>
      </c>
      <c r="G25" s="62"/>
      <c r="H25" s="62">
        <f t="shared" si="2"/>
        <v>54844.92</v>
      </c>
      <c r="I25" s="62">
        <f t="shared" si="3"/>
        <v>1371.1229999999998</v>
      </c>
      <c r="J25" s="36"/>
      <c r="K25" s="62">
        <f>F25*50%</f>
        <v>9140.82</v>
      </c>
      <c r="L25" s="36">
        <f t="shared" si="5"/>
        <v>63985.74</v>
      </c>
      <c r="M25" s="62">
        <f t="shared" si="6"/>
        <v>18281.64</v>
      </c>
      <c r="N25" s="64">
        <v>100000</v>
      </c>
      <c r="O25" s="62">
        <f t="shared" si="7"/>
        <v>1828.164</v>
      </c>
      <c r="P25" s="62">
        <v>10000</v>
      </c>
      <c r="Q25" s="62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62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257" t="s">
        <v>83</v>
      </c>
      <c r="C26" s="258"/>
      <c r="D26" s="61" t="s">
        <v>89</v>
      </c>
      <c r="E26" s="66" t="s">
        <v>208</v>
      </c>
      <c r="F26" s="62">
        <f>19276.95</f>
        <v>19276.95</v>
      </c>
      <c r="G26" s="62"/>
      <c r="H26" s="62">
        <f t="shared" si="2"/>
        <v>57830.850000000006</v>
      </c>
      <c r="I26" s="62">
        <f t="shared" si="3"/>
        <v>1445.77125</v>
      </c>
      <c r="J26" s="36"/>
      <c r="K26" s="62">
        <f>F26*50%</f>
        <v>9638.4750000000004</v>
      </c>
      <c r="L26" s="36">
        <f t="shared" si="5"/>
        <v>67469.324999999997</v>
      </c>
      <c r="M26" s="62">
        <f t="shared" si="6"/>
        <v>19276.95</v>
      </c>
      <c r="N26" s="64"/>
      <c r="O26" s="62">
        <f t="shared" si="7"/>
        <v>1927.6950000000002</v>
      </c>
      <c r="P26" s="62">
        <v>10000</v>
      </c>
      <c r="Q26" s="62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'[5]Jan 2021'!$H$47</f>
        <v>481.92375000000004</v>
      </c>
      <c r="V26" s="62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97" t="s">
        <v>88</v>
      </c>
      <c r="C27" s="98"/>
      <c r="D27" s="61" t="s">
        <v>89</v>
      </c>
      <c r="E27" s="66" t="s">
        <v>108</v>
      </c>
      <c r="F27" s="67">
        <f>13112.16</f>
        <v>13112.16</v>
      </c>
      <c r="G27" s="62"/>
      <c r="H27" s="62">
        <f t="shared" si="2"/>
        <v>39336.479999999996</v>
      </c>
      <c r="I27" s="62">
        <f t="shared" si="3"/>
        <v>983.41199999999992</v>
      </c>
      <c r="J27" s="62"/>
      <c r="K27" s="62">
        <f t="shared" ref="K27:K29" si="11">F27*50%</f>
        <v>6556.08</v>
      </c>
      <c r="L27" s="36">
        <f t="shared" si="5"/>
        <v>45892.56</v>
      </c>
      <c r="M27" s="62">
        <f t="shared" si="6"/>
        <v>13112.16</v>
      </c>
      <c r="N27" s="64"/>
      <c r="O27" s="62">
        <f t="shared" si="7"/>
        <v>1311.2160000000001</v>
      </c>
      <c r="P27" s="62">
        <v>10000</v>
      </c>
      <c r="Q27" s="62"/>
      <c r="R27" s="36">
        <f t="shared" si="8"/>
        <v>130304.068</v>
      </c>
      <c r="S27" s="36">
        <f>10000</f>
        <v>10000</v>
      </c>
      <c r="T27" s="36"/>
      <c r="U27" s="36"/>
      <c r="V27" s="62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97" t="s">
        <v>91</v>
      </c>
      <c r="C28" s="98"/>
      <c r="D28" s="61" t="s">
        <v>92</v>
      </c>
      <c r="E28" s="66" t="s">
        <v>93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64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97" t="s">
        <v>94</v>
      </c>
      <c r="C29" s="98"/>
      <c r="D29" s="61" t="s">
        <v>92</v>
      </c>
      <c r="E29" s="66" t="s">
        <v>93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64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264" t="s">
        <v>96</v>
      </c>
      <c r="C30" s="264"/>
      <c r="D30" s="33" t="s">
        <v>97</v>
      </c>
      <c r="E30" s="66" t="s">
        <v>79</v>
      </c>
      <c r="F30" s="62">
        <f>23891.12</f>
        <v>23891.119999999999</v>
      </c>
      <c r="G30" s="62"/>
      <c r="H30" s="62">
        <f>F30*300%</f>
        <v>71673.36</v>
      </c>
      <c r="I30" s="62">
        <f>F30*7.5%</f>
        <v>1791.8339999999998</v>
      </c>
      <c r="J30" s="62">
        <v>0</v>
      </c>
      <c r="K30" s="62">
        <f>F30*50%</f>
        <v>11945.56</v>
      </c>
      <c r="L30" s="36">
        <f>F30*350%</f>
        <v>83618.92</v>
      </c>
      <c r="M30" s="62">
        <f>F30*100%</f>
        <v>23891.119999999999</v>
      </c>
      <c r="N30" s="64"/>
      <c r="O30" s="62">
        <f>F30*10%</f>
        <v>2389.1120000000001</v>
      </c>
      <c r="P30" s="62">
        <v>15000</v>
      </c>
      <c r="Q30" s="62">
        <v>0</v>
      </c>
      <c r="R30" s="36">
        <f>SUM(F30:Q30)</f>
        <v>234201.02599999998</v>
      </c>
      <c r="S30" s="36">
        <v>10000</v>
      </c>
      <c r="T30" s="36"/>
      <c r="U30" s="36">
        <f>'[5]Jan 2021'!$H$39</f>
        <v>597.27800000000002</v>
      </c>
      <c r="V30" s="62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257" t="s">
        <v>99</v>
      </c>
      <c r="C31" s="258"/>
      <c r="D31" s="33" t="s">
        <v>100</v>
      </c>
      <c r="E31" s="66" t="s">
        <v>103</v>
      </c>
      <c r="F31" s="62">
        <f>18281.64</f>
        <v>18281.64</v>
      </c>
      <c r="G31" s="62"/>
      <c r="H31" s="62">
        <f>F31*300%</f>
        <v>54844.92</v>
      </c>
      <c r="I31" s="62">
        <f>F31*7.5%</f>
        <v>1371.1229999999998</v>
      </c>
      <c r="J31" s="62"/>
      <c r="K31" s="62">
        <f>F31*50%</f>
        <v>9140.82</v>
      </c>
      <c r="L31" s="36">
        <f>F31*350%</f>
        <v>63985.74</v>
      </c>
      <c r="M31" s="62">
        <f>F31*100%</f>
        <v>18281.64</v>
      </c>
      <c r="N31" s="64"/>
      <c r="O31" s="62">
        <f>F31*10%</f>
        <v>1828.164</v>
      </c>
      <c r="P31" s="62">
        <v>10000</v>
      </c>
      <c r="Q31" s="62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62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97" t="s">
        <v>101</v>
      </c>
      <c r="C32" s="98"/>
      <c r="D32" s="33" t="s">
        <v>102</v>
      </c>
      <c r="E32" s="66" t="s">
        <v>95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62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269" t="s">
        <v>481</v>
      </c>
      <c r="C33" s="270"/>
      <c r="D33" s="47" t="s">
        <v>110</v>
      </c>
      <c r="E33" s="66" t="s">
        <v>455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62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267" t="s">
        <v>34</v>
      </c>
      <c r="C34" s="267"/>
      <c r="D34" s="7">
        <v>25</v>
      </c>
      <c r="E34" s="66"/>
      <c r="F34" s="68">
        <f>SUM(F9:F33)</f>
        <v>835797.35999999987</v>
      </c>
      <c r="G34" s="68"/>
      <c r="H34" s="68">
        <f t="shared" ref="H34:Y34" si="14">SUM(H9:H33)</f>
        <v>2346903.33</v>
      </c>
      <c r="I34" s="68">
        <f t="shared" si="14"/>
        <v>98794.775749999972</v>
      </c>
      <c r="J34" s="68">
        <f t="shared" si="14"/>
        <v>521588.47000000003</v>
      </c>
      <c r="K34" s="68">
        <f t="shared" si="14"/>
        <v>409874.24499999994</v>
      </c>
      <c r="L34" s="68">
        <f t="shared" si="14"/>
        <v>2363580.1350000002</v>
      </c>
      <c r="M34" s="68">
        <f t="shared" si="14"/>
        <v>795675.17999999993</v>
      </c>
      <c r="N34" s="68">
        <f>SUM(N9:N33)</f>
        <v>1600000</v>
      </c>
      <c r="O34" s="68">
        <f t="shared" si="14"/>
        <v>83579.740999999995</v>
      </c>
      <c r="P34" s="68">
        <f t="shared" si="14"/>
        <v>390000</v>
      </c>
      <c r="Q34" s="68">
        <f t="shared" si="14"/>
        <v>775235</v>
      </c>
      <c r="R34" s="68">
        <f t="shared" si="14"/>
        <v>10221028.236749997</v>
      </c>
      <c r="S34" s="68">
        <f t="shared" si="14"/>
        <v>660000</v>
      </c>
      <c r="T34" s="68">
        <f t="shared" si="14"/>
        <v>1069965.06</v>
      </c>
      <c r="U34" s="68">
        <f t="shared" si="14"/>
        <v>7923.8922500000008</v>
      </c>
      <c r="V34" s="68">
        <f t="shared" si="14"/>
        <v>387255.58000000013</v>
      </c>
      <c r="W34" s="68">
        <f t="shared" si="14"/>
        <v>2125144.5322500002</v>
      </c>
      <c r="X34" s="68">
        <f t="shared" si="14"/>
        <v>8174581.3204999994</v>
      </c>
      <c r="Y34" s="68">
        <f t="shared" si="14"/>
        <v>8095883.7044999991</v>
      </c>
    </row>
    <row r="35" spans="1:25" ht="18.75" customHeight="1">
      <c r="A35" s="3"/>
      <c r="B35" s="96"/>
      <c r="C35" s="96"/>
      <c r="D35" s="33"/>
      <c r="E35" s="6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18.75" customHeight="1">
      <c r="A36" s="3"/>
      <c r="B36" s="267" t="s">
        <v>115</v>
      </c>
      <c r="C36" s="267"/>
      <c r="D36" s="33"/>
      <c r="E36" s="66"/>
      <c r="F36" s="62"/>
      <c r="G36" s="62"/>
      <c r="H36" s="62"/>
      <c r="I36" s="62"/>
      <c r="J36" s="62"/>
      <c r="K36" s="62"/>
      <c r="L36" s="36"/>
      <c r="M36" s="62"/>
      <c r="N36" s="62"/>
      <c r="O36" s="62"/>
      <c r="P36" s="62"/>
      <c r="Q36" s="62"/>
      <c r="R36" s="36"/>
      <c r="S36" s="36"/>
      <c r="T36" s="36"/>
      <c r="U36" s="36"/>
      <c r="V36" s="62"/>
      <c r="W36" s="36"/>
      <c r="X36" s="36"/>
      <c r="Y36" s="36"/>
    </row>
    <row r="37" spans="1:25" ht="18.75" customHeight="1">
      <c r="A37" s="3">
        <v>1</v>
      </c>
      <c r="B37" s="311" t="s">
        <v>482</v>
      </c>
      <c r="C37" s="312"/>
      <c r="D37" s="61" t="s">
        <v>483</v>
      </c>
      <c r="E37" s="66" t="s">
        <v>118</v>
      </c>
      <c r="F37" s="62">
        <f>79039.64</f>
        <v>79039.64</v>
      </c>
      <c r="G37" s="62"/>
      <c r="H37" s="62">
        <f t="shared" ref="H37" si="15">F37*300%</f>
        <v>237118.91999999998</v>
      </c>
      <c r="I37" s="62">
        <f t="shared" ref="I37" si="16">F37*7.5%</f>
        <v>5927.973</v>
      </c>
      <c r="J37" s="62">
        <f>80244.38</f>
        <v>80244.38</v>
      </c>
      <c r="K37" s="62">
        <f t="shared" ref="K37" si="17">F37*50%</f>
        <v>39519.82</v>
      </c>
      <c r="L37" s="62">
        <f t="shared" ref="L37" si="18">F37*350%</f>
        <v>276638.74</v>
      </c>
      <c r="M37" s="62">
        <f t="shared" ref="M37" si="19">F37*100%</f>
        <v>79039.64</v>
      </c>
      <c r="N37" s="64">
        <v>100000</v>
      </c>
      <c r="O37" s="62">
        <f t="shared" ref="O37" si="20">F37*10%</f>
        <v>7903.9639999999999</v>
      </c>
      <c r="P37" s="62">
        <v>20000</v>
      </c>
      <c r="Q37" s="62">
        <v>0</v>
      </c>
      <c r="R37" s="36">
        <f t="shared" ref="R37" si="21">SUM(F37:Q37)</f>
        <v>925433.07700000005</v>
      </c>
      <c r="S37" s="62">
        <f>100000</f>
        <v>100000</v>
      </c>
      <c r="T37" s="62">
        <f>287500</f>
        <v>287500</v>
      </c>
      <c r="U37" s="62">
        <f>'[5]Jan 2021'!$H$23</f>
        <v>1975.991</v>
      </c>
      <c r="V37" s="62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34</v>
      </c>
      <c r="D38" s="7">
        <v>1</v>
      </c>
      <c r="E38" s="3"/>
      <c r="F38" s="68">
        <f>SUM(F37:F37)</f>
        <v>79039.64</v>
      </c>
      <c r="G38" s="68"/>
      <c r="H38" s="68">
        <f t="shared" ref="H38:W38" si="22">SUM(H37:H37)</f>
        <v>237118.91999999998</v>
      </c>
      <c r="I38" s="68">
        <f t="shared" si="22"/>
        <v>5927.973</v>
      </c>
      <c r="J38" s="68">
        <f t="shared" si="22"/>
        <v>80244.38</v>
      </c>
      <c r="K38" s="68">
        <f t="shared" si="22"/>
        <v>39519.82</v>
      </c>
      <c r="L38" s="68">
        <f t="shared" si="22"/>
        <v>276638.74</v>
      </c>
      <c r="M38" s="68">
        <f t="shared" si="22"/>
        <v>79039.64</v>
      </c>
      <c r="N38" s="68">
        <f>SUM(N37)</f>
        <v>100000</v>
      </c>
      <c r="O38" s="68">
        <f t="shared" si="22"/>
        <v>7903.9639999999999</v>
      </c>
      <c r="P38" s="68">
        <f t="shared" si="22"/>
        <v>20000</v>
      </c>
      <c r="Q38" s="68">
        <f t="shared" si="22"/>
        <v>0</v>
      </c>
      <c r="R38" s="68">
        <f t="shared" si="22"/>
        <v>925433.07700000005</v>
      </c>
      <c r="S38" s="68">
        <f t="shared" si="22"/>
        <v>100000</v>
      </c>
      <c r="T38" s="68">
        <f t="shared" si="22"/>
        <v>287500</v>
      </c>
      <c r="U38" s="68">
        <f t="shared" si="22"/>
        <v>1975.991</v>
      </c>
      <c r="V38" s="68">
        <f t="shared" si="22"/>
        <v>52776.63</v>
      </c>
      <c r="W38" s="68">
        <f t="shared" si="22"/>
        <v>442252.62099999998</v>
      </c>
      <c r="X38" s="68">
        <v>483180.45600000006</v>
      </c>
      <c r="Y38" s="68">
        <f>SUM(Y37:Y37)</f>
        <v>483180.45600000006</v>
      </c>
    </row>
    <row r="39" spans="1:25" ht="20.100000000000001" customHeight="1">
      <c r="A39" s="3"/>
      <c r="B39" s="281"/>
      <c r="C39" s="282"/>
      <c r="D39" s="33"/>
      <c r="E39" s="3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6"/>
      <c r="X39" s="36"/>
      <c r="Y39" s="36"/>
    </row>
    <row r="40" spans="1:25" ht="20.100000000000001" customHeight="1">
      <c r="A40" s="3"/>
      <c r="B40" s="283" t="s">
        <v>121</v>
      </c>
      <c r="C40" s="284"/>
      <c r="D40" s="50"/>
      <c r="E40" s="2"/>
      <c r="F40" s="68"/>
      <c r="G40" s="68"/>
      <c r="H40" s="6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00000000000001" customHeight="1">
      <c r="A41" s="3">
        <v>1</v>
      </c>
      <c r="B41" s="257" t="s">
        <v>122</v>
      </c>
      <c r="C41" s="258"/>
      <c r="D41" s="33" t="s">
        <v>123</v>
      </c>
      <c r="E41" s="3" t="s">
        <v>43</v>
      </c>
      <c r="F41" s="62">
        <f>81740.02</f>
        <v>81740.02</v>
      </c>
      <c r="G41" s="62"/>
      <c r="H41" s="62">
        <f>F41*300%</f>
        <v>245220.06</v>
      </c>
      <c r="I41" s="62">
        <f>F41*7.5%</f>
        <v>6130.5015000000003</v>
      </c>
      <c r="J41" s="62">
        <v>80244.38</v>
      </c>
      <c r="K41" s="62">
        <f>F41*50%</f>
        <v>40870.01</v>
      </c>
      <c r="L41" s="62">
        <f>F41*350%</f>
        <v>286090.07</v>
      </c>
      <c r="M41" s="62">
        <f t="shared" ref="M41:M51" si="23">F41*100%</f>
        <v>81740.02</v>
      </c>
      <c r="N41" s="62">
        <v>50000</v>
      </c>
      <c r="O41" s="62">
        <f t="shared" ref="O41:O51" si="24">F41*10%</f>
        <v>8174.0020000000004</v>
      </c>
      <c r="P41" s="62">
        <v>20000</v>
      </c>
      <c r="Q41" s="62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62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00000000000001" customHeight="1">
      <c r="A42" s="3">
        <v>2</v>
      </c>
      <c r="B42" s="257" t="s">
        <v>124</v>
      </c>
      <c r="C42" s="258"/>
      <c r="D42" s="33" t="s">
        <v>125</v>
      </c>
      <c r="E42" s="3" t="s">
        <v>54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50000</v>
      </c>
      <c r="O42" s="62">
        <f>F42*10%</f>
        <v>3350.75</v>
      </c>
      <c r="P42" s="62">
        <v>20000</v>
      </c>
      <c r="Q42" s="62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62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00000000000001" customHeight="1">
      <c r="A43" s="3">
        <v>3</v>
      </c>
      <c r="B43" s="257" t="s">
        <v>126</v>
      </c>
      <c r="C43" s="258"/>
      <c r="D43" s="33" t="s">
        <v>127</v>
      </c>
      <c r="E43" s="3" t="s">
        <v>54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50000</v>
      </c>
      <c r="O43" s="62">
        <f>F43*10%</f>
        <v>3350.75</v>
      </c>
      <c r="P43" s="62">
        <v>20000</v>
      </c>
      <c r="Q43" s="62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62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00000000000001" customHeight="1">
      <c r="A44" s="3">
        <v>4</v>
      </c>
      <c r="B44" s="257" t="s">
        <v>128</v>
      </c>
      <c r="C44" s="258"/>
      <c r="D44" s="33" t="s">
        <v>131</v>
      </c>
      <c r="E44" s="3" t="s">
        <v>132</v>
      </c>
      <c r="F44" s="62">
        <v>28489.81</v>
      </c>
      <c r="G44" s="62"/>
      <c r="H44" s="62">
        <f>F44*300%</f>
        <v>85469.430000000008</v>
      </c>
      <c r="I44" s="62">
        <f>F44*7.5%</f>
        <v>2136.7357499999998</v>
      </c>
      <c r="J44" s="62"/>
      <c r="K44" s="62">
        <f>F44*50%</f>
        <v>14244.905000000001</v>
      </c>
      <c r="L44" s="62">
        <f>F44*350%</f>
        <v>99714.335000000006</v>
      </c>
      <c r="M44" s="62">
        <f>F44*100%</f>
        <v>28489.81</v>
      </c>
      <c r="N44" s="62">
        <v>50000</v>
      </c>
      <c r="O44" s="62">
        <f>F44*10%</f>
        <v>2848.9810000000002</v>
      </c>
      <c r="P44" s="62">
        <v>20000</v>
      </c>
      <c r="Q44" s="62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62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00000000000001" customHeight="1">
      <c r="A45" s="3">
        <v>5</v>
      </c>
      <c r="B45" s="257" t="s">
        <v>130</v>
      </c>
      <c r="C45" s="258"/>
      <c r="D45" s="33" t="s">
        <v>131</v>
      </c>
      <c r="E45" s="3" t="s">
        <v>132</v>
      </c>
      <c r="F45" s="62">
        <f>28489.81</f>
        <v>28489.81</v>
      </c>
      <c r="G45" s="62"/>
      <c r="H45" s="62">
        <f t="shared" ref="H45:H51" si="28">F45*300%</f>
        <v>85469.430000000008</v>
      </c>
      <c r="I45" s="62">
        <f t="shared" ref="I45:I51" si="29">F45*7.5%</f>
        <v>2136.7357499999998</v>
      </c>
      <c r="J45" s="62">
        <v>0</v>
      </c>
      <c r="K45" s="62">
        <f t="shared" ref="K45:K51" si="30">F45*50%</f>
        <v>14244.905000000001</v>
      </c>
      <c r="L45" s="62">
        <f t="shared" ref="L45:L51" si="31">F45*350%</f>
        <v>99714.335000000006</v>
      </c>
      <c r="M45" s="62">
        <f t="shared" si="23"/>
        <v>28489.81</v>
      </c>
      <c r="N45" s="62">
        <v>50000</v>
      </c>
      <c r="O45" s="62">
        <f t="shared" si="24"/>
        <v>2848.9810000000002</v>
      </c>
      <c r="P45" s="62">
        <v>20000</v>
      </c>
      <c r="Q45" s="62">
        <v>0</v>
      </c>
      <c r="R45" s="36">
        <f t="shared" si="25"/>
        <v>331394.00675000006</v>
      </c>
      <c r="S45" s="36"/>
      <c r="T45" s="36"/>
      <c r="U45" s="36">
        <f>'[5]Jan 2021'!$H$24</f>
        <v>712.24525000000006</v>
      </c>
      <c r="V45" s="62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00000000000001" customHeight="1">
      <c r="A46" s="3">
        <v>6</v>
      </c>
      <c r="B46" s="257" t="s">
        <v>133</v>
      </c>
      <c r="C46" s="258"/>
      <c r="D46" s="33" t="s">
        <v>131</v>
      </c>
      <c r="E46" s="3" t="s">
        <v>395</v>
      </c>
      <c r="F46" s="62">
        <f>25854.1</f>
        <v>25854.1</v>
      </c>
      <c r="G46" s="62"/>
      <c r="H46" s="62">
        <f t="shared" si="28"/>
        <v>77562.299999999988</v>
      </c>
      <c r="I46" s="62">
        <f t="shared" si="29"/>
        <v>1939.0574999999999</v>
      </c>
      <c r="J46" s="62"/>
      <c r="K46" s="62">
        <f t="shared" si="30"/>
        <v>12927.05</v>
      </c>
      <c r="L46" s="62">
        <f t="shared" si="31"/>
        <v>90489.349999999991</v>
      </c>
      <c r="M46" s="62">
        <f t="shared" si="23"/>
        <v>25854.1</v>
      </c>
      <c r="N46" s="62">
        <v>50000</v>
      </c>
      <c r="O46" s="62">
        <f t="shared" si="24"/>
        <v>2585.41</v>
      </c>
      <c r="P46" s="62">
        <v>20000</v>
      </c>
      <c r="Q46" s="62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62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00000000000001" customHeight="1">
      <c r="A47" s="3">
        <v>7</v>
      </c>
      <c r="B47" s="265" t="s">
        <v>134</v>
      </c>
      <c r="C47" s="266"/>
      <c r="D47" s="20" t="s">
        <v>517</v>
      </c>
      <c r="E47" s="25" t="s">
        <v>73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62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00000000000001" customHeight="1">
      <c r="A48" s="3">
        <v>8</v>
      </c>
      <c r="B48" s="257" t="s">
        <v>136</v>
      </c>
      <c r="C48" s="258"/>
      <c r="D48" s="33" t="s">
        <v>137</v>
      </c>
      <c r="E48" s="3" t="s">
        <v>98</v>
      </c>
      <c r="F48" s="62">
        <f>24741.26</f>
        <v>24741.26</v>
      </c>
      <c r="G48" s="62"/>
      <c r="H48" s="62">
        <f t="shared" si="28"/>
        <v>74223.78</v>
      </c>
      <c r="I48" s="62">
        <f t="shared" si="29"/>
        <v>1855.5944999999997</v>
      </c>
      <c r="J48" s="62">
        <v>0</v>
      </c>
      <c r="K48" s="62">
        <f t="shared" si="30"/>
        <v>12370.63</v>
      </c>
      <c r="L48" s="62">
        <f t="shared" si="31"/>
        <v>86594.409999999989</v>
      </c>
      <c r="M48" s="62">
        <f t="shared" si="23"/>
        <v>24741.26</v>
      </c>
      <c r="N48" s="62">
        <v>50000</v>
      </c>
      <c r="O48" s="62">
        <f t="shared" si="24"/>
        <v>2474.1260000000002</v>
      </c>
      <c r="P48" s="62">
        <v>15000</v>
      </c>
      <c r="Q48" s="62">
        <v>0</v>
      </c>
      <c r="R48" s="36">
        <f t="shared" si="25"/>
        <v>292001.06049999996</v>
      </c>
      <c r="S48" s="36"/>
      <c r="T48" s="36"/>
      <c r="U48" s="36"/>
      <c r="V48" s="62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00000000000001" customHeight="1">
      <c r="A49" s="3">
        <v>9</v>
      </c>
      <c r="B49" s="257" t="s">
        <v>394</v>
      </c>
      <c r="C49" s="258"/>
      <c r="D49" s="33" t="s">
        <v>140</v>
      </c>
      <c r="E49" s="3" t="s">
        <v>138</v>
      </c>
      <c r="F49" s="62">
        <f>25523.45</f>
        <v>25523.45</v>
      </c>
      <c r="G49" s="62"/>
      <c r="H49" s="62">
        <f t="shared" si="28"/>
        <v>76570.350000000006</v>
      </c>
      <c r="I49" s="62">
        <f t="shared" si="29"/>
        <v>1914.25875</v>
      </c>
      <c r="J49" s="62">
        <v>0</v>
      </c>
      <c r="K49" s="62">
        <f t="shared" si="30"/>
        <v>12761.725</v>
      </c>
      <c r="L49" s="62">
        <f t="shared" si="31"/>
        <v>89332.074999999997</v>
      </c>
      <c r="M49" s="62">
        <f t="shared" si="23"/>
        <v>25523.45</v>
      </c>
      <c r="N49" s="62">
        <v>50000</v>
      </c>
      <c r="O49" s="62">
        <f t="shared" si="24"/>
        <v>2552.3450000000003</v>
      </c>
      <c r="P49" s="62">
        <v>15000</v>
      </c>
      <c r="Q49" s="62">
        <v>0</v>
      </c>
      <c r="R49" s="36">
        <f t="shared" si="25"/>
        <v>299177.65375</v>
      </c>
      <c r="S49" s="36"/>
      <c r="T49" s="36"/>
      <c r="U49" s="36"/>
      <c r="V49" s="62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00000000000001" customHeight="1">
      <c r="A50" s="3">
        <v>10</v>
      </c>
      <c r="B50" s="257" t="s">
        <v>484</v>
      </c>
      <c r="C50" s="258"/>
      <c r="D50" s="33" t="s">
        <v>140</v>
      </c>
      <c r="E50" s="3" t="s">
        <v>138</v>
      </c>
      <c r="F50" s="62">
        <f>25523.45</f>
        <v>25523.45</v>
      </c>
      <c r="G50" s="62"/>
      <c r="H50" s="62">
        <f t="shared" si="28"/>
        <v>76570.350000000006</v>
      </c>
      <c r="I50" s="62">
        <f t="shared" si="29"/>
        <v>1914.25875</v>
      </c>
      <c r="J50" s="62">
        <f>J23</f>
        <v>0</v>
      </c>
      <c r="K50" s="62">
        <f t="shared" si="30"/>
        <v>12761.725</v>
      </c>
      <c r="L50" s="62">
        <f t="shared" si="31"/>
        <v>89332.074999999997</v>
      </c>
      <c r="M50" s="62">
        <f t="shared" si="23"/>
        <v>25523.45</v>
      </c>
      <c r="N50" s="62">
        <v>50000</v>
      </c>
      <c r="O50" s="62">
        <f t="shared" si="24"/>
        <v>2552.3450000000003</v>
      </c>
      <c r="P50" s="62">
        <v>15000</v>
      </c>
      <c r="Q50" s="62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'[5]Jan 2021'!$H$42</f>
        <v>638.08625000000006</v>
      </c>
      <c r="V50" s="62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00000000000001" customHeight="1">
      <c r="A51" s="3">
        <v>11</v>
      </c>
      <c r="B51" s="269" t="s">
        <v>139</v>
      </c>
      <c r="C51" s="270"/>
      <c r="D51" s="33" t="s">
        <v>140</v>
      </c>
      <c r="E51" s="29" t="s">
        <v>79</v>
      </c>
      <c r="F51" s="26">
        <f>23891.12</f>
        <v>23891.119999999999</v>
      </c>
      <c r="G51" s="62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62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'[5]Jan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00000000000001" customHeight="1">
      <c r="A52" s="3"/>
      <c r="B52" s="273" t="s">
        <v>34</v>
      </c>
      <c r="C52" s="274"/>
      <c r="D52" s="30">
        <v>11</v>
      </c>
      <c r="E52" s="30"/>
      <c r="F52" s="92">
        <f>SUM(F41:F51)</f>
        <v>357607.32</v>
      </c>
      <c r="G52" s="92"/>
      <c r="H52" s="92">
        <f t="shared" ref="H52:Y52" si="32">SUM(H41:H51)</f>
        <v>1072821.96</v>
      </c>
      <c r="I52" s="92">
        <f t="shared" si="32"/>
        <v>26820.548999999999</v>
      </c>
      <c r="J52" s="92">
        <f t="shared" si="32"/>
        <v>160488.76</v>
      </c>
      <c r="K52" s="92">
        <f t="shared" si="32"/>
        <v>178803.66</v>
      </c>
      <c r="L52" s="92">
        <f t="shared" si="32"/>
        <v>1251625.6199999999</v>
      </c>
      <c r="M52" s="92">
        <f t="shared" si="32"/>
        <v>357607.32</v>
      </c>
      <c r="N52" s="92">
        <f>SUM(N41:N51)</f>
        <v>550000</v>
      </c>
      <c r="O52" s="92">
        <f t="shared" si="32"/>
        <v>35760.732000000004</v>
      </c>
      <c r="P52" s="92">
        <f t="shared" si="32"/>
        <v>195000</v>
      </c>
      <c r="Q52" s="92">
        <f t="shared" si="32"/>
        <v>0</v>
      </c>
      <c r="R52" s="92">
        <f t="shared" si="32"/>
        <v>4186535.921000001</v>
      </c>
      <c r="S52" s="92">
        <f t="shared" si="32"/>
        <v>378000</v>
      </c>
      <c r="T52" s="92">
        <f t="shared" si="32"/>
        <v>982004.38</v>
      </c>
      <c r="U52" s="92">
        <f t="shared" si="32"/>
        <v>1947.6095000000003</v>
      </c>
      <c r="V52" s="92">
        <f t="shared" si="32"/>
        <v>145551.36999999997</v>
      </c>
      <c r="W52" s="92">
        <f t="shared" si="32"/>
        <v>1507503.3595</v>
      </c>
      <c r="X52" s="92">
        <f t="shared" si="32"/>
        <v>4064530.3114999998</v>
      </c>
      <c r="Y52" s="92">
        <f t="shared" si="32"/>
        <v>2679032.5614999998</v>
      </c>
    </row>
    <row r="53" spans="1:25" ht="20.100000000000001" customHeight="1">
      <c r="A53" s="3"/>
      <c r="B53" s="105"/>
      <c r="C53" s="105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/>
      <c r="B54" s="273" t="s">
        <v>144</v>
      </c>
      <c r="C54" s="274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">
        <v>1</v>
      </c>
      <c r="B55" s="257" t="s">
        <v>145</v>
      </c>
      <c r="C55" s="258"/>
      <c r="D55" s="61" t="s">
        <v>146</v>
      </c>
      <c r="E55" s="66" t="s">
        <v>43</v>
      </c>
      <c r="F55" s="62">
        <f>81740.02</f>
        <v>81740.02</v>
      </c>
      <c r="G55" s="62"/>
      <c r="H55" s="62">
        <f>F55*300%</f>
        <v>245220.06</v>
      </c>
      <c r="I55" s="62">
        <f>F55*7.5%</f>
        <v>6130.5015000000003</v>
      </c>
      <c r="J55" s="62">
        <v>80244.38</v>
      </c>
      <c r="K55" s="62">
        <f>F55*50%</f>
        <v>40870.01</v>
      </c>
      <c r="L55" s="62">
        <f>F55*350%</f>
        <v>286090.07</v>
      </c>
      <c r="M55" s="62">
        <f>F55*100%</f>
        <v>81740.02</v>
      </c>
      <c r="N55" s="62">
        <v>50000</v>
      </c>
      <c r="O55" s="62">
        <f>F55*10%</f>
        <v>8174.0020000000004</v>
      </c>
      <c r="P55" s="62">
        <v>20000</v>
      </c>
      <c r="Q55" s="62">
        <v>0</v>
      </c>
      <c r="R55" s="36">
        <f>SUM(F55:Q55)</f>
        <v>900209.06350000005</v>
      </c>
      <c r="S55" s="36"/>
      <c r="T55" s="36"/>
      <c r="U55" s="36">
        <v>0</v>
      </c>
      <c r="V55" s="62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00000000000001" customHeight="1">
      <c r="A56" s="3">
        <v>2</v>
      </c>
      <c r="B56" s="97" t="s">
        <v>147</v>
      </c>
      <c r="C56" s="98"/>
      <c r="D56" s="61" t="s">
        <v>148</v>
      </c>
      <c r="E56" s="66" t="s">
        <v>63</v>
      </c>
      <c r="F56" s="36">
        <v>31018.84</v>
      </c>
      <c r="G56" s="62"/>
      <c r="H56" s="62">
        <f t="shared" ref="H56" si="33">F56*300%</f>
        <v>93056.52</v>
      </c>
      <c r="I56" s="62">
        <f t="shared" ref="I56" si="34">F56*7.5%</f>
        <v>2326.413</v>
      </c>
      <c r="J56" s="62">
        <v>40122.19</v>
      </c>
      <c r="K56" s="62">
        <f t="shared" ref="K56" si="35">F56*50%</f>
        <v>15509.42</v>
      </c>
      <c r="L56" s="62">
        <f t="shared" ref="L56" si="36">F56*350%</f>
        <v>108565.94</v>
      </c>
      <c r="M56" s="62">
        <f t="shared" ref="M56" si="37">F56*100%</f>
        <v>31018.84</v>
      </c>
      <c r="N56" s="36">
        <v>100000</v>
      </c>
      <c r="O56" s="62">
        <f t="shared" ref="O56" si="38">F56*10%</f>
        <v>3101.884</v>
      </c>
      <c r="P56" s="62">
        <v>20000</v>
      </c>
      <c r="Q56" s="63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62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00000000000001" customHeight="1">
      <c r="A57" s="3"/>
      <c r="B57" s="273" t="s">
        <v>34</v>
      </c>
      <c r="C57" s="274"/>
      <c r="D57" s="30">
        <v>2</v>
      </c>
      <c r="E57" s="30"/>
      <c r="F57" s="92">
        <f>SUM(F55:F56)</f>
        <v>112758.86</v>
      </c>
      <c r="G57" s="92"/>
      <c r="H57" s="92">
        <f t="shared" ref="H57:R57" si="40">SUM(H55:H56)</f>
        <v>338276.58</v>
      </c>
      <c r="I57" s="92">
        <f t="shared" si="40"/>
        <v>8456.9145000000008</v>
      </c>
      <c r="J57" s="92">
        <f t="shared" si="40"/>
        <v>120366.57</v>
      </c>
      <c r="K57" s="92">
        <f t="shared" si="40"/>
        <v>56379.43</v>
      </c>
      <c r="L57" s="92">
        <f t="shared" si="40"/>
        <v>394656.01</v>
      </c>
      <c r="M57" s="92">
        <f t="shared" si="40"/>
        <v>112758.86</v>
      </c>
      <c r="N57" s="92">
        <f>SUM(N55:N56)</f>
        <v>150000</v>
      </c>
      <c r="O57" s="92">
        <f t="shared" si="40"/>
        <v>11275.886</v>
      </c>
      <c r="P57" s="92">
        <f t="shared" si="40"/>
        <v>40000</v>
      </c>
      <c r="Q57" s="92">
        <f t="shared" si="40"/>
        <v>0</v>
      </c>
      <c r="R57" s="92">
        <f t="shared" si="40"/>
        <v>1344929.1105</v>
      </c>
      <c r="S57" s="92"/>
      <c r="T57" s="92"/>
      <c r="U57" s="92">
        <f>SUM(U55:U56)</f>
        <v>0</v>
      </c>
      <c r="V57" s="92">
        <f>SUM(V55:V56)</f>
        <v>68324.959999999992</v>
      </c>
      <c r="W57" s="92">
        <f>SUM(W55:W56)</f>
        <v>68324.959999999992</v>
      </c>
      <c r="X57" s="92">
        <f>SUM(X55:X56)</f>
        <v>947432.43350000004</v>
      </c>
      <c r="Y57" s="92">
        <f>SUM(Y55:Y56)</f>
        <v>1276604.1505</v>
      </c>
    </row>
    <row r="58" spans="1:25" ht="20.100000000000001" customHeight="1">
      <c r="A58" s="3"/>
      <c r="B58" s="273"/>
      <c r="C58" s="274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/>
      <c r="B59" s="273" t="s">
        <v>467</v>
      </c>
      <c r="C59" s="27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>
        <v>1</v>
      </c>
      <c r="B60" s="269" t="s">
        <v>151</v>
      </c>
      <c r="C60" s="270"/>
      <c r="D60" s="47" t="s">
        <v>152</v>
      </c>
      <c r="E60" s="29" t="s">
        <v>118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62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00000000000001" customHeight="1">
      <c r="A61" s="3">
        <v>2</v>
      </c>
      <c r="B61" s="135" t="s">
        <v>153</v>
      </c>
      <c r="C61" s="136"/>
      <c r="D61" s="47" t="s">
        <v>56</v>
      </c>
      <c r="E61" s="66" t="s">
        <v>63</v>
      </c>
      <c r="F61" s="36">
        <v>31018.84</v>
      </c>
      <c r="G61" s="62"/>
      <c r="H61" s="62">
        <f t="shared" si="41"/>
        <v>93056.52</v>
      </c>
      <c r="I61" s="62">
        <f t="shared" si="42"/>
        <v>2326.413</v>
      </c>
      <c r="J61" s="62">
        <v>40122.19</v>
      </c>
      <c r="K61" s="62">
        <f t="shared" si="43"/>
        <v>15509.42</v>
      </c>
      <c r="L61" s="62">
        <f t="shared" si="44"/>
        <v>108565.94</v>
      </c>
      <c r="M61" s="62">
        <f t="shared" si="45"/>
        <v>31018.84</v>
      </c>
      <c r="N61" s="62">
        <f>150000</f>
        <v>150000</v>
      </c>
      <c r="O61" s="62">
        <f t="shared" si="46"/>
        <v>3101.884</v>
      </c>
      <c r="P61" s="62">
        <v>20000</v>
      </c>
      <c r="Q61" s="63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62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00000000000001" customHeight="1">
      <c r="A62" s="3">
        <v>3</v>
      </c>
      <c r="B62" s="269" t="s">
        <v>154</v>
      </c>
      <c r="C62" s="270"/>
      <c r="D62" s="20" t="s">
        <v>140</v>
      </c>
      <c r="E62" s="29" t="s">
        <v>138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62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00000000000001" customHeight="1">
      <c r="A63" s="3">
        <v>4</v>
      </c>
      <c r="B63" s="269" t="s">
        <v>155</v>
      </c>
      <c r="C63" s="270"/>
      <c r="D63" s="33" t="s">
        <v>137</v>
      </c>
      <c r="E63" s="29" t="s">
        <v>79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62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00000000000001" customHeight="1">
      <c r="A64" s="3">
        <v>5</v>
      </c>
      <c r="B64" s="135" t="s">
        <v>156</v>
      </c>
      <c r="C64" s="136"/>
      <c r="D64" s="47" t="s">
        <v>137</v>
      </c>
      <c r="E64" s="66" t="s">
        <v>485</v>
      </c>
      <c r="F64" s="62">
        <f>23074.99</f>
        <v>23074.99</v>
      </c>
      <c r="G64" s="62"/>
      <c r="H64" s="62">
        <f t="shared" si="41"/>
        <v>69224.97</v>
      </c>
      <c r="I64" s="62">
        <f t="shared" si="42"/>
        <v>1730.6242500000001</v>
      </c>
      <c r="J64" s="62">
        <v>0</v>
      </c>
      <c r="K64" s="62">
        <f t="shared" si="43"/>
        <v>11537.495000000001</v>
      </c>
      <c r="L64" s="36">
        <f t="shared" si="44"/>
        <v>80762.465000000011</v>
      </c>
      <c r="M64" s="62">
        <f t="shared" si="45"/>
        <v>23074.99</v>
      </c>
      <c r="N64" s="62">
        <f>50000</f>
        <v>50000</v>
      </c>
      <c r="O64" s="62">
        <f t="shared" si="46"/>
        <v>2307.4990000000003</v>
      </c>
      <c r="P64" s="62">
        <v>15000</v>
      </c>
      <c r="Q64" s="62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62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00000000000001" customHeight="1">
      <c r="A65" s="3">
        <v>6</v>
      </c>
      <c r="B65" s="269" t="s">
        <v>158</v>
      </c>
      <c r="C65" s="270"/>
      <c r="D65" s="20" t="s">
        <v>142</v>
      </c>
      <c r="E65" s="29" t="s">
        <v>159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62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00000000000001" customHeight="1">
      <c r="A66" s="3">
        <v>7</v>
      </c>
      <c r="B66" s="264" t="s">
        <v>160</v>
      </c>
      <c r="C66" s="264"/>
      <c r="D66" s="61" t="s">
        <v>447</v>
      </c>
      <c r="E66" s="66" t="s">
        <v>208</v>
      </c>
      <c r="F66" s="62">
        <f>19276.95</f>
        <v>19276.95</v>
      </c>
      <c r="G66" s="62"/>
      <c r="H66" s="62">
        <f t="shared" si="41"/>
        <v>57830.850000000006</v>
      </c>
      <c r="I66" s="62">
        <f t="shared" si="42"/>
        <v>1445.77125</v>
      </c>
      <c r="J66" s="62">
        <v>0</v>
      </c>
      <c r="K66" s="62">
        <f t="shared" si="43"/>
        <v>9638.4750000000004</v>
      </c>
      <c r="L66" s="36">
        <f t="shared" si="44"/>
        <v>67469.324999999997</v>
      </c>
      <c r="M66" s="62">
        <f t="shared" si="45"/>
        <v>19276.95</v>
      </c>
      <c r="N66" s="62">
        <f>50000</f>
        <v>50000</v>
      </c>
      <c r="O66" s="62">
        <f t="shared" si="46"/>
        <v>1927.6950000000002</v>
      </c>
      <c r="P66" s="62">
        <v>10000</v>
      </c>
      <c r="Q66" s="62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'[5]Jan 2021'!$H$43</f>
        <v>481.92375000000004</v>
      </c>
      <c r="V66" s="62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00000000000001" customHeight="1">
      <c r="A67" s="3">
        <v>8</v>
      </c>
      <c r="B67" s="257" t="s">
        <v>165</v>
      </c>
      <c r="C67" s="258"/>
      <c r="D67" s="33" t="s">
        <v>166</v>
      </c>
      <c r="E67" s="3" t="s">
        <v>103</v>
      </c>
      <c r="F67" s="62">
        <f>18281.64</f>
        <v>18281.64</v>
      </c>
      <c r="G67" s="62"/>
      <c r="H67" s="62">
        <f t="shared" si="41"/>
        <v>54844.92</v>
      </c>
      <c r="I67" s="62">
        <f t="shared" si="42"/>
        <v>1371.1229999999998</v>
      </c>
      <c r="J67" s="62"/>
      <c r="K67" s="62">
        <f t="shared" si="43"/>
        <v>9140.82</v>
      </c>
      <c r="L67" s="62">
        <f t="shared" si="44"/>
        <v>63985.74</v>
      </c>
      <c r="M67" s="62">
        <f t="shared" si="45"/>
        <v>18281.64</v>
      </c>
      <c r="N67" s="62">
        <f>50000</f>
        <v>50000</v>
      </c>
      <c r="O67" s="62">
        <f t="shared" si="46"/>
        <v>1828.164</v>
      </c>
      <c r="P67" s="62">
        <v>10000</v>
      </c>
      <c r="Q67" s="62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00000000000001" customHeight="1">
      <c r="A68" s="3">
        <v>9</v>
      </c>
      <c r="B68" s="269" t="s">
        <v>167</v>
      </c>
      <c r="C68" s="270"/>
      <c r="D68" s="47" t="s">
        <v>142</v>
      </c>
      <c r="E68" s="3" t="s">
        <v>168</v>
      </c>
      <c r="F68" s="62">
        <f>17286.33</f>
        <v>17286.330000000002</v>
      </c>
      <c r="G68" s="62"/>
      <c r="H68" s="62">
        <f t="shared" si="41"/>
        <v>51858.990000000005</v>
      </c>
      <c r="I68" s="62">
        <f t="shared" si="42"/>
        <v>1296.4747500000001</v>
      </c>
      <c r="J68" s="62"/>
      <c r="K68" s="62">
        <f t="shared" si="43"/>
        <v>8643.1650000000009</v>
      </c>
      <c r="L68" s="62">
        <f t="shared" si="44"/>
        <v>60502.155000000006</v>
      </c>
      <c r="M68" s="62">
        <f t="shared" si="45"/>
        <v>17286.330000000002</v>
      </c>
      <c r="N68" s="62">
        <f t="shared" ref="N68:N70" si="51">150000</f>
        <v>150000</v>
      </c>
      <c r="O68" s="62">
        <f t="shared" si="46"/>
        <v>1728.6330000000003</v>
      </c>
      <c r="P68" s="62">
        <v>10000</v>
      </c>
      <c r="Q68" s="62"/>
      <c r="R68" s="36">
        <f t="shared" si="47"/>
        <v>318602.07775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00000000000001" customHeight="1">
      <c r="A69" s="3">
        <v>10</v>
      </c>
      <c r="B69" s="269" t="s">
        <v>169</v>
      </c>
      <c r="C69" s="270"/>
      <c r="D69" s="47" t="s">
        <v>170</v>
      </c>
      <c r="E69" s="3" t="s">
        <v>93</v>
      </c>
      <c r="F69" s="62">
        <f>12351.94</f>
        <v>12351.94</v>
      </c>
      <c r="G69" s="62"/>
      <c r="H69" s="62">
        <f t="shared" si="41"/>
        <v>37055.82</v>
      </c>
      <c r="I69" s="62">
        <f t="shared" si="42"/>
        <v>926.39549999999997</v>
      </c>
      <c r="J69" s="62"/>
      <c r="K69" s="62">
        <f t="shared" si="43"/>
        <v>6175.97</v>
      </c>
      <c r="L69" s="62">
        <f t="shared" si="44"/>
        <v>43231.79</v>
      </c>
      <c r="M69" s="62">
        <f t="shared" si="45"/>
        <v>12351.94</v>
      </c>
      <c r="N69" s="62">
        <f t="shared" si="51"/>
        <v>150000</v>
      </c>
      <c r="O69" s="62">
        <f t="shared" si="46"/>
        <v>1235.1940000000002</v>
      </c>
      <c r="P69" s="62">
        <v>10000</v>
      </c>
      <c r="Q69" s="62"/>
      <c r="R69" s="36">
        <f t="shared" si="47"/>
        <v>273329.04950000002</v>
      </c>
      <c r="S69" s="36"/>
      <c r="T69" s="36"/>
      <c r="U69" s="36"/>
      <c r="V69" s="62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00000000000001" customHeight="1">
      <c r="A70" s="3">
        <v>11</v>
      </c>
      <c r="B70" s="271" t="s">
        <v>171</v>
      </c>
      <c r="C70" s="272"/>
      <c r="D70" s="47" t="s">
        <v>170</v>
      </c>
      <c r="E70" s="3" t="s">
        <v>93</v>
      </c>
      <c r="F70" s="62">
        <f>12351.94</f>
        <v>12351.94</v>
      </c>
      <c r="G70" s="62"/>
      <c r="H70" s="62">
        <f t="shared" si="41"/>
        <v>37055.82</v>
      </c>
      <c r="I70" s="62">
        <f t="shared" si="42"/>
        <v>926.39549999999997</v>
      </c>
      <c r="J70" s="62"/>
      <c r="K70" s="62">
        <f t="shared" si="43"/>
        <v>6175.97</v>
      </c>
      <c r="L70" s="62">
        <f t="shared" si="44"/>
        <v>43231.79</v>
      </c>
      <c r="M70" s="62">
        <f t="shared" si="45"/>
        <v>12351.94</v>
      </c>
      <c r="N70" s="62">
        <f t="shared" si="51"/>
        <v>150000</v>
      </c>
      <c r="O70" s="62">
        <f t="shared" si="46"/>
        <v>1235.1940000000002</v>
      </c>
      <c r="P70" s="62">
        <v>10000</v>
      </c>
      <c r="Q70" s="62"/>
      <c r="R70" s="36">
        <f t="shared" si="47"/>
        <v>273329.04950000002</v>
      </c>
      <c r="S70" s="36"/>
      <c r="T70" s="36"/>
      <c r="U70" s="36"/>
      <c r="V70" s="62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00000000000001" customHeight="1">
      <c r="A71" s="3"/>
      <c r="B71" s="273" t="s">
        <v>34</v>
      </c>
      <c r="C71" s="274"/>
      <c r="D71" s="30">
        <v>11</v>
      </c>
      <c r="E71" s="30"/>
      <c r="F71" s="92">
        <f>SUM(F60:F70)</f>
        <v>281871.46000000002</v>
      </c>
      <c r="G71" s="92"/>
      <c r="H71" s="92">
        <f t="shared" ref="H71:Y71" si="53">SUM(H60:H70)</f>
        <v>845614.37999999989</v>
      </c>
      <c r="I71" s="92">
        <f t="shared" si="53"/>
        <v>21140.359499999999</v>
      </c>
      <c r="J71" s="92">
        <f t="shared" si="53"/>
        <v>120366.57</v>
      </c>
      <c r="K71" s="92">
        <f t="shared" si="53"/>
        <v>140935.73000000001</v>
      </c>
      <c r="L71" s="92">
        <f t="shared" si="53"/>
        <v>986550.1100000001</v>
      </c>
      <c r="M71" s="92">
        <f t="shared" si="53"/>
        <v>281871.46000000002</v>
      </c>
      <c r="N71" s="92">
        <f>SUM(N60:N70)</f>
        <v>950000</v>
      </c>
      <c r="O71" s="92">
        <f t="shared" si="53"/>
        <v>28187.146000000001</v>
      </c>
      <c r="P71" s="92">
        <f t="shared" si="53"/>
        <v>145000</v>
      </c>
      <c r="Q71" s="92">
        <f t="shared" si="53"/>
        <v>0</v>
      </c>
      <c r="R71" s="92">
        <f t="shared" si="53"/>
        <v>3801537.2155000004</v>
      </c>
      <c r="S71" s="92">
        <f t="shared" si="53"/>
        <v>640000</v>
      </c>
      <c r="T71" s="92">
        <f t="shared" si="53"/>
        <v>309104.99</v>
      </c>
      <c r="U71" s="92">
        <f t="shared" si="53"/>
        <v>481.92375000000004</v>
      </c>
      <c r="V71" s="92">
        <f t="shared" si="53"/>
        <v>107402.65999999996</v>
      </c>
      <c r="W71" s="92">
        <f t="shared" si="53"/>
        <v>1056989.57375</v>
      </c>
      <c r="X71" s="92">
        <f t="shared" si="53"/>
        <v>2220146.1147499997</v>
      </c>
      <c r="Y71" s="92">
        <f t="shared" si="53"/>
        <v>2744547.6417500004</v>
      </c>
    </row>
    <row r="72" spans="1:25" ht="20.100000000000001" customHeight="1">
      <c r="A72" s="3"/>
      <c r="B72" s="99"/>
      <c r="C72" s="10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73" t="s">
        <v>486</v>
      </c>
      <c r="C73" s="274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57" t="s">
        <v>173</v>
      </c>
      <c r="C74" s="258"/>
      <c r="D74" s="33" t="s">
        <v>174</v>
      </c>
      <c r="E74" s="3" t="s">
        <v>43</v>
      </c>
      <c r="F74" s="62">
        <f>81740.02</f>
        <v>81740.02</v>
      </c>
      <c r="G74" s="62"/>
      <c r="H74" s="62">
        <f t="shared" ref="H74:H81" si="54">F74*300%</f>
        <v>245220.06</v>
      </c>
      <c r="I74" s="62">
        <f t="shared" ref="I74:I81" si="55">F74*7.5%</f>
        <v>6130.5015000000003</v>
      </c>
      <c r="J74" s="62">
        <v>80244.38</v>
      </c>
      <c r="K74" s="62">
        <f>F74*50%</f>
        <v>40870.01</v>
      </c>
      <c r="L74" s="62">
        <f t="shared" ref="L74:L81" si="56">F74*350%</f>
        <v>286090.07</v>
      </c>
      <c r="M74" s="62">
        <f>F74*100%</f>
        <v>81740.02</v>
      </c>
      <c r="N74" s="62">
        <f>50000</f>
        <v>50000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62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00000000000001" customHeight="1">
      <c r="A75" s="3">
        <v>2</v>
      </c>
      <c r="B75" s="1" t="s">
        <v>175</v>
      </c>
      <c r="D75" s="1" t="s">
        <v>487</v>
      </c>
      <c r="E75" s="66" t="s">
        <v>63</v>
      </c>
      <c r="F75" s="36">
        <v>31018.84</v>
      </c>
      <c r="G75" s="62"/>
      <c r="H75" s="62">
        <f t="shared" si="54"/>
        <v>93056.52</v>
      </c>
      <c r="I75" s="62">
        <f t="shared" si="55"/>
        <v>2326.413</v>
      </c>
      <c r="J75" s="62">
        <v>40122.19</v>
      </c>
      <c r="K75" s="62">
        <f t="shared" ref="K75:K77" si="57">F75*50%</f>
        <v>15509.42</v>
      </c>
      <c r="L75" s="62">
        <f t="shared" si="56"/>
        <v>108565.94</v>
      </c>
      <c r="M75" s="62">
        <f t="shared" ref="M75:M77" si="58">F75*100%</f>
        <v>31018.84</v>
      </c>
      <c r="N75" s="62">
        <f>150000</f>
        <v>150000</v>
      </c>
      <c r="O75" s="62">
        <f t="shared" ref="O75:O77" si="59">F75*10%</f>
        <v>3101.884</v>
      </c>
      <c r="P75" s="62">
        <v>20000</v>
      </c>
      <c r="Q75" s="63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62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00000000000001" customHeight="1">
      <c r="A76" s="3">
        <v>3</v>
      </c>
      <c r="B76" s="1" t="s">
        <v>177</v>
      </c>
      <c r="D76" s="1" t="s">
        <v>178</v>
      </c>
      <c r="E76" s="66" t="s">
        <v>63</v>
      </c>
      <c r="F76" s="36">
        <v>31018.84</v>
      </c>
      <c r="G76" s="62"/>
      <c r="H76" s="62">
        <f t="shared" si="54"/>
        <v>93056.52</v>
      </c>
      <c r="I76" s="62">
        <f t="shared" si="55"/>
        <v>2326.413</v>
      </c>
      <c r="J76" s="62">
        <v>40122.19</v>
      </c>
      <c r="K76" s="62">
        <f t="shared" si="57"/>
        <v>15509.42</v>
      </c>
      <c r="L76" s="62">
        <f t="shared" si="56"/>
        <v>108565.94</v>
      </c>
      <c r="M76" s="62">
        <f t="shared" si="58"/>
        <v>31018.84</v>
      </c>
      <c r="N76" s="62">
        <f t="shared" ref="N76:N77" si="64">150000</f>
        <v>150000</v>
      </c>
      <c r="O76" s="62">
        <f t="shared" si="59"/>
        <v>3101.884</v>
      </c>
      <c r="P76" s="62">
        <v>20000</v>
      </c>
      <c r="Q76" s="63">
        <v>0</v>
      </c>
      <c r="R76" s="36">
        <f t="shared" si="60"/>
        <v>494720.04700000002</v>
      </c>
      <c r="S76" s="36"/>
      <c r="T76" s="36"/>
      <c r="U76" s="36">
        <v>0</v>
      </c>
      <c r="V76" s="62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00000000000001" customHeight="1">
      <c r="A77" s="3">
        <v>4</v>
      </c>
      <c r="B77" s="1" t="s">
        <v>488</v>
      </c>
      <c r="D77" s="1" t="s">
        <v>489</v>
      </c>
      <c r="E77" s="66" t="s">
        <v>63</v>
      </c>
      <c r="F77" s="36">
        <v>31018.84</v>
      </c>
      <c r="G77" s="62"/>
      <c r="H77" s="62">
        <f t="shared" si="54"/>
        <v>93056.52</v>
      </c>
      <c r="I77" s="62">
        <f t="shared" si="55"/>
        <v>2326.413</v>
      </c>
      <c r="J77" s="62">
        <v>40122.19</v>
      </c>
      <c r="K77" s="62">
        <f t="shared" si="57"/>
        <v>15509.42</v>
      </c>
      <c r="L77" s="62">
        <f t="shared" si="56"/>
        <v>108565.94</v>
      </c>
      <c r="M77" s="62">
        <f t="shared" si="58"/>
        <v>31018.84</v>
      </c>
      <c r="N77" s="62">
        <f t="shared" si="64"/>
        <v>150000</v>
      </c>
      <c r="O77" s="62">
        <f t="shared" si="59"/>
        <v>3101.884</v>
      </c>
      <c r="P77" s="62">
        <v>20000</v>
      </c>
      <c r="Q77" s="63">
        <v>0</v>
      </c>
      <c r="R77" s="36">
        <f t="shared" si="60"/>
        <v>494720.04700000002</v>
      </c>
      <c r="S77" s="36"/>
      <c r="T77" s="36"/>
      <c r="U77" s="36">
        <v>0</v>
      </c>
      <c r="V77" s="62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00000000000001" customHeight="1">
      <c r="A78" s="3">
        <v>5</v>
      </c>
      <c r="B78" s="257" t="s">
        <v>179</v>
      </c>
      <c r="C78" s="258"/>
      <c r="D78" s="33" t="s">
        <v>140</v>
      </c>
      <c r="E78" s="66" t="s">
        <v>79</v>
      </c>
      <c r="F78" s="62">
        <f>23891.12</f>
        <v>23891.119999999999</v>
      </c>
      <c r="G78" s="62"/>
      <c r="H78" s="62">
        <f t="shared" si="54"/>
        <v>71673.36</v>
      </c>
      <c r="I78" s="62">
        <f t="shared" si="55"/>
        <v>1791.8339999999998</v>
      </c>
      <c r="J78" s="36">
        <v>0</v>
      </c>
      <c r="K78" s="62">
        <f>F78*50%</f>
        <v>11945.56</v>
      </c>
      <c r="L78" s="36">
        <f t="shared" si="56"/>
        <v>83618.92</v>
      </c>
      <c r="M78" s="62">
        <f>F78*100%</f>
        <v>23891.119999999999</v>
      </c>
      <c r="N78" s="62">
        <f>50000</f>
        <v>50000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'[5]Jan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00000000000001" customHeight="1">
      <c r="A79" s="3">
        <v>6</v>
      </c>
      <c r="B79" s="257" t="s">
        <v>180</v>
      </c>
      <c r="C79" s="258"/>
      <c r="D79" s="33" t="s">
        <v>166</v>
      </c>
      <c r="E79" s="3" t="s">
        <v>168</v>
      </c>
      <c r="F79" s="62">
        <f t="shared" ref="F79" si="65">17286.33</f>
        <v>17286.330000000002</v>
      </c>
      <c r="G79" s="62"/>
      <c r="H79" s="62">
        <f t="shared" si="54"/>
        <v>51858.990000000005</v>
      </c>
      <c r="I79" s="62">
        <f t="shared" si="55"/>
        <v>1296.4747500000001</v>
      </c>
      <c r="J79" s="62"/>
      <c r="K79" s="62">
        <f t="shared" ref="K79:K81" si="66">F79*50%</f>
        <v>8643.1650000000009</v>
      </c>
      <c r="L79" s="62">
        <f t="shared" si="56"/>
        <v>60502.155000000006</v>
      </c>
      <c r="M79" s="62">
        <f t="shared" ref="M79:M81" si="67">F79*100%</f>
        <v>17286.330000000002</v>
      </c>
      <c r="N79" s="62">
        <f>150000</f>
        <v>150000</v>
      </c>
      <c r="O79" s="62">
        <f t="shared" ref="O79:O81" si="68">F79*10%</f>
        <v>1728.6330000000003</v>
      </c>
      <c r="P79" s="62">
        <v>10000</v>
      </c>
      <c r="Q79" s="62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00000000000001" customHeight="1">
      <c r="A80" s="3">
        <v>7</v>
      </c>
      <c r="B80" s="97" t="s">
        <v>181</v>
      </c>
      <c r="C80" s="98"/>
      <c r="D80" s="33" t="s">
        <v>182</v>
      </c>
      <c r="E80" s="3" t="s">
        <v>455</v>
      </c>
      <c r="F80" s="62">
        <f>12732</f>
        <v>12732</v>
      </c>
      <c r="G80" s="62"/>
      <c r="H80" s="62">
        <f t="shared" si="54"/>
        <v>38196</v>
      </c>
      <c r="I80" s="62">
        <f t="shared" si="55"/>
        <v>954.9</v>
      </c>
      <c r="J80" s="62"/>
      <c r="K80" s="62">
        <f t="shared" si="66"/>
        <v>6366</v>
      </c>
      <c r="L80" s="62">
        <f t="shared" si="56"/>
        <v>44562</v>
      </c>
      <c r="M80" s="62">
        <f t="shared" si="67"/>
        <v>12732</v>
      </c>
      <c r="N80" s="62">
        <v>100000</v>
      </c>
      <c r="O80" s="62">
        <f t="shared" si="68"/>
        <v>1273.2</v>
      </c>
      <c r="P80" s="62">
        <v>10000</v>
      </c>
      <c r="Q80" s="62"/>
      <c r="R80" s="36">
        <f t="shared" si="69"/>
        <v>226816.1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00000000000001" customHeight="1">
      <c r="A81" s="3">
        <v>8</v>
      </c>
      <c r="B81" s="97" t="s">
        <v>183</v>
      </c>
      <c r="C81" s="98"/>
      <c r="D81" s="33" t="s">
        <v>184</v>
      </c>
      <c r="E81" s="3" t="s">
        <v>93</v>
      </c>
      <c r="F81" s="62">
        <f>12351.94</f>
        <v>12351.94</v>
      </c>
      <c r="G81" s="62"/>
      <c r="H81" s="62">
        <f t="shared" si="54"/>
        <v>37055.82</v>
      </c>
      <c r="I81" s="62">
        <f t="shared" si="55"/>
        <v>926.39549999999997</v>
      </c>
      <c r="J81" s="62"/>
      <c r="K81" s="62">
        <f t="shared" si="66"/>
        <v>6175.97</v>
      </c>
      <c r="L81" s="62">
        <f t="shared" si="56"/>
        <v>43231.79</v>
      </c>
      <c r="M81" s="62">
        <f t="shared" si="67"/>
        <v>12351.94</v>
      </c>
      <c r="N81" s="62">
        <f>150000</f>
        <v>150000</v>
      </c>
      <c r="O81" s="62">
        <f t="shared" si="68"/>
        <v>1235.1940000000002</v>
      </c>
      <c r="P81" s="62">
        <v>10000</v>
      </c>
      <c r="Q81" s="62"/>
      <c r="R81" s="36">
        <f t="shared" si="69"/>
        <v>273329.04950000002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00000000000001" customHeight="1">
      <c r="A82" s="3"/>
      <c r="B82" s="273" t="s">
        <v>34</v>
      </c>
      <c r="C82" s="274"/>
      <c r="D82" s="30">
        <v>8</v>
      </c>
      <c r="E82" s="30"/>
      <c r="F82" s="92">
        <f>SUM(F74:F81)</f>
        <v>241057.93</v>
      </c>
      <c r="G82" s="92"/>
      <c r="H82" s="92">
        <f t="shared" ref="H82:Y82" si="72">SUM(H74:H81)</f>
        <v>723173.78999999992</v>
      </c>
      <c r="I82" s="92">
        <f t="shared" si="72"/>
        <v>18079.34475</v>
      </c>
      <c r="J82" s="92">
        <f t="shared" si="72"/>
        <v>200610.95</v>
      </c>
      <c r="K82" s="92">
        <f t="shared" si="72"/>
        <v>120528.965</v>
      </c>
      <c r="L82" s="92">
        <f t="shared" si="72"/>
        <v>843702.75500000012</v>
      </c>
      <c r="M82" s="92">
        <f t="shared" si="72"/>
        <v>241057.93</v>
      </c>
      <c r="N82" s="95">
        <f>SUM(N74:N81)</f>
        <v>950000</v>
      </c>
      <c r="O82" s="92">
        <f t="shared" si="72"/>
        <v>24105.793000000005</v>
      </c>
      <c r="P82" s="92">
        <f t="shared" si="72"/>
        <v>125000</v>
      </c>
      <c r="Q82" s="92">
        <f t="shared" si="72"/>
        <v>0</v>
      </c>
      <c r="R82" s="92">
        <f t="shared" si="72"/>
        <v>3487317.4577500005</v>
      </c>
      <c r="S82" s="92">
        <f t="shared" si="72"/>
        <v>223000</v>
      </c>
      <c r="T82" s="92">
        <f t="shared" si="72"/>
        <v>451815.1</v>
      </c>
      <c r="U82" s="92">
        <f t="shared" si="72"/>
        <v>597.27800000000002</v>
      </c>
      <c r="V82" s="92">
        <f t="shared" si="72"/>
        <v>112971.26999999999</v>
      </c>
      <c r="W82" s="92">
        <f t="shared" si="72"/>
        <v>788383.64799999981</v>
      </c>
      <c r="X82" s="92">
        <f t="shared" si="72"/>
        <v>1202384.3215000001</v>
      </c>
      <c r="Y82" s="92">
        <f t="shared" si="72"/>
        <v>2698933.80975</v>
      </c>
    </row>
    <row r="83" spans="1:25" ht="20.100000000000001" customHeight="1">
      <c r="A83" s="3"/>
      <c r="B83" s="275"/>
      <c r="C83" s="276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77" t="s">
        <v>469</v>
      </c>
      <c r="C84" s="278"/>
      <c r="D84" s="69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57" t="s">
        <v>186</v>
      </c>
      <c r="C85" s="258"/>
      <c r="D85" s="33" t="s">
        <v>187</v>
      </c>
      <c r="E85" s="3" t="s">
        <v>479</v>
      </c>
      <c r="F85" s="62">
        <f>39662.25</f>
        <v>39662.25</v>
      </c>
      <c r="G85" s="62"/>
      <c r="H85" s="62">
        <f t="shared" ref="H85:H96" si="73">F85*300%</f>
        <v>118986.75</v>
      </c>
      <c r="I85" s="62">
        <f t="shared" ref="I85:I96" si="74">F85*7.5%</f>
        <v>2974.6687499999998</v>
      </c>
      <c r="J85" s="62">
        <v>40122.19</v>
      </c>
      <c r="K85" s="62">
        <f t="shared" ref="K85:K96" si="75">F85*50%</f>
        <v>19831.125</v>
      </c>
      <c r="L85" s="62">
        <f t="shared" ref="L85:L96" si="76">F85*350%</f>
        <v>138817.875</v>
      </c>
      <c r="M85" s="62">
        <f t="shared" ref="M85:M96" si="77">F85*100%</f>
        <v>39662.25</v>
      </c>
      <c r="N85" s="62">
        <v>50000</v>
      </c>
      <c r="O85" s="62">
        <f t="shared" ref="O85:O96" si="78">F85*10%</f>
        <v>3966.2250000000004</v>
      </c>
      <c r="P85" s="62">
        <v>20000</v>
      </c>
      <c r="Q85" s="62"/>
      <c r="R85" s="36">
        <f t="shared" ref="R85:R96" si="79">SUM(F85:Q85)</f>
        <v>474023.33374999999</v>
      </c>
      <c r="S85" s="36"/>
      <c r="T85" s="36"/>
      <c r="U85" s="36"/>
      <c r="V85" s="62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00000000000001" customHeight="1">
      <c r="A86" s="3">
        <v>2</v>
      </c>
      <c r="B86" s="257" t="s">
        <v>188</v>
      </c>
      <c r="C86" s="258"/>
      <c r="D86" s="33" t="s">
        <v>127</v>
      </c>
      <c r="E86" s="3" t="s">
        <v>129</v>
      </c>
      <c r="F86" s="62">
        <f>32263.2</f>
        <v>32263.200000000001</v>
      </c>
      <c r="G86" s="62"/>
      <c r="H86" s="62">
        <f t="shared" si="73"/>
        <v>96789.6</v>
      </c>
      <c r="I86" s="62">
        <f t="shared" si="74"/>
        <v>2419.7399999999998</v>
      </c>
      <c r="J86" s="62">
        <f>40122.19</f>
        <v>40122.19</v>
      </c>
      <c r="K86" s="62">
        <f t="shared" si="75"/>
        <v>16131.6</v>
      </c>
      <c r="L86" s="62">
        <f t="shared" si="76"/>
        <v>112921.2</v>
      </c>
      <c r="M86" s="62">
        <f t="shared" si="77"/>
        <v>32263.200000000001</v>
      </c>
      <c r="N86" s="62">
        <v>50000</v>
      </c>
      <c r="O86" s="62">
        <f t="shared" si="78"/>
        <v>3226.32</v>
      </c>
      <c r="P86" s="62">
        <v>20000</v>
      </c>
      <c r="Q86" s="62"/>
      <c r="R86" s="36">
        <f t="shared" si="79"/>
        <v>406137.05000000005</v>
      </c>
      <c r="S86" s="36"/>
      <c r="T86" s="36"/>
      <c r="U86" s="36"/>
      <c r="V86" s="62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00000000000001" customHeight="1">
      <c r="A87" s="3">
        <v>3</v>
      </c>
      <c r="B87" s="257" t="s">
        <v>189</v>
      </c>
      <c r="C87" s="258"/>
      <c r="D87" s="33" t="s">
        <v>127</v>
      </c>
      <c r="E87" s="3" t="s">
        <v>129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v>50000</v>
      </c>
      <c r="O87" s="62">
        <f>F87*10%</f>
        <v>3226.32</v>
      </c>
      <c r="P87" s="62">
        <v>20000</v>
      </c>
      <c r="Q87" s="62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'[5]Jan 2021'!$H$38</f>
        <v>806.58</v>
      </c>
      <c r="V87" s="62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00000000000001" customHeight="1">
      <c r="A88" s="3">
        <v>4</v>
      </c>
      <c r="B88" s="257" t="s">
        <v>396</v>
      </c>
      <c r="C88" s="258"/>
      <c r="D88" s="33" t="s">
        <v>131</v>
      </c>
      <c r="E88" s="3" t="s">
        <v>395</v>
      </c>
      <c r="F88" s="62">
        <f>25854.1</f>
        <v>25854.1</v>
      </c>
      <c r="G88" s="62"/>
      <c r="H88" s="62">
        <f t="shared" si="73"/>
        <v>77562.299999999988</v>
      </c>
      <c r="I88" s="62">
        <f t="shared" si="74"/>
        <v>1939.0574999999999</v>
      </c>
      <c r="J88" s="62">
        <v>0</v>
      </c>
      <c r="K88" s="62">
        <f t="shared" si="75"/>
        <v>12927.05</v>
      </c>
      <c r="L88" s="62">
        <f t="shared" si="76"/>
        <v>90489.349999999991</v>
      </c>
      <c r="M88" s="62">
        <f t="shared" si="77"/>
        <v>25854.1</v>
      </c>
      <c r="N88" s="62">
        <v>50000</v>
      </c>
      <c r="O88" s="62">
        <f t="shared" si="78"/>
        <v>2585.41</v>
      </c>
      <c r="P88" s="62">
        <v>20000</v>
      </c>
      <c r="Q88" s="62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00000000000001" customHeight="1">
      <c r="A89" s="3">
        <v>5</v>
      </c>
      <c r="B89" s="271" t="s">
        <v>190</v>
      </c>
      <c r="C89" s="272"/>
      <c r="D89" s="33" t="s">
        <v>135</v>
      </c>
      <c r="E89" s="3" t="s">
        <v>66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v>50000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'[5]Jan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00000000000001" customHeight="1">
      <c r="A90" s="3">
        <v>6</v>
      </c>
      <c r="B90" s="269" t="s">
        <v>192</v>
      </c>
      <c r="C90" s="270"/>
      <c r="D90" s="33" t="s">
        <v>131</v>
      </c>
      <c r="E90" s="3" t="s">
        <v>395</v>
      </c>
      <c r="F90" s="26">
        <f>25854.1</f>
        <v>25854.1</v>
      </c>
      <c r="G90" s="62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62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00000000000001" customHeight="1">
      <c r="A91" s="3">
        <v>7</v>
      </c>
      <c r="B91" s="269" t="s">
        <v>491</v>
      </c>
      <c r="C91" s="270"/>
      <c r="D91" s="33" t="s">
        <v>131</v>
      </c>
      <c r="E91" s="3" t="s">
        <v>395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62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'[5]Jan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00000000000001" customHeight="1">
      <c r="A92" s="3">
        <v>8</v>
      </c>
      <c r="B92" s="257" t="s">
        <v>397</v>
      </c>
      <c r="C92" s="258"/>
      <c r="D92" s="61" t="s">
        <v>135</v>
      </c>
      <c r="E92" s="66" t="s">
        <v>194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v>50000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62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" customHeight="1">
      <c r="A93" s="3">
        <v>9</v>
      </c>
      <c r="B93" s="264" t="s">
        <v>195</v>
      </c>
      <c r="C93" s="264"/>
      <c r="D93" s="33" t="s">
        <v>140</v>
      </c>
      <c r="E93" s="66" t="s">
        <v>79</v>
      </c>
      <c r="F93" s="62">
        <f>23891.12</f>
        <v>23891.119999999999</v>
      </c>
      <c r="G93" s="62"/>
      <c r="H93" s="62">
        <f t="shared" si="73"/>
        <v>71673.36</v>
      </c>
      <c r="I93" s="62">
        <f t="shared" si="74"/>
        <v>1791.8339999999998</v>
      </c>
      <c r="J93" s="62">
        <v>0</v>
      </c>
      <c r="K93" s="62">
        <f t="shared" si="75"/>
        <v>11945.56</v>
      </c>
      <c r="L93" s="36">
        <f t="shared" si="76"/>
        <v>83618.92</v>
      </c>
      <c r="M93" s="62">
        <f t="shared" si="77"/>
        <v>23891.119999999999</v>
      </c>
      <c r="N93" s="62">
        <v>50000</v>
      </c>
      <c r="O93" s="62">
        <f t="shared" si="78"/>
        <v>2389.1120000000001</v>
      </c>
      <c r="P93" s="62">
        <v>15000</v>
      </c>
      <c r="Q93" s="62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" customHeight="1">
      <c r="A94" s="3">
        <v>10</v>
      </c>
      <c r="B94" s="257" t="s">
        <v>77</v>
      </c>
      <c r="C94" s="258"/>
      <c r="D94" s="61" t="s">
        <v>137</v>
      </c>
      <c r="E94" s="66" t="s">
        <v>485</v>
      </c>
      <c r="F94" s="62">
        <f>23074.99</f>
        <v>23074.99</v>
      </c>
      <c r="G94" s="62"/>
      <c r="H94" s="62">
        <f t="shared" si="73"/>
        <v>69224.97</v>
      </c>
      <c r="I94" s="62">
        <f t="shared" si="74"/>
        <v>1730.6242500000001</v>
      </c>
      <c r="J94" s="62">
        <v>0</v>
      </c>
      <c r="K94" s="62">
        <f t="shared" si="75"/>
        <v>11537.495000000001</v>
      </c>
      <c r="L94" s="36">
        <f t="shared" si="76"/>
        <v>80762.465000000011</v>
      </c>
      <c r="M94" s="62">
        <f t="shared" si="77"/>
        <v>23074.99</v>
      </c>
      <c r="N94" s="62">
        <v>50000</v>
      </c>
      <c r="O94" s="62">
        <f t="shared" si="78"/>
        <v>2307.4990000000003</v>
      </c>
      <c r="P94" s="62">
        <v>15000</v>
      </c>
      <c r="Q94" s="62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62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" customHeight="1">
      <c r="A95" s="3">
        <v>11</v>
      </c>
      <c r="B95" s="257" t="s">
        <v>196</v>
      </c>
      <c r="C95" s="258"/>
      <c r="D95" s="61" t="s">
        <v>137</v>
      </c>
      <c r="E95" s="66" t="s">
        <v>485</v>
      </c>
      <c r="F95" s="62">
        <f t="shared" ref="F95:F96" si="83">23074.99</f>
        <v>23074.99</v>
      </c>
      <c r="G95" s="62"/>
      <c r="H95" s="62">
        <f t="shared" si="73"/>
        <v>69224.97</v>
      </c>
      <c r="I95" s="62">
        <f t="shared" si="74"/>
        <v>1730.6242500000001</v>
      </c>
      <c r="J95" s="62">
        <v>0</v>
      </c>
      <c r="K95" s="62">
        <f t="shared" si="75"/>
        <v>11537.495000000001</v>
      </c>
      <c r="L95" s="36">
        <f t="shared" si="76"/>
        <v>80762.465000000011</v>
      </c>
      <c r="M95" s="62">
        <f t="shared" si="77"/>
        <v>23074.99</v>
      </c>
      <c r="N95" s="62">
        <v>50000</v>
      </c>
      <c r="O95" s="62">
        <f t="shared" si="78"/>
        <v>2307.4990000000003</v>
      </c>
      <c r="P95" s="62">
        <v>15000</v>
      </c>
      <c r="Q95" s="62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62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" customHeight="1">
      <c r="A96" s="3">
        <v>12</v>
      </c>
      <c r="B96" s="257" t="s">
        <v>197</v>
      </c>
      <c r="C96" s="258"/>
      <c r="D96" s="61" t="s">
        <v>137</v>
      </c>
      <c r="E96" s="66" t="s">
        <v>485</v>
      </c>
      <c r="F96" s="62">
        <f t="shared" si="83"/>
        <v>23074.99</v>
      </c>
      <c r="G96" s="62"/>
      <c r="H96" s="62">
        <f t="shared" si="73"/>
        <v>69224.97</v>
      </c>
      <c r="I96" s="62">
        <f t="shared" si="74"/>
        <v>1730.6242500000001</v>
      </c>
      <c r="J96" s="62">
        <v>0</v>
      </c>
      <c r="K96" s="62">
        <f t="shared" si="75"/>
        <v>11537.495000000001</v>
      </c>
      <c r="L96" s="36">
        <f t="shared" si="76"/>
        <v>80762.465000000011</v>
      </c>
      <c r="M96" s="62">
        <f t="shared" si="77"/>
        <v>23074.99</v>
      </c>
      <c r="N96" s="62">
        <v>50000</v>
      </c>
      <c r="O96" s="62">
        <f t="shared" si="78"/>
        <v>2307.4990000000003</v>
      </c>
      <c r="P96" s="62">
        <v>15000</v>
      </c>
      <c r="Q96" s="62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62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00000000000001" customHeight="1">
      <c r="A97" s="3"/>
      <c r="B97" s="267" t="s">
        <v>34</v>
      </c>
      <c r="C97" s="267"/>
      <c r="D97" s="7">
        <v>12</v>
      </c>
      <c r="E97" s="7"/>
      <c r="F97" s="95">
        <f>SUM(F85:F96)</f>
        <v>326575.5</v>
      </c>
      <c r="G97" s="95"/>
      <c r="H97" s="95">
        <f t="shared" ref="H97:Y97" si="84">SUM(H85:H96)</f>
        <v>979726.5</v>
      </c>
      <c r="I97" s="95">
        <f t="shared" si="84"/>
        <v>24493.162499999999</v>
      </c>
      <c r="J97" s="95">
        <f t="shared" si="84"/>
        <v>120366.57</v>
      </c>
      <c r="K97" s="95">
        <f t="shared" si="84"/>
        <v>163287.75</v>
      </c>
      <c r="L97" s="95">
        <f t="shared" si="84"/>
        <v>1143014.25</v>
      </c>
      <c r="M97" s="95">
        <f t="shared" si="84"/>
        <v>326575.5</v>
      </c>
      <c r="N97" s="95">
        <f>SUM(N85:N96)</f>
        <v>600000</v>
      </c>
      <c r="O97" s="95">
        <f t="shared" si="84"/>
        <v>32657.55</v>
      </c>
      <c r="P97" s="95">
        <f t="shared" si="84"/>
        <v>220000</v>
      </c>
      <c r="Q97" s="95">
        <f t="shared" si="84"/>
        <v>0</v>
      </c>
      <c r="R97" s="95">
        <f t="shared" si="84"/>
        <v>3936696.7824999997</v>
      </c>
      <c r="S97" s="95">
        <f t="shared" si="84"/>
        <v>400000</v>
      </c>
      <c r="T97" s="95">
        <f t="shared" si="84"/>
        <v>719232.41</v>
      </c>
      <c r="U97" s="95">
        <f t="shared" si="84"/>
        <v>2121.2487500000002</v>
      </c>
      <c r="V97" s="95">
        <f t="shared" si="84"/>
        <v>122102.58999999997</v>
      </c>
      <c r="W97" s="95">
        <f t="shared" si="84"/>
        <v>1243456.24875</v>
      </c>
      <c r="X97" s="95">
        <f t="shared" si="84"/>
        <v>3618950.9959999993</v>
      </c>
      <c r="Y97" s="95">
        <f t="shared" si="84"/>
        <v>2693240.5337500004</v>
      </c>
    </row>
    <row r="98" spans="1:26" ht="20.100000000000001" customHeight="1">
      <c r="A98" s="3"/>
      <c r="B98" s="96"/>
      <c r="C98" s="9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67" t="s">
        <v>199</v>
      </c>
      <c r="C99" s="267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269" t="s">
        <v>202</v>
      </c>
      <c r="C100" s="270"/>
      <c r="D100" s="20" t="s">
        <v>493</v>
      </c>
      <c r="E100" s="29" t="s">
        <v>395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00000000000001" customHeight="1">
      <c r="A101" s="3">
        <v>2</v>
      </c>
      <c r="B101" s="257" t="s">
        <v>206</v>
      </c>
      <c r="C101" s="258"/>
      <c r="D101" s="33" t="s">
        <v>207</v>
      </c>
      <c r="E101" s="66" t="s">
        <v>103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/>
      <c r="O101" s="62">
        <f>F101*10%</f>
        <v>1828.164</v>
      </c>
      <c r="P101" s="62">
        <v>10000</v>
      </c>
      <c r="Q101" s="62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00000000000001" customHeight="1">
      <c r="A102" s="3">
        <v>3</v>
      </c>
      <c r="B102" s="97" t="s">
        <v>86</v>
      </c>
      <c r="C102" s="98"/>
      <c r="D102" s="33" t="s">
        <v>207</v>
      </c>
      <c r="E102" s="66" t="s">
        <v>95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'[5]Jan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00000000000001" customHeight="1">
      <c r="A103" s="33"/>
      <c r="B103" s="267" t="s">
        <v>34</v>
      </c>
      <c r="C103" s="267"/>
      <c r="D103" s="7">
        <v>3</v>
      </c>
      <c r="E103" s="91"/>
      <c r="F103" s="92">
        <f>SUM(F100:F102)</f>
        <v>61919.74</v>
      </c>
      <c r="G103" s="92"/>
      <c r="H103" s="92">
        <f t="shared" ref="H103:P103" si="86">SUM(H100:H102)</f>
        <v>185759.21999999997</v>
      </c>
      <c r="I103" s="92">
        <f t="shared" si="86"/>
        <v>4643.9804999999997</v>
      </c>
      <c r="J103" s="92">
        <f t="shared" si="86"/>
        <v>0</v>
      </c>
      <c r="K103" s="92">
        <f t="shared" si="86"/>
        <v>30959.87</v>
      </c>
      <c r="L103" s="92">
        <f t="shared" si="86"/>
        <v>216719.09</v>
      </c>
      <c r="M103" s="92">
        <f t="shared" si="86"/>
        <v>61919.74</v>
      </c>
      <c r="N103" s="92"/>
      <c r="O103" s="92">
        <f t="shared" si="86"/>
        <v>6191.9740000000002</v>
      </c>
      <c r="P103" s="92">
        <f t="shared" si="86"/>
        <v>40000</v>
      </c>
      <c r="Q103" s="92"/>
      <c r="R103" s="92">
        <f t="shared" ref="R103:Y103" si="87">SUM(R100:R102)</f>
        <v>608113.61449999991</v>
      </c>
      <c r="S103" s="92">
        <f t="shared" si="87"/>
        <v>35000</v>
      </c>
      <c r="T103" s="92">
        <f t="shared" si="87"/>
        <v>0</v>
      </c>
      <c r="U103" s="92">
        <f t="shared" si="87"/>
        <v>1090.95</v>
      </c>
      <c r="V103" s="92">
        <f t="shared" si="87"/>
        <v>14448.78</v>
      </c>
      <c r="W103" s="92">
        <f t="shared" si="87"/>
        <v>50539.73</v>
      </c>
      <c r="X103" s="92">
        <f t="shared" si="87"/>
        <v>901132.23450000002</v>
      </c>
      <c r="Y103" s="92">
        <f t="shared" si="87"/>
        <v>557573.88449999993</v>
      </c>
      <c r="Z103" s="34"/>
    </row>
    <row r="104" spans="1:26" ht="20.100000000000001" customHeight="1">
      <c r="A104" s="33"/>
      <c r="B104" s="96"/>
      <c r="C104" s="96"/>
      <c r="D104" s="7"/>
      <c r="E104" s="9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00000000000001" customHeight="1">
      <c r="A105" s="33"/>
      <c r="B105" s="267" t="s">
        <v>209</v>
      </c>
      <c r="C105" s="267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00000000000001" customHeight="1">
      <c r="A106" s="33">
        <v>1</v>
      </c>
      <c r="B106" s="257" t="s">
        <v>210</v>
      </c>
      <c r="C106" s="258"/>
      <c r="D106" s="61" t="s">
        <v>211</v>
      </c>
      <c r="E106" s="66" t="s">
        <v>118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v>50000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00000000000001" customHeight="1">
      <c r="A107" s="33">
        <v>2</v>
      </c>
      <c r="B107" s="311" t="s">
        <v>212</v>
      </c>
      <c r="C107" s="312"/>
      <c r="D107" s="33" t="s">
        <v>213</v>
      </c>
      <c r="E107" s="3" t="s">
        <v>54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v>50000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'[5]Jan 2021'!$H$33</f>
        <v>837.6875</v>
      </c>
      <c r="V107" s="62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00000000000001" customHeight="1">
      <c r="A108" s="33">
        <v>3</v>
      </c>
      <c r="B108" s="257" t="s">
        <v>214</v>
      </c>
      <c r="C108" s="258"/>
      <c r="D108" s="33" t="s">
        <v>215</v>
      </c>
      <c r="E108" s="3" t="s">
        <v>73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v>50000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'[5]Jan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00000000000001" customHeight="1">
      <c r="A109" s="33">
        <v>4</v>
      </c>
      <c r="B109" s="269" t="s">
        <v>216</v>
      </c>
      <c r="C109" s="270"/>
      <c r="D109" s="33" t="s">
        <v>215</v>
      </c>
      <c r="E109" s="29" t="s">
        <v>98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00000000000001" customHeight="1">
      <c r="A110" s="33">
        <v>5</v>
      </c>
      <c r="B110" s="135" t="s">
        <v>219</v>
      </c>
      <c r="C110" s="136"/>
      <c r="D110" s="1" t="s">
        <v>218</v>
      </c>
      <c r="E110" s="3" t="s">
        <v>455</v>
      </c>
      <c r="F110" s="62">
        <f>12732</f>
        <v>12732</v>
      </c>
      <c r="G110" s="62"/>
      <c r="H110" s="62">
        <f t="shared" ref="H110" si="88">F110*300%</f>
        <v>38196</v>
      </c>
      <c r="I110" s="62">
        <f t="shared" ref="I110" si="89">F110*7.5%</f>
        <v>954.9</v>
      </c>
      <c r="J110" s="62"/>
      <c r="K110" s="62">
        <f t="shared" ref="K110" si="90">F110*50%</f>
        <v>6366</v>
      </c>
      <c r="L110" s="62">
        <f t="shared" ref="L110" si="91">F110*350%</f>
        <v>44562</v>
      </c>
      <c r="M110" s="62">
        <f t="shared" ref="M110" si="92">F110*100%</f>
        <v>12732</v>
      </c>
      <c r="N110" s="62">
        <v>50000</v>
      </c>
      <c r="O110" s="62">
        <f t="shared" ref="O110" si="93">F110*10%</f>
        <v>1273.2</v>
      </c>
      <c r="P110" s="62">
        <v>10000</v>
      </c>
      <c r="Q110" s="62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00000000000001" customHeight="1">
      <c r="A111" s="33"/>
      <c r="B111" s="267" t="s">
        <v>34</v>
      </c>
      <c r="C111" s="267"/>
      <c r="D111" s="3">
        <v>5</v>
      </c>
      <c r="E111" s="33"/>
      <c r="F111" s="93">
        <f>SUM(F106:F110)</f>
        <v>176359.7</v>
      </c>
      <c r="G111" s="93"/>
      <c r="H111" s="93">
        <f t="shared" ref="H111:Y111" si="97">SUM(H106:H110)</f>
        <v>529079.1</v>
      </c>
      <c r="I111" s="93">
        <f t="shared" si="97"/>
        <v>13226.977499999999</v>
      </c>
      <c r="J111" s="93">
        <f t="shared" si="97"/>
        <v>120366.57</v>
      </c>
      <c r="K111" s="93">
        <f t="shared" si="97"/>
        <v>88179.85</v>
      </c>
      <c r="L111" s="93">
        <f t="shared" si="97"/>
        <v>617258.94999999995</v>
      </c>
      <c r="M111" s="93">
        <f t="shared" si="97"/>
        <v>176359.7</v>
      </c>
      <c r="N111" s="93">
        <f>SUM(N106:N110)</f>
        <v>250000</v>
      </c>
      <c r="O111" s="93">
        <f t="shared" si="97"/>
        <v>17635.97</v>
      </c>
      <c r="P111" s="93">
        <f t="shared" si="97"/>
        <v>80000</v>
      </c>
      <c r="Q111" s="93">
        <f t="shared" si="97"/>
        <v>0</v>
      </c>
      <c r="R111" s="93">
        <f t="shared" si="97"/>
        <v>2068466.8174999999</v>
      </c>
      <c r="S111" s="93">
        <f t="shared" si="97"/>
        <v>245000</v>
      </c>
      <c r="T111" s="93">
        <f t="shared" si="97"/>
        <v>174333.33000000002</v>
      </c>
      <c r="U111" s="93">
        <f t="shared" si="97"/>
        <v>1496.17</v>
      </c>
      <c r="V111" s="93">
        <f t="shared" si="97"/>
        <v>84979.669999999984</v>
      </c>
      <c r="W111" s="93">
        <f t="shared" si="97"/>
        <v>505809.17</v>
      </c>
      <c r="X111" s="93">
        <f t="shared" si="97"/>
        <v>2295511.4875000003</v>
      </c>
      <c r="Y111" s="93">
        <f t="shared" si="97"/>
        <v>1562657.6475</v>
      </c>
    </row>
    <row r="112" spans="1:26" ht="20.100000000000001" customHeight="1">
      <c r="A112" s="33"/>
      <c r="B112" s="96"/>
      <c r="C112" s="96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00000000000001" customHeight="1">
      <c r="A113" s="33"/>
      <c r="B113" s="267" t="s">
        <v>222</v>
      </c>
      <c r="C113" s="267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</row>
    <row r="114" spans="1:25" ht="20.100000000000001" customHeight="1">
      <c r="A114" s="33">
        <v>1</v>
      </c>
      <c r="B114" s="264" t="s">
        <v>223</v>
      </c>
      <c r="C114" s="264"/>
      <c r="D114" s="61" t="s">
        <v>224</v>
      </c>
      <c r="E114" s="66" t="s">
        <v>43</v>
      </c>
      <c r="F114" s="62">
        <f>81740.02</f>
        <v>81740.02</v>
      </c>
      <c r="G114" s="62"/>
      <c r="H114" s="62">
        <f t="shared" ref="H114:H123" si="98">F114*300%</f>
        <v>245220.06</v>
      </c>
      <c r="I114" s="62">
        <f t="shared" ref="I114:I123" si="99">F114*7.5%</f>
        <v>6130.5015000000003</v>
      </c>
      <c r="J114" s="62">
        <f>80244.38</f>
        <v>80244.38</v>
      </c>
      <c r="K114" s="62">
        <f t="shared" ref="K114:K123" si="100">F114*50%</f>
        <v>40870.01</v>
      </c>
      <c r="L114" s="62">
        <f t="shared" ref="L114:L123" si="101">F114*350%</f>
        <v>286090.07</v>
      </c>
      <c r="M114" s="62">
        <f t="shared" ref="M114:M122" si="102">F114*100%</f>
        <v>81740.02</v>
      </c>
      <c r="N114" s="62">
        <v>100000</v>
      </c>
      <c r="O114" s="62">
        <f t="shared" ref="O114:O122" si="103">F114*10%</f>
        <v>8174.0020000000004</v>
      </c>
      <c r="P114" s="62">
        <v>20000</v>
      </c>
      <c r="Q114" s="62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'[5]Jan 2021'!$H$21</f>
        <v>2043.5005000000001</v>
      </c>
      <c r="V114" s="62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00000000000001" customHeight="1">
      <c r="A115" s="33">
        <v>2</v>
      </c>
      <c r="B115" s="264" t="s">
        <v>225</v>
      </c>
      <c r="C115" s="264"/>
      <c r="D115" s="61" t="s">
        <v>226</v>
      </c>
      <c r="E115" s="66" t="s">
        <v>227</v>
      </c>
      <c r="F115" s="62">
        <f>42653.17</f>
        <v>42653.17</v>
      </c>
      <c r="G115" s="62"/>
      <c r="H115" s="62">
        <f t="shared" si="98"/>
        <v>127959.51</v>
      </c>
      <c r="I115" s="62">
        <f t="shared" si="99"/>
        <v>3198.9877499999998</v>
      </c>
      <c r="J115" s="62">
        <v>40122.19</v>
      </c>
      <c r="K115" s="62">
        <f t="shared" si="100"/>
        <v>21326.584999999999</v>
      </c>
      <c r="L115" s="62">
        <f t="shared" si="101"/>
        <v>149286.095</v>
      </c>
      <c r="M115" s="62">
        <f t="shared" si="102"/>
        <v>42653.17</v>
      </c>
      <c r="N115" s="62">
        <v>100000</v>
      </c>
      <c r="O115" s="62">
        <f t="shared" si="103"/>
        <v>4265.317</v>
      </c>
      <c r="P115" s="62">
        <v>20000</v>
      </c>
      <c r="Q115" s="62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00000000000001" customHeight="1">
      <c r="A116" s="33">
        <v>3</v>
      </c>
      <c r="B116" s="264" t="s">
        <v>228</v>
      </c>
      <c r="C116" s="264"/>
      <c r="D116" s="61" t="s">
        <v>495</v>
      </c>
      <c r="E116" s="66" t="s">
        <v>54</v>
      </c>
      <c r="F116" s="26">
        <f>33507.5</f>
        <v>33507.5</v>
      </c>
      <c r="G116" s="62"/>
      <c r="H116" s="62">
        <f t="shared" si="98"/>
        <v>100522.5</v>
      </c>
      <c r="I116" s="62">
        <f t="shared" si="99"/>
        <v>2513.0625</v>
      </c>
      <c r="J116" s="62">
        <v>40122.19</v>
      </c>
      <c r="K116" s="62">
        <f t="shared" si="100"/>
        <v>16753.75</v>
      </c>
      <c r="L116" s="36">
        <f t="shared" si="101"/>
        <v>117276.25</v>
      </c>
      <c r="M116" s="62">
        <f t="shared" si="102"/>
        <v>33507.5</v>
      </c>
      <c r="N116" s="62">
        <v>100000</v>
      </c>
      <c r="O116" s="62">
        <f t="shared" si="103"/>
        <v>3350.75</v>
      </c>
      <c r="P116" s="62">
        <v>20000</v>
      </c>
      <c r="Q116" s="62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'[5]Jan 2021'!$H$20</f>
        <v>837.6875</v>
      </c>
      <c r="V116" s="62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00000000000001" customHeight="1">
      <c r="A117" s="33">
        <v>4</v>
      </c>
      <c r="B117" s="264" t="s">
        <v>59</v>
      </c>
      <c r="C117" s="264"/>
      <c r="D117" s="61" t="s">
        <v>496</v>
      </c>
      <c r="E117" s="66" t="s">
        <v>129</v>
      </c>
      <c r="F117" s="62">
        <f>32263.2</f>
        <v>32263.200000000001</v>
      </c>
      <c r="G117" s="62"/>
      <c r="H117" s="62">
        <f t="shared" si="98"/>
        <v>96789.6</v>
      </c>
      <c r="I117" s="62">
        <f t="shared" si="99"/>
        <v>2419.7399999999998</v>
      </c>
      <c r="J117" s="62">
        <f>40122.19</f>
        <v>40122.19</v>
      </c>
      <c r="K117" s="62">
        <f t="shared" si="100"/>
        <v>16131.6</v>
      </c>
      <c r="L117" s="36">
        <f t="shared" si="101"/>
        <v>112921.2</v>
      </c>
      <c r="M117" s="62">
        <f t="shared" si="102"/>
        <v>32263.200000000001</v>
      </c>
      <c r="N117" s="62">
        <v>100000</v>
      </c>
      <c r="O117" s="62">
        <f t="shared" si="103"/>
        <v>3226.32</v>
      </c>
      <c r="P117" s="62">
        <v>20000</v>
      </c>
      <c r="Q117" s="62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'[5]Jan 2021'!$H$29</f>
        <v>806.58</v>
      </c>
      <c r="V117" s="62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00000000000001" customHeight="1">
      <c r="A118" s="33">
        <v>5</v>
      </c>
      <c r="B118" s="268" t="s">
        <v>230</v>
      </c>
      <c r="C118" s="268"/>
      <c r="D118" s="33" t="s">
        <v>497</v>
      </c>
      <c r="E118" s="66" t="s">
        <v>129</v>
      </c>
      <c r="F118" s="62">
        <f>32263.2</f>
        <v>32263.200000000001</v>
      </c>
      <c r="G118" s="62"/>
      <c r="H118" s="62">
        <f t="shared" si="98"/>
        <v>96789.6</v>
      </c>
      <c r="I118" s="62">
        <f t="shared" si="99"/>
        <v>2419.7399999999998</v>
      </c>
      <c r="J118" s="62">
        <f>40122.19</f>
        <v>40122.19</v>
      </c>
      <c r="K118" s="62">
        <f t="shared" si="100"/>
        <v>16131.6</v>
      </c>
      <c r="L118" s="36">
        <f t="shared" si="101"/>
        <v>112921.2</v>
      </c>
      <c r="M118" s="62">
        <f t="shared" si="102"/>
        <v>32263.200000000001</v>
      </c>
      <c r="N118" s="62">
        <v>100000</v>
      </c>
      <c r="O118" s="62">
        <f t="shared" si="103"/>
        <v>3226.32</v>
      </c>
      <c r="P118" s="62">
        <v>20000</v>
      </c>
      <c r="Q118" s="62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'[5]Jan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00000000000001" customHeight="1">
      <c r="A119" s="33">
        <v>6</v>
      </c>
      <c r="B119" s="313" t="s">
        <v>233</v>
      </c>
      <c r="C119" s="313"/>
      <c r="D119" s="61" t="s">
        <v>498</v>
      </c>
      <c r="E119" s="66" t="s">
        <v>98</v>
      </c>
      <c r="F119" s="62">
        <f>24741.26</f>
        <v>24741.26</v>
      </c>
      <c r="G119" s="62"/>
      <c r="H119" s="62">
        <f t="shared" si="98"/>
        <v>74223.78</v>
      </c>
      <c r="I119" s="62">
        <f t="shared" si="99"/>
        <v>1855.5944999999997</v>
      </c>
      <c r="J119" s="62">
        <v>0</v>
      </c>
      <c r="K119" s="62">
        <f t="shared" si="100"/>
        <v>12370.63</v>
      </c>
      <c r="L119" s="36">
        <f t="shared" si="101"/>
        <v>86594.409999999989</v>
      </c>
      <c r="M119" s="62">
        <f t="shared" si="102"/>
        <v>24741.26</v>
      </c>
      <c r="N119" s="62">
        <v>100000</v>
      </c>
      <c r="O119" s="62">
        <f t="shared" si="103"/>
        <v>2474.1260000000002</v>
      </c>
      <c r="P119" s="62">
        <v>15000</v>
      </c>
      <c r="Q119" s="62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62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00000000000001" customHeight="1">
      <c r="A120" s="33">
        <v>7</v>
      </c>
      <c r="B120" s="264" t="s">
        <v>235</v>
      </c>
      <c r="C120" s="264"/>
      <c r="D120" s="61" t="s">
        <v>499</v>
      </c>
      <c r="E120" s="66" t="s">
        <v>79</v>
      </c>
      <c r="F120" s="62">
        <f>23891.12</f>
        <v>23891.119999999999</v>
      </c>
      <c r="G120" s="62"/>
      <c r="H120" s="62">
        <f t="shared" si="98"/>
        <v>71673.36</v>
      </c>
      <c r="I120" s="62">
        <f t="shared" si="99"/>
        <v>1791.8339999999998</v>
      </c>
      <c r="J120" s="62"/>
      <c r="K120" s="62">
        <f t="shared" si="100"/>
        <v>11945.56</v>
      </c>
      <c r="L120" s="36">
        <f t="shared" si="101"/>
        <v>83618.92</v>
      </c>
      <c r="M120" s="62">
        <f t="shared" si="102"/>
        <v>23891.119999999999</v>
      </c>
      <c r="N120" s="62">
        <v>100000</v>
      </c>
      <c r="O120" s="62">
        <f t="shared" si="103"/>
        <v>2389.1120000000001</v>
      </c>
      <c r="P120" s="62">
        <v>15000</v>
      </c>
      <c r="Q120" s="62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'[5]Jan 2021'!$H$51</f>
        <v>597.27800000000002</v>
      </c>
      <c r="V120" s="62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00000000000001" customHeight="1">
      <c r="A121" s="33">
        <v>8</v>
      </c>
      <c r="B121" s="264" t="s">
        <v>237</v>
      </c>
      <c r="C121" s="264"/>
      <c r="D121" s="61" t="s">
        <v>499</v>
      </c>
      <c r="E121" s="66" t="s">
        <v>79</v>
      </c>
      <c r="F121" s="62">
        <f>23891.12</f>
        <v>23891.119999999999</v>
      </c>
      <c r="G121" s="62"/>
      <c r="H121" s="62">
        <f t="shared" si="98"/>
        <v>71673.36</v>
      </c>
      <c r="I121" s="62">
        <f t="shared" si="99"/>
        <v>1791.8339999999998</v>
      </c>
      <c r="J121" s="62"/>
      <c r="K121" s="62">
        <f t="shared" si="100"/>
        <v>11945.56</v>
      </c>
      <c r="L121" s="36">
        <f t="shared" si="101"/>
        <v>83618.92</v>
      </c>
      <c r="M121" s="62">
        <f t="shared" si="102"/>
        <v>23891.119999999999</v>
      </c>
      <c r="N121" s="62">
        <v>100000</v>
      </c>
      <c r="O121" s="62">
        <f t="shared" si="103"/>
        <v>2389.1120000000001</v>
      </c>
      <c r="P121" s="62">
        <v>15000</v>
      </c>
      <c r="Q121" s="62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'[5]Jan 2021'!$H$25</f>
        <v>597.27800000000002</v>
      </c>
      <c r="V121" s="62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00000000000001" customHeight="1">
      <c r="A122" s="33">
        <v>9</v>
      </c>
      <c r="B122" s="257" t="s">
        <v>104</v>
      </c>
      <c r="C122" s="258"/>
      <c r="D122" s="61" t="s">
        <v>105</v>
      </c>
      <c r="E122" s="66" t="s">
        <v>111</v>
      </c>
      <c r="F122" s="67">
        <f>13112.16</f>
        <v>13112.16</v>
      </c>
      <c r="G122" s="62"/>
      <c r="H122" s="62">
        <f t="shared" si="98"/>
        <v>39336.479999999996</v>
      </c>
      <c r="I122" s="62">
        <f t="shared" si="99"/>
        <v>983.41199999999992</v>
      </c>
      <c r="J122" s="62"/>
      <c r="K122" s="62">
        <f t="shared" si="100"/>
        <v>6556.08</v>
      </c>
      <c r="L122" s="36">
        <f t="shared" si="101"/>
        <v>45892.56</v>
      </c>
      <c r="M122" s="62">
        <f t="shared" si="102"/>
        <v>13112.16</v>
      </c>
      <c r="N122" s="62">
        <v>100000</v>
      </c>
      <c r="O122" s="62">
        <f t="shared" si="103"/>
        <v>1311.2160000000001</v>
      </c>
      <c r="P122" s="62">
        <v>10000</v>
      </c>
      <c r="Q122" s="62"/>
      <c r="R122" s="36">
        <f t="shared" si="104"/>
        <v>230304.068</v>
      </c>
      <c r="S122" s="36">
        <f>10000</f>
        <v>10000</v>
      </c>
      <c r="T122" s="36"/>
      <c r="U122" s="36"/>
      <c r="V122" s="62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00000000000001" customHeight="1">
      <c r="A123" s="33">
        <v>10</v>
      </c>
      <c r="B123" s="97" t="s">
        <v>107</v>
      </c>
      <c r="C123" s="98"/>
      <c r="D123" s="61" t="s">
        <v>105</v>
      </c>
      <c r="E123" s="66" t="s">
        <v>500</v>
      </c>
      <c r="F123" s="67">
        <f>12732</f>
        <v>12732</v>
      </c>
      <c r="G123" s="62"/>
      <c r="H123" s="62">
        <f t="shared" si="98"/>
        <v>38196</v>
      </c>
      <c r="I123" s="62">
        <f t="shared" si="99"/>
        <v>954.9</v>
      </c>
      <c r="J123" s="62"/>
      <c r="K123" s="62">
        <f t="shared" si="100"/>
        <v>6366</v>
      </c>
      <c r="L123" s="36">
        <f t="shared" si="101"/>
        <v>44562</v>
      </c>
      <c r="M123" s="62">
        <f>F123*100%</f>
        <v>12732</v>
      </c>
      <c r="N123" s="42">
        <v>100000</v>
      </c>
      <c r="O123" s="62">
        <f>F123*10%</f>
        <v>1273.2</v>
      </c>
      <c r="P123" s="62">
        <v>10000</v>
      </c>
      <c r="R123" s="62">
        <f t="shared" si="104"/>
        <v>226816.1</v>
      </c>
      <c r="S123" s="36">
        <f>20000</f>
        <v>20000</v>
      </c>
      <c r="T123" s="36"/>
      <c r="U123" s="36"/>
      <c r="V123" s="62">
        <f>(1484.37)</f>
        <v>1484.37</v>
      </c>
      <c r="W123" s="107">
        <f>S123+T123+U123+V123</f>
        <v>21484.37</v>
      </c>
      <c r="X123" s="36">
        <v>205331.73</v>
      </c>
      <c r="Y123" s="36">
        <f t="shared" si="106"/>
        <v>205331.73</v>
      </c>
    </row>
    <row r="124" spans="1:25" ht="20.100000000000001" customHeight="1">
      <c r="A124" s="33"/>
      <c r="B124" s="267" t="s">
        <v>34</v>
      </c>
      <c r="C124" s="267"/>
      <c r="D124" s="91" t="s">
        <v>501</v>
      </c>
      <c r="E124" s="66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63">
        <f t="shared" si="107"/>
        <v>1122781.625</v>
      </c>
      <c r="M124" s="39">
        <f t="shared" si="107"/>
        <v>320794.75</v>
      </c>
      <c r="N124" s="95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63">
        <f t="shared" si="107"/>
        <v>4679024.9712499995</v>
      </c>
      <c r="S124" s="63">
        <f t="shared" si="107"/>
        <v>830000</v>
      </c>
      <c r="T124" s="63">
        <f t="shared" si="107"/>
        <v>663333.34000000008</v>
      </c>
      <c r="U124" s="63">
        <f t="shared" si="107"/>
        <v>5688.9040000000005</v>
      </c>
      <c r="V124" s="39">
        <f t="shared" si="107"/>
        <v>147137.73000000001</v>
      </c>
      <c r="W124" s="63">
        <f t="shared" si="107"/>
        <v>1646159.9740000002</v>
      </c>
      <c r="X124" s="63">
        <f t="shared" si="107"/>
        <v>5999517.3172500003</v>
      </c>
      <c r="Y124" s="63">
        <f t="shared" si="107"/>
        <v>3032864.99725</v>
      </c>
    </row>
    <row r="125" spans="1:25" ht="20.100000000000001" customHeight="1">
      <c r="A125" s="33"/>
      <c r="B125" s="96"/>
      <c r="C125" s="96"/>
      <c r="D125" s="91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</row>
    <row r="126" spans="1:25" ht="20.100000000000001" customHeight="1">
      <c r="A126" s="33"/>
      <c r="B126" s="267" t="s">
        <v>242</v>
      </c>
      <c r="C126" s="267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</row>
    <row r="127" spans="1:25" ht="20.100000000000001" customHeight="1">
      <c r="A127" s="33">
        <v>1</v>
      </c>
      <c r="B127" s="264" t="s">
        <v>243</v>
      </c>
      <c r="C127" s="264"/>
      <c r="D127" s="61" t="s">
        <v>502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>
        <v>100000</v>
      </c>
      <c r="O127" s="62">
        <f>F127*10%</f>
        <v>8174.0020000000004</v>
      </c>
      <c r="P127" s="62">
        <v>20000</v>
      </c>
      <c r="Q127" s="62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62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00000000000001" customHeight="1">
      <c r="A128" s="33">
        <v>2</v>
      </c>
      <c r="B128" s="264" t="s">
        <v>245</v>
      </c>
      <c r="C128" s="264"/>
      <c r="D128" s="61" t="s">
        <v>503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>
        <v>100000</v>
      </c>
      <c r="O128" s="62">
        <f>F128*10%</f>
        <v>8174.0020000000004</v>
      </c>
      <c r="P128" s="62">
        <v>20000</v>
      </c>
      <c r="Q128" s="62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62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00000000000001" customHeight="1">
      <c r="A129" s="33">
        <v>3</v>
      </c>
      <c r="B129" s="313" t="s">
        <v>247</v>
      </c>
      <c r="C129" s="313"/>
      <c r="D129" s="61" t="s">
        <v>504</v>
      </c>
      <c r="E129" s="66" t="s">
        <v>227</v>
      </c>
      <c r="F129" s="62">
        <f>42653.17</f>
        <v>42653.17</v>
      </c>
      <c r="G129" s="62"/>
      <c r="H129" s="62">
        <f t="shared" ref="H129:H178" si="110">F129*300%</f>
        <v>127959.51</v>
      </c>
      <c r="I129" s="62">
        <f t="shared" ref="I129:I178" si="111">F129*7.5%</f>
        <v>3198.9877499999998</v>
      </c>
      <c r="J129" s="62">
        <v>40122.19</v>
      </c>
      <c r="K129" s="62">
        <f t="shared" ref="K129:K178" si="112">F129*50%</f>
        <v>21326.584999999999</v>
      </c>
      <c r="L129" s="62">
        <f t="shared" ref="L129:L178" si="113">F129*350%</f>
        <v>149286.095</v>
      </c>
      <c r="M129" s="62">
        <f t="shared" ref="M129:M149" si="114">F129*100%</f>
        <v>42653.17</v>
      </c>
      <c r="N129" s="62">
        <v>100000</v>
      </c>
      <c r="O129" s="62">
        <f t="shared" ref="O129:O149" si="115">F129*10%</f>
        <v>4265.317</v>
      </c>
      <c r="P129" s="62">
        <v>20000</v>
      </c>
      <c r="Q129" s="62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00000000000001" customHeight="1">
      <c r="A130" s="33">
        <v>4</v>
      </c>
      <c r="B130" s="265" t="s">
        <v>249</v>
      </c>
      <c r="C130" s="266"/>
      <c r="D130" s="20" t="s">
        <v>505</v>
      </c>
      <c r="E130" s="25" t="s">
        <v>54</v>
      </c>
      <c r="F130" s="62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62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'[5]Jan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00000000000001" customHeight="1">
      <c r="A131" s="33">
        <v>5</v>
      </c>
      <c r="B131" s="271" t="s">
        <v>157</v>
      </c>
      <c r="C131" s="272"/>
      <c r="D131" s="33" t="s">
        <v>518</v>
      </c>
      <c r="E131" s="66" t="s">
        <v>138</v>
      </c>
      <c r="F131" s="62">
        <f>25523.45</f>
        <v>25523.45</v>
      </c>
      <c r="G131" s="62"/>
      <c r="H131" s="62">
        <f t="shared" si="110"/>
        <v>76570.350000000006</v>
      </c>
      <c r="I131" s="62">
        <f t="shared" si="111"/>
        <v>1914.25875</v>
      </c>
      <c r="J131" s="62"/>
      <c r="K131" s="62">
        <f t="shared" si="112"/>
        <v>12761.725</v>
      </c>
      <c r="L131" s="36">
        <f t="shared" si="113"/>
        <v>89332.074999999997</v>
      </c>
      <c r="M131" s="62">
        <f t="shared" si="114"/>
        <v>25523.45</v>
      </c>
      <c r="N131" s="62">
        <v>100000</v>
      </c>
      <c r="O131" s="62">
        <f t="shared" si="115"/>
        <v>2552.3450000000003</v>
      </c>
      <c r="P131" s="62">
        <v>15000</v>
      </c>
      <c r="Q131" s="62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00000000000001" customHeight="1">
      <c r="A132" s="33">
        <v>6</v>
      </c>
      <c r="B132" s="257" t="s">
        <v>259</v>
      </c>
      <c r="C132" s="258"/>
      <c r="D132" s="61" t="s">
        <v>447</v>
      </c>
      <c r="E132" s="66" t="s">
        <v>208</v>
      </c>
      <c r="F132" s="62">
        <f>19276.95</f>
        <v>19276.95</v>
      </c>
      <c r="G132" s="62"/>
      <c r="H132" s="62">
        <f t="shared" si="110"/>
        <v>57830.850000000006</v>
      </c>
      <c r="I132" s="62">
        <f t="shared" si="111"/>
        <v>1445.77125</v>
      </c>
      <c r="J132" s="62">
        <v>0</v>
      </c>
      <c r="K132" s="62">
        <f t="shared" si="112"/>
        <v>9638.4750000000004</v>
      </c>
      <c r="L132" s="36">
        <f t="shared" si="113"/>
        <v>67469.324999999997</v>
      </c>
      <c r="M132" s="62">
        <f t="shared" si="114"/>
        <v>19276.95</v>
      </c>
      <c r="N132" s="62">
        <v>100000</v>
      </c>
      <c r="O132" s="62">
        <f t="shared" si="115"/>
        <v>1927.6950000000002</v>
      </c>
      <c r="P132" s="62">
        <v>10000</v>
      </c>
      <c r="Q132" s="62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'[5]Jan 2021'!$H$41</f>
        <v>481.92375000000004</v>
      </c>
      <c r="V132" s="62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00000000000001" customHeight="1">
      <c r="A133" s="33">
        <v>7</v>
      </c>
      <c r="B133" s="264" t="s">
        <v>253</v>
      </c>
      <c r="C133" s="264"/>
      <c r="D133" s="61" t="s">
        <v>446</v>
      </c>
      <c r="E133" s="66" t="s">
        <v>138</v>
      </c>
      <c r="F133" s="62">
        <f>25523.45</f>
        <v>25523.45</v>
      </c>
      <c r="G133" s="62"/>
      <c r="H133" s="62">
        <f t="shared" si="110"/>
        <v>76570.350000000006</v>
      </c>
      <c r="I133" s="62">
        <f t="shared" si="111"/>
        <v>1914.25875</v>
      </c>
      <c r="J133" s="62">
        <v>0</v>
      </c>
      <c r="K133" s="62">
        <f t="shared" si="112"/>
        <v>12761.725</v>
      </c>
      <c r="L133" s="36">
        <f t="shared" si="113"/>
        <v>89332.074999999997</v>
      </c>
      <c r="M133" s="62">
        <f t="shared" si="114"/>
        <v>25523.45</v>
      </c>
      <c r="N133" s="62">
        <v>100000</v>
      </c>
      <c r="O133" s="62">
        <f t="shared" si="115"/>
        <v>2552.3450000000003</v>
      </c>
      <c r="P133" s="62">
        <v>15000</v>
      </c>
      <c r="Q133" s="62"/>
      <c r="R133" s="36">
        <f t="shared" si="116"/>
        <v>349177.65375</v>
      </c>
      <c r="S133" s="36">
        <v>10000</v>
      </c>
      <c r="T133" s="36">
        <f>61800</f>
        <v>61800</v>
      </c>
      <c r="U133" s="36">
        <f>'[5]Jan 2021'!$H$49</f>
        <v>638.08625000000006</v>
      </c>
      <c r="V133" s="62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00000000000001" customHeight="1">
      <c r="A134" s="33">
        <v>8</v>
      </c>
      <c r="B134" s="264" t="s">
        <v>255</v>
      </c>
      <c r="C134" s="264"/>
      <c r="D134" s="33" t="s">
        <v>258</v>
      </c>
      <c r="E134" s="66" t="s">
        <v>138</v>
      </c>
      <c r="F134" s="62">
        <f>25523.45</f>
        <v>25523.45</v>
      </c>
      <c r="G134" s="62"/>
      <c r="H134" s="62">
        <f t="shared" si="110"/>
        <v>76570.350000000006</v>
      </c>
      <c r="I134" s="62">
        <f t="shared" si="111"/>
        <v>1914.25875</v>
      </c>
      <c r="J134" s="62">
        <v>0</v>
      </c>
      <c r="K134" s="62">
        <f t="shared" si="112"/>
        <v>12761.725</v>
      </c>
      <c r="L134" s="36">
        <f t="shared" si="113"/>
        <v>89332.074999999997</v>
      </c>
      <c r="M134" s="62">
        <f t="shared" si="114"/>
        <v>25523.45</v>
      </c>
      <c r="N134" s="62">
        <v>100000</v>
      </c>
      <c r="O134" s="62">
        <f t="shared" si="115"/>
        <v>2552.3450000000003</v>
      </c>
      <c r="P134" s="62">
        <v>15000</v>
      </c>
      <c r="Q134" s="62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'[5]Jan 2021'!$H$53</f>
        <v>638.08625000000006</v>
      </c>
      <c r="V134" s="62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00000000000001" customHeight="1">
      <c r="A135" s="33">
        <v>9</v>
      </c>
      <c r="B135" s="264" t="s">
        <v>399</v>
      </c>
      <c r="C135" s="264"/>
      <c r="D135" s="33" t="s">
        <v>258</v>
      </c>
      <c r="E135" s="66" t="s">
        <v>138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>
        <v>100000</v>
      </c>
      <c r="O135" s="62">
        <f>F135*10%</f>
        <v>2552.3450000000003</v>
      </c>
      <c r="P135" s="62">
        <v>15000</v>
      </c>
      <c r="Q135" s="62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62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00000000000001" customHeight="1">
      <c r="A136" s="33">
        <v>10</v>
      </c>
      <c r="B136" s="264" t="s">
        <v>257</v>
      </c>
      <c r="C136" s="264"/>
      <c r="D136" s="33" t="s">
        <v>258</v>
      </c>
      <c r="E136" s="66" t="s">
        <v>79</v>
      </c>
      <c r="F136" s="62">
        <f>23891.12</f>
        <v>23891.119999999999</v>
      </c>
      <c r="G136" s="62"/>
      <c r="H136" s="62">
        <f t="shared" si="110"/>
        <v>71673.36</v>
      </c>
      <c r="I136" s="62">
        <f t="shared" si="111"/>
        <v>1791.8339999999998</v>
      </c>
      <c r="J136" s="36">
        <v>0</v>
      </c>
      <c r="K136" s="62">
        <f t="shared" si="112"/>
        <v>11945.56</v>
      </c>
      <c r="L136" s="36">
        <f t="shared" si="113"/>
        <v>83618.92</v>
      </c>
      <c r="M136" s="62">
        <f t="shared" si="114"/>
        <v>23891.119999999999</v>
      </c>
      <c r="N136" s="62">
        <v>100000</v>
      </c>
      <c r="O136" s="62">
        <f t="shared" si="115"/>
        <v>2389.1120000000001</v>
      </c>
      <c r="P136" s="62">
        <v>15000</v>
      </c>
      <c r="Q136" s="62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62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00000000000001" customHeight="1">
      <c r="A137" s="33">
        <v>11</v>
      </c>
      <c r="B137" s="264" t="s">
        <v>261</v>
      </c>
      <c r="C137" s="264"/>
      <c r="D137" s="33" t="s">
        <v>447</v>
      </c>
      <c r="E137" s="66" t="s">
        <v>82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14"/>
        <v>18779.3</v>
      </c>
      <c r="N137" s="62">
        <v>100000</v>
      </c>
      <c r="O137" s="62">
        <f t="shared" si="115"/>
        <v>1877.93</v>
      </c>
      <c r="P137" s="62">
        <v>10000</v>
      </c>
      <c r="Q137" s="62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62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00000000000001" customHeight="1">
      <c r="A138" s="33">
        <v>12</v>
      </c>
      <c r="B138" s="257" t="s">
        <v>263</v>
      </c>
      <c r="C138" s="258"/>
      <c r="D138" s="33" t="s">
        <v>264</v>
      </c>
      <c r="E138" s="66" t="s">
        <v>103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14"/>
        <v>18281.64</v>
      </c>
      <c r="N138" s="62">
        <v>100000</v>
      </c>
      <c r="O138" s="62">
        <f t="shared" si="115"/>
        <v>1828.164</v>
      </c>
      <c r="P138" s="62">
        <v>10000</v>
      </c>
      <c r="Q138" s="62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00000000000001" customHeight="1">
      <c r="A139" s="33">
        <v>13</v>
      </c>
      <c r="B139" s="257" t="s">
        <v>265</v>
      </c>
      <c r="C139" s="258"/>
      <c r="D139" s="61" t="s">
        <v>266</v>
      </c>
      <c r="E139" s="66" t="s">
        <v>95</v>
      </c>
      <c r="F139" s="67">
        <f>17784</f>
        <v>17784</v>
      </c>
      <c r="G139" s="62"/>
      <c r="H139" s="62">
        <f t="shared" si="110"/>
        <v>53352</v>
      </c>
      <c r="I139" s="62">
        <f t="shared" si="111"/>
        <v>1333.8</v>
      </c>
      <c r="J139" s="62"/>
      <c r="K139" s="62">
        <f t="shared" si="112"/>
        <v>8892</v>
      </c>
      <c r="L139" s="36">
        <f t="shared" si="113"/>
        <v>62244</v>
      </c>
      <c r="M139" s="62">
        <f t="shared" si="114"/>
        <v>17784</v>
      </c>
      <c r="N139" s="62">
        <v>100000</v>
      </c>
      <c r="O139" s="62">
        <f t="shared" si="115"/>
        <v>1778.4</v>
      </c>
      <c r="P139" s="62">
        <v>10000</v>
      </c>
      <c r="Q139" s="62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'[5]Jan 2021'!$H$45</f>
        <v>444.6</v>
      </c>
      <c r="V139" s="62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00000000000001" customHeight="1">
      <c r="A140" s="33">
        <v>14</v>
      </c>
      <c r="B140" s="257" t="s">
        <v>269</v>
      </c>
      <c r="C140" s="258"/>
      <c r="D140" s="61" t="s">
        <v>268</v>
      </c>
      <c r="E140" s="66" t="s">
        <v>106</v>
      </c>
      <c r="F140" s="67">
        <f>13492.21</f>
        <v>13492.21</v>
      </c>
      <c r="G140" s="62"/>
      <c r="H140" s="62">
        <f t="shared" si="110"/>
        <v>40476.629999999997</v>
      </c>
      <c r="I140" s="62">
        <f t="shared" si="111"/>
        <v>1011.9157499999999</v>
      </c>
      <c r="J140" s="62"/>
      <c r="K140" s="62">
        <f t="shared" si="112"/>
        <v>6746.1049999999996</v>
      </c>
      <c r="L140" s="36">
        <f t="shared" si="113"/>
        <v>47222.735000000001</v>
      </c>
      <c r="M140" s="62">
        <f t="shared" si="114"/>
        <v>13492.21</v>
      </c>
      <c r="N140" s="62">
        <v>100000</v>
      </c>
      <c r="O140" s="62">
        <f t="shared" si="115"/>
        <v>1349.221</v>
      </c>
      <c r="P140" s="62">
        <v>10000</v>
      </c>
      <c r="Q140" s="62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62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00000000000001" customHeight="1">
      <c r="A141" s="33">
        <v>15</v>
      </c>
      <c r="B141" s="257" t="s">
        <v>270</v>
      </c>
      <c r="C141" s="258"/>
      <c r="D141" s="61" t="s">
        <v>268</v>
      </c>
      <c r="E141" s="66" t="s">
        <v>106</v>
      </c>
      <c r="F141" s="67">
        <f>13492.21</f>
        <v>13492.21</v>
      </c>
      <c r="G141" s="62"/>
      <c r="H141" s="62">
        <f t="shared" si="110"/>
        <v>40476.629999999997</v>
      </c>
      <c r="I141" s="62">
        <f t="shared" si="111"/>
        <v>1011.9157499999999</v>
      </c>
      <c r="J141" s="62"/>
      <c r="K141" s="62">
        <f t="shared" si="112"/>
        <v>6746.1049999999996</v>
      </c>
      <c r="L141" s="36">
        <f t="shared" si="113"/>
        <v>47222.735000000001</v>
      </c>
      <c r="M141" s="62">
        <f t="shared" si="114"/>
        <v>13492.21</v>
      </c>
      <c r="N141" s="62">
        <v>100000</v>
      </c>
      <c r="O141" s="62">
        <f t="shared" si="115"/>
        <v>1349.221</v>
      </c>
      <c r="P141" s="62">
        <v>10000</v>
      </c>
      <c r="Q141" s="62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'[5]Jan 2021'!$H$37</f>
        <v>337.30525</v>
      </c>
      <c r="V141" s="62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00000000000001" customHeight="1">
      <c r="A142" s="33">
        <v>16</v>
      </c>
      <c r="B142" s="257" t="s">
        <v>271</v>
      </c>
      <c r="C142" s="258"/>
      <c r="D142" s="61" t="s">
        <v>268</v>
      </c>
      <c r="E142" s="66" t="s">
        <v>106</v>
      </c>
      <c r="F142" s="67">
        <f>13492.21</f>
        <v>13492.21</v>
      </c>
      <c r="G142" s="62"/>
      <c r="H142" s="62">
        <f t="shared" si="110"/>
        <v>40476.629999999997</v>
      </c>
      <c r="I142" s="62">
        <f t="shared" si="111"/>
        <v>1011.9157499999999</v>
      </c>
      <c r="J142" s="62"/>
      <c r="K142" s="62">
        <f t="shared" si="112"/>
        <v>6746.1049999999996</v>
      </c>
      <c r="L142" s="36">
        <f t="shared" si="113"/>
        <v>47222.735000000001</v>
      </c>
      <c r="M142" s="62">
        <f t="shared" si="114"/>
        <v>13492.21</v>
      </c>
      <c r="N142" s="62">
        <v>100000</v>
      </c>
      <c r="O142" s="62">
        <f t="shared" si="115"/>
        <v>1349.221</v>
      </c>
      <c r="P142" s="62">
        <v>10000</v>
      </c>
      <c r="Q142" s="62"/>
      <c r="R142" s="36">
        <f t="shared" si="116"/>
        <v>233791.02674999999</v>
      </c>
      <c r="S142" s="36"/>
      <c r="T142" s="36"/>
      <c r="U142" s="36"/>
      <c r="V142" s="62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00000000000001" customHeight="1">
      <c r="A143" s="33">
        <v>17</v>
      </c>
      <c r="B143" s="257" t="s">
        <v>274</v>
      </c>
      <c r="C143" s="258"/>
      <c r="D143" s="61" t="s">
        <v>268</v>
      </c>
      <c r="E143" s="66" t="s">
        <v>111</v>
      </c>
      <c r="F143" s="67">
        <f>13112.16</f>
        <v>13112.16</v>
      </c>
      <c r="G143" s="62"/>
      <c r="H143" s="62">
        <f t="shared" si="110"/>
        <v>39336.479999999996</v>
      </c>
      <c r="I143" s="62">
        <f t="shared" si="111"/>
        <v>983.41199999999992</v>
      </c>
      <c r="J143" s="62"/>
      <c r="K143" s="62">
        <f t="shared" si="112"/>
        <v>6556.08</v>
      </c>
      <c r="L143" s="36">
        <f t="shared" si="113"/>
        <v>45892.56</v>
      </c>
      <c r="M143" s="62">
        <f t="shared" si="114"/>
        <v>13112.16</v>
      </c>
      <c r="N143" s="62">
        <v>100000</v>
      </c>
      <c r="O143" s="62">
        <f t="shared" si="115"/>
        <v>1311.2160000000001</v>
      </c>
      <c r="P143" s="62">
        <v>10000</v>
      </c>
      <c r="Q143" s="62"/>
      <c r="R143" s="36">
        <f t="shared" si="116"/>
        <v>230304.068</v>
      </c>
      <c r="S143" s="36"/>
      <c r="T143" s="36"/>
      <c r="U143" s="36"/>
      <c r="V143" s="62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00000000000001" customHeight="1">
      <c r="A144" s="33">
        <v>18</v>
      </c>
      <c r="B144" s="257" t="s">
        <v>275</v>
      </c>
      <c r="C144" s="258"/>
      <c r="D144" s="61" t="s">
        <v>276</v>
      </c>
      <c r="E144" s="66" t="s">
        <v>111</v>
      </c>
      <c r="F144" s="67">
        <f>13112.16</f>
        <v>13112.16</v>
      </c>
      <c r="G144" s="62"/>
      <c r="H144" s="62">
        <f t="shared" si="110"/>
        <v>39336.479999999996</v>
      </c>
      <c r="I144" s="62">
        <f t="shared" si="111"/>
        <v>983.41199999999992</v>
      </c>
      <c r="J144" s="62"/>
      <c r="K144" s="62">
        <f t="shared" si="112"/>
        <v>6556.08</v>
      </c>
      <c r="L144" s="36">
        <f t="shared" si="113"/>
        <v>45892.56</v>
      </c>
      <c r="M144" s="62">
        <f t="shared" si="114"/>
        <v>13112.16</v>
      </c>
      <c r="N144" s="62">
        <v>100000</v>
      </c>
      <c r="O144" s="62">
        <f t="shared" si="115"/>
        <v>1311.2160000000001</v>
      </c>
      <c r="P144" s="62">
        <v>10000</v>
      </c>
      <c r="Q144" s="62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62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00000000000001" customHeight="1">
      <c r="A145" s="33">
        <v>19</v>
      </c>
      <c r="B145" s="257" t="s">
        <v>217</v>
      </c>
      <c r="C145" s="258"/>
      <c r="D145" s="61" t="s">
        <v>494</v>
      </c>
      <c r="E145" s="66" t="s">
        <v>111</v>
      </c>
      <c r="F145" s="67">
        <f>13112.16</f>
        <v>13112.16</v>
      </c>
      <c r="G145" s="62"/>
      <c r="H145" s="62">
        <f t="shared" si="110"/>
        <v>39336.479999999996</v>
      </c>
      <c r="I145" s="62">
        <f t="shared" si="111"/>
        <v>983.41199999999992</v>
      </c>
      <c r="J145" s="62"/>
      <c r="K145" s="62">
        <f t="shared" si="112"/>
        <v>6556.08</v>
      </c>
      <c r="L145" s="36">
        <f t="shared" si="113"/>
        <v>45892.56</v>
      </c>
      <c r="M145" s="62">
        <f t="shared" si="114"/>
        <v>13112.16</v>
      </c>
      <c r="N145" s="62">
        <v>100000</v>
      </c>
      <c r="O145" s="62">
        <f t="shared" si="115"/>
        <v>1311.2160000000001</v>
      </c>
      <c r="P145" s="62">
        <v>10000</v>
      </c>
      <c r="Q145" s="62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62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00000000000001" customHeight="1">
      <c r="A146" s="33">
        <v>20</v>
      </c>
      <c r="B146" s="257" t="s">
        <v>278</v>
      </c>
      <c r="C146" s="258"/>
      <c r="D146" s="61" t="s">
        <v>494</v>
      </c>
      <c r="E146" s="66" t="s">
        <v>111</v>
      </c>
      <c r="F146" s="67">
        <f>13112.16</f>
        <v>13112.16</v>
      </c>
      <c r="G146" s="62"/>
      <c r="H146" s="62">
        <f t="shared" si="110"/>
        <v>39336.479999999996</v>
      </c>
      <c r="I146" s="62">
        <f t="shared" si="111"/>
        <v>983.41199999999992</v>
      </c>
      <c r="J146" s="62"/>
      <c r="K146" s="62">
        <f t="shared" si="112"/>
        <v>6556.08</v>
      </c>
      <c r="L146" s="36">
        <f t="shared" si="113"/>
        <v>45892.56</v>
      </c>
      <c r="M146" s="62">
        <f t="shared" si="114"/>
        <v>13112.16</v>
      </c>
      <c r="N146" s="62">
        <v>100000</v>
      </c>
      <c r="O146" s="62">
        <f t="shared" si="115"/>
        <v>1311.2160000000001</v>
      </c>
      <c r="P146" s="62">
        <v>10000</v>
      </c>
      <c r="Q146" s="62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62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00000000000001" customHeight="1">
      <c r="A147" s="33">
        <v>21</v>
      </c>
      <c r="B147" s="257" t="s">
        <v>277</v>
      </c>
      <c r="C147" s="258"/>
      <c r="D147" s="61" t="s">
        <v>268</v>
      </c>
      <c r="E147" s="66" t="s">
        <v>111</v>
      </c>
      <c r="F147" s="67">
        <f>13112.16</f>
        <v>13112.16</v>
      </c>
      <c r="G147" s="62"/>
      <c r="H147" s="62">
        <f t="shared" si="110"/>
        <v>39336.479999999996</v>
      </c>
      <c r="I147" s="62">
        <f t="shared" si="111"/>
        <v>983.41199999999992</v>
      </c>
      <c r="J147" s="62"/>
      <c r="K147" s="62">
        <f t="shared" si="112"/>
        <v>6556.08</v>
      </c>
      <c r="L147" s="36">
        <f t="shared" si="113"/>
        <v>45892.56</v>
      </c>
      <c r="M147" s="62">
        <f t="shared" si="114"/>
        <v>13112.16</v>
      </c>
      <c r="N147" s="62">
        <v>100000</v>
      </c>
      <c r="O147" s="62">
        <f t="shared" si="115"/>
        <v>1311.2160000000001</v>
      </c>
      <c r="P147" s="62">
        <v>10000</v>
      </c>
      <c r="Q147" s="62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'[5]Jan 2021'!$H$56</f>
        <v>327.80400000000003</v>
      </c>
      <c r="V147" s="62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00000000000001" customHeight="1">
      <c r="A148" s="33">
        <v>22</v>
      </c>
      <c r="B148" s="257" t="s">
        <v>262</v>
      </c>
      <c r="C148" s="258"/>
      <c r="D148" s="61" t="s">
        <v>448</v>
      </c>
      <c r="E148" s="66" t="s">
        <v>208</v>
      </c>
      <c r="F148" s="62">
        <f>19276.95</f>
        <v>19276.95</v>
      </c>
      <c r="G148" s="62"/>
      <c r="H148" s="62">
        <f t="shared" si="110"/>
        <v>57830.850000000006</v>
      </c>
      <c r="I148" s="62">
        <f t="shared" si="111"/>
        <v>1445.77125</v>
      </c>
      <c r="J148" s="36"/>
      <c r="K148" s="62">
        <f t="shared" si="112"/>
        <v>9638.4750000000004</v>
      </c>
      <c r="L148" s="36">
        <f t="shared" si="113"/>
        <v>67469.324999999997</v>
      </c>
      <c r="M148" s="62">
        <f t="shared" si="114"/>
        <v>19276.95</v>
      </c>
      <c r="N148" s="62">
        <v>100000</v>
      </c>
      <c r="O148" s="62">
        <f t="shared" si="115"/>
        <v>1927.6950000000002</v>
      </c>
      <c r="P148" s="62">
        <v>10000</v>
      </c>
      <c r="Q148" s="62"/>
      <c r="R148" s="36">
        <f t="shared" si="116"/>
        <v>286866.01625000004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00000000000001" customHeight="1">
      <c r="A149" s="33">
        <v>23</v>
      </c>
      <c r="B149" s="257" t="s">
        <v>267</v>
      </c>
      <c r="C149" s="258"/>
      <c r="D149" s="61" t="s">
        <v>268</v>
      </c>
      <c r="E149" s="66" t="s">
        <v>103</v>
      </c>
      <c r="F149" s="26">
        <f>18281.64</f>
        <v>18281.64</v>
      </c>
      <c r="G149" s="62"/>
      <c r="H149" s="62">
        <f t="shared" si="110"/>
        <v>54844.92</v>
      </c>
      <c r="I149" s="62">
        <f t="shared" si="111"/>
        <v>1371.1229999999998</v>
      </c>
      <c r="J149" s="36"/>
      <c r="K149" s="62">
        <f t="shared" si="112"/>
        <v>9140.82</v>
      </c>
      <c r="L149" s="36">
        <f t="shared" si="113"/>
        <v>63985.74</v>
      </c>
      <c r="M149" s="62">
        <f t="shared" si="114"/>
        <v>18281.64</v>
      </c>
      <c r="N149" s="62">
        <v>100000</v>
      </c>
      <c r="O149" s="62">
        <f t="shared" si="115"/>
        <v>1828.164</v>
      </c>
      <c r="P149" s="62">
        <v>10000</v>
      </c>
      <c r="Q149" s="62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'[5]Jan 2021'!$H$31</f>
        <v>457.041</v>
      </c>
      <c r="V149" s="62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00000000000001" customHeight="1">
      <c r="A150" s="33">
        <v>24</v>
      </c>
      <c r="B150" s="97" t="s">
        <v>280</v>
      </c>
      <c r="C150" s="98"/>
      <c r="D150" s="61" t="s">
        <v>281</v>
      </c>
      <c r="E150" s="66" t="s">
        <v>500</v>
      </c>
      <c r="F150" s="67">
        <f>17784</f>
        <v>17784</v>
      </c>
      <c r="G150" s="62"/>
      <c r="H150" s="62">
        <f t="shared" si="110"/>
        <v>53352</v>
      </c>
      <c r="I150" s="62">
        <f t="shared" si="111"/>
        <v>1333.8</v>
      </c>
      <c r="J150" s="62"/>
      <c r="K150" s="62">
        <f t="shared" si="112"/>
        <v>8892</v>
      </c>
      <c r="L150" s="36">
        <f t="shared" si="113"/>
        <v>62244</v>
      </c>
      <c r="M150" s="62">
        <f>F150*100%</f>
        <v>17784</v>
      </c>
      <c r="N150" s="42">
        <v>100000</v>
      </c>
      <c r="O150" s="62">
        <f>F150*10%</f>
        <v>1778.4</v>
      </c>
      <c r="P150" s="62">
        <v>10000</v>
      </c>
      <c r="R150" s="62">
        <f t="shared" si="116"/>
        <v>273168.2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00000000000001" customHeight="1">
      <c r="A151" s="33">
        <v>25</v>
      </c>
      <c r="B151" s="264" t="s">
        <v>286</v>
      </c>
      <c r="C151" s="264"/>
      <c r="D151" s="61" t="s">
        <v>287</v>
      </c>
      <c r="E151" s="77" t="s">
        <v>506</v>
      </c>
      <c r="F151" s="78">
        <f t="shared" ref="F151:F157" si="117">8730.79</f>
        <v>8730.7900000000009</v>
      </c>
      <c r="G151" s="27"/>
      <c r="H151" s="62">
        <f t="shared" si="110"/>
        <v>26192.370000000003</v>
      </c>
      <c r="I151" s="62">
        <f t="shared" si="111"/>
        <v>654.80925000000002</v>
      </c>
      <c r="J151" s="67">
        <v>0</v>
      </c>
      <c r="K151" s="62">
        <f t="shared" si="112"/>
        <v>4365.3950000000004</v>
      </c>
      <c r="L151" s="36">
        <f t="shared" si="113"/>
        <v>30557.765000000003</v>
      </c>
      <c r="M151" s="62">
        <f t="shared" ref="M151:M160" si="118">F151*100%</f>
        <v>8730.7900000000009</v>
      </c>
      <c r="N151" s="36">
        <v>25000</v>
      </c>
      <c r="O151" s="62">
        <f t="shared" ref="O151:O178" si="119">F151*10%</f>
        <v>873.07900000000018</v>
      </c>
      <c r="P151" s="67">
        <v>5000</v>
      </c>
      <c r="Q151" s="62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'[5]Jan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00000000000001" customHeight="1">
      <c r="A152" s="33">
        <v>26</v>
      </c>
      <c r="B152" s="264" t="s">
        <v>289</v>
      </c>
      <c r="C152" s="264"/>
      <c r="D152" s="61" t="s">
        <v>287</v>
      </c>
      <c r="E152" s="77" t="s">
        <v>506</v>
      </c>
      <c r="F152" s="78">
        <f t="shared" si="117"/>
        <v>8730.7900000000009</v>
      </c>
      <c r="G152" s="27"/>
      <c r="H152" s="62">
        <f t="shared" si="110"/>
        <v>26192.370000000003</v>
      </c>
      <c r="I152" s="62">
        <f t="shared" si="111"/>
        <v>654.80925000000002</v>
      </c>
      <c r="J152" s="67">
        <v>0</v>
      </c>
      <c r="K152" s="62">
        <f t="shared" si="112"/>
        <v>4365.3950000000004</v>
      </c>
      <c r="L152" s="36">
        <f t="shared" si="113"/>
        <v>30557.765000000003</v>
      </c>
      <c r="M152" s="62">
        <f t="shared" si="118"/>
        <v>8730.7900000000009</v>
      </c>
      <c r="N152" s="36">
        <v>25000</v>
      </c>
      <c r="O152" s="62">
        <f t="shared" si="119"/>
        <v>873.07900000000018</v>
      </c>
      <c r="P152" s="67">
        <v>5000</v>
      </c>
      <c r="Q152" s="62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00000000000001" customHeight="1">
      <c r="A153" s="33">
        <v>27</v>
      </c>
      <c r="B153" s="264" t="s">
        <v>290</v>
      </c>
      <c r="C153" s="264"/>
      <c r="D153" s="61" t="s">
        <v>287</v>
      </c>
      <c r="E153" s="77" t="s">
        <v>506</v>
      </c>
      <c r="F153" s="78">
        <f t="shared" si="117"/>
        <v>8730.7900000000009</v>
      </c>
      <c r="G153" s="27"/>
      <c r="H153" s="62">
        <f t="shared" si="110"/>
        <v>26192.370000000003</v>
      </c>
      <c r="I153" s="62">
        <f t="shared" si="111"/>
        <v>654.80925000000002</v>
      </c>
      <c r="J153" s="62">
        <v>0</v>
      </c>
      <c r="K153" s="62">
        <f t="shared" si="112"/>
        <v>4365.3950000000004</v>
      </c>
      <c r="L153" s="36">
        <f t="shared" si="113"/>
        <v>30557.765000000003</v>
      </c>
      <c r="M153" s="62">
        <f t="shared" si="118"/>
        <v>8730.7900000000009</v>
      </c>
      <c r="N153" s="36">
        <v>25000</v>
      </c>
      <c r="O153" s="62">
        <f t="shared" si="119"/>
        <v>873.07900000000018</v>
      </c>
      <c r="P153" s="62">
        <v>5000</v>
      </c>
      <c r="Q153" s="62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00000000000001" customHeight="1">
      <c r="A154" s="33">
        <v>28</v>
      </c>
      <c r="B154" s="264" t="s">
        <v>291</v>
      </c>
      <c r="C154" s="264"/>
      <c r="D154" s="61" t="s">
        <v>287</v>
      </c>
      <c r="E154" s="77" t="s">
        <v>506</v>
      </c>
      <c r="F154" s="78">
        <f t="shared" si="117"/>
        <v>8730.7900000000009</v>
      </c>
      <c r="G154" s="27"/>
      <c r="H154" s="62">
        <f t="shared" si="110"/>
        <v>26192.370000000003</v>
      </c>
      <c r="I154" s="62">
        <f t="shared" si="111"/>
        <v>654.80925000000002</v>
      </c>
      <c r="J154" s="62">
        <v>0</v>
      </c>
      <c r="K154" s="62">
        <f t="shared" si="112"/>
        <v>4365.3950000000004</v>
      </c>
      <c r="L154" s="36">
        <f t="shared" si="113"/>
        <v>30557.765000000003</v>
      </c>
      <c r="M154" s="62">
        <f t="shared" si="118"/>
        <v>8730.7900000000009</v>
      </c>
      <c r="N154" s="36">
        <v>25000</v>
      </c>
      <c r="O154" s="62">
        <f t="shared" si="119"/>
        <v>873.07900000000018</v>
      </c>
      <c r="P154" s="62">
        <v>5000</v>
      </c>
      <c r="Q154" s="62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00000000000001" customHeight="1">
      <c r="A155" s="33">
        <v>29</v>
      </c>
      <c r="B155" s="264" t="s">
        <v>292</v>
      </c>
      <c r="C155" s="264"/>
      <c r="D155" s="61" t="s">
        <v>287</v>
      </c>
      <c r="E155" s="77" t="s">
        <v>506</v>
      </c>
      <c r="F155" s="78">
        <f t="shared" si="117"/>
        <v>8730.7900000000009</v>
      </c>
      <c r="G155" s="27"/>
      <c r="H155" s="62">
        <f t="shared" si="110"/>
        <v>26192.370000000003</v>
      </c>
      <c r="I155" s="62">
        <f t="shared" si="111"/>
        <v>654.80925000000002</v>
      </c>
      <c r="J155" s="62">
        <v>0</v>
      </c>
      <c r="K155" s="62">
        <f t="shared" si="112"/>
        <v>4365.3950000000004</v>
      </c>
      <c r="L155" s="36">
        <f t="shared" si="113"/>
        <v>30557.765000000003</v>
      </c>
      <c r="M155" s="62">
        <f t="shared" si="118"/>
        <v>8730.7900000000009</v>
      </c>
      <c r="N155" s="36">
        <v>25000</v>
      </c>
      <c r="O155" s="62">
        <f t="shared" si="119"/>
        <v>873.07900000000018</v>
      </c>
      <c r="P155" s="62">
        <v>5000</v>
      </c>
      <c r="Q155" s="62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00000000000001" customHeight="1">
      <c r="A156" s="33">
        <v>30</v>
      </c>
      <c r="B156" s="264" t="s">
        <v>293</v>
      </c>
      <c r="C156" s="264"/>
      <c r="D156" s="61" t="s">
        <v>287</v>
      </c>
      <c r="E156" s="77" t="s">
        <v>506</v>
      </c>
      <c r="F156" s="78">
        <f t="shared" si="117"/>
        <v>8730.7900000000009</v>
      </c>
      <c r="G156" s="27"/>
      <c r="H156" s="62">
        <f t="shared" si="110"/>
        <v>26192.370000000003</v>
      </c>
      <c r="I156" s="62">
        <f t="shared" si="111"/>
        <v>654.80925000000002</v>
      </c>
      <c r="J156" s="62">
        <v>0</v>
      </c>
      <c r="K156" s="62">
        <f t="shared" si="112"/>
        <v>4365.3950000000004</v>
      </c>
      <c r="L156" s="36">
        <f t="shared" si="113"/>
        <v>30557.765000000003</v>
      </c>
      <c r="M156" s="62">
        <f t="shared" si="118"/>
        <v>8730.7900000000009</v>
      </c>
      <c r="N156" s="36">
        <v>25000</v>
      </c>
      <c r="O156" s="62">
        <f t="shared" si="119"/>
        <v>873.07900000000018</v>
      </c>
      <c r="P156" s="62">
        <v>5000</v>
      </c>
      <c r="Q156" s="62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'[5]Jan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00000000000001" customHeight="1">
      <c r="A157" s="33">
        <v>31</v>
      </c>
      <c r="B157" s="264" t="s">
        <v>294</v>
      </c>
      <c r="C157" s="264"/>
      <c r="D157" s="61" t="s">
        <v>287</v>
      </c>
      <c r="E157" s="77" t="s">
        <v>506</v>
      </c>
      <c r="F157" s="78">
        <f t="shared" si="117"/>
        <v>8730.7900000000009</v>
      </c>
      <c r="G157" s="27"/>
      <c r="H157" s="62">
        <f t="shared" si="110"/>
        <v>26192.370000000003</v>
      </c>
      <c r="I157" s="62">
        <f t="shared" si="111"/>
        <v>654.80925000000002</v>
      </c>
      <c r="J157" s="62">
        <v>0</v>
      </c>
      <c r="K157" s="62">
        <f t="shared" si="112"/>
        <v>4365.3950000000004</v>
      </c>
      <c r="L157" s="36">
        <f t="shared" si="113"/>
        <v>30557.765000000003</v>
      </c>
      <c r="M157" s="62">
        <f t="shared" si="118"/>
        <v>8730.7900000000009</v>
      </c>
      <c r="N157" s="36">
        <v>25000</v>
      </c>
      <c r="O157" s="62">
        <f t="shared" si="119"/>
        <v>873.07900000000018</v>
      </c>
      <c r="P157" s="62">
        <v>5000</v>
      </c>
      <c r="Q157" s="62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00000000000001" customHeight="1">
      <c r="A158" s="33">
        <v>32</v>
      </c>
      <c r="B158" s="264" t="s">
        <v>295</v>
      </c>
      <c r="C158" s="264"/>
      <c r="D158" s="61" t="s">
        <v>296</v>
      </c>
      <c r="E158" s="66" t="s">
        <v>507</v>
      </c>
      <c r="F158" s="62">
        <f t="shared" ref="F158:F164" si="120">5598.92</f>
        <v>5598.92</v>
      </c>
      <c r="G158" s="27"/>
      <c r="H158" s="62">
        <f t="shared" si="110"/>
        <v>16796.760000000002</v>
      </c>
      <c r="I158" s="62">
        <f t="shared" si="111"/>
        <v>419.91899999999998</v>
      </c>
      <c r="J158" s="62">
        <v>0</v>
      </c>
      <c r="K158" s="62">
        <f t="shared" si="112"/>
        <v>2799.46</v>
      </c>
      <c r="L158" s="36">
        <f t="shared" si="113"/>
        <v>19596.22</v>
      </c>
      <c r="M158" s="62">
        <f t="shared" si="118"/>
        <v>5598.92</v>
      </c>
      <c r="N158" s="36">
        <v>25000</v>
      </c>
      <c r="O158" s="62">
        <f t="shared" si="119"/>
        <v>559.89200000000005</v>
      </c>
      <c r="P158" s="62">
        <v>5000</v>
      </c>
      <c r="Q158" s="62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00000000000001" customHeight="1">
      <c r="A159" s="33">
        <v>33</v>
      </c>
      <c r="B159" s="264" t="s">
        <v>298</v>
      </c>
      <c r="C159" s="264"/>
      <c r="D159" s="61" t="s">
        <v>296</v>
      </c>
      <c r="E159" s="66" t="s">
        <v>507</v>
      </c>
      <c r="F159" s="62">
        <f t="shared" si="120"/>
        <v>5598.92</v>
      </c>
      <c r="G159" s="27"/>
      <c r="H159" s="62">
        <f t="shared" si="110"/>
        <v>16796.760000000002</v>
      </c>
      <c r="I159" s="62">
        <f t="shared" si="111"/>
        <v>419.91899999999998</v>
      </c>
      <c r="J159" s="62">
        <v>0</v>
      </c>
      <c r="K159" s="62">
        <f t="shared" si="112"/>
        <v>2799.46</v>
      </c>
      <c r="L159" s="36">
        <f t="shared" si="113"/>
        <v>19596.22</v>
      </c>
      <c r="M159" s="62">
        <f t="shared" si="118"/>
        <v>5598.92</v>
      </c>
      <c r="N159" s="36">
        <v>25000</v>
      </c>
      <c r="O159" s="62">
        <f t="shared" si="119"/>
        <v>559.89200000000005</v>
      </c>
      <c r="P159" s="62">
        <v>5000</v>
      </c>
      <c r="Q159" s="62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00000000000001" customHeight="1">
      <c r="A160" s="33">
        <v>34</v>
      </c>
      <c r="B160" s="264" t="s">
        <v>299</v>
      </c>
      <c r="C160" s="264"/>
      <c r="D160" s="61" t="s">
        <v>296</v>
      </c>
      <c r="E160" s="66" t="s">
        <v>507</v>
      </c>
      <c r="F160" s="62">
        <f t="shared" si="120"/>
        <v>5598.92</v>
      </c>
      <c r="G160" s="27"/>
      <c r="H160" s="62">
        <f t="shared" si="110"/>
        <v>16796.760000000002</v>
      </c>
      <c r="I160" s="62">
        <f t="shared" si="111"/>
        <v>419.91899999999998</v>
      </c>
      <c r="J160" s="62">
        <v>0</v>
      </c>
      <c r="K160" s="62">
        <f t="shared" si="112"/>
        <v>2799.46</v>
      </c>
      <c r="L160" s="36">
        <f t="shared" si="113"/>
        <v>19596.22</v>
      </c>
      <c r="M160" s="62">
        <f t="shared" si="118"/>
        <v>5598.92</v>
      </c>
      <c r="N160" s="36">
        <v>25000</v>
      </c>
      <c r="O160" s="62">
        <f t="shared" si="119"/>
        <v>559.89200000000005</v>
      </c>
      <c r="P160" s="62">
        <v>5000</v>
      </c>
      <c r="Q160" s="62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00000000000001" customHeight="1">
      <c r="A161" s="33">
        <v>35</v>
      </c>
      <c r="B161" s="33" t="s">
        <v>300</v>
      </c>
      <c r="C161" s="33"/>
      <c r="D161" s="61" t="s">
        <v>296</v>
      </c>
      <c r="E161" s="66" t="s">
        <v>507</v>
      </c>
      <c r="F161" s="62">
        <f t="shared" si="120"/>
        <v>5598.92</v>
      </c>
      <c r="G161" s="27"/>
      <c r="H161" s="62">
        <f t="shared" si="110"/>
        <v>16796.760000000002</v>
      </c>
      <c r="I161" s="62">
        <f t="shared" si="111"/>
        <v>419.91899999999998</v>
      </c>
      <c r="J161" s="62">
        <v>0</v>
      </c>
      <c r="K161" s="62">
        <f t="shared" si="112"/>
        <v>2799.46</v>
      </c>
      <c r="L161" s="36">
        <f t="shared" si="113"/>
        <v>19596.22</v>
      </c>
      <c r="M161" s="62">
        <f>F160*100%</f>
        <v>5598.92</v>
      </c>
      <c r="N161" s="36">
        <v>25000</v>
      </c>
      <c r="O161" s="62">
        <f t="shared" si="119"/>
        <v>559.89200000000005</v>
      </c>
      <c r="P161" s="62">
        <v>5000</v>
      </c>
      <c r="Q161" s="62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00000000000001" customHeight="1">
      <c r="A162" s="33">
        <v>36</v>
      </c>
      <c r="B162" s="257" t="s">
        <v>301</v>
      </c>
      <c r="C162" s="258"/>
      <c r="D162" s="61" t="s">
        <v>296</v>
      </c>
      <c r="E162" s="66" t="s">
        <v>507</v>
      </c>
      <c r="F162" s="62">
        <f t="shared" si="120"/>
        <v>5598.92</v>
      </c>
      <c r="G162" s="27"/>
      <c r="H162" s="62">
        <f t="shared" si="110"/>
        <v>16796.760000000002</v>
      </c>
      <c r="I162" s="62">
        <f t="shared" si="111"/>
        <v>419.91899999999998</v>
      </c>
      <c r="J162" s="62"/>
      <c r="K162" s="62">
        <f t="shared" si="112"/>
        <v>2799.46</v>
      </c>
      <c r="L162" s="36">
        <f t="shared" si="113"/>
        <v>19596.22</v>
      </c>
      <c r="M162" s="62">
        <f t="shared" ref="M162:M178" si="121">F162*100%</f>
        <v>5598.92</v>
      </c>
      <c r="N162" s="36">
        <v>25000</v>
      </c>
      <c r="O162" s="62">
        <f t="shared" si="119"/>
        <v>559.89200000000005</v>
      </c>
      <c r="P162" s="62">
        <v>5000</v>
      </c>
      <c r="Q162" s="62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00000000000001" customHeight="1">
      <c r="A163" s="33">
        <v>37</v>
      </c>
      <c r="B163" s="61" t="s">
        <v>302</v>
      </c>
      <c r="C163" s="33"/>
      <c r="D163" s="61" t="s">
        <v>296</v>
      </c>
      <c r="E163" s="66" t="s">
        <v>507</v>
      </c>
      <c r="F163" s="62">
        <f t="shared" si="120"/>
        <v>5598.92</v>
      </c>
      <c r="G163" s="27"/>
      <c r="H163" s="62">
        <f t="shared" si="110"/>
        <v>16796.760000000002</v>
      </c>
      <c r="I163" s="62">
        <f t="shared" si="111"/>
        <v>419.91899999999998</v>
      </c>
      <c r="J163" s="62"/>
      <c r="K163" s="62">
        <f t="shared" si="112"/>
        <v>2799.46</v>
      </c>
      <c r="L163" s="36">
        <f t="shared" si="113"/>
        <v>19596.22</v>
      </c>
      <c r="M163" s="62">
        <f t="shared" si="121"/>
        <v>5598.92</v>
      </c>
      <c r="N163" s="36">
        <v>25000</v>
      </c>
      <c r="O163" s="62">
        <f t="shared" si="119"/>
        <v>559.89200000000005</v>
      </c>
      <c r="P163" s="62">
        <v>5000</v>
      </c>
      <c r="Q163" s="62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00000000000001" customHeight="1">
      <c r="A164" s="33">
        <v>38</v>
      </c>
      <c r="B164" s="61" t="s">
        <v>303</v>
      </c>
      <c r="C164" s="33"/>
      <c r="D164" s="61" t="s">
        <v>296</v>
      </c>
      <c r="E164" s="66" t="s">
        <v>507</v>
      </c>
      <c r="F164" s="62">
        <f t="shared" si="120"/>
        <v>5598.92</v>
      </c>
      <c r="G164" s="27"/>
      <c r="H164" s="62">
        <f t="shared" si="110"/>
        <v>16796.760000000002</v>
      </c>
      <c r="I164" s="62">
        <f t="shared" si="111"/>
        <v>419.91899999999998</v>
      </c>
      <c r="J164" s="62"/>
      <c r="K164" s="62">
        <f t="shared" si="112"/>
        <v>2799.46</v>
      </c>
      <c r="L164" s="36">
        <f t="shared" si="113"/>
        <v>19596.22</v>
      </c>
      <c r="M164" s="62">
        <f t="shared" si="121"/>
        <v>5598.92</v>
      </c>
      <c r="N164" s="36">
        <v>25000</v>
      </c>
      <c r="O164" s="62">
        <f t="shared" si="119"/>
        <v>559.89200000000005</v>
      </c>
      <c r="P164" s="62">
        <v>5000</v>
      </c>
      <c r="Q164" s="62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00000000000001" customHeight="1">
      <c r="A165" s="33">
        <v>39</v>
      </c>
      <c r="B165" s="257" t="s">
        <v>304</v>
      </c>
      <c r="C165" s="258"/>
      <c r="D165" s="61" t="s">
        <v>296</v>
      </c>
      <c r="E165" s="66" t="s">
        <v>310</v>
      </c>
      <c r="F165" s="62">
        <f>5086.76</f>
        <v>5086.76</v>
      </c>
      <c r="G165" s="27"/>
      <c r="H165" s="62">
        <f t="shared" si="110"/>
        <v>15260.28</v>
      </c>
      <c r="I165" s="62">
        <f t="shared" si="111"/>
        <v>381.50700000000001</v>
      </c>
      <c r="J165" s="62"/>
      <c r="K165" s="62">
        <f t="shared" si="112"/>
        <v>2543.38</v>
      </c>
      <c r="L165" s="36">
        <f t="shared" si="113"/>
        <v>17803.66</v>
      </c>
      <c r="M165" s="62">
        <f t="shared" si="121"/>
        <v>5086.76</v>
      </c>
      <c r="N165" s="36">
        <v>25000</v>
      </c>
      <c r="O165" s="62">
        <f t="shared" si="119"/>
        <v>508.67600000000004</v>
      </c>
      <c r="P165" s="62">
        <v>5000</v>
      </c>
      <c r="Q165" s="62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00000000000001" customHeight="1">
      <c r="A166" s="33">
        <v>40</v>
      </c>
      <c r="B166" s="257" t="s">
        <v>306</v>
      </c>
      <c r="C166" s="258"/>
      <c r="D166" s="61" t="s">
        <v>296</v>
      </c>
      <c r="E166" s="66" t="s">
        <v>310</v>
      </c>
      <c r="F166" s="62">
        <f>5086.76</f>
        <v>5086.76</v>
      </c>
      <c r="G166" s="27"/>
      <c r="H166" s="62">
        <f t="shared" si="110"/>
        <v>15260.28</v>
      </c>
      <c r="I166" s="62">
        <f t="shared" si="111"/>
        <v>381.50700000000001</v>
      </c>
      <c r="J166" s="62"/>
      <c r="K166" s="62">
        <f t="shared" si="112"/>
        <v>2543.38</v>
      </c>
      <c r="L166" s="36">
        <f t="shared" si="113"/>
        <v>17803.66</v>
      </c>
      <c r="M166" s="62">
        <f t="shared" si="121"/>
        <v>5086.76</v>
      </c>
      <c r="N166" s="36">
        <v>25000</v>
      </c>
      <c r="O166" s="62">
        <f t="shared" si="119"/>
        <v>508.67600000000004</v>
      </c>
      <c r="P166" s="62">
        <v>5000</v>
      </c>
      <c r="Q166" s="62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00000000000001" customHeight="1">
      <c r="A167" s="33">
        <v>41</v>
      </c>
      <c r="B167" s="61" t="s">
        <v>307</v>
      </c>
      <c r="C167" s="33"/>
      <c r="D167" s="61" t="s">
        <v>296</v>
      </c>
      <c r="E167" s="66" t="s">
        <v>305</v>
      </c>
      <c r="F167" s="62">
        <f>5257.44</f>
        <v>5257.44</v>
      </c>
      <c r="G167" s="27"/>
      <c r="H167" s="62">
        <f t="shared" si="110"/>
        <v>15772.32</v>
      </c>
      <c r="I167" s="62">
        <f t="shared" si="111"/>
        <v>394.30799999999994</v>
      </c>
      <c r="J167" s="62"/>
      <c r="K167" s="62">
        <f t="shared" si="112"/>
        <v>2628.72</v>
      </c>
      <c r="L167" s="36">
        <f t="shared" si="113"/>
        <v>18401.039999999997</v>
      </c>
      <c r="M167" s="62">
        <f t="shared" si="121"/>
        <v>5257.44</v>
      </c>
      <c r="N167" s="36">
        <v>25000</v>
      </c>
      <c r="O167" s="62">
        <f t="shared" si="119"/>
        <v>525.74400000000003</v>
      </c>
      <c r="P167" s="62">
        <v>5000</v>
      </c>
      <c r="Q167" s="62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00000000000001" customHeight="1">
      <c r="A168" s="33">
        <v>42</v>
      </c>
      <c r="B168" s="257" t="s">
        <v>309</v>
      </c>
      <c r="C168" s="258"/>
      <c r="D168" s="61" t="s">
        <v>296</v>
      </c>
      <c r="E168" s="66" t="s">
        <v>323</v>
      </c>
      <c r="F168" s="62">
        <f>4915.97</f>
        <v>4915.97</v>
      </c>
      <c r="G168" s="27"/>
      <c r="H168" s="62">
        <f t="shared" si="110"/>
        <v>14747.91</v>
      </c>
      <c r="I168" s="62">
        <f t="shared" si="111"/>
        <v>368.69774999999998</v>
      </c>
      <c r="J168" s="62"/>
      <c r="K168" s="62">
        <f t="shared" si="112"/>
        <v>2457.9850000000001</v>
      </c>
      <c r="L168" s="36">
        <f t="shared" si="113"/>
        <v>17205.895</v>
      </c>
      <c r="M168" s="62">
        <f t="shared" si="121"/>
        <v>4915.97</v>
      </c>
      <c r="N168" s="36">
        <v>25000</v>
      </c>
      <c r="O168" s="62">
        <f t="shared" si="119"/>
        <v>491.59700000000004</v>
      </c>
      <c r="P168" s="62">
        <v>5000</v>
      </c>
      <c r="Q168" s="62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00000000000001" customHeight="1">
      <c r="A169" s="33">
        <v>43</v>
      </c>
      <c r="B169" s="257" t="s">
        <v>311</v>
      </c>
      <c r="C169" s="258"/>
      <c r="D169" s="61" t="s">
        <v>312</v>
      </c>
      <c r="E169" s="66" t="s">
        <v>319</v>
      </c>
      <c r="F169" s="62">
        <f t="shared" ref="F169:F174" si="122">4836.3</f>
        <v>4836.3</v>
      </c>
      <c r="G169" s="27"/>
      <c r="H169" s="62">
        <f t="shared" si="110"/>
        <v>14508.900000000001</v>
      </c>
      <c r="I169" s="62">
        <f t="shared" si="111"/>
        <v>362.72250000000003</v>
      </c>
      <c r="J169" s="62"/>
      <c r="K169" s="62">
        <f t="shared" si="112"/>
        <v>2418.15</v>
      </c>
      <c r="L169" s="36">
        <f t="shared" si="113"/>
        <v>16927.05</v>
      </c>
      <c r="M169" s="62">
        <f t="shared" si="121"/>
        <v>4836.3</v>
      </c>
      <c r="N169" s="36">
        <v>25000</v>
      </c>
      <c r="O169" s="62">
        <f t="shared" si="119"/>
        <v>483.63000000000005</v>
      </c>
      <c r="P169" s="62">
        <v>5000</v>
      </c>
      <c r="Q169" s="62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00000000000001" customHeight="1">
      <c r="A170" s="33">
        <v>44</v>
      </c>
      <c r="B170" s="257" t="s">
        <v>314</v>
      </c>
      <c r="C170" s="258"/>
      <c r="D170" s="61" t="s">
        <v>312</v>
      </c>
      <c r="E170" s="66" t="s">
        <v>319</v>
      </c>
      <c r="F170" s="62">
        <f t="shared" si="122"/>
        <v>4836.3</v>
      </c>
      <c r="G170" s="27"/>
      <c r="H170" s="62">
        <f t="shared" si="110"/>
        <v>14508.900000000001</v>
      </c>
      <c r="I170" s="62">
        <f t="shared" si="111"/>
        <v>362.72250000000003</v>
      </c>
      <c r="J170" s="62"/>
      <c r="K170" s="62">
        <f t="shared" si="112"/>
        <v>2418.15</v>
      </c>
      <c r="L170" s="36">
        <f t="shared" si="113"/>
        <v>16927.05</v>
      </c>
      <c r="M170" s="62">
        <f t="shared" si="121"/>
        <v>4836.3</v>
      </c>
      <c r="N170" s="36">
        <v>25000</v>
      </c>
      <c r="O170" s="62">
        <f t="shared" si="119"/>
        <v>483.63000000000005</v>
      </c>
      <c r="P170" s="62">
        <v>5000</v>
      </c>
      <c r="Q170" s="62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00000000000001" customHeight="1">
      <c r="A171" s="33">
        <v>45</v>
      </c>
      <c r="B171" s="257" t="s">
        <v>315</v>
      </c>
      <c r="C171" s="258"/>
      <c r="D171" s="61" t="s">
        <v>312</v>
      </c>
      <c r="E171" s="66" t="s">
        <v>319</v>
      </c>
      <c r="F171" s="62">
        <f t="shared" si="122"/>
        <v>4836.3</v>
      </c>
      <c r="G171" s="27"/>
      <c r="H171" s="62">
        <f t="shared" si="110"/>
        <v>14508.900000000001</v>
      </c>
      <c r="I171" s="62">
        <f t="shared" si="111"/>
        <v>362.72250000000003</v>
      </c>
      <c r="J171" s="62"/>
      <c r="K171" s="62">
        <f t="shared" si="112"/>
        <v>2418.15</v>
      </c>
      <c r="L171" s="36">
        <f t="shared" si="113"/>
        <v>16927.05</v>
      </c>
      <c r="M171" s="62">
        <f t="shared" si="121"/>
        <v>4836.3</v>
      </c>
      <c r="N171" s="36">
        <v>25000</v>
      </c>
      <c r="O171" s="62">
        <f t="shared" si="119"/>
        <v>483.63000000000005</v>
      </c>
      <c r="P171" s="62">
        <v>5000</v>
      </c>
      <c r="Q171" s="62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00000000000001" customHeight="1">
      <c r="A172" s="33">
        <v>46</v>
      </c>
      <c r="B172" s="257" t="s">
        <v>316</v>
      </c>
      <c r="C172" s="258"/>
      <c r="D172" s="61" t="s">
        <v>312</v>
      </c>
      <c r="E172" s="66" t="s">
        <v>319</v>
      </c>
      <c r="F172" s="62">
        <f t="shared" si="122"/>
        <v>4836.3</v>
      </c>
      <c r="G172" s="27"/>
      <c r="H172" s="62">
        <f t="shared" si="110"/>
        <v>14508.900000000001</v>
      </c>
      <c r="I172" s="62">
        <f t="shared" si="111"/>
        <v>362.72250000000003</v>
      </c>
      <c r="J172" s="62"/>
      <c r="K172" s="62">
        <f t="shared" si="112"/>
        <v>2418.15</v>
      </c>
      <c r="L172" s="36">
        <f t="shared" si="113"/>
        <v>16927.05</v>
      </c>
      <c r="M172" s="62">
        <f t="shared" si="121"/>
        <v>4836.3</v>
      </c>
      <c r="N172" s="36">
        <v>25000</v>
      </c>
      <c r="O172" s="62">
        <f t="shared" si="119"/>
        <v>483.63000000000005</v>
      </c>
      <c r="P172" s="62">
        <v>5000</v>
      </c>
      <c r="Q172" s="62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00000000000001" customHeight="1">
      <c r="A173" s="33">
        <v>47</v>
      </c>
      <c r="B173" s="257" t="s">
        <v>508</v>
      </c>
      <c r="C173" s="258"/>
      <c r="D173" s="61" t="s">
        <v>312</v>
      </c>
      <c r="E173" s="66" t="s">
        <v>319</v>
      </c>
      <c r="F173" s="62">
        <f t="shared" si="122"/>
        <v>4836.3</v>
      </c>
      <c r="G173" s="27"/>
      <c r="H173" s="62">
        <f t="shared" si="110"/>
        <v>14508.900000000001</v>
      </c>
      <c r="I173" s="62">
        <f t="shared" si="111"/>
        <v>362.72250000000003</v>
      </c>
      <c r="J173" s="62"/>
      <c r="K173" s="62">
        <f t="shared" si="112"/>
        <v>2418.15</v>
      </c>
      <c r="L173" s="36">
        <f t="shared" si="113"/>
        <v>16927.05</v>
      </c>
      <c r="M173" s="62">
        <f t="shared" si="121"/>
        <v>4836.3</v>
      </c>
      <c r="N173" s="36">
        <v>25000</v>
      </c>
      <c r="O173" s="62">
        <f t="shared" si="119"/>
        <v>483.63000000000005</v>
      </c>
      <c r="P173" s="62">
        <v>5000</v>
      </c>
      <c r="Q173" s="62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00000000000001" customHeight="1">
      <c r="A174" s="33">
        <v>48</v>
      </c>
      <c r="B174" s="257" t="s">
        <v>317</v>
      </c>
      <c r="C174" s="258"/>
      <c r="D174" s="61" t="s">
        <v>312</v>
      </c>
      <c r="E174" s="66" t="s">
        <v>319</v>
      </c>
      <c r="F174" s="62">
        <f t="shared" si="122"/>
        <v>4836.3</v>
      </c>
      <c r="G174" s="27"/>
      <c r="H174" s="62">
        <f t="shared" si="110"/>
        <v>14508.900000000001</v>
      </c>
      <c r="I174" s="62">
        <f t="shared" si="111"/>
        <v>362.72250000000003</v>
      </c>
      <c r="J174" s="62"/>
      <c r="K174" s="62">
        <f t="shared" si="112"/>
        <v>2418.15</v>
      </c>
      <c r="L174" s="36">
        <f t="shared" si="113"/>
        <v>16927.05</v>
      </c>
      <c r="M174" s="62">
        <f t="shared" si="121"/>
        <v>4836.3</v>
      </c>
      <c r="N174" s="36">
        <v>25000</v>
      </c>
      <c r="O174" s="62">
        <f t="shared" si="119"/>
        <v>483.63000000000005</v>
      </c>
      <c r="P174" s="62">
        <v>5000</v>
      </c>
      <c r="Q174" s="62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00000000000001" customHeight="1">
      <c r="A175" s="33">
        <v>49</v>
      </c>
      <c r="B175" s="259" t="s">
        <v>318</v>
      </c>
      <c r="C175" s="260"/>
      <c r="D175" s="61" t="s">
        <v>312</v>
      </c>
      <c r="E175" s="66" t="s">
        <v>509</v>
      </c>
      <c r="F175" s="62">
        <f>4395.43</f>
        <v>4395.43</v>
      </c>
      <c r="G175" s="27"/>
      <c r="H175" s="62">
        <f t="shared" si="110"/>
        <v>13186.29</v>
      </c>
      <c r="I175" s="62">
        <f t="shared" si="111"/>
        <v>329.65725000000003</v>
      </c>
      <c r="J175" s="62"/>
      <c r="K175" s="62">
        <f t="shared" si="112"/>
        <v>2197.7150000000001</v>
      </c>
      <c r="L175" s="36">
        <f t="shared" si="113"/>
        <v>15384.005000000001</v>
      </c>
      <c r="M175" s="62">
        <f t="shared" si="121"/>
        <v>4395.43</v>
      </c>
      <c r="N175" s="36">
        <v>25000</v>
      </c>
      <c r="O175" s="62">
        <f t="shared" si="119"/>
        <v>439.54300000000006</v>
      </c>
      <c r="P175" s="62">
        <v>5000</v>
      </c>
      <c r="Q175" s="62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00000000000001" customHeight="1">
      <c r="A176" s="33">
        <v>50</v>
      </c>
      <c r="B176" s="261" t="s">
        <v>320</v>
      </c>
      <c r="C176" s="262"/>
      <c r="D176" s="61" t="s">
        <v>312</v>
      </c>
      <c r="E176" s="66" t="s">
        <v>509</v>
      </c>
      <c r="F176" s="62">
        <f>4395.43</f>
        <v>4395.43</v>
      </c>
      <c r="G176" s="27"/>
      <c r="H176" s="62">
        <f t="shared" si="110"/>
        <v>13186.29</v>
      </c>
      <c r="I176" s="62">
        <f t="shared" si="111"/>
        <v>329.65725000000003</v>
      </c>
      <c r="J176" s="62"/>
      <c r="K176" s="62">
        <f t="shared" si="112"/>
        <v>2197.7150000000001</v>
      </c>
      <c r="L176" s="36">
        <f t="shared" si="113"/>
        <v>15384.005000000001</v>
      </c>
      <c r="M176" s="62">
        <f t="shared" si="121"/>
        <v>4395.43</v>
      </c>
      <c r="N176" s="36">
        <v>25000</v>
      </c>
      <c r="O176" s="62">
        <f t="shared" si="119"/>
        <v>439.54300000000006</v>
      </c>
      <c r="P176" s="62">
        <v>5000</v>
      </c>
      <c r="Q176" s="62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00000000000001" customHeight="1">
      <c r="A177" s="33">
        <v>51</v>
      </c>
      <c r="B177" s="102" t="s">
        <v>321</v>
      </c>
      <c r="C177" s="90"/>
      <c r="D177" s="61" t="s">
        <v>312</v>
      </c>
      <c r="E177" s="66" t="s">
        <v>509</v>
      </c>
      <c r="F177" s="62">
        <f>4395.43</f>
        <v>4395.43</v>
      </c>
      <c r="G177" s="27"/>
      <c r="H177" s="62">
        <f t="shared" si="110"/>
        <v>13186.29</v>
      </c>
      <c r="I177" s="62">
        <f t="shared" si="111"/>
        <v>329.65725000000003</v>
      </c>
      <c r="J177" s="62"/>
      <c r="K177" s="62">
        <f t="shared" si="112"/>
        <v>2197.7150000000001</v>
      </c>
      <c r="L177" s="36">
        <f t="shared" si="113"/>
        <v>15384.005000000001</v>
      </c>
      <c r="M177" s="62">
        <f t="shared" si="121"/>
        <v>4395.43</v>
      </c>
      <c r="N177" s="36">
        <v>25000</v>
      </c>
      <c r="O177" s="62">
        <f t="shared" si="119"/>
        <v>439.54300000000006</v>
      </c>
      <c r="P177" s="62">
        <v>5000</v>
      </c>
      <c r="Q177" s="62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00000000000001" customHeight="1">
      <c r="A178" s="33">
        <v>52</v>
      </c>
      <c r="B178" s="102" t="s">
        <v>322</v>
      </c>
      <c r="C178" s="90"/>
      <c r="D178" s="61" t="s">
        <v>312</v>
      </c>
      <c r="E178" s="66" t="s">
        <v>510</v>
      </c>
      <c r="F178" s="62">
        <f>4101.58</f>
        <v>4101.58</v>
      </c>
      <c r="G178" s="27"/>
      <c r="H178" s="62">
        <f t="shared" si="110"/>
        <v>12304.74</v>
      </c>
      <c r="I178" s="62">
        <f t="shared" si="111"/>
        <v>307.61849999999998</v>
      </c>
      <c r="J178" s="62"/>
      <c r="K178" s="62">
        <f t="shared" si="112"/>
        <v>2050.79</v>
      </c>
      <c r="L178" s="36">
        <f t="shared" si="113"/>
        <v>14355.529999999999</v>
      </c>
      <c r="M178" s="62">
        <f t="shared" si="121"/>
        <v>4101.58</v>
      </c>
      <c r="N178" s="36">
        <v>25000</v>
      </c>
      <c r="O178" s="62">
        <f t="shared" si="119"/>
        <v>410.15800000000002</v>
      </c>
      <c r="P178" s="62">
        <v>5000</v>
      </c>
      <c r="Q178" s="62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00000000000001" customHeight="1">
      <c r="A179" s="33"/>
      <c r="B179" s="48" t="s">
        <v>34</v>
      </c>
      <c r="D179" s="49" t="s">
        <v>519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00000000000001" customHeight="1">
      <c r="A180" s="33"/>
      <c r="B180" s="263" t="s">
        <v>328</v>
      </c>
      <c r="C180" s="263"/>
      <c r="D180" s="73">
        <f>D179+D124+D111+D103+D97+D82+D71+D57+D52+D38+D34</f>
        <v>140</v>
      </c>
      <c r="E180" s="40"/>
      <c r="F180" s="41">
        <f t="shared" ref="F180:W180" si="124">F34+F38+F52+F57+F71+F82+F97+F103+F111+F124+F179</f>
        <v>3561870.370000001</v>
      </c>
      <c r="G180" s="41">
        <f t="shared" si="124"/>
        <v>0</v>
      </c>
      <c r="H180" s="41">
        <f t="shared" si="124"/>
        <v>10525122.359999999</v>
      </c>
      <c r="I180" s="41">
        <f t="shared" si="124"/>
        <v>303250.25150000001</v>
      </c>
      <c r="J180" s="41">
        <f t="shared" si="124"/>
        <v>1925865.1200000006</v>
      </c>
      <c r="K180" s="41">
        <f t="shared" si="124"/>
        <v>1772910.7500000007</v>
      </c>
      <c r="L180" s="41">
        <f t="shared" si="124"/>
        <v>11904835.670000002</v>
      </c>
      <c r="M180" s="41">
        <f t="shared" si="124"/>
        <v>3521748.1900000009</v>
      </c>
      <c r="N180" s="41">
        <f>N179+N124+N111+N103+N97+N82+N71+N57+N52+N38+N34</f>
        <v>9250000</v>
      </c>
      <c r="O180" s="41">
        <f t="shared" si="124"/>
        <v>356187.04200000007</v>
      </c>
      <c r="P180" s="41">
        <f t="shared" si="124"/>
        <v>1865000</v>
      </c>
      <c r="Q180" s="41">
        <f t="shared" si="124"/>
        <v>1155235</v>
      </c>
      <c r="R180" s="41">
        <f t="shared" si="124"/>
        <v>46142024.753500007</v>
      </c>
      <c r="S180" s="41">
        <f t="shared" si="124"/>
        <v>4448500</v>
      </c>
      <c r="T180" s="41">
        <f t="shared" si="124"/>
        <v>6206159.7000000002</v>
      </c>
      <c r="U180" s="41">
        <f t="shared" si="124"/>
        <v>29966.540750000004</v>
      </c>
      <c r="V180" s="41">
        <f t="shared" si="124"/>
        <v>1466290.3700000003</v>
      </c>
      <c r="W180" s="41">
        <f t="shared" si="124"/>
        <v>12150916.610750001</v>
      </c>
      <c r="X180" s="41">
        <v>40987997.002250001</v>
      </c>
      <c r="Y180" s="41">
        <f>Y34+Y38+Y52+Y57+Y71+Y82+Y97+Y103+Y111+Y124+Y179</f>
        <v>33991108.142750002</v>
      </c>
    </row>
    <row r="181" spans="1:25" ht="20.100000000000001" customHeight="1">
      <c r="A181" s="33"/>
      <c r="B181" s="256"/>
      <c r="C181" s="256"/>
      <c r="D181" s="46"/>
      <c r="E181" s="70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</row>
    <row r="182" spans="1:25" ht="20.100000000000001" customHeight="1">
      <c r="A182" s="33"/>
      <c r="B182" s="256"/>
      <c r="C182" s="256"/>
      <c r="D182" s="242" t="s">
        <v>329</v>
      </c>
      <c r="E182" s="242"/>
      <c r="F182" s="242"/>
      <c r="G182" s="242"/>
      <c r="H182" s="242"/>
      <c r="I182" s="242"/>
      <c r="J182" s="242"/>
      <c r="K182" s="241" t="s">
        <v>330</v>
      </c>
      <c r="L182" s="241"/>
      <c r="M182" s="241"/>
      <c r="N182" s="40"/>
      <c r="O182" s="241" t="s">
        <v>331</v>
      </c>
      <c r="P182" s="241"/>
      <c r="Q182" s="241"/>
      <c r="R182" s="241"/>
      <c r="S182" s="40"/>
      <c r="T182" s="40"/>
      <c r="U182" s="40"/>
      <c r="V182" s="71"/>
      <c r="W182" s="71"/>
      <c r="X182" s="71"/>
      <c r="Y182" s="71"/>
    </row>
    <row r="183" spans="1:25" ht="20.100000000000001" customHeight="1">
      <c r="A183" s="33"/>
      <c r="B183" s="256"/>
      <c r="C183" s="256"/>
      <c r="D183" s="242"/>
      <c r="E183" s="242"/>
      <c r="F183" s="242"/>
      <c r="G183" s="242"/>
      <c r="H183" s="242"/>
      <c r="I183" s="242"/>
      <c r="J183" s="242"/>
      <c r="K183" s="241"/>
      <c r="L183" s="241"/>
      <c r="M183" s="241"/>
      <c r="N183" s="40"/>
      <c r="O183" s="241"/>
      <c r="P183" s="241"/>
      <c r="Q183" s="241"/>
      <c r="R183" s="241"/>
      <c r="S183" s="40"/>
      <c r="T183" s="40"/>
      <c r="U183" s="40"/>
      <c r="V183" s="71"/>
      <c r="W183" s="71"/>
      <c r="X183" s="71"/>
      <c r="Y183" s="71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bottomRight" activeCell="A40" sqref="A4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B1" s="240" t="s">
        <v>522</v>
      </c>
      <c r="C1" s="240"/>
      <c r="D1" s="240"/>
      <c r="E1" s="240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9" ht="2.25" customHeight="1">
      <c r="F2" s="55">
        <f>'[1]FEB 08'!E8/'[1]FEB 08'!M8</f>
        <v>0.22</v>
      </c>
      <c r="G2" s="55"/>
      <c r="H2" s="55"/>
      <c r="I2" s="55">
        <f>'[1]FEB 08'!F8/'[1]FEB 08'!Q8</f>
        <v>0.3</v>
      </c>
      <c r="J2" s="55"/>
      <c r="K2" s="55"/>
      <c r="L2" s="55"/>
      <c r="M2" s="55"/>
      <c r="N2" s="55"/>
      <c r="O2" s="55"/>
      <c r="P2" s="55"/>
      <c r="Q2" s="55"/>
    </row>
    <row r="3" spans="1:19" ht="20.100000000000001" customHeight="1">
      <c r="B3" s="240" t="s">
        <v>2</v>
      </c>
      <c r="C3" s="240"/>
      <c r="D3" s="56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1:19" ht="53.25" customHeight="1">
      <c r="A4" s="33"/>
      <c r="B4" s="285"/>
      <c r="C4" s="285"/>
      <c r="D4" s="58" t="s">
        <v>5</v>
      </c>
      <c r="E4" s="58" t="s">
        <v>6</v>
      </c>
      <c r="F4" s="2" t="s">
        <v>7</v>
      </c>
      <c r="G4" s="33"/>
      <c r="H4" s="2"/>
      <c r="I4" s="2"/>
      <c r="J4" s="2"/>
      <c r="K4" s="2"/>
      <c r="L4" s="2"/>
      <c r="M4" s="2" t="s">
        <v>8</v>
      </c>
      <c r="N4" s="2" t="s">
        <v>9</v>
      </c>
      <c r="O4" s="2" t="s">
        <v>11</v>
      </c>
      <c r="P4" s="2" t="s">
        <v>12</v>
      </c>
      <c r="Q4" s="2" t="s">
        <v>13</v>
      </c>
      <c r="R4" s="59" t="s">
        <v>527</v>
      </c>
      <c r="S4" s="149" t="s">
        <v>528</v>
      </c>
    </row>
    <row r="5" spans="1:19" ht="20.100000000000001" customHeight="1">
      <c r="A5" s="21" t="s">
        <v>35</v>
      </c>
      <c r="B5" s="287" t="s">
        <v>36</v>
      </c>
      <c r="C5" s="287"/>
      <c r="D5" s="48"/>
      <c r="E5" s="48"/>
      <c r="F5" s="60" t="s">
        <v>37</v>
      </c>
      <c r="G5" s="7"/>
      <c r="H5" s="60"/>
      <c r="I5" s="60" t="s">
        <v>37</v>
      </c>
      <c r="J5" s="60"/>
      <c r="K5" s="60"/>
      <c r="L5" s="60"/>
      <c r="M5" s="60"/>
      <c r="N5" s="60"/>
      <c r="O5" s="60"/>
      <c r="P5" s="60"/>
      <c r="Q5" s="60"/>
      <c r="R5" s="60" t="s">
        <v>37</v>
      </c>
      <c r="S5" s="33"/>
    </row>
    <row r="6" spans="1:19" ht="20.100000000000001" customHeight="1">
      <c r="A6" s="3">
        <v>1</v>
      </c>
      <c r="B6" s="257" t="s">
        <v>49</v>
      </c>
      <c r="C6" s="258"/>
      <c r="D6" s="61" t="s">
        <v>50</v>
      </c>
      <c r="E6" s="61" t="s">
        <v>40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00000000000001" customHeight="1">
      <c r="A7" s="3">
        <v>2</v>
      </c>
      <c r="B7" s="97" t="s">
        <v>61</v>
      </c>
      <c r="C7" s="98"/>
      <c r="D7" s="61" t="s">
        <v>480</v>
      </c>
      <c r="E7" s="6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00000000000001" customHeight="1">
      <c r="A8" s="3">
        <v>3</v>
      </c>
      <c r="B8" s="271" t="s">
        <v>74</v>
      </c>
      <c r="C8" s="272"/>
      <c r="D8" s="33" t="s">
        <v>393</v>
      </c>
      <c r="E8" s="38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36">
        <f>226713+200000</f>
        <v>426713</v>
      </c>
      <c r="S8" s="27">
        <f>7709.76</f>
        <v>7709.76</v>
      </c>
    </row>
    <row r="9" spans="1:19" ht="20.100000000000001" customHeight="1">
      <c r="A9" s="3">
        <v>4</v>
      </c>
      <c r="B9" s="269" t="s">
        <v>481</v>
      </c>
      <c r="C9" s="270"/>
      <c r="D9" s="47" t="s">
        <v>110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267" t="s">
        <v>34</v>
      </c>
      <c r="C10" s="267"/>
      <c r="D10" s="7">
        <v>4</v>
      </c>
      <c r="E10" s="66"/>
      <c r="F10" s="68">
        <f t="shared" ref="F10:R10" si="0">SUM(F6:F9)</f>
        <v>160488.75</v>
      </c>
      <c r="G10" s="68">
        <f t="shared" si="0"/>
        <v>0</v>
      </c>
      <c r="H10" s="68">
        <f t="shared" si="0"/>
        <v>320977.5</v>
      </c>
      <c r="I10" s="68">
        <f t="shared" si="0"/>
        <v>48146.63</v>
      </c>
      <c r="J10" s="68">
        <f t="shared" si="0"/>
        <v>120366.57</v>
      </c>
      <c r="K10" s="68">
        <f t="shared" si="0"/>
        <v>72219.94</v>
      </c>
      <c r="L10" s="68">
        <f t="shared" si="0"/>
        <v>0</v>
      </c>
      <c r="M10" s="68">
        <f t="shared" si="0"/>
        <v>120366.57</v>
      </c>
      <c r="N10" s="68">
        <f t="shared" si="0"/>
        <v>200000</v>
      </c>
      <c r="O10" s="68">
        <f t="shared" si="0"/>
        <v>16048.88</v>
      </c>
      <c r="P10" s="68">
        <f t="shared" si="0"/>
        <v>25000</v>
      </c>
      <c r="Q10" s="68">
        <f t="shared" si="0"/>
        <v>25235</v>
      </c>
      <c r="R10" s="68">
        <f t="shared" si="0"/>
        <v>1622272</v>
      </c>
      <c r="S10" s="28">
        <f>SUM(S6:S9)</f>
        <v>46111.37</v>
      </c>
    </row>
    <row r="11" spans="1:19" ht="20.100000000000001" customHeight="1">
      <c r="B11" s="273" t="s">
        <v>144</v>
      </c>
      <c r="C11" s="274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00000000000001" customHeight="1">
      <c r="A12" s="3">
        <v>1</v>
      </c>
      <c r="B12" s="257" t="s">
        <v>147</v>
      </c>
      <c r="C12" s="258"/>
      <c r="D12" s="61" t="s">
        <v>529</v>
      </c>
      <c r="E12" s="66" t="s">
        <v>43</v>
      </c>
      <c r="F12" s="62">
        <f>81740.02</f>
        <v>81740.02</v>
      </c>
      <c r="G12" s="62"/>
      <c r="H12" s="62">
        <f>F12*300%</f>
        <v>245220.06</v>
      </c>
      <c r="I12" s="62">
        <f>F12*7.5%</f>
        <v>6130.5015000000003</v>
      </c>
      <c r="J12" s="62">
        <v>80244.38</v>
      </c>
      <c r="K12" s="62">
        <f>F12*50%</f>
        <v>40870.01</v>
      </c>
      <c r="L12" s="62">
        <f>F12*350%</f>
        <v>286090.07</v>
      </c>
      <c r="M12" s="62">
        <f>F12*100%</f>
        <v>81740.02</v>
      </c>
      <c r="N12" s="62">
        <f>150000</f>
        <v>150000</v>
      </c>
      <c r="O12" s="62">
        <f>F12*10%</f>
        <v>8174.0020000000004</v>
      </c>
      <c r="P12" s="62">
        <v>20000</v>
      </c>
      <c r="Q12" s="62">
        <v>0</v>
      </c>
      <c r="R12" s="36">
        <f>344720+100000</f>
        <v>444720</v>
      </c>
      <c r="S12" s="27">
        <f>15548.33</f>
        <v>15548.33</v>
      </c>
    </row>
    <row r="13" spans="1:19" ht="20.100000000000001" customHeight="1">
      <c r="A13" s="3"/>
      <c r="B13" s="273" t="s">
        <v>34</v>
      </c>
      <c r="C13" s="274"/>
      <c r="D13" s="30">
        <v>1</v>
      </c>
      <c r="E13" s="30"/>
      <c r="F13" s="92">
        <f t="shared" ref="F13:Q13" si="1">SUM(F12:F12)</f>
        <v>81740.02</v>
      </c>
      <c r="G13" s="92">
        <f t="shared" si="1"/>
        <v>0</v>
      </c>
      <c r="H13" s="92">
        <f t="shared" si="1"/>
        <v>245220.06</v>
      </c>
      <c r="I13" s="92">
        <f t="shared" si="1"/>
        <v>6130.5015000000003</v>
      </c>
      <c r="J13" s="92">
        <f t="shared" si="1"/>
        <v>80244.38</v>
      </c>
      <c r="K13" s="92">
        <f t="shared" si="1"/>
        <v>40870.01</v>
      </c>
      <c r="L13" s="92">
        <f t="shared" si="1"/>
        <v>286090.07</v>
      </c>
      <c r="M13" s="92">
        <f t="shared" si="1"/>
        <v>81740.02</v>
      </c>
      <c r="N13" s="92">
        <f t="shared" si="1"/>
        <v>150000</v>
      </c>
      <c r="O13" s="92">
        <f t="shared" si="1"/>
        <v>8174.0020000000004</v>
      </c>
      <c r="P13" s="92">
        <f t="shared" si="1"/>
        <v>20000</v>
      </c>
      <c r="Q13" s="92">
        <f t="shared" si="1"/>
        <v>0</v>
      </c>
      <c r="R13" s="92">
        <f>SUM(R12)</f>
        <v>444720</v>
      </c>
      <c r="S13" s="13">
        <f>SUM(S12)</f>
        <v>15548.33</v>
      </c>
    </row>
    <row r="14" spans="1:19" ht="20.100000000000001" customHeight="1">
      <c r="A14" s="3"/>
      <c r="B14" s="273" t="s">
        <v>467</v>
      </c>
      <c r="C14" s="274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00000000000001" customHeight="1">
      <c r="A15" s="3">
        <v>1</v>
      </c>
      <c r="B15" s="135" t="s">
        <v>153</v>
      </c>
      <c r="C15" s="136"/>
      <c r="D15" s="47" t="s">
        <v>56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00000000000001" customHeight="1">
      <c r="A16" s="3">
        <v>2</v>
      </c>
      <c r="B16" s="135" t="s">
        <v>156</v>
      </c>
      <c r="C16" s="136"/>
      <c r="D16" s="47" t="s">
        <v>137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00000000000001" customHeight="1">
      <c r="A17" s="3">
        <v>3</v>
      </c>
      <c r="B17" s="269" t="s">
        <v>167</v>
      </c>
      <c r="C17" s="270"/>
      <c r="D17" s="47" t="s">
        <v>142</v>
      </c>
      <c r="E17" s="29"/>
      <c r="F17" s="26"/>
      <c r="G17" s="26"/>
      <c r="H17" s="26"/>
      <c r="I17" s="26"/>
      <c r="J17" s="26"/>
      <c r="K17" s="26"/>
      <c r="L17" s="26"/>
      <c r="M17" s="26"/>
      <c r="N17" s="62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00000000000001" customHeight="1">
      <c r="A18" s="3">
        <v>4</v>
      </c>
      <c r="B18" s="269" t="s">
        <v>169</v>
      </c>
      <c r="C18" s="270"/>
      <c r="D18" s="47" t="s">
        <v>170</v>
      </c>
      <c r="E18" s="29"/>
      <c r="F18" s="26"/>
      <c r="G18" s="26"/>
      <c r="H18" s="26"/>
      <c r="I18" s="26"/>
      <c r="J18" s="26"/>
      <c r="K18" s="26"/>
      <c r="L18" s="26"/>
      <c r="M18" s="26"/>
      <c r="N18" s="62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00000000000001" customHeight="1">
      <c r="A19" s="3">
        <v>5</v>
      </c>
      <c r="B19" s="271" t="s">
        <v>171</v>
      </c>
      <c r="C19" s="272"/>
      <c r="D19" s="47" t="s">
        <v>170</v>
      </c>
      <c r="E19" s="3"/>
      <c r="F19" s="62"/>
      <c r="G19" s="62"/>
      <c r="H19" s="62"/>
      <c r="I19" s="62"/>
      <c r="J19" s="62"/>
      <c r="K19" s="62"/>
      <c r="L19" s="36"/>
      <c r="M19" s="62"/>
      <c r="N19" s="62"/>
      <c r="O19" s="62"/>
      <c r="P19" s="62"/>
      <c r="Q19" s="62"/>
      <c r="R19" s="26">
        <f>123329+150000</f>
        <v>273329</v>
      </c>
      <c r="S19" s="27">
        <f t="shared" si="3"/>
        <v>1235.19</v>
      </c>
    </row>
    <row r="20" spans="1:19" ht="20.100000000000001" customHeight="1">
      <c r="A20" s="3"/>
      <c r="B20" s="273" t="s">
        <v>34</v>
      </c>
      <c r="C20" s="274"/>
      <c r="D20" s="30">
        <v>5</v>
      </c>
      <c r="E20" s="30"/>
      <c r="F20" s="92">
        <f t="shared" ref="F20:Q20" si="4">SUM(F18:F19)</f>
        <v>0</v>
      </c>
      <c r="G20" s="92">
        <f t="shared" si="4"/>
        <v>0</v>
      </c>
      <c r="H20" s="92">
        <f t="shared" si="4"/>
        <v>0</v>
      </c>
      <c r="I20" s="92">
        <f t="shared" si="4"/>
        <v>0</v>
      </c>
      <c r="J20" s="92">
        <f t="shared" si="4"/>
        <v>0</v>
      </c>
      <c r="K20" s="92">
        <f t="shared" si="4"/>
        <v>0</v>
      </c>
      <c r="L20" s="92">
        <f t="shared" si="4"/>
        <v>0</v>
      </c>
      <c r="M20" s="92">
        <f t="shared" si="4"/>
        <v>0</v>
      </c>
      <c r="N20" s="92">
        <f t="shared" si="4"/>
        <v>0</v>
      </c>
      <c r="O20" s="92">
        <f t="shared" si="4"/>
        <v>0</v>
      </c>
      <c r="P20" s="92">
        <f t="shared" si="4"/>
        <v>0</v>
      </c>
      <c r="Q20" s="92">
        <f t="shared" si="4"/>
        <v>0</v>
      </c>
      <c r="R20" s="92">
        <f>SUM(R15:R19)</f>
        <v>1736693</v>
      </c>
      <c r="S20" s="13">
        <f>SUM(S15:S19)</f>
        <v>29097.979999999996</v>
      </c>
    </row>
    <row r="21" spans="1:19" ht="20.100000000000001" customHeight="1">
      <c r="A21" s="3"/>
      <c r="B21" s="273" t="s">
        <v>486</v>
      </c>
      <c r="C21" s="274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00000000000001" customHeight="1">
      <c r="A22" s="3">
        <v>1</v>
      </c>
      <c r="B22" s="1" t="s">
        <v>175</v>
      </c>
      <c r="D22" s="1" t="s">
        <v>487</v>
      </c>
      <c r="R22" s="42">
        <f>344720+150000</f>
        <v>494720</v>
      </c>
      <c r="S22" s="27">
        <f t="shared" ref="S22:S24" si="5">15548.33</f>
        <v>15548.33</v>
      </c>
    </row>
    <row r="23" spans="1:19" ht="20.100000000000001" customHeight="1">
      <c r="A23" s="3">
        <v>2</v>
      </c>
      <c r="B23" s="1" t="s">
        <v>177</v>
      </c>
      <c r="D23" s="1" t="s">
        <v>178</v>
      </c>
      <c r="R23" s="42">
        <f>344720+150000</f>
        <v>494720</v>
      </c>
      <c r="S23" s="27">
        <f t="shared" si="5"/>
        <v>15548.33</v>
      </c>
    </row>
    <row r="24" spans="1:19" ht="20.100000000000001" customHeight="1">
      <c r="A24" s="3">
        <v>3</v>
      </c>
      <c r="B24" s="1" t="s">
        <v>488</v>
      </c>
      <c r="D24" s="1" t="s">
        <v>489</v>
      </c>
      <c r="R24" s="42">
        <f>344720+150000</f>
        <v>494720</v>
      </c>
      <c r="S24" s="27">
        <f t="shared" si="5"/>
        <v>15548.33</v>
      </c>
    </row>
    <row r="25" spans="1:19" ht="20.100000000000001" customHeight="1">
      <c r="A25" s="3">
        <v>4</v>
      </c>
      <c r="B25" s="257" t="s">
        <v>180</v>
      </c>
      <c r="C25" s="258"/>
      <c r="D25" s="33" t="s">
        <v>166</v>
      </c>
      <c r="E25" s="3" t="s">
        <v>43</v>
      </c>
      <c r="F25" s="62">
        <f>81740.02</f>
        <v>81740.02</v>
      </c>
      <c r="G25" s="62"/>
      <c r="H25" s="62">
        <f>F25*300%</f>
        <v>245220.06</v>
      </c>
      <c r="I25" s="62">
        <f>F25*7.5%</f>
        <v>6130.5015000000003</v>
      </c>
      <c r="J25" s="62">
        <v>80244.38</v>
      </c>
      <c r="K25" s="62">
        <f>F25*50%</f>
        <v>40870.01</v>
      </c>
      <c r="L25" s="62">
        <f>F25*350%</f>
        <v>286090.07</v>
      </c>
      <c r="M25" s="62">
        <f>F25*100%</f>
        <v>81740.02</v>
      </c>
      <c r="N25" s="62">
        <f t="shared" ref="N25" si="6">150000</f>
        <v>150000</v>
      </c>
      <c r="O25" s="62">
        <f>F25*10%</f>
        <v>8174.0020000000004</v>
      </c>
      <c r="P25" s="62">
        <v>20000</v>
      </c>
      <c r="Q25" s="62">
        <v>0</v>
      </c>
      <c r="R25" s="36">
        <f>168602+150000</f>
        <v>318602</v>
      </c>
      <c r="S25" s="27">
        <v>3369.51</v>
      </c>
    </row>
    <row r="26" spans="1:19" ht="20.100000000000001" customHeight="1">
      <c r="A26" s="3">
        <v>5</v>
      </c>
      <c r="B26" s="97" t="s">
        <v>181</v>
      </c>
      <c r="C26" s="98"/>
      <c r="D26" s="33" t="s">
        <v>182</v>
      </c>
      <c r="E26" s="3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6">
        <f>126816+100000</f>
        <v>226816</v>
      </c>
      <c r="S26" s="27">
        <f t="shared" ref="S26:S27" si="7">1235.19</f>
        <v>1235.19</v>
      </c>
    </row>
    <row r="27" spans="1:19" ht="20.100000000000001" customHeight="1">
      <c r="A27" s="3">
        <v>6</v>
      </c>
      <c r="B27" s="97" t="s">
        <v>183</v>
      </c>
      <c r="C27" s="98"/>
      <c r="D27" s="33" t="s">
        <v>184</v>
      </c>
      <c r="E27" s="3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6">
        <f>123329+150000</f>
        <v>273329</v>
      </c>
      <c r="S27" s="27">
        <f t="shared" si="7"/>
        <v>1235.19</v>
      </c>
    </row>
    <row r="28" spans="1:19" ht="20.100000000000001" customHeight="1">
      <c r="A28" s="3"/>
      <c r="B28" s="273" t="s">
        <v>34</v>
      </c>
      <c r="C28" s="274"/>
      <c r="D28" s="30">
        <v>6</v>
      </c>
      <c r="E28" s="30"/>
      <c r="F28" s="92">
        <f>SUM(F24:F25)</f>
        <v>81740.02</v>
      </c>
      <c r="G28" s="92"/>
      <c r="H28" s="92">
        <f t="shared" ref="H28:Q28" si="8">SUM(H24:H25)</f>
        <v>245220.06</v>
      </c>
      <c r="I28" s="92">
        <f t="shared" si="8"/>
        <v>6130.5015000000003</v>
      </c>
      <c r="J28" s="92">
        <f t="shared" si="8"/>
        <v>80244.38</v>
      </c>
      <c r="K28" s="92">
        <f t="shared" si="8"/>
        <v>40870.01</v>
      </c>
      <c r="L28" s="92">
        <f t="shared" si="8"/>
        <v>286090.07</v>
      </c>
      <c r="M28" s="92">
        <f t="shared" si="8"/>
        <v>81740.02</v>
      </c>
      <c r="N28" s="95">
        <f t="shared" si="8"/>
        <v>150000</v>
      </c>
      <c r="O28" s="92">
        <f t="shared" si="8"/>
        <v>8174.0020000000004</v>
      </c>
      <c r="P28" s="92">
        <f t="shared" si="8"/>
        <v>20000</v>
      </c>
      <c r="Q28" s="92">
        <f t="shared" si="8"/>
        <v>0</v>
      </c>
      <c r="R28" s="92">
        <f>SUM(R22:R27)</f>
        <v>2302907</v>
      </c>
      <c r="S28" s="13">
        <f>SUM(S22:S27)</f>
        <v>52484.880000000005</v>
      </c>
    </row>
    <row r="29" spans="1:19" ht="20.100000000000001" customHeight="1">
      <c r="A29" s="3"/>
      <c r="B29" s="277" t="s">
        <v>469</v>
      </c>
      <c r="C29" s="278"/>
      <c r="D29" s="69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63"/>
      <c r="S29" s="33"/>
    </row>
    <row r="30" spans="1:19" ht="20.100000000000001" customHeight="1">
      <c r="A30" s="3">
        <v>1</v>
      </c>
      <c r="B30" s="257" t="s">
        <v>77</v>
      </c>
      <c r="C30" s="258"/>
      <c r="D30" s="61" t="s">
        <v>137</v>
      </c>
      <c r="E30" s="66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36">
        <f>226713+150000</f>
        <v>376713</v>
      </c>
      <c r="S30" s="27">
        <f t="shared" ref="S30:S33" si="9">7709.76</f>
        <v>7709.76</v>
      </c>
    </row>
    <row r="31" spans="1:19" ht="20.100000000000001" customHeight="1">
      <c r="A31" s="3">
        <v>2</v>
      </c>
      <c r="B31" s="257" t="s">
        <v>397</v>
      </c>
      <c r="C31" s="258"/>
      <c r="D31" s="61" t="s">
        <v>135</v>
      </c>
      <c r="E31" s="3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36">
        <f>249153+150000</f>
        <v>399153</v>
      </c>
      <c r="S31" s="27">
        <f t="shared" si="9"/>
        <v>7709.76</v>
      </c>
    </row>
    <row r="32" spans="1:19" ht="20.100000000000001" customHeight="1">
      <c r="A32" s="3">
        <v>3</v>
      </c>
      <c r="B32" s="257" t="s">
        <v>196</v>
      </c>
      <c r="C32" s="258"/>
      <c r="D32" s="61" t="s">
        <v>137</v>
      </c>
      <c r="E32" s="66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36">
        <f>226713+150000</f>
        <v>376713</v>
      </c>
      <c r="S32" s="27">
        <f t="shared" si="9"/>
        <v>7709.76</v>
      </c>
    </row>
    <row r="33" spans="1:19" ht="20.100000000000001" customHeight="1">
      <c r="A33" s="3">
        <v>4</v>
      </c>
      <c r="B33" s="257" t="s">
        <v>197</v>
      </c>
      <c r="C33" s="258"/>
      <c r="D33" s="61" t="s">
        <v>137</v>
      </c>
      <c r="E33" s="3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36">
        <f>226713+150000</f>
        <v>376713</v>
      </c>
      <c r="S33" s="27">
        <f t="shared" si="9"/>
        <v>7709.76</v>
      </c>
    </row>
    <row r="34" spans="1:19" ht="20.100000000000001" customHeight="1">
      <c r="A34" s="33"/>
      <c r="B34" s="267" t="s">
        <v>34</v>
      </c>
      <c r="C34" s="267"/>
      <c r="D34" s="7">
        <v>4</v>
      </c>
      <c r="E34" s="7"/>
      <c r="F34" s="95">
        <f>SUM(F30:F33)</f>
        <v>0</v>
      </c>
      <c r="G34" s="95"/>
      <c r="H34" s="95">
        <f t="shared" ref="H34:R34" si="10">SUM(H30:H33)</f>
        <v>0</v>
      </c>
      <c r="I34" s="95">
        <f t="shared" si="10"/>
        <v>0</v>
      </c>
      <c r="J34" s="95">
        <f t="shared" si="10"/>
        <v>0</v>
      </c>
      <c r="K34" s="95">
        <f t="shared" si="10"/>
        <v>0</v>
      </c>
      <c r="L34" s="95">
        <f t="shared" si="10"/>
        <v>0</v>
      </c>
      <c r="M34" s="95">
        <f t="shared" si="10"/>
        <v>0</v>
      </c>
      <c r="N34" s="95">
        <f t="shared" si="10"/>
        <v>0</v>
      </c>
      <c r="O34" s="95">
        <f t="shared" si="10"/>
        <v>0</v>
      </c>
      <c r="P34" s="95">
        <f t="shared" si="10"/>
        <v>0</v>
      </c>
      <c r="Q34" s="95">
        <f t="shared" si="10"/>
        <v>0</v>
      </c>
      <c r="R34" s="95">
        <f t="shared" si="10"/>
        <v>1529292</v>
      </c>
      <c r="S34" s="13">
        <f>SUM(S30:S33)</f>
        <v>30839.040000000001</v>
      </c>
    </row>
    <row r="35" spans="1:19" ht="20.100000000000001" customHeight="1">
      <c r="A35" s="33"/>
      <c r="B35" s="141" t="s">
        <v>209</v>
      </c>
      <c r="C35" s="141"/>
      <c r="S35" s="33"/>
    </row>
    <row r="36" spans="1:19" ht="20.100000000000001" customHeight="1">
      <c r="A36" s="33">
        <v>1</v>
      </c>
      <c r="B36" s="1" t="s">
        <v>530</v>
      </c>
      <c r="D36" s="1" t="s">
        <v>218</v>
      </c>
      <c r="R36" s="26">
        <f>126816+150000</f>
        <v>276816</v>
      </c>
      <c r="S36" s="27">
        <f t="shared" ref="S36" si="11">1235.19</f>
        <v>1235.19</v>
      </c>
    </row>
    <row r="37" spans="1:19" ht="20.100000000000001" customHeight="1">
      <c r="A37" s="33"/>
      <c r="B37" s="267" t="s">
        <v>34</v>
      </c>
      <c r="C37" s="267"/>
      <c r="D37" s="7">
        <v>1</v>
      </c>
      <c r="E37" s="7"/>
      <c r="F37" s="95">
        <f>SUM(F33:F36)</f>
        <v>0</v>
      </c>
      <c r="G37" s="95"/>
      <c r="H37" s="95">
        <f t="shared" ref="H37:Q37" si="12">SUM(H33:H36)</f>
        <v>0</v>
      </c>
      <c r="I37" s="95">
        <f t="shared" si="12"/>
        <v>0</v>
      </c>
      <c r="J37" s="95">
        <f t="shared" si="12"/>
        <v>0</v>
      </c>
      <c r="K37" s="95">
        <f t="shared" si="12"/>
        <v>0</v>
      </c>
      <c r="L37" s="95">
        <f t="shared" si="12"/>
        <v>0</v>
      </c>
      <c r="M37" s="95">
        <f t="shared" si="12"/>
        <v>0</v>
      </c>
      <c r="N37" s="95">
        <f t="shared" si="12"/>
        <v>0</v>
      </c>
      <c r="O37" s="95">
        <f t="shared" si="12"/>
        <v>0</v>
      </c>
      <c r="P37" s="95">
        <f t="shared" si="12"/>
        <v>0</v>
      </c>
      <c r="Q37" s="95">
        <f t="shared" si="12"/>
        <v>0</v>
      </c>
      <c r="R37" s="95">
        <f>SUM(R36)</f>
        <v>276816</v>
      </c>
      <c r="S37" s="13">
        <f>SUM(S36)</f>
        <v>1235.19</v>
      </c>
    </row>
    <row r="38" spans="1:19" ht="20.100000000000001" customHeight="1">
      <c r="A38" s="43"/>
      <c r="B38" s="141" t="s">
        <v>531</v>
      </c>
      <c r="C38" s="141"/>
      <c r="E38" s="151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3"/>
    </row>
    <row r="39" spans="1:19" ht="20.100000000000001" customHeight="1">
      <c r="A39" s="43">
        <v>1</v>
      </c>
      <c r="B39" s="1" t="s">
        <v>322</v>
      </c>
      <c r="D39" s="1" t="s">
        <v>312</v>
      </c>
      <c r="E39" s="151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64">
        <f>71632</f>
        <v>71632</v>
      </c>
      <c r="S39" s="154">
        <f>236.04</f>
        <v>236.04</v>
      </c>
    </row>
    <row r="40" spans="1:19" ht="20.100000000000001" customHeight="1">
      <c r="A40" s="43"/>
      <c r="B40" s="267" t="s">
        <v>34</v>
      </c>
      <c r="C40" s="267"/>
      <c r="D40" s="7">
        <v>1</v>
      </c>
      <c r="E40" s="151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>
        <f>SUM(R39)</f>
        <v>71632</v>
      </c>
      <c r="S40" s="153">
        <f>SUM(S39)</f>
        <v>236.04</v>
      </c>
    </row>
    <row r="41" spans="1:19" ht="20.100000000000001" customHeight="1">
      <c r="A41" s="75"/>
      <c r="B41" s="294" t="s">
        <v>328</v>
      </c>
      <c r="C41" s="294"/>
      <c r="D41" s="150">
        <f>D40+D37+D34+D28+D20+D13+D10</f>
        <v>22</v>
      </c>
      <c r="E41" s="142"/>
      <c r="F41" s="143" t="e">
        <f>F10+#REF!+#REF!+F13+F20+F28+F34+#REF!+#REF!+#REF!+#REF!</f>
        <v>#REF!</v>
      </c>
      <c r="G41" s="143" t="e">
        <f>G10+#REF!+#REF!+G13+G20+G28+G34+#REF!+#REF!+#REF!+#REF!</f>
        <v>#REF!</v>
      </c>
      <c r="H41" s="143" t="e">
        <f>H10+#REF!+#REF!+H13+H20+H28+H34+#REF!+#REF!+#REF!+#REF!</f>
        <v>#REF!</v>
      </c>
      <c r="I41" s="143" t="e">
        <f>I10+#REF!+#REF!+I13+I20+I28+I34+#REF!+#REF!+#REF!+#REF!</f>
        <v>#REF!</v>
      </c>
      <c r="J41" s="143" t="e">
        <f>J10+#REF!+#REF!+J13+J20+J28+J34+#REF!+#REF!+#REF!+#REF!</f>
        <v>#REF!</v>
      </c>
      <c r="K41" s="143" t="e">
        <f>K10+#REF!+#REF!+K13+K20+K28+K34+#REF!+#REF!+#REF!+#REF!</f>
        <v>#REF!</v>
      </c>
      <c r="L41" s="143" t="e">
        <f>L10+#REF!+#REF!+L13+L20+L28+L34+#REF!+#REF!+#REF!+#REF!</f>
        <v>#REF!</v>
      </c>
      <c r="M41" s="143" t="e">
        <f>M10+#REF!+#REF!+M13+M20+M28+M34+#REF!+#REF!+#REF!+#REF!</f>
        <v>#REF!</v>
      </c>
      <c r="N41" s="143" t="e">
        <f>N10+#REF!+#REF!+N13+N20+N28+N34+#REF!+#REF!+#REF!+#REF!</f>
        <v>#REF!</v>
      </c>
      <c r="O41" s="143" t="e">
        <f>O10+#REF!+#REF!+O13+O20+O28+O34+#REF!+#REF!+#REF!+#REF!</f>
        <v>#REF!</v>
      </c>
      <c r="P41" s="143" t="e">
        <f>P10+#REF!+#REF!+P13+P20+P28+P34+#REF!+#REF!+#REF!+#REF!</f>
        <v>#REF!</v>
      </c>
      <c r="Q41" s="143" t="e">
        <f>Q10+#REF!+#REF!+Q13+Q20+Q28+Q34+#REF!+#REF!+#REF!+#REF!</f>
        <v>#REF!</v>
      </c>
      <c r="R41" s="143">
        <f>R40+R37+R34+R28+R20+R13+R10</f>
        <v>7984332</v>
      </c>
      <c r="S41" s="143">
        <f>S40+S37+S34+S28+S20+S13+S10</f>
        <v>175552.83000000002</v>
      </c>
    </row>
    <row r="42" spans="1:19" ht="20.100000000000001" customHeight="1">
      <c r="B42" s="144"/>
      <c r="C42" s="144"/>
      <c r="D42" s="145"/>
      <c r="E42" s="144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</row>
    <row r="43" spans="1:19" ht="20.100000000000001" customHeight="1">
      <c r="B43" s="144"/>
      <c r="C43" s="144"/>
      <c r="D43" s="147" t="s">
        <v>329</v>
      </c>
      <c r="E43" s="147"/>
      <c r="F43" s="147"/>
      <c r="G43" s="147"/>
      <c r="H43" s="147"/>
      <c r="I43" s="147"/>
      <c r="J43" s="147"/>
      <c r="K43" s="148" t="s">
        <v>330</v>
      </c>
      <c r="L43" s="148"/>
      <c r="M43" s="148"/>
      <c r="N43" s="148"/>
      <c r="O43" s="148" t="s">
        <v>331</v>
      </c>
      <c r="P43" s="148"/>
      <c r="Q43" s="148"/>
      <c r="R43" s="148"/>
    </row>
    <row r="44" spans="1:19" ht="20.100000000000001" customHeight="1">
      <c r="B44" s="144"/>
      <c r="C44" s="144"/>
      <c r="D44" s="147"/>
      <c r="E44" s="147"/>
      <c r="F44" s="147"/>
      <c r="G44" s="147"/>
      <c r="H44" s="147"/>
      <c r="I44" s="147"/>
      <c r="J44" s="147"/>
      <c r="K44" s="148"/>
      <c r="L44" s="148"/>
      <c r="M44" s="148"/>
      <c r="N44" s="148"/>
      <c r="O44" s="148"/>
      <c r="P44" s="148"/>
      <c r="Q44" s="148"/>
      <c r="R44" s="148"/>
    </row>
    <row r="45" spans="1:19" ht="20.100000000000001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00000000000001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00000000000001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00000000000001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00000000000001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00000000000001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00000000000001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00000000000001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00000000000001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G1" s="1" t="s">
        <v>0</v>
      </c>
    </row>
    <row r="2" spans="1:33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33" ht="20.100000000000001" customHeight="1">
      <c r="B3" s="240" t="s">
        <v>532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3" ht="20.100000000000001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39" t="s">
        <v>3</v>
      </c>
      <c r="V5" s="239"/>
      <c r="W5" s="239"/>
      <c r="X5" s="239"/>
      <c r="Y5" s="239"/>
      <c r="Z5" s="56"/>
      <c r="AA5" s="56" t="s">
        <v>4</v>
      </c>
    </row>
    <row r="6" spans="1:33" ht="35.450000000000003" customHeight="1">
      <c r="A6" s="33"/>
      <c r="B6" s="285"/>
      <c r="C6" s="285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533</v>
      </c>
      <c r="S6" s="59" t="s">
        <v>534</v>
      </c>
      <c r="T6" s="59" t="s">
        <v>535</v>
      </c>
      <c r="U6" s="2"/>
      <c r="V6" s="2"/>
      <c r="W6" s="2"/>
      <c r="X6" s="7"/>
      <c r="Y6" s="7"/>
      <c r="Z6" s="7" t="s">
        <v>536</v>
      </c>
      <c r="AA6" s="7" t="s">
        <v>537</v>
      </c>
    </row>
    <row r="7" spans="1:33" ht="55.9" customHeight="1">
      <c r="A7" s="33"/>
      <c r="B7" s="286"/>
      <c r="C7" s="286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/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3" ht="20.100000000000001" customHeight="1">
      <c r="A8" s="21" t="s">
        <v>35</v>
      </c>
      <c r="B8" s="287" t="s">
        <v>36</v>
      </c>
      <c r="C8" s="287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3" ht="20.100000000000001" customHeight="1">
      <c r="A9" s="3">
        <v>1</v>
      </c>
      <c r="B9" s="257" t="s">
        <v>38</v>
      </c>
      <c r="C9" s="258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00000000000001" customHeight="1">
      <c r="A10" s="3">
        <v>2</v>
      </c>
      <c r="B10" s="271" t="s">
        <v>52</v>
      </c>
      <c r="C10" s="272"/>
      <c r="D10" s="33" t="s">
        <v>538</v>
      </c>
      <c r="E10" s="38" t="s">
        <v>54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'[3]DECEMBER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00000000000001" customHeight="1">
      <c r="A11" s="3">
        <v>3</v>
      </c>
      <c r="B11" s="269" t="s">
        <v>55</v>
      </c>
      <c r="C11" s="270"/>
      <c r="D11" s="47" t="s">
        <v>56</v>
      </c>
      <c r="E11" s="29" t="s">
        <v>54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'[3]DECEMBER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00000000000001" customHeight="1">
      <c r="A12" s="3">
        <v>4</v>
      </c>
      <c r="B12" s="271" t="s">
        <v>57</v>
      </c>
      <c r="C12" s="272"/>
      <c r="D12" s="33" t="s">
        <v>58</v>
      </c>
      <c r="E12" s="3" t="s">
        <v>54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'[3]DECEMBER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00000000000001" customHeight="1">
      <c r="A13" s="3">
        <v>5</v>
      </c>
      <c r="B13" s="271" t="s">
        <v>391</v>
      </c>
      <c r="C13" s="272"/>
      <c r="D13" s="43" t="s">
        <v>478</v>
      </c>
      <c r="E13" s="75" t="s">
        <v>46</v>
      </c>
      <c r="F13" s="65">
        <f>41157.69</f>
        <v>41157.69</v>
      </c>
      <c r="G13" s="64"/>
      <c r="H13" s="62">
        <f t="shared" si="0"/>
        <v>123473.07</v>
      </c>
      <c r="I13" s="62">
        <f t="shared" si="1"/>
        <v>3086.8267500000002</v>
      </c>
      <c r="J13" s="62">
        <v>40122.19</v>
      </c>
      <c r="K13" s="62">
        <f t="shared" si="2"/>
        <v>20578.845000000001</v>
      </c>
      <c r="L13" s="62">
        <f t="shared" si="3"/>
        <v>144051.91500000001</v>
      </c>
      <c r="M13" s="62">
        <f t="shared" si="4"/>
        <v>41157.69</v>
      </c>
      <c r="N13" s="62">
        <f>100000</f>
        <v>100000</v>
      </c>
      <c r="O13" s="62">
        <f t="shared" si="5"/>
        <v>4115.7690000000002</v>
      </c>
      <c r="P13" s="62">
        <v>20000</v>
      </c>
      <c r="Q13" s="76"/>
      <c r="R13" s="36">
        <f t="shared" si="6"/>
        <v>537743.99575</v>
      </c>
      <c r="S13" s="65">
        <v>551465.0247500001</v>
      </c>
      <c r="T13" s="36">
        <f t="shared" si="7"/>
        <v>13721.029000000097</v>
      </c>
      <c r="U13" s="65">
        <f>100000</f>
        <v>100000</v>
      </c>
      <c r="V13" s="65">
        <f>137500</f>
        <v>137500</v>
      </c>
      <c r="W13" s="65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00000000000001" customHeight="1">
      <c r="A14" s="3">
        <v>6</v>
      </c>
      <c r="B14" s="271" t="s">
        <v>47</v>
      </c>
      <c r="C14" s="272"/>
      <c r="D14" s="43" t="s">
        <v>48</v>
      </c>
      <c r="E14" s="75" t="s">
        <v>129</v>
      </c>
      <c r="F14" s="65">
        <f>32263.2</f>
        <v>32263.200000000001</v>
      </c>
      <c r="G14" s="64"/>
      <c r="H14" s="62">
        <f t="shared" si="0"/>
        <v>96789.6</v>
      </c>
      <c r="I14" s="62">
        <f t="shared" si="1"/>
        <v>2419.7399999999998</v>
      </c>
      <c r="J14" s="62">
        <v>40122.19</v>
      </c>
      <c r="K14" s="62">
        <f t="shared" si="2"/>
        <v>16131.6</v>
      </c>
      <c r="L14" s="62">
        <f t="shared" si="3"/>
        <v>112921.2</v>
      </c>
      <c r="M14" s="62">
        <f t="shared" si="4"/>
        <v>32263.200000000001</v>
      </c>
      <c r="N14" s="65">
        <f>150000</f>
        <v>150000</v>
      </c>
      <c r="O14" s="62">
        <f t="shared" si="5"/>
        <v>3226.32</v>
      </c>
      <c r="P14" s="62">
        <v>20000</v>
      </c>
      <c r="Q14" s="65">
        <f>100000</f>
        <v>100000</v>
      </c>
      <c r="R14" s="36">
        <f t="shared" si="6"/>
        <v>606137.05000000005</v>
      </c>
      <c r="S14" s="65">
        <v>674023.33374999999</v>
      </c>
      <c r="T14" s="36">
        <f t="shared" si="7"/>
        <v>67886.283749999944</v>
      </c>
      <c r="U14" s="65"/>
      <c r="V14" s="65"/>
      <c r="W14" s="65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00000000000001" customHeight="1">
      <c r="A15" s="3">
        <v>7</v>
      </c>
      <c r="B15" s="271" t="s">
        <v>525</v>
      </c>
      <c r="C15" s="272"/>
      <c r="D15" s="43" t="s">
        <v>526</v>
      </c>
      <c r="E15" s="44" t="s">
        <v>98</v>
      </c>
      <c r="F15" s="64">
        <f>24741.26</f>
        <v>24741.26</v>
      </c>
      <c r="G15" s="64"/>
      <c r="H15" s="64">
        <f t="shared" si="0"/>
        <v>74223.78</v>
      </c>
      <c r="I15" s="64">
        <f t="shared" si="1"/>
        <v>1855.5944999999997</v>
      </c>
      <c r="J15" s="64"/>
      <c r="K15" s="64">
        <f t="shared" si="2"/>
        <v>12370.63</v>
      </c>
      <c r="L15" s="64">
        <f t="shared" si="3"/>
        <v>86594.409999999989</v>
      </c>
      <c r="M15" s="64">
        <f t="shared" si="4"/>
        <v>24741.26</v>
      </c>
      <c r="N15" s="64">
        <f>100000</f>
        <v>100000</v>
      </c>
      <c r="O15" s="64">
        <f t="shared" si="5"/>
        <v>2474.1260000000002</v>
      </c>
      <c r="P15" s="64">
        <v>15000</v>
      </c>
      <c r="Q15" s="64">
        <f>100000</f>
        <v>100000</v>
      </c>
      <c r="R15" s="36">
        <f t="shared" si="6"/>
        <v>442001.06049999996</v>
      </c>
      <c r="S15" s="65">
        <v>449177.65375</v>
      </c>
      <c r="T15" s="36">
        <f t="shared" si="7"/>
        <v>7176.5932500000345</v>
      </c>
      <c r="U15" s="65">
        <f>100000</f>
        <v>100000</v>
      </c>
      <c r="V15" s="65">
        <f>0</f>
        <v>0</v>
      </c>
      <c r="W15" s="65">
        <f>'[3]DECEMBER 2019'!$H$22</f>
        <v>618.53150000000005</v>
      </c>
      <c r="X15" s="65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00000000000001" customHeight="1">
      <c r="A16" s="3">
        <v>8</v>
      </c>
      <c r="B16" s="271" t="s">
        <v>64</v>
      </c>
      <c r="C16" s="272"/>
      <c r="D16" s="43" t="s">
        <v>442</v>
      </c>
      <c r="E16" s="44" t="s">
        <v>98</v>
      </c>
      <c r="F16" s="64">
        <f>24741.26</f>
        <v>24741.26</v>
      </c>
      <c r="G16" s="64"/>
      <c r="H16" s="64">
        <f t="shared" si="0"/>
        <v>74223.78</v>
      </c>
      <c r="I16" s="64">
        <f t="shared" si="1"/>
        <v>1855.5944999999997</v>
      </c>
      <c r="J16" s="64"/>
      <c r="K16" s="64">
        <f t="shared" si="2"/>
        <v>12370.63</v>
      </c>
      <c r="L16" s="64">
        <f t="shared" si="3"/>
        <v>86594.409999999989</v>
      </c>
      <c r="M16" s="64">
        <f t="shared" si="4"/>
        <v>24741.26</v>
      </c>
      <c r="N16" s="64">
        <f>100000</f>
        <v>100000</v>
      </c>
      <c r="O16" s="64">
        <f t="shared" si="5"/>
        <v>2474.1260000000002</v>
      </c>
      <c r="P16" s="64">
        <v>15000</v>
      </c>
      <c r="Q16" s="64">
        <v>50000</v>
      </c>
      <c r="R16" s="36">
        <f t="shared" si="6"/>
        <v>392001.06049999996</v>
      </c>
      <c r="S16" s="65">
        <v>399177.65375</v>
      </c>
      <c r="T16" s="36">
        <f t="shared" si="7"/>
        <v>7176.5932500000345</v>
      </c>
      <c r="U16" s="65">
        <v>10000</v>
      </c>
      <c r="V16" s="65">
        <f>103000</f>
        <v>103000</v>
      </c>
      <c r="W16" s="65">
        <v>0</v>
      </c>
      <c r="X16" s="65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271" t="s">
        <v>67</v>
      </c>
      <c r="C17" s="272"/>
      <c r="D17" s="33" t="s">
        <v>444</v>
      </c>
      <c r="E17" s="3" t="s">
        <v>73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10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'[3]DECEMBER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271" t="s">
        <v>69</v>
      </c>
      <c r="C18" s="272"/>
      <c r="D18" s="33" t="s">
        <v>445</v>
      </c>
      <c r="E18" s="3" t="s">
        <v>98</v>
      </c>
      <c r="F18" s="26">
        <f>24741.26</f>
        <v>24741.26</v>
      </c>
      <c r="G18" s="62"/>
      <c r="H18" s="62">
        <f>F18*300%</f>
        <v>74223.78</v>
      </c>
      <c r="I18" s="62">
        <f>F18*7.5%</f>
        <v>1855.5944999999997</v>
      </c>
      <c r="J18" s="62"/>
      <c r="K18" s="62">
        <f>F18*50%</f>
        <v>12370.63</v>
      </c>
      <c r="L18" s="36">
        <f>F18*350%</f>
        <v>86594.409999999989</v>
      </c>
      <c r="M18" s="62">
        <f>F18*100%</f>
        <v>24741.26</v>
      </c>
      <c r="N18" s="26">
        <v>150000</v>
      </c>
      <c r="O18" s="62">
        <f>F18*10%</f>
        <v>2474.1260000000002</v>
      </c>
      <c r="P18" s="62">
        <v>15000</v>
      </c>
      <c r="Q18" s="62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00000000000001" customHeight="1">
      <c r="A19" s="3">
        <v>11</v>
      </c>
      <c r="B19" s="257" t="s">
        <v>71</v>
      </c>
      <c r="C19" s="258"/>
      <c r="D19" s="61" t="s">
        <v>444</v>
      </c>
      <c r="E19" s="66" t="s">
        <v>73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10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62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00000000000001" customHeight="1">
      <c r="A20" s="3">
        <v>12</v>
      </c>
      <c r="B20" s="257" t="s">
        <v>80</v>
      </c>
      <c r="C20" s="258"/>
      <c r="D20" s="61" t="s">
        <v>81</v>
      </c>
      <c r="E20" s="66" t="s">
        <v>95</v>
      </c>
      <c r="F20" s="62">
        <f>17784</f>
        <v>17784</v>
      </c>
      <c r="G20" s="62"/>
      <c r="H20" s="62">
        <f t="shared" si="0"/>
        <v>53352</v>
      </c>
      <c r="I20" s="62">
        <f t="shared" si="1"/>
        <v>1333.8</v>
      </c>
      <c r="J20" s="36"/>
      <c r="K20" s="62">
        <f>F20*50%</f>
        <v>8892</v>
      </c>
      <c r="L20" s="36">
        <f t="shared" si="3"/>
        <v>62244</v>
      </c>
      <c r="M20" s="62">
        <f t="shared" si="4"/>
        <v>17784</v>
      </c>
      <c r="N20" s="64">
        <f t="shared" si="10"/>
        <v>100000</v>
      </c>
      <c r="O20" s="62">
        <f t="shared" si="5"/>
        <v>1778.4</v>
      </c>
      <c r="P20" s="62">
        <v>10000</v>
      </c>
      <c r="Q20" s="62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62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257" t="s">
        <v>83</v>
      </c>
      <c r="C21" s="258"/>
      <c r="D21" s="61" t="s">
        <v>89</v>
      </c>
      <c r="E21" s="66" t="s">
        <v>82</v>
      </c>
      <c r="F21" s="62">
        <f>18779.3</f>
        <v>18779.3</v>
      </c>
      <c r="G21" s="62"/>
      <c r="H21" s="62">
        <f t="shared" si="0"/>
        <v>56337.899999999994</v>
      </c>
      <c r="I21" s="62">
        <f t="shared" si="1"/>
        <v>1408.4475</v>
      </c>
      <c r="J21" s="36"/>
      <c r="K21" s="62">
        <f>F21*50%</f>
        <v>9389.65</v>
      </c>
      <c r="L21" s="36">
        <f t="shared" si="3"/>
        <v>65727.55</v>
      </c>
      <c r="M21" s="62">
        <f t="shared" si="4"/>
        <v>18779.3</v>
      </c>
      <c r="N21" s="64">
        <f t="shared" si="10"/>
        <v>100000</v>
      </c>
      <c r="O21" s="62">
        <f t="shared" si="5"/>
        <v>1877.93</v>
      </c>
      <c r="P21" s="62">
        <v>10000</v>
      </c>
      <c r="Q21" s="62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'[3]DECEMBER 2019'!$H$51</f>
        <v>469.48250000000002</v>
      </c>
      <c r="X21" s="62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97" t="s">
        <v>88</v>
      </c>
      <c r="C22" s="98"/>
      <c r="D22" s="61" t="s">
        <v>89</v>
      </c>
      <c r="E22" s="66" t="s">
        <v>500</v>
      </c>
      <c r="F22" s="67">
        <f>12732</f>
        <v>12732</v>
      </c>
      <c r="G22" s="62"/>
      <c r="H22" s="62">
        <f t="shared" si="0"/>
        <v>38196</v>
      </c>
      <c r="I22" s="62">
        <f t="shared" si="1"/>
        <v>954.9</v>
      </c>
      <c r="J22" s="62"/>
      <c r="K22" s="62">
        <f t="shared" ref="K22:K24" si="12">F22*50%</f>
        <v>6366</v>
      </c>
      <c r="L22" s="36">
        <f t="shared" si="3"/>
        <v>44562</v>
      </c>
      <c r="M22" s="62">
        <f t="shared" si="4"/>
        <v>12732</v>
      </c>
      <c r="N22" s="64">
        <f t="shared" si="10"/>
        <v>100000</v>
      </c>
      <c r="O22" s="62">
        <f t="shared" si="5"/>
        <v>1273.2</v>
      </c>
      <c r="P22" s="62">
        <v>10000</v>
      </c>
      <c r="Q22" s="62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62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97" t="s">
        <v>91</v>
      </c>
      <c r="C23" s="98"/>
      <c r="D23" s="61"/>
      <c r="E23" s="66" t="s">
        <v>93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64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97" t="s">
        <v>94</v>
      </c>
      <c r="C24" s="98"/>
      <c r="D24" s="61"/>
      <c r="E24" s="66" t="s">
        <v>93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64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264" t="s">
        <v>96</v>
      </c>
      <c r="C25" s="264"/>
      <c r="D25" s="33" t="s">
        <v>100</v>
      </c>
      <c r="E25" s="66" t="s">
        <v>539</v>
      </c>
      <c r="F25" s="62">
        <f>19774.62</f>
        <v>19774.62</v>
      </c>
      <c r="G25" s="62"/>
      <c r="H25" s="62">
        <f>F25*300%</f>
        <v>59323.86</v>
      </c>
      <c r="I25" s="62">
        <f>F25*7.5%</f>
        <v>1483.0964999999999</v>
      </c>
      <c r="J25" s="62">
        <v>0</v>
      </c>
      <c r="K25" s="62">
        <f>F25*50%</f>
        <v>9887.31</v>
      </c>
      <c r="L25" s="36">
        <f>F25*350%</f>
        <v>69211.17</v>
      </c>
      <c r="M25" s="62">
        <f>F25*100%</f>
        <v>19774.62</v>
      </c>
      <c r="N25" s="64">
        <f t="shared" si="10"/>
        <v>100000</v>
      </c>
      <c r="O25" s="62">
        <f>F25*10%</f>
        <v>1977.462</v>
      </c>
      <c r="P25" s="62">
        <v>10000</v>
      </c>
      <c r="Q25" s="62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'[3]DECEMBER 2019'!$H$43</f>
        <v>494.3655</v>
      </c>
      <c r="X25" s="62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257" t="s">
        <v>99</v>
      </c>
      <c r="C26" s="258"/>
      <c r="D26" s="33" t="s">
        <v>100</v>
      </c>
      <c r="E26" s="66" t="s">
        <v>95</v>
      </c>
      <c r="F26" s="62">
        <f>17784</f>
        <v>17784</v>
      </c>
      <c r="G26" s="62"/>
      <c r="H26" s="62">
        <f>F26*300%</f>
        <v>53352</v>
      </c>
      <c r="I26" s="62">
        <f>F26*7.5%</f>
        <v>1333.8</v>
      </c>
      <c r="J26" s="62"/>
      <c r="K26" s="62">
        <f>F26*50%</f>
        <v>8892</v>
      </c>
      <c r="L26" s="36">
        <f>F26*350%</f>
        <v>62244</v>
      </c>
      <c r="M26" s="62">
        <f>F26*100%</f>
        <v>17784</v>
      </c>
      <c r="N26" s="64">
        <f t="shared" si="10"/>
        <v>100000</v>
      </c>
      <c r="O26" s="62">
        <f>F26*10%</f>
        <v>1778.4</v>
      </c>
      <c r="P26" s="62">
        <v>10000</v>
      </c>
      <c r="Q26" s="62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62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97" t="s">
        <v>101</v>
      </c>
      <c r="C27" s="98"/>
      <c r="D27" s="33" t="s">
        <v>102</v>
      </c>
      <c r="E27" s="66" t="s">
        <v>168</v>
      </c>
      <c r="F27" s="62">
        <v>17286.330000000002</v>
      </c>
      <c r="G27" s="62">
        <v>0</v>
      </c>
      <c r="H27" s="62">
        <v>51858.990000000005</v>
      </c>
      <c r="I27" s="62">
        <v>1296.4747500000001</v>
      </c>
      <c r="J27" s="62"/>
      <c r="K27" s="62">
        <v>8643.1650000000009</v>
      </c>
      <c r="L27" s="36">
        <v>60502.155000000006</v>
      </c>
      <c r="M27" s="62">
        <v>17286.330000000002</v>
      </c>
      <c r="N27" s="64">
        <v>100000</v>
      </c>
      <c r="O27" s="62">
        <v>1728.6330000000003</v>
      </c>
      <c r="P27" s="62">
        <v>10000</v>
      </c>
      <c r="Q27" s="62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62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267" t="s">
        <v>34</v>
      </c>
      <c r="C28" s="267"/>
      <c r="D28" s="7">
        <v>19</v>
      </c>
      <c r="E28" s="66"/>
      <c r="F28" s="68">
        <f t="shared" ref="F28:AA28" si="15">SUM(F9:F27)</f>
        <v>590178.64999999991</v>
      </c>
      <c r="G28" s="68">
        <f t="shared" si="15"/>
        <v>0</v>
      </c>
      <c r="H28" s="68">
        <f t="shared" si="15"/>
        <v>1610047.2000000002</v>
      </c>
      <c r="I28" s="68">
        <f t="shared" si="15"/>
        <v>80373.372499999983</v>
      </c>
      <c r="J28" s="68">
        <f t="shared" si="15"/>
        <v>320977.52</v>
      </c>
      <c r="K28" s="68">
        <f t="shared" si="15"/>
        <v>287064.89</v>
      </c>
      <c r="L28" s="68">
        <f t="shared" si="15"/>
        <v>1503914.6500000001</v>
      </c>
      <c r="M28" s="68">
        <f t="shared" si="15"/>
        <v>550056.47</v>
      </c>
      <c r="N28" s="68">
        <f t="shared" si="15"/>
        <v>2100000</v>
      </c>
      <c r="O28" s="68">
        <f t="shared" si="15"/>
        <v>59017.87000000001</v>
      </c>
      <c r="P28" s="68">
        <f t="shared" si="15"/>
        <v>280000</v>
      </c>
      <c r="Q28" s="68">
        <f t="shared" si="15"/>
        <v>525235</v>
      </c>
      <c r="R28" s="68">
        <f t="shared" si="15"/>
        <v>7906865.6224999977</v>
      </c>
      <c r="S28" s="68">
        <v>8074523.3254999984</v>
      </c>
      <c r="T28" s="68">
        <f>SUM(T9:T27)</f>
        <v>167657.70300000021</v>
      </c>
      <c r="U28" s="68">
        <f t="shared" si="15"/>
        <v>395000</v>
      </c>
      <c r="V28" s="68">
        <f t="shared" si="15"/>
        <v>1057742.8399999999</v>
      </c>
      <c r="W28" s="68">
        <f t="shared" si="15"/>
        <v>4753.9245000000001</v>
      </c>
      <c r="X28" s="68">
        <f t="shared" si="15"/>
        <v>256339.48000000007</v>
      </c>
      <c r="Y28" s="68">
        <f t="shared" si="15"/>
        <v>1713836.2445</v>
      </c>
      <c r="Z28" s="68">
        <v>6022279.3780000014</v>
      </c>
      <c r="AA28" s="68">
        <f t="shared" si="15"/>
        <v>6193029.3780000014</v>
      </c>
    </row>
    <row r="29" spans="1:28" ht="18.75" customHeight="1">
      <c r="A29" s="3"/>
      <c r="B29" s="96"/>
      <c r="C29" s="96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8" ht="18.75" customHeight="1">
      <c r="A30" s="3"/>
      <c r="B30" s="267" t="s">
        <v>115</v>
      </c>
      <c r="C30" s="267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36"/>
      <c r="W30" s="36"/>
      <c r="X30" s="62"/>
      <c r="Y30" s="36"/>
      <c r="Z30" s="36"/>
      <c r="AA30" s="36"/>
    </row>
    <row r="31" spans="1:28" ht="18.75" customHeight="1">
      <c r="A31" s="3">
        <v>1</v>
      </c>
      <c r="B31" s="311" t="s">
        <v>482</v>
      </c>
      <c r="C31" s="312"/>
      <c r="D31" s="61" t="s">
        <v>483</v>
      </c>
      <c r="E31" s="66" t="s">
        <v>540</v>
      </c>
      <c r="F31" s="62">
        <f>76339.3</f>
        <v>76339.3</v>
      </c>
      <c r="G31" s="62"/>
      <c r="H31" s="62">
        <f t="shared" ref="H31" si="16">F31*300%</f>
        <v>229017.90000000002</v>
      </c>
      <c r="I31" s="62">
        <f t="shared" ref="I31" si="17">F31*7.5%</f>
        <v>5725.4475000000002</v>
      </c>
      <c r="J31" s="62">
        <f>80244.38</f>
        <v>80244.38</v>
      </c>
      <c r="K31" s="62">
        <f t="shared" ref="K31" si="18">F31*50%</f>
        <v>38169.65</v>
      </c>
      <c r="L31" s="62">
        <f t="shared" ref="L31" si="19">F31*350%</f>
        <v>267187.55</v>
      </c>
      <c r="M31" s="62">
        <f t="shared" ref="M31" si="20">F31*100%</f>
        <v>76339.3</v>
      </c>
      <c r="N31" s="64">
        <f t="shared" ref="N31:N32" si="21">100000</f>
        <v>100000</v>
      </c>
      <c r="O31" s="62">
        <f t="shared" ref="O31" si="22">F31*10%</f>
        <v>7633.93</v>
      </c>
      <c r="P31" s="62">
        <v>20000</v>
      </c>
      <c r="Q31" s="62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62">
        <f>100000</f>
        <v>100000</v>
      </c>
      <c r="V31" s="62">
        <f>287500</f>
        <v>287500</v>
      </c>
      <c r="W31" s="62">
        <f>'[3]DECEMBER 2019'!$H$26</f>
        <v>1028.9422500000001</v>
      </c>
      <c r="X31" s="62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311" t="s">
        <v>541</v>
      </c>
      <c r="C32" s="312"/>
      <c r="D32" s="61" t="s">
        <v>542</v>
      </c>
      <c r="E32" s="66" t="s">
        <v>82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21"/>
        <v>100000</v>
      </c>
      <c r="O32" s="62">
        <f>F32*10%</f>
        <v>1877.93</v>
      </c>
      <c r="P32" s="62">
        <v>10000</v>
      </c>
      <c r="Q32" s="62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62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95118.6</v>
      </c>
      <c r="G33" s="68">
        <f t="shared" ref="G33:Y33" si="24">SUM(G31:G32)</f>
        <v>0</v>
      </c>
      <c r="H33" s="68">
        <f t="shared" si="24"/>
        <v>285355.80000000005</v>
      </c>
      <c r="I33" s="68">
        <f t="shared" si="24"/>
        <v>7133.8950000000004</v>
      </c>
      <c r="J33" s="68">
        <f t="shared" si="24"/>
        <v>80244.38</v>
      </c>
      <c r="K33" s="68">
        <f t="shared" si="24"/>
        <v>47559.3</v>
      </c>
      <c r="L33" s="68">
        <f t="shared" si="24"/>
        <v>332915.09999999998</v>
      </c>
      <c r="M33" s="68">
        <f t="shared" si="24"/>
        <v>95118.6</v>
      </c>
      <c r="N33" s="68">
        <f>SUM(N31:N32)</f>
        <v>200000</v>
      </c>
      <c r="O33" s="68">
        <f t="shared" si="24"/>
        <v>9511.86</v>
      </c>
      <c r="P33" s="68">
        <f t="shared" si="24"/>
        <v>30000</v>
      </c>
      <c r="Q33" s="68">
        <f t="shared" si="24"/>
        <v>0</v>
      </c>
      <c r="R33" s="68">
        <f t="shared" si="24"/>
        <v>1182957.5350000001</v>
      </c>
      <c r="S33" s="68">
        <v>925433.07700000005</v>
      </c>
      <c r="T33" s="68">
        <f>SUM(T31:T32)</f>
        <v>24775.619499999913</v>
      </c>
      <c r="U33" s="68">
        <f t="shared" si="24"/>
        <v>100000</v>
      </c>
      <c r="V33" s="68">
        <f t="shared" si="24"/>
        <v>287500</v>
      </c>
      <c r="W33" s="68">
        <f t="shared" si="24"/>
        <v>1028.9422500000001</v>
      </c>
      <c r="X33" s="68">
        <f t="shared" si="24"/>
        <v>56146.14</v>
      </c>
      <c r="Y33" s="68">
        <f t="shared" si="24"/>
        <v>444675.08225000004</v>
      </c>
      <c r="Z33" s="68">
        <v>705282.45275000017</v>
      </c>
      <c r="AA33" s="68">
        <f>R33-Y33</f>
        <v>738282.45275000017</v>
      </c>
    </row>
    <row r="34" spans="1:28" ht="20.100000000000001" customHeight="1">
      <c r="A34" s="3"/>
      <c r="B34" s="281"/>
      <c r="C34" s="282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36"/>
      <c r="Z34" s="36"/>
      <c r="AA34" s="36"/>
      <c r="AB34" s="34"/>
    </row>
    <row r="35" spans="1:28" ht="20.100000000000001" customHeight="1">
      <c r="A35" s="3"/>
      <c r="B35" s="283" t="s">
        <v>121</v>
      </c>
      <c r="C35" s="284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00000000000001" customHeight="1">
      <c r="A36" s="3">
        <v>1</v>
      </c>
      <c r="B36" s="257" t="s">
        <v>122</v>
      </c>
      <c r="C36" s="258"/>
      <c r="D36" s="33" t="s">
        <v>123</v>
      </c>
      <c r="E36" s="3" t="s">
        <v>118</v>
      </c>
      <c r="F36" s="62">
        <f>79039.64</f>
        <v>79039.64</v>
      </c>
      <c r="G36" s="62"/>
      <c r="H36" s="62">
        <f>F36*300%</f>
        <v>237118.91999999998</v>
      </c>
      <c r="I36" s="62">
        <f>F36*7.5%</f>
        <v>5927.973</v>
      </c>
      <c r="J36" s="62">
        <v>80244.38</v>
      </c>
      <c r="K36" s="62">
        <f>F36*50%</f>
        <v>39519.82</v>
      </c>
      <c r="L36" s="62">
        <f>F36*350%</f>
        <v>276638.74</v>
      </c>
      <c r="M36" s="62">
        <f t="shared" ref="M36:M46" si="25">F36*100%</f>
        <v>79039.64</v>
      </c>
      <c r="N36" s="62">
        <f>150000</f>
        <v>150000</v>
      </c>
      <c r="O36" s="62">
        <f t="shared" ref="O36:O46" si="26">F36*10%</f>
        <v>7903.9639999999999</v>
      </c>
      <c r="P36" s="62">
        <v>20000</v>
      </c>
      <c r="Q36" s="62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62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00000000000001" customHeight="1">
      <c r="A37" s="3">
        <v>2</v>
      </c>
      <c r="B37" s="257" t="s">
        <v>124</v>
      </c>
      <c r="C37" s="258"/>
      <c r="D37" s="33" t="s">
        <v>125</v>
      </c>
      <c r="E37" s="3" t="s">
        <v>54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30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62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00000000000001" customHeight="1">
      <c r="A38" s="3">
        <v>3</v>
      </c>
      <c r="B38" s="257" t="s">
        <v>126</v>
      </c>
      <c r="C38" s="258"/>
      <c r="D38" s="33" t="s">
        <v>127</v>
      </c>
      <c r="E38" s="3" t="s">
        <v>129</v>
      </c>
      <c r="F38" s="62">
        <f>32263.2</f>
        <v>32263.200000000001</v>
      </c>
      <c r="G38" s="62"/>
      <c r="H38" s="62">
        <f>F38*300%</f>
        <v>96789.6</v>
      </c>
      <c r="I38" s="62">
        <f>F38*7.5%</f>
        <v>2419.7399999999998</v>
      </c>
      <c r="J38" s="62">
        <v>40122.19</v>
      </c>
      <c r="K38" s="62">
        <f>F38*50%</f>
        <v>16131.6</v>
      </c>
      <c r="L38" s="62">
        <f>F38*350%</f>
        <v>112921.2</v>
      </c>
      <c r="M38" s="62">
        <f>F38*100%</f>
        <v>32263.200000000001</v>
      </c>
      <c r="N38" s="62">
        <f t="shared" si="30"/>
        <v>150000</v>
      </c>
      <c r="O38" s="62">
        <f>F38*10%</f>
        <v>3226.32</v>
      </c>
      <c r="P38" s="62">
        <v>20000</v>
      </c>
      <c r="Q38" s="62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62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00000000000001" customHeight="1">
      <c r="A39" s="3">
        <v>4</v>
      </c>
      <c r="B39" s="257" t="s">
        <v>128</v>
      </c>
      <c r="C39" s="258"/>
      <c r="D39" s="33" t="s">
        <v>131</v>
      </c>
      <c r="E39" s="3" t="s">
        <v>132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30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62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00000000000001" customHeight="1">
      <c r="A40" s="3">
        <v>5</v>
      </c>
      <c r="B40" s="257" t="s">
        <v>130</v>
      </c>
      <c r="C40" s="258"/>
      <c r="D40" s="33" t="s">
        <v>131</v>
      </c>
      <c r="E40" s="3" t="s">
        <v>191</v>
      </c>
      <c r="F40" s="62">
        <f>27611.23</f>
        <v>27611.23</v>
      </c>
      <c r="G40" s="62"/>
      <c r="H40" s="62">
        <f t="shared" ref="H40:H46" si="32">F40*300%</f>
        <v>82833.69</v>
      </c>
      <c r="I40" s="62">
        <f t="shared" ref="I40:I46" si="33">F40*7.5%</f>
        <v>2070.8422499999997</v>
      </c>
      <c r="J40" s="62">
        <v>0</v>
      </c>
      <c r="K40" s="62">
        <f t="shared" ref="K40:K46" si="34">F40*50%</f>
        <v>13805.615</v>
      </c>
      <c r="L40" s="62">
        <f t="shared" ref="L40:L46" si="35">F40*350%</f>
        <v>96639.304999999993</v>
      </c>
      <c r="M40" s="62">
        <f t="shared" si="25"/>
        <v>27611.23</v>
      </c>
      <c r="N40" s="62">
        <f t="shared" si="30"/>
        <v>150000</v>
      </c>
      <c r="O40" s="62">
        <f t="shared" si="26"/>
        <v>2761.123</v>
      </c>
      <c r="P40" s="62">
        <v>20000</v>
      </c>
      <c r="Q40" s="62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'[3]DECEMBER 2019'!$H$27</f>
        <v>690.28075000000001</v>
      </c>
      <c r="X40" s="62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00000000000001" customHeight="1">
      <c r="A41" s="3">
        <v>6</v>
      </c>
      <c r="B41" s="257" t="s">
        <v>133</v>
      </c>
      <c r="C41" s="258"/>
      <c r="D41" s="33" t="s">
        <v>140</v>
      </c>
      <c r="E41" s="3" t="s">
        <v>98</v>
      </c>
      <c r="F41" s="62">
        <f>24741.26</f>
        <v>24741.26</v>
      </c>
      <c r="G41" s="62"/>
      <c r="H41" s="62">
        <f t="shared" si="32"/>
        <v>74223.78</v>
      </c>
      <c r="I41" s="62">
        <f t="shared" si="33"/>
        <v>1855.5944999999997</v>
      </c>
      <c r="J41" s="62"/>
      <c r="K41" s="62">
        <f t="shared" si="34"/>
        <v>12370.63</v>
      </c>
      <c r="L41" s="62">
        <f t="shared" si="35"/>
        <v>86594.409999999989</v>
      </c>
      <c r="M41" s="62">
        <f t="shared" si="25"/>
        <v>24741.26</v>
      </c>
      <c r="N41" s="62">
        <f t="shared" si="30"/>
        <v>150000</v>
      </c>
      <c r="O41" s="62">
        <f t="shared" si="26"/>
        <v>2474.1260000000002</v>
      </c>
      <c r="P41" s="62">
        <v>15000</v>
      </c>
      <c r="Q41" s="62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62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00000000000001" customHeight="1">
      <c r="A42" s="3">
        <v>7</v>
      </c>
      <c r="B42" s="265" t="s">
        <v>134</v>
      </c>
      <c r="C42" s="266"/>
      <c r="D42" s="20" t="s">
        <v>517</v>
      </c>
      <c r="E42" s="25" t="s">
        <v>73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00000000000001" customHeight="1">
      <c r="A43" s="3">
        <v>8</v>
      </c>
      <c r="B43" s="257" t="s">
        <v>136</v>
      </c>
      <c r="C43" s="258"/>
      <c r="D43" s="33" t="s">
        <v>137</v>
      </c>
      <c r="E43" s="3" t="s">
        <v>79</v>
      </c>
      <c r="F43" s="62">
        <v>23891.119999999999</v>
      </c>
      <c r="G43" s="62"/>
      <c r="H43" s="62">
        <f t="shared" si="32"/>
        <v>71673.36</v>
      </c>
      <c r="I43" s="62">
        <f t="shared" si="33"/>
        <v>1791.8339999999998</v>
      </c>
      <c r="J43" s="62">
        <v>0</v>
      </c>
      <c r="K43" s="62">
        <f t="shared" si="34"/>
        <v>11945.56</v>
      </c>
      <c r="L43" s="62">
        <f t="shared" si="35"/>
        <v>83618.92</v>
      </c>
      <c r="M43" s="62">
        <f t="shared" si="25"/>
        <v>23891.119999999999</v>
      </c>
      <c r="N43" s="62">
        <f t="shared" si="30"/>
        <v>150000</v>
      </c>
      <c r="O43" s="62">
        <f t="shared" si="26"/>
        <v>2389.1120000000001</v>
      </c>
      <c r="P43" s="62">
        <v>15000</v>
      </c>
      <c r="Q43" s="62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62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00000000000001" customHeight="1">
      <c r="A44" s="3">
        <v>9</v>
      </c>
      <c r="B44" s="257" t="s">
        <v>394</v>
      </c>
      <c r="C44" s="258"/>
      <c r="D44" s="33" t="s">
        <v>140</v>
      </c>
      <c r="E44" s="3" t="s">
        <v>98</v>
      </c>
      <c r="F44" s="62">
        <f>24741.26</f>
        <v>24741.26</v>
      </c>
      <c r="G44" s="62"/>
      <c r="H44" s="62">
        <f t="shared" si="32"/>
        <v>74223.78</v>
      </c>
      <c r="I44" s="62">
        <f t="shared" si="33"/>
        <v>1855.5944999999997</v>
      </c>
      <c r="J44" s="62">
        <v>0</v>
      </c>
      <c r="K44" s="62">
        <f t="shared" si="34"/>
        <v>12370.63</v>
      </c>
      <c r="L44" s="62">
        <f t="shared" si="35"/>
        <v>86594.409999999989</v>
      </c>
      <c r="M44" s="62">
        <f t="shared" si="25"/>
        <v>24741.26</v>
      </c>
      <c r="N44" s="62">
        <f t="shared" si="30"/>
        <v>150000</v>
      </c>
      <c r="O44" s="62">
        <f t="shared" si="26"/>
        <v>2474.1260000000002</v>
      </c>
      <c r="P44" s="62">
        <v>15000</v>
      </c>
      <c r="Q44" s="62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62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00000000000001" customHeight="1">
      <c r="A45" s="3">
        <v>10</v>
      </c>
      <c r="B45" s="257" t="s">
        <v>484</v>
      </c>
      <c r="C45" s="258"/>
      <c r="D45" s="33" t="s">
        <v>140</v>
      </c>
      <c r="E45" s="3" t="s">
        <v>98</v>
      </c>
      <c r="F45" s="62">
        <f>24741.26</f>
        <v>24741.26</v>
      </c>
      <c r="G45" s="62"/>
      <c r="H45" s="62">
        <f t="shared" si="32"/>
        <v>74223.78</v>
      </c>
      <c r="I45" s="62">
        <f t="shared" si="33"/>
        <v>1855.5944999999997</v>
      </c>
      <c r="J45" s="62">
        <f>J19</f>
        <v>0</v>
      </c>
      <c r="K45" s="62">
        <f t="shared" si="34"/>
        <v>12370.63</v>
      </c>
      <c r="L45" s="62">
        <f t="shared" si="35"/>
        <v>86594.409999999989</v>
      </c>
      <c r="M45" s="62">
        <f t="shared" si="25"/>
        <v>24741.26</v>
      </c>
      <c r="N45" s="62">
        <f t="shared" si="30"/>
        <v>150000</v>
      </c>
      <c r="O45" s="62">
        <f t="shared" si="26"/>
        <v>2474.1260000000002</v>
      </c>
      <c r="P45" s="62">
        <v>15000</v>
      </c>
      <c r="Q45" s="62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'[3]DECEMBER 2019'!$H$46</f>
        <v>618.53150000000005</v>
      </c>
      <c r="X45" s="62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00000000000001" customHeight="1">
      <c r="A46" s="3">
        <v>11</v>
      </c>
      <c r="B46" s="269" t="s">
        <v>139</v>
      </c>
      <c r="C46" s="270"/>
      <c r="D46" s="20" t="s">
        <v>142</v>
      </c>
      <c r="E46" s="29" t="s">
        <v>103</v>
      </c>
      <c r="F46" s="26">
        <f>18281.64</f>
        <v>18281.64</v>
      </c>
      <c r="G46" s="62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62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'[3]DECEMBER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00000000000001" customHeight="1">
      <c r="A47" s="3"/>
      <c r="B47" s="273" t="s">
        <v>34</v>
      </c>
      <c r="C47" s="274"/>
      <c r="D47" s="30">
        <v>11</v>
      </c>
      <c r="E47" s="30"/>
      <c r="F47" s="92">
        <f>SUM(F36:F46)</f>
        <v>343647.22000000003</v>
      </c>
      <c r="G47" s="92"/>
      <c r="H47" s="92">
        <f t="shared" ref="H47:Y47" si="36">SUM(H36:H46)</f>
        <v>1030941.6600000001</v>
      </c>
      <c r="I47" s="92">
        <f t="shared" si="36"/>
        <v>25773.541499999996</v>
      </c>
      <c r="J47" s="92">
        <f t="shared" si="36"/>
        <v>160488.76</v>
      </c>
      <c r="K47" s="92">
        <f t="shared" si="36"/>
        <v>171823.61000000002</v>
      </c>
      <c r="L47" s="92">
        <f t="shared" si="36"/>
        <v>1202765.27</v>
      </c>
      <c r="M47" s="92">
        <f t="shared" si="36"/>
        <v>343647.22000000003</v>
      </c>
      <c r="N47" s="92">
        <f>SUM(N36:N46)</f>
        <v>1650000</v>
      </c>
      <c r="O47" s="92">
        <f t="shared" si="36"/>
        <v>34364.722000000002</v>
      </c>
      <c r="P47" s="92">
        <f t="shared" si="36"/>
        <v>185000</v>
      </c>
      <c r="Q47" s="92">
        <f t="shared" si="36"/>
        <v>0</v>
      </c>
      <c r="R47" s="92">
        <f t="shared" si="36"/>
        <v>5148452.0035000006</v>
      </c>
      <c r="S47" s="92">
        <v>5297657.5887500001</v>
      </c>
      <c r="T47" s="92">
        <f>SUM(T36:T46)</f>
        <v>138083.91750000004</v>
      </c>
      <c r="U47" s="92">
        <f t="shared" si="36"/>
        <v>328000</v>
      </c>
      <c r="V47" s="92">
        <f t="shared" si="36"/>
        <v>982004.38</v>
      </c>
      <c r="W47" s="92">
        <f t="shared" si="36"/>
        <v>1765.8532499999999</v>
      </c>
      <c r="X47" s="92">
        <f t="shared" si="36"/>
        <v>141209.11999999997</v>
      </c>
      <c r="Y47" s="92">
        <f t="shared" si="36"/>
        <v>1452979.3532500002</v>
      </c>
      <c r="Z47" s="92">
        <v>3902139.3202500008</v>
      </c>
      <c r="AA47" s="92">
        <f>R47-Y47</f>
        <v>3695472.6502500004</v>
      </c>
      <c r="AB47" s="34"/>
    </row>
    <row r="48" spans="1:28" ht="20.100000000000001" customHeight="1">
      <c r="A48" s="3"/>
      <c r="B48" s="105"/>
      <c r="C48" s="105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00000000000001" customHeight="1">
      <c r="A49" s="3"/>
      <c r="B49" s="273" t="s">
        <v>144</v>
      </c>
      <c r="C49" s="274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00000000000001" customHeight="1">
      <c r="A50" s="3">
        <v>1</v>
      </c>
      <c r="B50" s="257" t="s">
        <v>145</v>
      </c>
      <c r="C50" s="258"/>
      <c r="D50" s="61" t="s">
        <v>146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62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00000000000001" customHeight="1">
      <c r="A51" s="3"/>
      <c r="B51" s="273" t="s">
        <v>34</v>
      </c>
      <c r="C51" s="274"/>
      <c r="D51" s="30">
        <v>2</v>
      </c>
      <c r="E51" s="30"/>
      <c r="F51" s="92">
        <f t="shared" ref="F51:R51" si="37">SUM(F50:F50)</f>
        <v>81740.02</v>
      </c>
      <c r="G51" s="92">
        <f t="shared" si="37"/>
        <v>0</v>
      </c>
      <c r="H51" s="92">
        <f t="shared" si="37"/>
        <v>245220.06</v>
      </c>
      <c r="I51" s="92">
        <f t="shared" si="37"/>
        <v>6130.5015000000003</v>
      </c>
      <c r="J51" s="92">
        <f t="shared" si="37"/>
        <v>80244.38</v>
      </c>
      <c r="K51" s="92">
        <f t="shared" si="37"/>
        <v>40870.01</v>
      </c>
      <c r="L51" s="92">
        <f t="shared" si="37"/>
        <v>286090.07</v>
      </c>
      <c r="M51" s="92">
        <f t="shared" si="37"/>
        <v>81740.02</v>
      </c>
      <c r="N51" s="92">
        <f t="shared" si="37"/>
        <v>150000</v>
      </c>
      <c r="O51" s="92">
        <f t="shared" si="37"/>
        <v>8174.0020000000004</v>
      </c>
      <c r="P51" s="92">
        <f t="shared" si="37"/>
        <v>20000</v>
      </c>
      <c r="Q51" s="92">
        <f t="shared" si="37"/>
        <v>0</v>
      </c>
      <c r="R51" s="92">
        <f t="shared" si="37"/>
        <v>1000209.0635</v>
      </c>
      <c r="S51" s="92">
        <v>1000209.0635</v>
      </c>
      <c r="T51" s="92">
        <f>SUM(T50:T50)</f>
        <v>0</v>
      </c>
      <c r="U51" s="92"/>
      <c r="V51" s="92"/>
      <c r="W51" s="92">
        <f>SUM(W50:W50)</f>
        <v>0</v>
      </c>
      <c r="X51" s="92">
        <f>SUM(X50:X50)</f>
        <v>52776.63</v>
      </c>
      <c r="Y51" s="92">
        <f>SUM(Y50:Y50)</f>
        <v>52776.63</v>
      </c>
      <c r="Z51" s="92">
        <v>1266435.7067500001</v>
      </c>
      <c r="AA51" s="92">
        <f>R51-Y51</f>
        <v>947432.43350000004</v>
      </c>
      <c r="AB51" s="34"/>
    </row>
    <row r="52" spans="1:28" ht="20.100000000000001" customHeight="1">
      <c r="A52" s="3"/>
      <c r="B52" s="273"/>
      <c r="C52" s="274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00000000000001" customHeight="1">
      <c r="A53" s="3"/>
      <c r="B53" s="273" t="s">
        <v>467</v>
      </c>
      <c r="C53" s="274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00000000000001" customHeight="1">
      <c r="A54" s="3">
        <v>1</v>
      </c>
      <c r="B54" s="269" t="s">
        <v>151</v>
      </c>
      <c r="C54" s="270"/>
      <c r="D54" s="47" t="s">
        <v>152</v>
      </c>
      <c r="E54" s="29" t="s">
        <v>540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62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00000000000001" customHeight="1">
      <c r="A55" s="3">
        <v>2</v>
      </c>
      <c r="B55" s="271" t="s">
        <v>190</v>
      </c>
      <c r="C55" s="272"/>
      <c r="D55" s="33" t="s">
        <v>137</v>
      </c>
      <c r="E55" s="3" t="s">
        <v>138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f t="shared" si="38"/>
        <v>150000</v>
      </c>
      <c r="O55" s="62">
        <f>F55*10%</f>
        <v>2552.3450000000003</v>
      </c>
      <c r="P55" s="62">
        <v>15000</v>
      </c>
      <c r="Q55" s="62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'[3]DECEMBER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00000000000001" customHeight="1">
      <c r="A56" s="3">
        <v>3</v>
      </c>
      <c r="B56" s="269" t="s">
        <v>155</v>
      </c>
      <c r="C56" s="270"/>
      <c r="D56" s="47" t="s">
        <v>142</v>
      </c>
      <c r="E56" s="29" t="s">
        <v>103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62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00000000000001" customHeight="1">
      <c r="A57" s="3">
        <v>4</v>
      </c>
      <c r="B57" s="264" t="s">
        <v>160</v>
      </c>
      <c r="C57" s="264"/>
      <c r="D57" s="61" t="s">
        <v>447</v>
      </c>
      <c r="E57" s="66" t="s">
        <v>82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 t="shared" si="38"/>
        <v>150000</v>
      </c>
      <c r="O57" s="62">
        <f>F57*10%</f>
        <v>1877.93</v>
      </c>
      <c r="P57" s="62">
        <v>10000</v>
      </c>
      <c r="Q57" s="62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'[3]DECEMBER 2019'!$H$45</f>
        <v>469.48250000000002</v>
      </c>
      <c r="X57" s="62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00000000000001" customHeight="1">
      <c r="A58" s="3"/>
      <c r="B58" s="273" t="s">
        <v>34</v>
      </c>
      <c r="C58" s="274"/>
      <c r="D58" s="30">
        <v>4</v>
      </c>
      <c r="E58" s="30"/>
      <c r="F58" s="92">
        <f t="shared" ref="F58:Q58" si="41">SUM(F54:F57)</f>
        <v>138923.69</v>
      </c>
      <c r="G58" s="92">
        <f t="shared" si="41"/>
        <v>0</v>
      </c>
      <c r="H58" s="92">
        <f t="shared" si="41"/>
        <v>416771.06999999995</v>
      </c>
      <c r="I58" s="92">
        <f t="shared" si="41"/>
        <v>10419.276750000001</v>
      </c>
      <c r="J58" s="92">
        <f t="shared" si="41"/>
        <v>80244.38</v>
      </c>
      <c r="K58" s="92">
        <f t="shared" si="41"/>
        <v>69461.845000000001</v>
      </c>
      <c r="L58" s="92">
        <f t="shared" si="41"/>
        <v>486232.91499999998</v>
      </c>
      <c r="M58" s="92">
        <f t="shared" si="41"/>
        <v>138923.69</v>
      </c>
      <c r="N58" s="92">
        <f t="shared" si="41"/>
        <v>600000</v>
      </c>
      <c r="O58" s="92">
        <f t="shared" si="41"/>
        <v>13892.369000000002</v>
      </c>
      <c r="P58" s="92">
        <f t="shared" si="41"/>
        <v>55000</v>
      </c>
      <c r="Q58" s="92">
        <f t="shared" si="41"/>
        <v>0</v>
      </c>
      <c r="R58" s="92">
        <f>SUM(R54:R57)</f>
        <v>2009869.23575</v>
      </c>
      <c r="S58" s="92">
        <v>2114833.1545000002</v>
      </c>
      <c r="T58" s="92">
        <f>SUM(T54:T57)</f>
        <v>101902.94725000003</v>
      </c>
      <c r="U58" s="92">
        <f>SUM(U54:U57)</f>
        <v>250000</v>
      </c>
      <c r="V58" s="92">
        <f>SUM(V54:V57)</f>
        <v>363103.58999999997</v>
      </c>
      <c r="W58" s="92">
        <f>SUM(W54:W57)</f>
        <v>1107.5687500000001</v>
      </c>
      <c r="X58" s="92">
        <f>SUM(X54:X57)</f>
        <v>67225.41</v>
      </c>
      <c r="Y58" s="92">
        <f>SUM(R58:X58)</f>
        <v>4908041.90625</v>
      </c>
      <c r="Z58" s="92">
        <v>1428432.6670000001</v>
      </c>
      <c r="AA58" s="92">
        <f>SUM(AA54:AA57)</f>
        <v>1328432.6670000001</v>
      </c>
      <c r="AB58" s="34"/>
    </row>
    <row r="59" spans="1:28" ht="20.100000000000001" customHeight="1">
      <c r="A59" s="3"/>
      <c r="B59" s="99"/>
      <c r="C59" s="10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00000000000001" customHeight="1">
      <c r="A60" s="3"/>
      <c r="B60" s="273" t="s">
        <v>486</v>
      </c>
      <c r="C60" s="274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00000000000001" customHeight="1">
      <c r="A61" s="3">
        <v>1</v>
      </c>
      <c r="B61" s="257" t="s">
        <v>173</v>
      </c>
      <c r="C61" s="258"/>
      <c r="D61" s="33" t="s">
        <v>174</v>
      </c>
      <c r="E61" s="3" t="s">
        <v>43</v>
      </c>
      <c r="F61" s="62">
        <f>81740.02</f>
        <v>81740.02</v>
      </c>
      <c r="G61" s="62"/>
      <c r="H61" s="62">
        <f t="shared" ref="H61:H64" si="42">F61*300%</f>
        <v>245220.06</v>
      </c>
      <c r="I61" s="62">
        <f t="shared" ref="I61:I64" si="43">F61*7.5%</f>
        <v>6130.5015000000003</v>
      </c>
      <c r="J61" s="62">
        <v>80244.38</v>
      </c>
      <c r="K61" s="62">
        <f>F61*50%</f>
        <v>40870.01</v>
      </c>
      <c r="L61" s="62">
        <f t="shared" ref="L61:L64" si="44">F61*350%</f>
        <v>286090.07</v>
      </c>
      <c r="M61" s="62">
        <f>F61*100%</f>
        <v>81740.02</v>
      </c>
      <c r="N61" s="62">
        <f t="shared" ref="N61:N64" si="45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62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00000000000001" customHeight="1">
      <c r="A62" s="3">
        <v>2</v>
      </c>
      <c r="B62" s="257" t="s">
        <v>189</v>
      </c>
      <c r="C62" s="258"/>
      <c r="D62" s="33" t="s">
        <v>131</v>
      </c>
      <c r="E62" s="3" t="s">
        <v>66</v>
      </c>
      <c r="F62" s="62">
        <f>27611.23</f>
        <v>27611.23</v>
      </c>
      <c r="G62" s="62"/>
      <c r="H62" s="62">
        <f t="shared" si="42"/>
        <v>82833.69</v>
      </c>
      <c r="I62" s="62">
        <f t="shared" si="43"/>
        <v>2070.8422499999997</v>
      </c>
      <c r="J62" s="62"/>
      <c r="K62" s="62">
        <f>F62*50%</f>
        <v>13805.615</v>
      </c>
      <c r="L62" s="62">
        <f t="shared" si="44"/>
        <v>96639.304999999993</v>
      </c>
      <c r="M62" s="62">
        <f>F62*100%</f>
        <v>27611.23</v>
      </c>
      <c r="N62" s="62">
        <f t="shared" si="45"/>
        <v>150000</v>
      </c>
      <c r="O62" s="62">
        <f>F62*10%</f>
        <v>2761.123</v>
      </c>
      <c r="P62" s="62">
        <v>20000</v>
      </c>
      <c r="Q62" s="62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'[3]DECEMBER 2019'!$H$42</f>
        <v>690.28075000000001</v>
      </c>
      <c r="X62" s="62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00000000000001" customHeight="1">
      <c r="A63" s="3">
        <v>3</v>
      </c>
      <c r="B63" s="257" t="s">
        <v>165</v>
      </c>
      <c r="C63" s="258"/>
      <c r="D63" s="33" t="s">
        <v>166</v>
      </c>
      <c r="E63" s="3" t="s">
        <v>95</v>
      </c>
      <c r="F63" s="62">
        <f>17784</f>
        <v>17784</v>
      </c>
      <c r="G63" s="62"/>
      <c r="H63" s="62">
        <f t="shared" si="42"/>
        <v>53352</v>
      </c>
      <c r="I63" s="62">
        <f t="shared" si="43"/>
        <v>1333.8</v>
      </c>
      <c r="J63" s="62"/>
      <c r="K63" s="62">
        <f>F63*50%</f>
        <v>8892</v>
      </c>
      <c r="L63" s="62">
        <f t="shared" si="44"/>
        <v>62244</v>
      </c>
      <c r="M63" s="62">
        <f>F63*100%</f>
        <v>17784</v>
      </c>
      <c r="N63" s="62">
        <f t="shared" si="45"/>
        <v>150000</v>
      </c>
      <c r="O63" s="62">
        <f>F63*10%</f>
        <v>1778.4</v>
      </c>
      <c r="P63" s="62">
        <v>10000</v>
      </c>
      <c r="Q63" s="62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62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00000000000001" customHeight="1">
      <c r="A64" s="3">
        <v>4</v>
      </c>
      <c r="B64" s="257" t="s">
        <v>179</v>
      </c>
      <c r="C64" s="258"/>
      <c r="D64" s="61" t="s">
        <v>166</v>
      </c>
      <c r="E64" s="66" t="s">
        <v>82</v>
      </c>
      <c r="F64" s="62">
        <f>18779.3</f>
        <v>18779.3</v>
      </c>
      <c r="G64" s="62"/>
      <c r="H64" s="62">
        <f t="shared" si="42"/>
        <v>56337.899999999994</v>
      </c>
      <c r="I64" s="62">
        <f t="shared" si="43"/>
        <v>1408.4475</v>
      </c>
      <c r="J64" s="36">
        <v>0</v>
      </c>
      <c r="K64" s="62">
        <f>F64*50%</f>
        <v>9389.65</v>
      </c>
      <c r="L64" s="36">
        <f t="shared" si="44"/>
        <v>65727.55</v>
      </c>
      <c r="M64" s="62">
        <f>F64*100%</f>
        <v>18779.3</v>
      </c>
      <c r="N64" s="62">
        <f t="shared" si="45"/>
        <v>150000</v>
      </c>
      <c r="O64" s="62">
        <f>F64*10%</f>
        <v>1877.93</v>
      </c>
      <c r="P64" s="62">
        <v>10000</v>
      </c>
      <c r="Q64" s="62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'[3]DECEMBER 2019'!$H$48</f>
        <v>469.48250000000002</v>
      </c>
      <c r="X64" s="62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00000000000001" customHeight="1">
      <c r="A65" s="3"/>
      <c r="B65" s="273" t="s">
        <v>34</v>
      </c>
      <c r="C65" s="274"/>
      <c r="D65" s="30">
        <v>4</v>
      </c>
      <c r="E65" s="30"/>
      <c r="F65" s="92">
        <f>SUM(F61:F64)</f>
        <v>145914.54999999999</v>
      </c>
      <c r="G65" s="92"/>
      <c r="H65" s="92">
        <f t="shared" ref="H65:Y65" si="47">SUM(H61:H64)</f>
        <v>437743.65</v>
      </c>
      <c r="I65" s="92">
        <f t="shared" si="47"/>
        <v>10943.591249999999</v>
      </c>
      <c r="J65" s="92">
        <f t="shared" si="47"/>
        <v>80244.38</v>
      </c>
      <c r="K65" s="92">
        <f t="shared" si="47"/>
        <v>72957.274999999994</v>
      </c>
      <c r="L65" s="92">
        <f t="shared" si="47"/>
        <v>510700.92499999999</v>
      </c>
      <c r="M65" s="92">
        <f t="shared" si="47"/>
        <v>145914.54999999999</v>
      </c>
      <c r="N65" s="95">
        <f>SUM(N61:N64)</f>
        <v>600000</v>
      </c>
      <c r="O65" s="92">
        <f t="shared" si="47"/>
        <v>14591.455</v>
      </c>
      <c r="P65" s="92">
        <f t="shared" si="47"/>
        <v>60000</v>
      </c>
      <c r="Q65" s="92">
        <f t="shared" si="47"/>
        <v>0</v>
      </c>
      <c r="R65" s="92">
        <f t="shared" si="47"/>
        <v>2079010.37625</v>
      </c>
      <c r="S65" s="92">
        <v>2218281.1864999998</v>
      </c>
      <c r="T65" s="92">
        <f>SUM(T61:T64)</f>
        <v>139270.81024999998</v>
      </c>
      <c r="U65" s="92">
        <f t="shared" si="47"/>
        <v>220000</v>
      </c>
      <c r="V65" s="92">
        <f t="shared" si="47"/>
        <v>633315.1</v>
      </c>
      <c r="W65" s="92">
        <f t="shared" si="47"/>
        <v>1159.76325</v>
      </c>
      <c r="X65" s="92">
        <f t="shared" si="47"/>
        <v>67225.41</v>
      </c>
      <c r="Y65" s="92">
        <f t="shared" si="47"/>
        <v>921700.27325000009</v>
      </c>
      <c r="Z65" s="92">
        <v>1188810.1030000001</v>
      </c>
      <c r="AA65" s="92">
        <f>SUM(AA61:AA64)</f>
        <v>1157310.1030000001</v>
      </c>
      <c r="AB65" s="34"/>
    </row>
    <row r="66" spans="1:28" ht="20.100000000000001" customHeight="1">
      <c r="A66" s="3"/>
      <c r="B66" s="275"/>
      <c r="C66" s="276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63"/>
      <c r="W66" s="63"/>
      <c r="X66" s="39"/>
      <c r="Y66" s="36"/>
      <c r="Z66" s="36"/>
      <c r="AA66" s="36"/>
      <c r="AB66" s="34"/>
    </row>
    <row r="67" spans="1:28" ht="20.100000000000001" customHeight="1">
      <c r="A67" s="3"/>
      <c r="B67" s="277" t="s">
        <v>469</v>
      </c>
      <c r="C67" s="278"/>
      <c r="D67" s="69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63"/>
      <c r="W67" s="63"/>
      <c r="X67" s="39"/>
      <c r="Y67" s="36"/>
      <c r="Z67" s="36"/>
      <c r="AA67" s="36"/>
    </row>
    <row r="68" spans="1:28" ht="20.100000000000001" customHeight="1">
      <c r="A68" s="3">
        <v>1</v>
      </c>
      <c r="B68" s="257" t="s">
        <v>41</v>
      </c>
      <c r="C68" s="258"/>
      <c r="D68" s="61" t="s">
        <v>543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8">F68*100%</f>
        <v>81740.02</v>
      </c>
      <c r="N68" s="62">
        <f t="shared" ref="N68:N76" si="49">150000</f>
        <v>150000</v>
      </c>
      <c r="O68" s="62">
        <f t="shared" ref="O68:O76" si="50">F68*10%</f>
        <v>8174.0020000000004</v>
      </c>
      <c r="P68" s="62">
        <v>20000</v>
      </c>
      <c r="Q68" s="62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'[3]DECEMBER 2019'!$H$39</f>
        <v>2043.5005000000001</v>
      </c>
      <c r="X68" s="62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00000000000001" customHeight="1">
      <c r="A69" s="3">
        <v>2</v>
      </c>
      <c r="B69" s="257" t="s">
        <v>186</v>
      </c>
      <c r="C69" s="258"/>
      <c r="D69" s="33" t="s">
        <v>176</v>
      </c>
      <c r="E69" s="3" t="s">
        <v>54</v>
      </c>
      <c r="F69" s="62">
        <f>33507.5</f>
        <v>33507.5</v>
      </c>
      <c r="G69" s="62"/>
      <c r="H69" s="62">
        <f t="shared" ref="H69:H76" si="53">F69*300%</f>
        <v>100522.5</v>
      </c>
      <c r="I69" s="62">
        <f t="shared" ref="I69:I76" si="54">F69*7.5%</f>
        <v>2513.0625</v>
      </c>
      <c r="J69" s="62">
        <v>40122.19</v>
      </c>
      <c r="K69" s="62">
        <f t="shared" ref="K69:K76" si="55">F69*50%</f>
        <v>16753.75</v>
      </c>
      <c r="L69" s="62">
        <f t="shared" ref="L69:L76" si="56">F69*350%</f>
        <v>117276.25</v>
      </c>
      <c r="M69" s="62">
        <f t="shared" si="48"/>
        <v>33507.5</v>
      </c>
      <c r="N69" s="62">
        <f t="shared" si="49"/>
        <v>150000</v>
      </c>
      <c r="O69" s="62">
        <f t="shared" si="50"/>
        <v>3350.75</v>
      </c>
      <c r="P69" s="62">
        <v>20000</v>
      </c>
      <c r="Q69" s="62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62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00000000000001" customHeight="1">
      <c r="A70" s="3">
        <v>3</v>
      </c>
      <c r="B70" s="257" t="s">
        <v>188</v>
      </c>
      <c r="C70" s="258"/>
      <c r="D70" s="33" t="s">
        <v>131</v>
      </c>
      <c r="E70" s="3" t="s">
        <v>132</v>
      </c>
      <c r="F70" s="62">
        <v>28489.81</v>
      </c>
      <c r="G70" s="62"/>
      <c r="H70" s="62">
        <f t="shared" si="53"/>
        <v>85469.430000000008</v>
      </c>
      <c r="I70" s="62">
        <f t="shared" si="54"/>
        <v>2136.7357499999998</v>
      </c>
      <c r="J70" s="62"/>
      <c r="K70" s="62">
        <f t="shared" si="55"/>
        <v>14244.905000000001</v>
      </c>
      <c r="L70" s="62">
        <f t="shared" si="56"/>
        <v>99714.335000000006</v>
      </c>
      <c r="M70" s="62">
        <f t="shared" si="48"/>
        <v>28489.81</v>
      </c>
      <c r="N70" s="62">
        <f t="shared" si="49"/>
        <v>150000</v>
      </c>
      <c r="O70" s="62">
        <f t="shared" si="50"/>
        <v>2848.9810000000002</v>
      </c>
      <c r="P70" s="62">
        <v>20000</v>
      </c>
      <c r="Q70" s="62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62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00000000000001" customHeight="1">
      <c r="A71" s="3">
        <v>4</v>
      </c>
      <c r="B71" s="257" t="s">
        <v>396</v>
      </c>
      <c r="C71" s="258"/>
      <c r="D71" s="33" t="s">
        <v>140</v>
      </c>
      <c r="E71" s="3" t="s">
        <v>138</v>
      </c>
      <c r="F71" s="62">
        <f>25523.45</f>
        <v>25523.45</v>
      </c>
      <c r="G71" s="62"/>
      <c r="H71" s="62">
        <f t="shared" si="53"/>
        <v>76570.350000000006</v>
      </c>
      <c r="I71" s="62">
        <f t="shared" si="54"/>
        <v>1914.25875</v>
      </c>
      <c r="J71" s="62">
        <v>0</v>
      </c>
      <c r="K71" s="62">
        <f t="shared" si="55"/>
        <v>12761.725</v>
      </c>
      <c r="L71" s="62">
        <f t="shared" si="56"/>
        <v>89332.074999999997</v>
      </c>
      <c r="M71" s="62">
        <f t="shared" si="48"/>
        <v>25523.45</v>
      </c>
      <c r="N71" s="62">
        <f t="shared" si="49"/>
        <v>150000</v>
      </c>
      <c r="O71" s="62">
        <f t="shared" si="50"/>
        <v>2552.3450000000003</v>
      </c>
      <c r="P71" s="62">
        <v>15000</v>
      </c>
      <c r="Q71" s="62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00000000000001" customHeight="1">
      <c r="A72" s="3">
        <v>5</v>
      </c>
      <c r="B72" s="269" t="s">
        <v>192</v>
      </c>
      <c r="C72" s="270"/>
      <c r="D72" s="20" t="s">
        <v>140</v>
      </c>
      <c r="E72" s="29" t="s">
        <v>98</v>
      </c>
      <c r="F72" s="26">
        <f>24741.26</f>
        <v>24741.26</v>
      </c>
      <c r="G72" s="62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62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00000000000001" customHeight="1">
      <c r="A73" s="3">
        <v>6</v>
      </c>
      <c r="B73" s="269" t="s">
        <v>158</v>
      </c>
      <c r="C73" s="270"/>
      <c r="D73" s="20" t="s">
        <v>142</v>
      </c>
      <c r="E73" s="29" t="s">
        <v>539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62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00000000000001" customHeight="1">
      <c r="A74" s="3">
        <v>7</v>
      </c>
      <c r="B74" s="269" t="s">
        <v>154</v>
      </c>
      <c r="C74" s="270"/>
      <c r="D74" s="20" t="s">
        <v>140</v>
      </c>
      <c r="E74" s="29" t="s">
        <v>98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62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00000000000001" customHeight="1">
      <c r="A75" s="3">
        <v>8</v>
      </c>
      <c r="B75" s="269" t="s">
        <v>491</v>
      </c>
      <c r="C75" s="270"/>
      <c r="D75" s="20" t="s">
        <v>544</v>
      </c>
      <c r="E75" s="29" t="s">
        <v>98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62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'[3]DECEMBER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" customHeight="1">
      <c r="A76" s="3">
        <v>9</v>
      </c>
      <c r="B76" s="264" t="s">
        <v>195</v>
      </c>
      <c r="C76" s="264"/>
      <c r="D76" s="33" t="s">
        <v>142</v>
      </c>
      <c r="E76" s="66" t="s">
        <v>103</v>
      </c>
      <c r="F76" s="62">
        <f>18281.64</f>
        <v>18281.64</v>
      </c>
      <c r="G76" s="62"/>
      <c r="H76" s="62">
        <f t="shared" si="53"/>
        <v>54844.92</v>
      </c>
      <c r="I76" s="62">
        <f t="shared" si="54"/>
        <v>1371.1229999999998</v>
      </c>
      <c r="J76" s="62">
        <v>0</v>
      </c>
      <c r="K76" s="62">
        <f t="shared" si="55"/>
        <v>9140.82</v>
      </c>
      <c r="L76" s="36">
        <f t="shared" si="56"/>
        <v>63985.74</v>
      </c>
      <c r="M76" s="62">
        <f t="shared" si="48"/>
        <v>18281.64</v>
      </c>
      <c r="N76" s="62">
        <f t="shared" si="49"/>
        <v>150000</v>
      </c>
      <c r="O76" s="62">
        <f t="shared" si="50"/>
        <v>1828.164</v>
      </c>
      <c r="P76" s="62">
        <v>10000</v>
      </c>
      <c r="Q76" s="62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62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00000000000001" customHeight="1">
      <c r="A77" s="33"/>
      <c r="B77" s="267" t="s">
        <v>34</v>
      </c>
      <c r="C77" s="267"/>
      <c r="D77" s="7">
        <v>9</v>
      </c>
      <c r="E77" s="7"/>
      <c r="F77" s="95">
        <f>SUM(F68:F76)</f>
        <v>281540.82000000007</v>
      </c>
      <c r="G77" s="95"/>
      <c r="H77" s="95">
        <f t="shared" ref="H77:AA77" si="59">SUM(H68:H76)</f>
        <v>844622.46000000008</v>
      </c>
      <c r="I77" s="95">
        <f t="shared" si="59"/>
        <v>21115.561499999996</v>
      </c>
      <c r="J77" s="95">
        <f t="shared" si="59"/>
        <v>120366.57</v>
      </c>
      <c r="K77" s="95">
        <f t="shared" si="59"/>
        <v>140770.41000000003</v>
      </c>
      <c r="L77" s="95">
        <f t="shared" si="59"/>
        <v>985392.87000000011</v>
      </c>
      <c r="M77" s="95">
        <f t="shared" si="59"/>
        <v>281540.82000000007</v>
      </c>
      <c r="N77" s="95">
        <f>SUM(N68:N76)</f>
        <v>1350000</v>
      </c>
      <c r="O77" s="95">
        <f t="shared" si="59"/>
        <v>28154.082000000002</v>
      </c>
      <c r="P77" s="95">
        <f t="shared" si="59"/>
        <v>140000</v>
      </c>
      <c r="Q77" s="95">
        <f t="shared" si="59"/>
        <v>0</v>
      </c>
      <c r="R77" s="95">
        <f>SUM(R68:R76)</f>
        <v>4193503.5935000004</v>
      </c>
      <c r="S77" s="95">
        <v>4403709.54</v>
      </c>
      <c r="T77" s="95">
        <f>SUM(T68:T76)</f>
        <v>176840.94325000013</v>
      </c>
      <c r="U77" s="95">
        <f>SUM(U68:U76)</f>
        <v>390000</v>
      </c>
      <c r="V77" s="95">
        <f>SUM(V68:V76)</f>
        <v>444827.21</v>
      </c>
      <c r="W77" s="95">
        <f>SUM(W68:W76)</f>
        <v>2662.0320000000002</v>
      </c>
      <c r="X77" s="95">
        <f>SUM(X68:X76)</f>
        <v>113612.77999999996</v>
      </c>
      <c r="Y77" s="95">
        <f>SUM(U77:X77)</f>
        <v>951102.02199999988</v>
      </c>
      <c r="Z77" s="95">
        <v>3362401.5714999996</v>
      </c>
      <c r="AA77" s="95">
        <f t="shared" si="59"/>
        <v>3242401.5714999996</v>
      </c>
      <c r="AB77" s="34"/>
    </row>
    <row r="78" spans="1:28" ht="20.100000000000001" customHeight="1">
      <c r="A78" s="33"/>
      <c r="B78" s="96"/>
      <c r="C78" s="9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00000000000001" customHeight="1">
      <c r="A79" s="33"/>
      <c r="B79" s="267" t="s">
        <v>199</v>
      </c>
      <c r="C79" s="267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00000000000001" customHeight="1">
      <c r="A80" s="33">
        <v>1</v>
      </c>
      <c r="B80" s="257" t="s">
        <v>44</v>
      </c>
      <c r="C80" s="258"/>
      <c r="D80" s="33" t="s">
        <v>545</v>
      </c>
      <c r="E80" s="3" t="s">
        <v>54</v>
      </c>
      <c r="F80" s="62">
        <f>33507.5</f>
        <v>33507.5</v>
      </c>
      <c r="G80" s="62"/>
      <c r="H80" s="62">
        <f>F80*300%</f>
        <v>100522.5</v>
      </c>
      <c r="I80" s="62">
        <f>F80*7.5%</f>
        <v>2513.0625</v>
      </c>
      <c r="J80" s="62">
        <v>40122.19</v>
      </c>
      <c r="K80" s="62">
        <f>F80*50%</f>
        <v>16753.75</v>
      </c>
      <c r="L80" s="62">
        <f>F80*350%</f>
        <v>117276.25</v>
      </c>
      <c r="M80" s="62">
        <f>F80*100%</f>
        <v>33507.5</v>
      </c>
      <c r="N80" s="62">
        <v>150000</v>
      </c>
      <c r="O80" s="62">
        <f>F80*10%</f>
        <v>3350.75</v>
      </c>
      <c r="P80" s="62">
        <v>20000</v>
      </c>
      <c r="Q80" s="62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'[3]DECEMBER 2019'!$H$30</f>
        <v>837.6875</v>
      </c>
      <c r="X80" s="62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00000000000001" customHeight="1">
      <c r="A81" s="33">
        <v>2</v>
      </c>
      <c r="B81" s="269" t="s">
        <v>202</v>
      </c>
      <c r="C81" s="270"/>
      <c r="D81" s="20" t="s">
        <v>493</v>
      </c>
      <c r="E81" s="29" t="s">
        <v>98</v>
      </c>
      <c r="F81" s="26">
        <f>24741.26</f>
        <v>24741.26</v>
      </c>
      <c r="G81" s="62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00000000000001" customHeight="1">
      <c r="A82" s="33">
        <v>3</v>
      </c>
      <c r="B82" s="257" t="s">
        <v>206</v>
      </c>
      <c r="C82" s="258"/>
      <c r="D82" s="33" t="s">
        <v>546</v>
      </c>
      <c r="E82" s="66" t="s">
        <v>95</v>
      </c>
      <c r="F82" s="26">
        <f>17784</f>
        <v>17784</v>
      </c>
      <c r="G82" s="62"/>
      <c r="H82" s="62">
        <f>F82*300%</f>
        <v>53352</v>
      </c>
      <c r="I82" s="62">
        <f>F82*7.5%</f>
        <v>1333.8</v>
      </c>
      <c r="J82" s="62"/>
      <c r="K82" s="62">
        <f>F82*50%</f>
        <v>8892</v>
      </c>
      <c r="L82" s="36">
        <f>F82*350%</f>
        <v>62244</v>
      </c>
      <c r="M82" s="26">
        <f>F82*100%</f>
        <v>17784</v>
      </c>
      <c r="N82" s="62">
        <f t="shared" ref="N82" si="61">100000</f>
        <v>100000</v>
      </c>
      <c r="O82" s="62">
        <f>F82*10%</f>
        <v>1778.4</v>
      </c>
      <c r="P82" s="62">
        <v>10000</v>
      </c>
      <c r="Q82" s="62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62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00000000000001" customHeight="1">
      <c r="A83" s="33">
        <v>4</v>
      </c>
      <c r="B83" s="97" t="s">
        <v>86</v>
      </c>
      <c r="C83" s="98"/>
      <c r="D83" s="33"/>
      <c r="E83" s="66" t="s">
        <v>168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00000000000001" customHeight="1">
      <c r="A84" s="33"/>
      <c r="B84" s="267" t="s">
        <v>34</v>
      </c>
      <c r="C84" s="267"/>
      <c r="D84" s="7">
        <v>4</v>
      </c>
      <c r="E84" s="91"/>
      <c r="F84" s="92">
        <f t="shared" ref="F84:Q84" si="63">SUM(F80:F83)</f>
        <v>93319.09</v>
      </c>
      <c r="G84" s="92">
        <f t="shared" si="63"/>
        <v>0</v>
      </c>
      <c r="H84" s="92">
        <f t="shared" si="63"/>
        <v>279957.27</v>
      </c>
      <c r="I84" s="92">
        <f t="shared" si="63"/>
        <v>6998.9317499999997</v>
      </c>
      <c r="J84" s="92">
        <f t="shared" si="63"/>
        <v>40122.19</v>
      </c>
      <c r="K84" s="92">
        <f t="shared" si="63"/>
        <v>46659.544999999998</v>
      </c>
      <c r="L84" s="92">
        <f t="shared" si="63"/>
        <v>326616.815</v>
      </c>
      <c r="M84" s="92">
        <f t="shared" si="63"/>
        <v>93319.09</v>
      </c>
      <c r="N84" s="92">
        <f t="shared" si="63"/>
        <v>450000</v>
      </c>
      <c r="O84" s="92">
        <f t="shared" si="63"/>
        <v>9331.9089999999997</v>
      </c>
      <c r="P84" s="92">
        <f t="shared" si="63"/>
        <v>55000</v>
      </c>
      <c r="Q84" s="92">
        <f t="shared" si="63"/>
        <v>150000</v>
      </c>
      <c r="R84" s="92">
        <f>SUM(R80:R83)</f>
        <v>1551324.84075</v>
      </c>
      <c r="S84" s="92">
        <v>1643258.6159999999</v>
      </c>
      <c r="T84" s="92">
        <f>SUM(T80:T83)</f>
        <v>80812.107499999984</v>
      </c>
      <c r="U84" s="92">
        <f>SUM(U80:U83)</f>
        <v>35000</v>
      </c>
      <c r="V84" s="92">
        <f>SUM(V80:V83)</f>
        <v>0</v>
      </c>
      <c r="W84" s="92">
        <f>SUM(W80:W83)</f>
        <v>1282.2874999999999</v>
      </c>
      <c r="X84" s="92">
        <f>SUM(X80:X83)</f>
        <v>29997.11</v>
      </c>
      <c r="Y84" s="92">
        <f>SUM(U84:X84)</f>
        <v>66279.397499999992</v>
      </c>
      <c r="Z84" s="92">
        <v>1505045.44325</v>
      </c>
      <c r="AA84" s="92">
        <f>SUM(AA80:AA83)</f>
        <v>1485045.44325</v>
      </c>
      <c r="AB84" s="34"/>
    </row>
    <row r="85" spans="1:28" ht="20.100000000000001" customHeight="1">
      <c r="A85" s="33"/>
      <c r="B85" s="96"/>
      <c r="C85" s="96"/>
      <c r="D85" s="7"/>
      <c r="E85" s="9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00000000000001" customHeight="1">
      <c r="A86" s="33"/>
      <c r="B86" s="267" t="s">
        <v>209</v>
      </c>
      <c r="C86" s="267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00000000000001" customHeight="1">
      <c r="A87" s="33">
        <v>1</v>
      </c>
      <c r="B87" s="257" t="s">
        <v>210</v>
      </c>
      <c r="C87" s="258"/>
      <c r="D87" s="61" t="s">
        <v>211</v>
      </c>
      <c r="E87" s="66" t="s">
        <v>540</v>
      </c>
      <c r="F87" s="62">
        <f>76339.3</f>
        <v>76339.3</v>
      </c>
      <c r="G87" s="62"/>
      <c r="H87" s="62">
        <f>F87*300%</f>
        <v>229017.90000000002</v>
      </c>
      <c r="I87" s="62">
        <f>F87*7.5%</f>
        <v>5725.4475000000002</v>
      </c>
      <c r="J87" s="62">
        <v>80244.38</v>
      </c>
      <c r="K87" s="62">
        <f>F87*50%</f>
        <v>38169.65</v>
      </c>
      <c r="L87" s="62">
        <f>F87*350%</f>
        <v>267187.55</v>
      </c>
      <c r="M87" s="62">
        <f>F87*100%</f>
        <v>76339.3</v>
      </c>
      <c r="N87" s="62">
        <v>150000</v>
      </c>
      <c r="O87" s="62">
        <f>F87*10%</f>
        <v>7633.93</v>
      </c>
      <c r="P87" s="62">
        <v>20000</v>
      </c>
      <c r="Q87" s="62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62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00000000000001" customHeight="1">
      <c r="A88" s="33">
        <v>2</v>
      </c>
      <c r="B88" s="311" t="s">
        <v>212</v>
      </c>
      <c r="C88" s="312"/>
      <c r="D88" s="33" t="s">
        <v>213</v>
      </c>
      <c r="E88" s="3" t="s">
        <v>54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'[3]DECEMBER 2019'!$H$37</f>
        <v>837.6875</v>
      </c>
      <c r="X88" s="62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00000000000001" customHeight="1">
      <c r="A89" s="33">
        <v>3</v>
      </c>
      <c r="B89" s="257" t="s">
        <v>214</v>
      </c>
      <c r="C89" s="258"/>
      <c r="D89" s="33" t="s">
        <v>547</v>
      </c>
      <c r="E89" s="3" t="s">
        <v>138</v>
      </c>
      <c r="F89" s="62">
        <f>25523.45</f>
        <v>25523.45</v>
      </c>
      <c r="G89" s="62"/>
      <c r="H89" s="62">
        <f>F89*300%</f>
        <v>76570.350000000006</v>
      </c>
      <c r="I89" s="62">
        <f>F89*7.5%</f>
        <v>1914.25875</v>
      </c>
      <c r="J89" s="62">
        <v>0</v>
      </c>
      <c r="K89" s="62">
        <f>F89*50%</f>
        <v>12761.725</v>
      </c>
      <c r="L89" s="62">
        <f>F89*350%</f>
        <v>89332.074999999997</v>
      </c>
      <c r="M89" s="62">
        <f>F89*100%</f>
        <v>25523.45</v>
      </c>
      <c r="N89" s="62">
        <v>150000</v>
      </c>
      <c r="O89" s="62">
        <f>F89*10%</f>
        <v>2552.3450000000003</v>
      </c>
      <c r="P89" s="62">
        <v>15000</v>
      </c>
      <c r="Q89" s="62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'[3]DECEMBER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00000000000001" customHeight="1">
      <c r="A90" s="33">
        <v>4</v>
      </c>
      <c r="B90" s="269" t="s">
        <v>216</v>
      </c>
      <c r="C90" s="270"/>
      <c r="D90" s="20" t="s">
        <v>548</v>
      </c>
      <c r="E90" s="29" t="s">
        <v>549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62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00000000000001" customHeight="1">
      <c r="A91" s="33"/>
      <c r="B91" s="267" t="s">
        <v>34</v>
      </c>
      <c r="C91" s="267"/>
      <c r="D91" s="3">
        <v>4</v>
      </c>
      <c r="E91" s="33"/>
      <c r="F91" s="93">
        <f>SUM(F87:F90)</f>
        <v>156140.25</v>
      </c>
      <c r="G91" s="94"/>
      <c r="H91" s="93">
        <f t="shared" ref="H91:AA91" si="65">SUM(H87:H90)</f>
        <v>468420.75</v>
      </c>
      <c r="I91" s="93">
        <f t="shared" si="65"/>
        <v>11710.518749999999</v>
      </c>
      <c r="J91" s="93">
        <f t="shared" si="65"/>
        <v>120366.57</v>
      </c>
      <c r="K91" s="93">
        <f t="shared" si="65"/>
        <v>78070.125</v>
      </c>
      <c r="L91" s="93">
        <f t="shared" si="65"/>
        <v>546490.875</v>
      </c>
      <c r="M91" s="93">
        <f t="shared" si="65"/>
        <v>156140.25</v>
      </c>
      <c r="N91" s="93">
        <f t="shared" si="65"/>
        <v>600000</v>
      </c>
      <c r="O91" s="93">
        <f t="shared" si="65"/>
        <v>15614.025000000001</v>
      </c>
      <c r="P91" s="93">
        <f t="shared" si="65"/>
        <v>65000</v>
      </c>
      <c r="Q91" s="93">
        <f t="shared" si="65"/>
        <v>0</v>
      </c>
      <c r="R91" s="93">
        <f>SUM(R87:R90)</f>
        <v>2217953.3637500005</v>
      </c>
      <c r="S91" s="93">
        <v>2291650.7174999998</v>
      </c>
      <c r="T91" s="93">
        <f>SUM(T87:T90)</f>
        <v>73697.353749999835</v>
      </c>
      <c r="U91" s="93">
        <f>SUM(U87:U90)</f>
        <v>220000</v>
      </c>
      <c r="V91" s="93">
        <f>SUM(V87:V90)</f>
        <v>174333.33000000002</v>
      </c>
      <c r="W91" s="93">
        <f>SUM(W87:W90)</f>
        <v>1475.7737500000001</v>
      </c>
      <c r="X91" s="93">
        <f>SUM(X87:X90)</f>
        <v>79404.229999999981</v>
      </c>
      <c r="Y91" s="93">
        <f>SUM(U91:X91)</f>
        <v>475213.33374999999</v>
      </c>
      <c r="Z91" s="93">
        <v>1667586.32</v>
      </c>
      <c r="AA91" s="93">
        <f t="shared" si="65"/>
        <v>1742740.03</v>
      </c>
      <c r="AB91" s="34"/>
    </row>
    <row r="92" spans="1:28" ht="20.100000000000001" customHeight="1">
      <c r="A92" s="33"/>
      <c r="B92" s="96"/>
      <c r="C92" s="9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00000000000001" customHeight="1">
      <c r="A93" s="33"/>
      <c r="B93" s="267" t="s">
        <v>222</v>
      </c>
      <c r="C93" s="267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63"/>
      <c r="W93" s="63"/>
      <c r="X93" s="39"/>
      <c r="Y93" s="36"/>
      <c r="Z93" s="36"/>
      <c r="AA93" s="36"/>
    </row>
    <row r="94" spans="1:28" ht="20.100000000000001" customHeight="1">
      <c r="A94" s="33">
        <v>1</v>
      </c>
      <c r="B94" s="264" t="s">
        <v>223</v>
      </c>
      <c r="C94" s="264"/>
      <c r="D94" s="61" t="s">
        <v>224</v>
      </c>
      <c r="E94" s="66" t="s">
        <v>118</v>
      </c>
      <c r="F94" s="62">
        <f>79039.64</f>
        <v>79039.64</v>
      </c>
      <c r="G94" s="62"/>
      <c r="H94" s="62">
        <f t="shared" ref="H94:H104" si="66">F94*300%</f>
        <v>237118.91999999998</v>
      </c>
      <c r="I94" s="62">
        <f t="shared" ref="I94:I104" si="67">F94*7.5%</f>
        <v>5927.973</v>
      </c>
      <c r="J94" s="62">
        <f>80244.38</f>
        <v>80244.38</v>
      </c>
      <c r="K94" s="62">
        <f t="shared" ref="K94:K104" si="68">F94*50%</f>
        <v>39519.82</v>
      </c>
      <c r="L94" s="62">
        <f t="shared" ref="L94:L104" si="69">F94*350%</f>
        <v>276638.74</v>
      </c>
      <c r="M94" s="62">
        <f t="shared" ref="M94:M103" si="70">F94*100%</f>
        <v>79039.64</v>
      </c>
      <c r="N94" s="62">
        <f>100000</f>
        <v>100000</v>
      </c>
      <c r="O94" s="62">
        <f t="shared" ref="O94:O103" si="71">F94*10%</f>
        <v>7903.9639999999999</v>
      </c>
      <c r="P94" s="62">
        <v>20000</v>
      </c>
      <c r="Q94" s="62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'[3]DECEMBER 2019'!$H$24</f>
        <v>1975.991</v>
      </c>
      <c r="X94" s="62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00000000000001" customHeight="1">
      <c r="A95" s="33">
        <v>2</v>
      </c>
      <c r="B95" s="264" t="s">
        <v>225</v>
      </c>
      <c r="C95" s="264"/>
      <c r="D95" s="61" t="s">
        <v>226</v>
      </c>
      <c r="E95" s="66" t="s">
        <v>46</v>
      </c>
      <c r="F95" s="62">
        <f>41157.69</f>
        <v>41157.69</v>
      </c>
      <c r="G95" s="62"/>
      <c r="H95" s="62">
        <f t="shared" si="66"/>
        <v>123473.07</v>
      </c>
      <c r="I95" s="62">
        <f t="shared" si="67"/>
        <v>3086.8267500000002</v>
      </c>
      <c r="J95" s="62">
        <v>40122.19</v>
      </c>
      <c r="K95" s="62">
        <f t="shared" si="68"/>
        <v>20578.845000000001</v>
      </c>
      <c r="L95" s="62">
        <f t="shared" si="69"/>
        <v>144051.91500000001</v>
      </c>
      <c r="M95" s="62">
        <f t="shared" si="70"/>
        <v>41157.69</v>
      </c>
      <c r="N95" s="62">
        <f t="shared" ref="N95:N103" si="75">100000</f>
        <v>100000</v>
      </c>
      <c r="O95" s="62">
        <f t="shared" si="71"/>
        <v>4115.7690000000002</v>
      </c>
      <c r="P95" s="62">
        <v>20000</v>
      </c>
      <c r="Q95" s="62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62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00000000000001" customHeight="1">
      <c r="A96" s="33">
        <v>3</v>
      </c>
      <c r="B96" s="264" t="s">
        <v>228</v>
      </c>
      <c r="C96" s="264"/>
      <c r="D96" s="61" t="s">
        <v>495</v>
      </c>
      <c r="E96" s="66" t="s">
        <v>129</v>
      </c>
      <c r="F96" s="26">
        <v>32263.200000000001</v>
      </c>
      <c r="G96" s="62"/>
      <c r="H96" s="62">
        <f t="shared" si="66"/>
        <v>96789.6</v>
      </c>
      <c r="I96" s="62">
        <f t="shared" si="67"/>
        <v>2419.7399999999998</v>
      </c>
      <c r="J96" s="62">
        <v>40122.19</v>
      </c>
      <c r="K96" s="62">
        <f t="shared" si="68"/>
        <v>16131.6</v>
      </c>
      <c r="L96" s="36">
        <f t="shared" si="69"/>
        <v>112921.2</v>
      </c>
      <c r="M96" s="62">
        <f t="shared" si="70"/>
        <v>32263.200000000001</v>
      </c>
      <c r="N96" s="62">
        <f t="shared" si="75"/>
        <v>100000</v>
      </c>
      <c r="O96" s="62">
        <f t="shared" si="71"/>
        <v>3226.32</v>
      </c>
      <c r="P96" s="62">
        <v>20000</v>
      </c>
      <c r="Q96" s="62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'[3]DECEMBER 2019'!$H$23</f>
        <v>806.58</v>
      </c>
      <c r="X96" s="62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00000000000001" customHeight="1">
      <c r="A97" s="33">
        <v>4</v>
      </c>
      <c r="B97" s="264" t="s">
        <v>59</v>
      </c>
      <c r="C97" s="264"/>
      <c r="D97" s="61" t="s">
        <v>550</v>
      </c>
      <c r="E97" s="66" t="s">
        <v>138</v>
      </c>
      <c r="F97" s="62">
        <f t="shared" ref="F97:F98" si="77">25523.45</f>
        <v>25523.45</v>
      </c>
      <c r="G97" s="62"/>
      <c r="H97" s="62">
        <f t="shared" si="66"/>
        <v>76570.350000000006</v>
      </c>
      <c r="I97" s="62">
        <f t="shared" si="67"/>
        <v>1914.25875</v>
      </c>
      <c r="J97" s="62">
        <v>0</v>
      </c>
      <c r="K97" s="62">
        <f t="shared" si="68"/>
        <v>12761.725</v>
      </c>
      <c r="L97" s="36">
        <f t="shared" si="69"/>
        <v>89332.074999999997</v>
      </c>
      <c r="M97" s="62">
        <f t="shared" si="70"/>
        <v>25523.45</v>
      </c>
      <c r="N97" s="62">
        <f t="shared" si="75"/>
        <v>100000</v>
      </c>
      <c r="O97" s="62">
        <f t="shared" si="71"/>
        <v>2552.3450000000003</v>
      </c>
      <c r="P97" s="62">
        <v>15000</v>
      </c>
      <c r="Q97" s="62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'[3]DECEMBER 2019'!$H$32</f>
        <v>638.08625000000006</v>
      </c>
      <c r="X97" s="62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00000000000001" customHeight="1">
      <c r="A98" s="33">
        <v>5</v>
      </c>
      <c r="B98" s="268" t="s">
        <v>230</v>
      </c>
      <c r="C98" s="268"/>
      <c r="D98" s="33" t="s">
        <v>551</v>
      </c>
      <c r="E98" s="66" t="s">
        <v>138</v>
      </c>
      <c r="F98" s="62">
        <f t="shared" si="77"/>
        <v>25523.45</v>
      </c>
      <c r="G98" s="62"/>
      <c r="H98" s="62">
        <f t="shared" si="66"/>
        <v>76570.350000000006</v>
      </c>
      <c r="I98" s="62">
        <f t="shared" si="67"/>
        <v>1914.25875</v>
      </c>
      <c r="J98" s="62">
        <v>0</v>
      </c>
      <c r="K98" s="62">
        <f t="shared" si="68"/>
        <v>12761.725</v>
      </c>
      <c r="L98" s="36">
        <f t="shared" si="69"/>
        <v>89332.074999999997</v>
      </c>
      <c r="M98" s="62">
        <f t="shared" si="70"/>
        <v>25523.45</v>
      </c>
      <c r="N98" s="62">
        <f t="shared" si="75"/>
        <v>100000</v>
      </c>
      <c r="O98" s="62">
        <f t="shared" si="71"/>
        <v>2552.3450000000003</v>
      </c>
      <c r="P98" s="62">
        <v>15000</v>
      </c>
      <c r="Q98" s="62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'[3]DECEMBER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00000000000001" customHeight="1">
      <c r="A99" s="33">
        <v>6</v>
      </c>
      <c r="B99" s="313" t="s">
        <v>233</v>
      </c>
      <c r="C99" s="313"/>
      <c r="D99" s="61" t="s">
        <v>498</v>
      </c>
      <c r="E99" s="66" t="s">
        <v>79</v>
      </c>
      <c r="F99" s="62">
        <v>23891.119999999999</v>
      </c>
      <c r="G99" s="62">
        <v>0</v>
      </c>
      <c r="H99" s="62">
        <f t="shared" si="66"/>
        <v>71673.36</v>
      </c>
      <c r="I99" s="62">
        <f t="shared" si="67"/>
        <v>1791.8339999999998</v>
      </c>
      <c r="J99" s="62">
        <v>0</v>
      </c>
      <c r="K99" s="62">
        <f t="shared" si="68"/>
        <v>11945.56</v>
      </c>
      <c r="L99" s="36">
        <f t="shared" si="69"/>
        <v>83618.92</v>
      </c>
      <c r="M99" s="62">
        <f t="shared" si="70"/>
        <v>23891.119999999999</v>
      </c>
      <c r="N99" s="62">
        <f t="shared" si="75"/>
        <v>100000</v>
      </c>
      <c r="O99" s="62">
        <f t="shared" si="71"/>
        <v>2389.1120000000001</v>
      </c>
      <c r="P99" s="62">
        <v>15000</v>
      </c>
      <c r="Q99" s="62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62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00000000000001" customHeight="1">
      <c r="A100" s="33">
        <v>7</v>
      </c>
      <c r="B100" s="264" t="s">
        <v>235</v>
      </c>
      <c r="C100" s="264"/>
      <c r="D100" s="61" t="s">
        <v>552</v>
      </c>
      <c r="E100" s="66" t="s">
        <v>82</v>
      </c>
      <c r="F100" s="62">
        <f>18779.3</f>
        <v>18779.3</v>
      </c>
      <c r="G100" s="62"/>
      <c r="H100" s="62">
        <f t="shared" si="66"/>
        <v>56337.899999999994</v>
      </c>
      <c r="I100" s="62">
        <f t="shared" si="67"/>
        <v>1408.4475</v>
      </c>
      <c r="J100" s="62"/>
      <c r="K100" s="62">
        <f t="shared" si="68"/>
        <v>9389.65</v>
      </c>
      <c r="L100" s="36">
        <f t="shared" si="69"/>
        <v>65727.55</v>
      </c>
      <c r="M100" s="62">
        <f t="shared" si="70"/>
        <v>18779.3</v>
      </c>
      <c r="N100" s="62">
        <f t="shared" si="75"/>
        <v>100000</v>
      </c>
      <c r="O100" s="62">
        <f t="shared" si="71"/>
        <v>1877.93</v>
      </c>
      <c r="P100" s="62">
        <v>10000</v>
      </c>
      <c r="Q100" s="62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'[3]DECEMBER 2019'!$H$55</f>
        <v>469.48250000000002</v>
      </c>
      <c r="X100" s="62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00000000000001" customHeight="1">
      <c r="A101" s="33">
        <v>8</v>
      </c>
      <c r="B101" s="264" t="s">
        <v>237</v>
      </c>
      <c r="C101" s="264"/>
      <c r="D101" s="61" t="s">
        <v>552</v>
      </c>
      <c r="E101" s="66" t="s">
        <v>82</v>
      </c>
      <c r="F101" s="62">
        <f>18779.3</f>
        <v>18779.3</v>
      </c>
      <c r="G101" s="62"/>
      <c r="H101" s="62">
        <f t="shared" si="66"/>
        <v>56337.899999999994</v>
      </c>
      <c r="I101" s="62">
        <f t="shared" si="67"/>
        <v>1408.4475</v>
      </c>
      <c r="J101" s="62"/>
      <c r="K101" s="62">
        <f t="shared" si="68"/>
        <v>9389.65</v>
      </c>
      <c r="L101" s="36">
        <f t="shared" si="69"/>
        <v>65727.55</v>
      </c>
      <c r="M101" s="62">
        <f t="shared" si="70"/>
        <v>18779.3</v>
      </c>
      <c r="N101" s="62">
        <f t="shared" si="75"/>
        <v>100000</v>
      </c>
      <c r="O101" s="62">
        <f t="shared" si="71"/>
        <v>1877.93</v>
      </c>
      <c r="P101" s="62">
        <v>10000</v>
      </c>
      <c r="Q101" s="62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'[3]DECEMBER 2019'!$H$28</f>
        <v>469.48250000000002</v>
      </c>
      <c r="X101" s="62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00000000000001" customHeight="1">
      <c r="A102" s="33">
        <v>9</v>
      </c>
      <c r="B102" s="264" t="s">
        <v>399</v>
      </c>
      <c r="C102" s="264"/>
      <c r="D102" s="33" t="s">
        <v>258</v>
      </c>
      <c r="E102" s="66" t="s">
        <v>98</v>
      </c>
      <c r="F102" s="62">
        <v>24741.26</v>
      </c>
      <c r="G102" s="62"/>
      <c r="H102" s="62">
        <f t="shared" si="66"/>
        <v>74223.78</v>
      </c>
      <c r="I102" s="62">
        <f t="shared" si="67"/>
        <v>1855.5944999999997</v>
      </c>
      <c r="J102" s="62">
        <v>0</v>
      </c>
      <c r="K102" s="62">
        <f t="shared" si="68"/>
        <v>12370.63</v>
      </c>
      <c r="L102" s="36">
        <f t="shared" si="69"/>
        <v>86594.409999999989</v>
      </c>
      <c r="M102" s="62">
        <f t="shared" si="70"/>
        <v>24741.26</v>
      </c>
      <c r="N102" s="62">
        <f t="shared" si="75"/>
        <v>100000</v>
      </c>
      <c r="O102" s="62">
        <f t="shared" si="71"/>
        <v>2474.1260000000002</v>
      </c>
      <c r="P102" s="62">
        <v>15000</v>
      </c>
      <c r="Q102" s="62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62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00000000000001" customHeight="1">
      <c r="A103" s="33">
        <v>10</v>
      </c>
      <c r="B103" s="257" t="s">
        <v>104</v>
      </c>
      <c r="C103" s="258"/>
      <c r="D103" s="61" t="s">
        <v>105</v>
      </c>
      <c r="E103" s="66" t="s">
        <v>455</v>
      </c>
      <c r="F103" s="67">
        <v>12732</v>
      </c>
      <c r="G103" s="62"/>
      <c r="H103" s="62">
        <f t="shared" si="66"/>
        <v>38196</v>
      </c>
      <c r="I103" s="62">
        <f t="shared" si="67"/>
        <v>954.9</v>
      </c>
      <c r="J103" s="62"/>
      <c r="K103" s="62">
        <f t="shared" si="68"/>
        <v>6366</v>
      </c>
      <c r="L103" s="36">
        <f t="shared" si="69"/>
        <v>44562</v>
      </c>
      <c r="M103" s="62">
        <f t="shared" si="70"/>
        <v>12732</v>
      </c>
      <c r="N103" s="62">
        <f t="shared" si="75"/>
        <v>100000</v>
      </c>
      <c r="O103" s="62">
        <f t="shared" si="71"/>
        <v>1273.2</v>
      </c>
      <c r="P103" s="62">
        <v>10000</v>
      </c>
      <c r="Q103" s="62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62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00000000000001" customHeight="1">
      <c r="A104" s="33">
        <v>11</v>
      </c>
      <c r="B104" s="97" t="s">
        <v>107</v>
      </c>
      <c r="C104" s="98"/>
      <c r="D104" s="61" t="s">
        <v>105</v>
      </c>
      <c r="E104" s="66" t="s">
        <v>465</v>
      </c>
      <c r="F104" s="67">
        <v>12351.94</v>
      </c>
      <c r="G104" s="62">
        <f>0</f>
        <v>0</v>
      </c>
      <c r="H104" s="62">
        <f t="shared" si="66"/>
        <v>37055.82</v>
      </c>
      <c r="I104" s="62">
        <f t="shared" si="67"/>
        <v>926.39549999999997</v>
      </c>
      <c r="J104" s="62"/>
      <c r="K104" s="62">
        <f t="shared" si="68"/>
        <v>6175.97</v>
      </c>
      <c r="L104" s="36">
        <f t="shared" si="69"/>
        <v>43231.79</v>
      </c>
      <c r="M104" s="62">
        <f>F104*100%</f>
        <v>12351.94</v>
      </c>
      <c r="N104" s="42">
        <f>100000</f>
        <v>100000</v>
      </c>
      <c r="O104" s="62">
        <f>F104*10%</f>
        <v>1235.1940000000002</v>
      </c>
      <c r="P104" s="62">
        <v>10000</v>
      </c>
      <c r="R104" s="62">
        <f t="shared" si="72"/>
        <v>223329.04949999999</v>
      </c>
      <c r="S104" s="62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62">
        <f>(1484.37)</f>
        <v>1484.37</v>
      </c>
      <c r="Y104" s="107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00000000000001" customHeight="1">
      <c r="A105" s="33"/>
      <c r="B105" s="267" t="s">
        <v>34</v>
      </c>
      <c r="C105" s="267"/>
      <c r="D105" s="91" t="s">
        <v>553</v>
      </c>
      <c r="E105" s="66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63">
        <f t="shared" si="78"/>
        <v>1101738.2250000001</v>
      </c>
      <c r="M105" s="39">
        <f t="shared" si="78"/>
        <v>314782.35000000003</v>
      </c>
      <c r="N105" s="95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63">
        <f t="shared" ref="R105:Y105" si="79">SUM(R94:R104)</f>
        <v>4638616.82125</v>
      </c>
      <c r="S105" s="63">
        <v>5028202.6249999991</v>
      </c>
      <c r="T105" s="63">
        <f>SUM(T94:T104)</f>
        <v>389585.80375000037</v>
      </c>
      <c r="U105" s="63">
        <f t="shared" si="79"/>
        <v>628000</v>
      </c>
      <c r="V105" s="63">
        <f t="shared" si="79"/>
        <v>973333.33999999985</v>
      </c>
      <c r="W105" s="63">
        <f t="shared" si="79"/>
        <v>4997.7085000000006</v>
      </c>
      <c r="X105" s="39">
        <f t="shared" si="79"/>
        <v>130489.84999999996</v>
      </c>
      <c r="Y105" s="63">
        <f t="shared" si="79"/>
        <v>1736820.8985000001</v>
      </c>
      <c r="Z105" s="63">
        <v>2853462.5927500003</v>
      </c>
      <c r="AA105" s="63">
        <f t="shared" si="78"/>
        <v>2901795.9227500004</v>
      </c>
    </row>
    <row r="106" spans="1:28" ht="20.100000000000001" customHeight="1">
      <c r="A106" s="33"/>
      <c r="B106" s="96"/>
      <c r="C106" s="96"/>
      <c r="D106" s="91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63"/>
      <c r="W106" s="63"/>
      <c r="X106" s="39"/>
      <c r="Y106" s="63"/>
      <c r="Z106" s="63"/>
      <c r="AA106" s="63"/>
    </row>
    <row r="107" spans="1:28" ht="20.100000000000001" customHeight="1">
      <c r="A107" s="33"/>
      <c r="B107" s="267" t="s">
        <v>242</v>
      </c>
      <c r="C107" s="267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36"/>
      <c r="W107" s="36"/>
      <c r="X107" s="62"/>
      <c r="Y107" s="36"/>
      <c r="Z107" s="36"/>
      <c r="AA107" s="36"/>
    </row>
    <row r="108" spans="1:28" ht="20.100000000000001" customHeight="1">
      <c r="A108" s="33">
        <v>1</v>
      </c>
      <c r="B108" s="264" t="s">
        <v>243</v>
      </c>
      <c r="C108" s="264"/>
      <c r="D108" s="61" t="s">
        <v>502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62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00000000000001" customHeight="1">
      <c r="A109" s="33">
        <v>2</v>
      </c>
      <c r="B109" s="264" t="s">
        <v>245</v>
      </c>
      <c r="C109" s="264"/>
      <c r="D109" s="61" t="s">
        <v>503</v>
      </c>
      <c r="E109" s="66" t="s">
        <v>118</v>
      </c>
      <c r="F109" s="62">
        <f>79039.64</f>
        <v>79039.64</v>
      </c>
      <c r="G109" s="62"/>
      <c r="H109" s="62">
        <f>F109*300%</f>
        <v>237118.91999999998</v>
      </c>
      <c r="I109" s="62">
        <f>F109*7.5%</f>
        <v>5927.973</v>
      </c>
      <c r="J109" s="62">
        <f>80244.38</f>
        <v>80244.38</v>
      </c>
      <c r="K109" s="62">
        <f>F109*50%</f>
        <v>39519.82</v>
      </c>
      <c r="L109" s="62">
        <f>F109*350%</f>
        <v>276638.74</v>
      </c>
      <c r="M109" s="62">
        <f>F109*100%</f>
        <v>79039.64</v>
      </c>
      <c r="N109" s="62">
        <f t="shared" ref="N109:N129" si="81">100000</f>
        <v>100000</v>
      </c>
      <c r="O109" s="62">
        <f>F109*10%</f>
        <v>7903.9639999999999</v>
      </c>
      <c r="P109" s="62">
        <v>20000</v>
      </c>
      <c r="Q109" s="62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62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00000000000001" customHeight="1">
      <c r="A110" s="33">
        <v>3</v>
      </c>
      <c r="B110" s="313" t="s">
        <v>247</v>
      </c>
      <c r="C110" s="313"/>
      <c r="D110" s="61" t="s">
        <v>504</v>
      </c>
      <c r="E110" s="66" t="s">
        <v>46</v>
      </c>
      <c r="F110" s="62">
        <f>41157.69</f>
        <v>41157.69</v>
      </c>
      <c r="G110" s="62"/>
      <c r="H110" s="62">
        <f t="shared" ref="H110:H157" si="84">F110*300%</f>
        <v>123473.07</v>
      </c>
      <c r="I110" s="62">
        <f t="shared" ref="I110:I157" si="85">F110*7.5%</f>
        <v>3086.8267500000002</v>
      </c>
      <c r="J110" s="62">
        <v>40122.19</v>
      </c>
      <c r="K110" s="62">
        <f t="shared" ref="K110:K157" si="86">F110*50%</f>
        <v>20578.845000000001</v>
      </c>
      <c r="L110" s="62">
        <f t="shared" ref="L110:L157" si="87">F110*350%</f>
        <v>144051.91500000001</v>
      </c>
      <c r="M110" s="62">
        <f t="shared" ref="M110:M129" si="88">F110*100%</f>
        <v>41157.69</v>
      </c>
      <c r="N110" s="62">
        <f t="shared" si="81"/>
        <v>100000</v>
      </c>
      <c r="O110" s="62">
        <f t="shared" ref="O110:O129" si="89">F110*10%</f>
        <v>4115.7690000000002</v>
      </c>
      <c r="P110" s="62">
        <v>20000</v>
      </c>
      <c r="Q110" s="62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62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00000000000001" customHeight="1">
      <c r="A111" s="33">
        <v>4</v>
      </c>
      <c r="B111" s="265" t="s">
        <v>249</v>
      </c>
      <c r="C111" s="266"/>
      <c r="D111" s="20" t="s">
        <v>505</v>
      </c>
      <c r="E111" s="25" t="s">
        <v>54</v>
      </c>
      <c r="F111" s="62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62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'[3]DECEMBER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00000000000001" customHeight="1">
      <c r="A112" s="33">
        <v>5</v>
      </c>
      <c r="B112" s="271" t="s">
        <v>157</v>
      </c>
      <c r="C112" s="272"/>
      <c r="D112" s="33" t="s">
        <v>518</v>
      </c>
      <c r="E112" s="66" t="s">
        <v>98</v>
      </c>
      <c r="F112" s="62">
        <v>24741.26</v>
      </c>
      <c r="G112" s="62"/>
      <c r="H112" s="62">
        <f t="shared" si="84"/>
        <v>74223.78</v>
      </c>
      <c r="I112" s="62">
        <f t="shared" si="85"/>
        <v>1855.5944999999997</v>
      </c>
      <c r="J112" s="62"/>
      <c r="K112" s="62">
        <f t="shared" si="86"/>
        <v>12370.63</v>
      </c>
      <c r="L112" s="36">
        <f t="shared" si="87"/>
        <v>86594.409999999989</v>
      </c>
      <c r="M112" s="62">
        <f t="shared" si="88"/>
        <v>24741.26</v>
      </c>
      <c r="N112" s="62">
        <f t="shared" si="81"/>
        <v>100000</v>
      </c>
      <c r="O112" s="62">
        <f t="shared" si="89"/>
        <v>2474.1260000000002</v>
      </c>
      <c r="P112" s="62">
        <v>15000</v>
      </c>
      <c r="Q112" s="62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00000000000001" customHeight="1">
      <c r="A113" s="33">
        <v>6</v>
      </c>
      <c r="B113" s="257" t="s">
        <v>259</v>
      </c>
      <c r="C113" s="258"/>
      <c r="D113" s="61" t="s">
        <v>447</v>
      </c>
      <c r="E113" s="66" t="s">
        <v>82</v>
      </c>
      <c r="F113" s="62">
        <f>18779.3</f>
        <v>18779.3</v>
      </c>
      <c r="G113" s="62"/>
      <c r="H113" s="62">
        <f t="shared" si="84"/>
        <v>56337.899999999994</v>
      </c>
      <c r="I113" s="62">
        <f t="shared" si="85"/>
        <v>1408.4475</v>
      </c>
      <c r="J113" s="62">
        <v>0</v>
      </c>
      <c r="K113" s="62">
        <f t="shared" si="86"/>
        <v>9389.65</v>
      </c>
      <c r="L113" s="36">
        <f t="shared" si="87"/>
        <v>65727.55</v>
      </c>
      <c r="M113" s="62">
        <f t="shared" si="88"/>
        <v>18779.3</v>
      </c>
      <c r="N113" s="62">
        <f t="shared" si="81"/>
        <v>100000</v>
      </c>
      <c r="O113" s="62">
        <f t="shared" si="89"/>
        <v>1877.93</v>
      </c>
      <c r="P113" s="62">
        <v>10000</v>
      </c>
      <c r="Q113" s="62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'[3]DECEMBER 2019'!$H$45</f>
        <v>469.48250000000002</v>
      </c>
      <c r="X113" s="62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00000000000001" customHeight="1">
      <c r="A114" s="33">
        <v>7</v>
      </c>
      <c r="B114" s="264" t="s">
        <v>253</v>
      </c>
      <c r="C114" s="264"/>
      <c r="D114" s="61" t="s">
        <v>446</v>
      </c>
      <c r="E114" s="66" t="s">
        <v>98</v>
      </c>
      <c r="F114" s="62">
        <v>24741.26</v>
      </c>
      <c r="G114" s="62"/>
      <c r="H114" s="62">
        <f t="shared" si="84"/>
        <v>74223.78</v>
      </c>
      <c r="I114" s="62">
        <f t="shared" si="85"/>
        <v>1855.5944999999997</v>
      </c>
      <c r="J114" s="62">
        <v>0</v>
      </c>
      <c r="K114" s="62">
        <f t="shared" si="86"/>
        <v>12370.63</v>
      </c>
      <c r="L114" s="36">
        <f t="shared" si="87"/>
        <v>86594.409999999989</v>
      </c>
      <c r="M114" s="62">
        <f t="shared" si="88"/>
        <v>24741.26</v>
      </c>
      <c r="N114" s="62">
        <f t="shared" si="81"/>
        <v>100000</v>
      </c>
      <c r="O114" s="62">
        <f t="shared" si="89"/>
        <v>2474.1260000000002</v>
      </c>
      <c r="P114" s="62">
        <v>15000</v>
      </c>
      <c r="Q114" s="62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'[3]DECEMBER 2019'!$H$53</f>
        <v>618.53150000000005</v>
      </c>
      <c r="X114" s="62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00000000000001" customHeight="1">
      <c r="A115" s="33">
        <v>8</v>
      </c>
      <c r="B115" s="264" t="s">
        <v>255</v>
      </c>
      <c r="C115" s="264"/>
      <c r="D115" s="33" t="s">
        <v>258</v>
      </c>
      <c r="E115" s="66" t="s">
        <v>98</v>
      </c>
      <c r="F115" s="62">
        <v>24741.26</v>
      </c>
      <c r="G115" s="62"/>
      <c r="H115" s="62">
        <f t="shared" si="84"/>
        <v>74223.78</v>
      </c>
      <c r="I115" s="62">
        <f t="shared" si="85"/>
        <v>1855.5944999999997</v>
      </c>
      <c r="J115" s="62">
        <v>0</v>
      </c>
      <c r="K115" s="62">
        <f t="shared" si="86"/>
        <v>12370.63</v>
      </c>
      <c r="L115" s="36">
        <f t="shared" si="87"/>
        <v>86594.409999999989</v>
      </c>
      <c r="M115" s="62">
        <f t="shared" si="88"/>
        <v>24741.26</v>
      </c>
      <c r="N115" s="62">
        <f t="shared" si="81"/>
        <v>100000</v>
      </c>
      <c r="O115" s="62">
        <f t="shared" si="89"/>
        <v>2474.1260000000002</v>
      </c>
      <c r="P115" s="62">
        <v>15000</v>
      </c>
      <c r="Q115" s="62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'[3]DECEMBER 2019'!$H$57</f>
        <v>618.53150000000005</v>
      </c>
      <c r="X115" s="62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00000000000001" customHeight="1">
      <c r="A116" s="33">
        <v>9</v>
      </c>
      <c r="B116" s="264" t="s">
        <v>257</v>
      </c>
      <c r="C116" s="264"/>
      <c r="D116" s="33" t="s">
        <v>264</v>
      </c>
      <c r="E116" s="66" t="s">
        <v>82</v>
      </c>
      <c r="F116" s="62">
        <f>18779.3</f>
        <v>18779.3</v>
      </c>
      <c r="G116" s="62"/>
      <c r="H116" s="62">
        <f t="shared" si="84"/>
        <v>56337.899999999994</v>
      </c>
      <c r="I116" s="62">
        <f t="shared" si="85"/>
        <v>1408.4475</v>
      </c>
      <c r="J116" s="36">
        <v>0</v>
      </c>
      <c r="K116" s="62">
        <f t="shared" si="86"/>
        <v>9389.65</v>
      </c>
      <c r="L116" s="36">
        <f t="shared" si="87"/>
        <v>65727.55</v>
      </c>
      <c r="M116" s="62">
        <f t="shared" si="88"/>
        <v>18779.3</v>
      </c>
      <c r="N116" s="62">
        <f t="shared" si="81"/>
        <v>100000</v>
      </c>
      <c r="O116" s="62">
        <f t="shared" si="89"/>
        <v>1877.93</v>
      </c>
      <c r="P116" s="62">
        <v>10000</v>
      </c>
      <c r="Q116" s="62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62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00000000000001" customHeight="1">
      <c r="A117" s="33">
        <v>10</v>
      </c>
      <c r="B117" s="264" t="s">
        <v>261</v>
      </c>
      <c r="C117" s="264"/>
      <c r="D117" s="33" t="s">
        <v>447</v>
      </c>
      <c r="E117" s="66" t="s">
        <v>103</v>
      </c>
      <c r="F117" s="36">
        <v>18281.64</v>
      </c>
      <c r="G117" s="62"/>
      <c r="H117" s="62">
        <f>F117*300%</f>
        <v>54844.92</v>
      </c>
      <c r="I117" s="62">
        <f>F117*7.5%</f>
        <v>1371.1229999999998</v>
      </c>
      <c r="J117" s="62">
        <v>0</v>
      </c>
      <c r="K117" s="62">
        <f>F117*50%</f>
        <v>9140.82</v>
      </c>
      <c r="L117" s="36">
        <f>F117*350%</f>
        <v>63985.74</v>
      </c>
      <c r="M117" s="26">
        <f t="shared" si="88"/>
        <v>18281.64</v>
      </c>
      <c r="N117" s="62">
        <f t="shared" si="81"/>
        <v>100000</v>
      </c>
      <c r="O117" s="62">
        <f t="shared" si="89"/>
        <v>1828.164</v>
      </c>
      <c r="P117" s="62">
        <v>10000</v>
      </c>
      <c r="Q117" s="62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62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00000000000001" customHeight="1">
      <c r="A118" s="33">
        <v>11</v>
      </c>
      <c r="B118" s="257" t="s">
        <v>263</v>
      </c>
      <c r="C118" s="258"/>
      <c r="D118" s="33" t="s">
        <v>264</v>
      </c>
      <c r="E118" s="66" t="s">
        <v>95</v>
      </c>
      <c r="F118" s="26">
        <f>17784</f>
        <v>17784</v>
      </c>
      <c r="G118" s="62"/>
      <c r="H118" s="62">
        <f>F118*300%</f>
        <v>53352</v>
      </c>
      <c r="I118" s="62">
        <f>F118*7.5%</f>
        <v>1333.8</v>
      </c>
      <c r="J118" s="62"/>
      <c r="K118" s="62">
        <f>F118*50%</f>
        <v>8892</v>
      </c>
      <c r="L118" s="36">
        <f>F118*350%</f>
        <v>62244</v>
      </c>
      <c r="M118" s="26">
        <f t="shared" si="88"/>
        <v>17784</v>
      </c>
      <c r="N118" s="62">
        <f t="shared" si="81"/>
        <v>100000</v>
      </c>
      <c r="O118" s="62">
        <f t="shared" si="89"/>
        <v>1778.4</v>
      </c>
      <c r="P118" s="62">
        <v>10000</v>
      </c>
      <c r="Q118" s="62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62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00000000000001" customHeight="1">
      <c r="A119" s="33">
        <v>12</v>
      </c>
      <c r="B119" s="257" t="s">
        <v>265</v>
      </c>
      <c r="C119" s="258"/>
      <c r="D119" s="61" t="s">
        <v>554</v>
      </c>
      <c r="E119" s="66" t="s">
        <v>106</v>
      </c>
      <c r="F119" s="67">
        <v>13492.21</v>
      </c>
      <c r="G119" s="62"/>
      <c r="H119" s="62">
        <f t="shared" si="84"/>
        <v>40476.629999999997</v>
      </c>
      <c r="I119" s="62">
        <f t="shared" si="85"/>
        <v>1011.9157499999999</v>
      </c>
      <c r="J119" s="62"/>
      <c r="K119" s="62">
        <f t="shared" si="86"/>
        <v>6746.1049999999996</v>
      </c>
      <c r="L119" s="36">
        <f t="shared" si="87"/>
        <v>47222.735000000001</v>
      </c>
      <c r="M119" s="62">
        <f t="shared" si="88"/>
        <v>13492.21</v>
      </c>
      <c r="N119" s="62">
        <f t="shared" si="81"/>
        <v>100000</v>
      </c>
      <c r="O119" s="62">
        <f t="shared" si="89"/>
        <v>1349.221</v>
      </c>
      <c r="P119" s="62">
        <v>10000</v>
      </c>
      <c r="Q119" s="62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'[3]DECEMBER 2019'!$H$49</f>
        <v>337.30525</v>
      </c>
      <c r="X119" s="62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00000000000001" customHeight="1">
      <c r="A120" s="33">
        <v>13</v>
      </c>
      <c r="B120" s="257" t="s">
        <v>269</v>
      </c>
      <c r="C120" s="258"/>
      <c r="D120" s="61" t="s">
        <v>268</v>
      </c>
      <c r="E120" s="66" t="s">
        <v>111</v>
      </c>
      <c r="F120" s="67">
        <v>13112.16</v>
      </c>
      <c r="G120" s="62"/>
      <c r="H120" s="62">
        <f t="shared" si="84"/>
        <v>39336.479999999996</v>
      </c>
      <c r="I120" s="62">
        <f t="shared" si="85"/>
        <v>983.41199999999992</v>
      </c>
      <c r="J120" s="62"/>
      <c r="K120" s="62">
        <f t="shared" si="86"/>
        <v>6556.08</v>
      </c>
      <c r="L120" s="36">
        <f t="shared" si="87"/>
        <v>45892.56</v>
      </c>
      <c r="M120" s="62">
        <f t="shared" si="88"/>
        <v>13112.16</v>
      </c>
      <c r="N120" s="62">
        <f t="shared" si="81"/>
        <v>100000</v>
      </c>
      <c r="O120" s="62">
        <f t="shared" si="89"/>
        <v>1311.2160000000001</v>
      </c>
      <c r="P120" s="62">
        <v>10000</v>
      </c>
      <c r="Q120" s="62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62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00000000000001" customHeight="1">
      <c r="A121" s="33">
        <v>14</v>
      </c>
      <c r="B121" s="257" t="s">
        <v>270</v>
      </c>
      <c r="C121" s="258"/>
      <c r="D121" s="61" t="s">
        <v>268</v>
      </c>
      <c r="E121" s="66" t="s">
        <v>111</v>
      </c>
      <c r="F121" s="67">
        <v>13112.16</v>
      </c>
      <c r="G121" s="62"/>
      <c r="H121" s="62">
        <f t="shared" si="84"/>
        <v>39336.479999999996</v>
      </c>
      <c r="I121" s="62">
        <f t="shared" si="85"/>
        <v>983.41199999999992</v>
      </c>
      <c r="J121" s="62"/>
      <c r="K121" s="62">
        <f t="shared" si="86"/>
        <v>6556.08</v>
      </c>
      <c r="L121" s="36">
        <f t="shared" si="87"/>
        <v>45892.56</v>
      </c>
      <c r="M121" s="62">
        <f t="shared" si="88"/>
        <v>13112.16</v>
      </c>
      <c r="N121" s="62">
        <f t="shared" si="81"/>
        <v>100000</v>
      </c>
      <c r="O121" s="62">
        <f t="shared" si="89"/>
        <v>1311.2160000000001</v>
      </c>
      <c r="P121" s="62">
        <v>10000</v>
      </c>
      <c r="Q121" s="62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'[3]DECEMBER 2019'!$H$41</f>
        <v>327.80400000000003</v>
      </c>
      <c r="X121" s="62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00000000000001" customHeight="1">
      <c r="A122" s="33">
        <v>15</v>
      </c>
      <c r="B122" s="257" t="s">
        <v>271</v>
      </c>
      <c r="C122" s="258"/>
      <c r="D122" s="61" t="s">
        <v>268</v>
      </c>
      <c r="E122" s="66" t="s">
        <v>111</v>
      </c>
      <c r="F122" s="67">
        <v>13112.16</v>
      </c>
      <c r="G122" s="62"/>
      <c r="H122" s="62">
        <f t="shared" si="84"/>
        <v>39336.479999999996</v>
      </c>
      <c r="I122" s="62">
        <f t="shared" si="85"/>
        <v>983.41199999999992</v>
      </c>
      <c r="J122" s="62"/>
      <c r="K122" s="62">
        <f t="shared" si="86"/>
        <v>6556.08</v>
      </c>
      <c r="L122" s="36">
        <f t="shared" si="87"/>
        <v>45892.56</v>
      </c>
      <c r="M122" s="62">
        <f t="shared" si="88"/>
        <v>13112.16</v>
      </c>
      <c r="N122" s="62">
        <f t="shared" si="81"/>
        <v>100000</v>
      </c>
      <c r="O122" s="62">
        <f t="shared" si="89"/>
        <v>1311.2160000000001</v>
      </c>
      <c r="P122" s="62">
        <v>10000</v>
      </c>
      <c r="Q122" s="62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62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00000000000001" customHeight="1">
      <c r="A123" s="33">
        <v>16</v>
      </c>
      <c r="B123" s="257" t="s">
        <v>274</v>
      </c>
      <c r="C123" s="258"/>
      <c r="D123" s="61" t="s">
        <v>268</v>
      </c>
      <c r="E123" s="66" t="s">
        <v>455</v>
      </c>
      <c r="F123" s="67">
        <v>12732</v>
      </c>
      <c r="G123" s="62"/>
      <c r="H123" s="62">
        <f t="shared" si="84"/>
        <v>38196</v>
      </c>
      <c r="I123" s="62">
        <f t="shared" si="85"/>
        <v>954.9</v>
      </c>
      <c r="J123" s="62"/>
      <c r="K123" s="62">
        <f t="shared" si="86"/>
        <v>6366</v>
      </c>
      <c r="L123" s="36">
        <f t="shared" si="87"/>
        <v>44562</v>
      </c>
      <c r="M123" s="62">
        <f t="shared" si="88"/>
        <v>12732</v>
      </c>
      <c r="N123" s="62">
        <f t="shared" si="81"/>
        <v>100000</v>
      </c>
      <c r="O123" s="62">
        <f t="shared" si="89"/>
        <v>1273.2</v>
      </c>
      <c r="P123" s="62">
        <v>10000</v>
      </c>
      <c r="Q123" s="62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62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00000000000001" customHeight="1">
      <c r="A124" s="33">
        <v>17</v>
      </c>
      <c r="B124" s="257" t="s">
        <v>275</v>
      </c>
      <c r="C124" s="258"/>
      <c r="D124" s="61" t="s">
        <v>276</v>
      </c>
      <c r="E124" s="66" t="s">
        <v>455</v>
      </c>
      <c r="F124" s="67">
        <v>12732</v>
      </c>
      <c r="G124" s="62"/>
      <c r="H124" s="62">
        <f t="shared" si="84"/>
        <v>38196</v>
      </c>
      <c r="I124" s="62">
        <f t="shared" si="85"/>
        <v>954.9</v>
      </c>
      <c r="J124" s="62"/>
      <c r="K124" s="62">
        <f t="shared" si="86"/>
        <v>6366</v>
      </c>
      <c r="L124" s="36">
        <f t="shared" si="87"/>
        <v>44562</v>
      </c>
      <c r="M124" s="62">
        <f t="shared" si="88"/>
        <v>12732</v>
      </c>
      <c r="N124" s="62">
        <f t="shared" si="81"/>
        <v>100000</v>
      </c>
      <c r="O124" s="62">
        <f t="shared" si="89"/>
        <v>1273.2</v>
      </c>
      <c r="P124" s="62">
        <v>10000</v>
      </c>
      <c r="Q124" s="62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62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00000000000001" customHeight="1">
      <c r="A125" s="33">
        <v>18</v>
      </c>
      <c r="B125" s="257" t="s">
        <v>217</v>
      </c>
      <c r="C125" s="258"/>
      <c r="D125" s="61" t="s">
        <v>494</v>
      </c>
      <c r="E125" s="66" t="s">
        <v>455</v>
      </c>
      <c r="F125" s="67">
        <v>12732</v>
      </c>
      <c r="G125" s="62"/>
      <c r="H125" s="62">
        <f t="shared" si="84"/>
        <v>38196</v>
      </c>
      <c r="I125" s="62">
        <f t="shared" si="85"/>
        <v>954.9</v>
      </c>
      <c r="J125" s="62"/>
      <c r="K125" s="62">
        <f t="shared" si="86"/>
        <v>6366</v>
      </c>
      <c r="L125" s="36">
        <f t="shared" si="87"/>
        <v>44562</v>
      </c>
      <c r="M125" s="62">
        <f t="shared" si="88"/>
        <v>12732</v>
      </c>
      <c r="N125" s="62">
        <f t="shared" si="81"/>
        <v>100000</v>
      </c>
      <c r="O125" s="62">
        <f t="shared" si="89"/>
        <v>1273.2</v>
      </c>
      <c r="P125" s="62">
        <v>10000</v>
      </c>
      <c r="Q125" s="62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62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00000000000001" customHeight="1">
      <c r="A126" s="33">
        <v>19</v>
      </c>
      <c r="B126" s="257" t="s">
        <v>278</v>
      </c>
      <c r="C126" s="258"/>
      <c r="D126" s="61" t="s">
        <v>494</v>
      </c>
      <c r="E126" s="66" t="s">
        <v>455</v>
      </c>
      <c r="F126" s="67">
        <v>12732</v>
      </c>
      <c r="G126" s="62"/>
      <c r="H126" s="62">
        <f t="shared" si="84"/>
        <v>38196</v>
      </c>
      <c r="I126" s="62">
        <f t="shared" si="85"/>
        <v>954.9</v>
      </c>
      <c r="J126" s="62"/>
      <c r="K126" s="62">
        <f t="shared" si="86"/>
        <v>6366</v>
      </c>
      <c r="L126" s="36">
        <f t="shared" si="87"/>
        <v>44562</v>
      </c>
      <c r="M126" s="62">
        <f t="shared" si="88"/>
        <v>12732</v>
      </c>
      <c r="N126" s="62">
        <f t="shared" si="81"/>
        <v>100000</v>
      </c>
      <c r="O126" s="62">
        <f t="shared" si="89"/>
        <v>1273.2</v>
      </c>
      <c r="P126" s="62">
        <v>10000</v>
      </c>
      <c r="Q126" s="62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62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00000000000001" customHeight="1">
      <c r="A127" s="33">
        <v>20</v>
      </c>
      <c r="B127" s="257" t="s">
        <v>277</v>
      </c>
      <c r="C127" s="258"/>
      <c r="D127" s="61" t="s">
        <v>268</v>
      </c>
      <c r="E127" s="66" t="s">
        <v>455</v>
      </c>
      <c r="F127" s="67">
        <v>12732</v>
      </c>
      <c r="G127" s="62"/>
      <c r="H127" s="62">
        <f t="shared" si="84"/>
        <v>38196</v>
      </c>
      <c r="I127" s="62">
        <f t="shared" si="85"/>
        <v>954.9</v>
      </c>
      <c r="J127" s="62"/>
      <c r="K127" s="62">
        <f t="shared" si="86"/>
        <v>6366</v>
      </c>
      <c r="L127" s="36">
        <f t="shared" si="87"/>
        <v>44562</v>
      </c>
      <c r="M127" s="62">
        <f t="shared" si="88"/>
        <v>12732</v>
      </c>
      <c r="N127" s="62">
        <f t="shared" si="81"/>
        <v>100000</v>
      </c>
      <c r="O127" s="62">
        <f t="shared" si="89"/>
        <v>1273.2</v>
      </c>
      <c r="P127" s="62">
        <v>10000</v>
      </c>
      <c r="Q127" s="62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62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00000000000001" customHeight="1">
      <c r="A128" s="33">
        <v>21</v>
      </c>
      <c r="B128" s="257" t="s">
        <v>262</v>
      </c>
      <c r="C128" s="258"/>
      <c r="D128" s="61" t="s">
        <v>448</v>
      </c>
      <c r="E128" s="66" t="s">
        <v>82</v>
      </c>
      <c r="F128" s="62">
        <f>18779.3</f>
        <v>18779.3</v>
      </c>
      <c r="G128" s="62"/>
      <c r="H128" s="62">
        <f t="shared" si="84"/>
        <v>56337.899999999994</v>
      </c>
      <c r="I128" s="62">
        <f t="shared" si="85"/>
        <v>1408.4475</v>
      </c>
      <c r="J128" s="36"/>
      <c r="K128" s="62">
        <f t="shared" si="86"/>
        <v>9389.65</v>
      </c>
      <c r="L128" s="36">
        <f t="shared" si="87"/>
        <v>65727.55</v>
      </c>
      <c r="M128" s="62">
        <f t="shared" si="88"/>
        <v>18779.3</v>
      </c>
      <c r="N128" s="62">
        <f t="shared" si="81"/>
        <v>100000</v>
      </c>
      <c r="O128" s="62">
        <f t="shared" si="89"/>
        <v>1877.93</v>
      </c>
      <c r="P128" s="62">
        <v>10000</v>
      </c>
      <c r="Q128" s="62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62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00000000000001" customHeight="1">
      <c r="A129" s="33">
        <v>22</v>
      </c>
      <c r="B129" s="257" t="s">
        <v>267</v>
      </c>
      <c r="C129" s="258"/>
      <c r="D129" s="61" t="s">
        <v>268</v>
      </c>
      <c r="E129" s="66" t="s">
        <v>95</v>
      </c>
      <c r="F129" s="26">
        <f>17784</f>
        <v>17784</v>
      </c>
      <c r="G129" s="62"/>
      <c r="H129" s="62">
        <f t="shared" si="84"/>
        <v>53352</v>
      </c>
      <c r="I129" s="62">
        <f t="shared" si="85"/>
        <v>1333.8</v>
      </c>
      <c r="J129" s="36"/>
      <c r="K129" s="62">
        <f t="shared" si="86"/>
        <v>8892</v>
      </c>
      <c r="L129" s="36">
        <f t="shared" si="87"/>
        <v>62244</v>
      </c>
      <c r="M129" s="62">
        <f t="shared" si="88"/>
        <v>17784</v>
      </c>
      <c r="N129" s="62">
        <f t="shared" si="81"/>
        <v>100000</v>
      </c>
      <c r="O129" s="62">
        <f t="shared" si="89"/>
        <v>1778.4</v>
      </c>
      <c r="P129" s="62">
        <v>10000</v>
      </c>
      <c r="Q129" s="62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'[3]DECEMBER 2019'!$H$34</f>
        <v>444.6</v>
      </c>
      <c r="X129" s="62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00000000000001" customHeight="1">
      <c r="A130" s="33">
        <v>23</v>
      </c>
      <c r="B130" s="97" t="s">
        <v>280</v>
      </c>
      <c r="C130" s="98"/>
      <c r="D130" s="61" t="s">
        <v>281</v>
      </c>
      <c r="E130" s="66" t="s">
        <v>465</v>
      </c>
      <c r="F130" s="67">
        <v>12351.94</v>
      </c>
      <c r="G130" s="62">
        <f>0</f>
        <v>0</v>
      </c>
      <c r="H130" s="62">
        <f t="shared" si="84"/>
        <v>37055.82</v>
      </c>
      <c r="I130" s="62">
        <f t="shared" si="85"/>
        <v>926.39549999999997</v>
      </c>
      <c r="J130" s="62"/>
      <c r="K130" s="62">
        <f t="shared" si="86"/>
        <v>6175.97</v>
      </c>
      <c r="L130" s="36">
        <f t="shared" si="87"/>
        <v>43231.79</v>
      </c>
      <c r="M130" s="62">
        <f>F130*100%</f>
        <v>12351.94</v>
      </c>
      <c r="N130" s="42">
        <f>100000</f>
        <v>100000</v>
      </c>
      <c r="O130" s="62">
        <f>F130*10%</f>
        <v>1235.1940000000002</v>
      </c>
      <c r="P130" s="62">
        <v>10000</v>
      </c>
      <c r="R130" s="62">
        <f t="shared" si="90"/>
        <v>223329.04949999999</v>
      </c>
      <c r="S130" s="62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62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00000000000001" customHeight="1">
      <c r="A131" s="33">
        <v>24</v>
      </c>
      <c r="B131" s="264" t="s">
        <v>286</v>
      </c>
      <c r="C131" s="264"/>
      <c r="D131" s="61" t="s">
        <v>296</v>
      </c>
      <c r="E131" s="66" t="s">
        <v>297</v>
      </c>
      <c r="F131" s="67">
        <f>5769.6</f>
        <v>5769.6</v>
      </c>
      <c r="G131" s="33"/>
      <c r="H131" s="62">
        <f t="shared" si="84"/>
        <v>17308.800000000003</v>
      </c>
      <c r="I131" s="62">
        <f t="shared" si="85"/>
        <v>432.72</v>
      </c>
      <c r="J131" s="67">
        <v>0</v>
      </c>
      <c r="K131" s="62">
        <f t="shared" si="86"/>
        <v>2884.8</v>
      </c>
      <c r="L131" s="36">
        <f t="shared" si="87"/>
        <v>20193.600000000002</v>
      </c>
      <c r="M131" s="62">
        <f t="shared" ref="M131:M140" si="91">F131*100%</f>
        <v>5769.6</v>
      </c>
      <c r="N131" s="36">
        <f>25000+4000</f>
        <v>29000</v>
      </c>
      <c r="O131" s="62">
        <f t="shared" ref="O131:O157" si="92">F131*10%</f>
        <v>576.96</v>
      </c>
      <c r="P131" s="67">
        <v>5000</v>
      </c>
      <c r="Q131" s="62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'[3]DECEMBER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00000000000001" customHeight="1">
      <c r="A132" s="33">
        <v>25</v>
      </c>
      <c r="B132" s="264" t="s">
        <v>289</v>
      </c>
      <c r="C132" s="264"/>
      <c r="D132" s="61" t="s">
        <v>296</v>
      </c>
      <c r="E132" s="66" t="s">
        <v>297</v>
      </c>
      <c r="F132" s="67">
        <f t="shared" ref="F132:F137" si="93">5769.6</f>
        <v>5769.6</v>
      </c>
      <c r="G132" s="33"/>
      <c r="H132" s="62">
        <f t="shared" si="84"/>
        <v>17308.800000000003</v>
      </c>
      <c r="I132" s="62">
        <f t="shared" si="85"/>
        <v>432.72</v>
      </c>
      <c r="J132" s="67">
        <v>0</v>
      </c>
      <c r="K132" s="62">
        <f t="shared" si="86"/>
        <v>2884.8</v>
      </c>
      <c r="L132" s="36">
        <f t="shared" si="87"/>
        <v>20193.600000000002</v>
      </c>
      <c r="M132" s="62">
        <f t="shared" si="91"/>
        <v>5769.6</v>
      </c>
      <c r="N132" s="36">
        <f>25000+7000</f>
        <v>32000</v>
      </c>
      <c r="O132" s="62">
        <f t="shared" si="92"/>
        <v>576.96</v>
      </c>
      <c r="P132" s="67">
        <v>5000</v>
      </c>
      <c r="Q132" s="62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00000000000001" customHeight="1">
      <c r="A133" s="33">
        <v>26</v>
      </c>
      <c r="B133" s="264" t="s">
        <v>290</v>
      </c>
      <c r="C133" s="264"/>
      <c r="D133" s="61" t="s">
        <v>296</v>
      </c>
      <c r="E133" s="66" t="s">
        <v>297</v>
      </c>
      <c r="F133" s="67">
        <f t="shared" si="93"/>
        <v>5769.6</v>
      </c>
      <c r="G133" s="33"/>
      <c r="H133" s="62">
        <f t="shared" si="84"/>
        <v>17308.800000000003</v>
      </c>
      <c r="I133" s="62">
        <f t="shared" si="85"/>
        <v>432.72</v>
      </c>
      <c r="J133" s="62">
        <v>0</v>
      </c>
      <c r="K133" s="62">
        <f t="shared" si="86"/>
        <v>2884.8</v>
      </c>
      <c r="L133" s="36">
        <f t="shared" si="87"/>
        <v>20193.600000000002</v>
      </c>
      <c r="M133" s="62">
        <f t="shared" si="91"/>
        <v>5769.6</v>
      </c>
      <c r="N133" s="36">
        <f>25000+4000</f>
        <v>29000</v>
      </c>
      <c r="O133" s="62">
        <f t="shared" si="92"/>
        <v>576.96</v>
      </c>
      <c r="P133" s="62">
        <v>5000</v>
      </c>
      <c r="Q133" s="62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00000000000001" customHeight="1">
      <c r="A134" s="33">
        <v>27</v>
      </c>
      <c r="B134" s="264" t="s">
        <v>291</v>
      </c>
      <c r="C134" s="264"/>
      <c r="D134" s="61" t="s">
        <v>296</v>
      </c>
      <c r="E134" s="66" t="s">
        <v>297</v>
      </c>
      <c r="F134" s="67">
        <f t="shared" si="93"/>
        <v>5769.6</v>
      </c>
      <c r="G134" s="33"/>
      <c r="H134" s="62">
        <f t="shared" si="84"/>
        <v>17308.800000000003</v>
      </c>
      <c r="I134" s="62">
        <f t="shared" si="85"/>
        <v>432.72</v>
      </c>
      <c r="J134" s="62">
        <v>0</v>
      </c>
      <c r="K134" s="62">
        <f t="shared" si="86"/>
        <v>2884.8</v>
      </c>
      <c r="L134" s="36">
        <f t="shared" si="87"/>
        <v>20193.600000000002</v>
      </c>
      <c r="M134" s="62">
        <f t="shared" si="91"/>
        <v>5769.6</v>
      </c>
      <c r="N134" s="36">
        <f>25000+4000</f>
        <v>29000</v>
      </c>
      <c r="O134" s="62">
        <f t="shared" si="92"/>
        <v>576.96</v>
      </c>
      <c r="P134" s="62">
        <v>5000</v>
      </c>
      <c r="Q134" s="62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00000000000001" customHeight="1">
      <c r="A135" s="33">
        <v>28</v>
      </c>
      <c r="B135" s="264" t="s">
        <v>292</v>
      </c>
      <c r="C135" s="264"/>
      <c r="D135" s="61" t="s">
        <v>296</v>
      </c>
      <c r="E135" s="66" t="s">
        <v>297</v>
      </c>
      <c r="F135" s="67">
        <f t="shared" si="93"/>
        <v>5769.6</v>
      </c>
      <c r="G135" s="33"/>
      <c r="H135" s="62">
        <f t="shared" si="84"/>
        <v>17308.800000000003</v>
      </c>
      <c r="I135" s="62">
        <f t="shared" si="85"/>
        <v>432.72</v>
      </c>
      <c r="J135" s="62">
        <v>0</v>
      </c>
      <c r="K135" s="62">
        <f t="shared" si="86"/>
        <v>2884.8</v>
      </c>
      <c r="L135" s="36">
        <f t="shared" si="87"/>
        <v>20193.600000000002</v>
      </c>
      <c r="M135" s="62">
        <f t="shared" si="91"/>
        <v>5769.6</v>
      </c>
      <c r="N135" s="36">
        <f>25000+4000</f>
        <v>29000</v>
      </c>
      <c r="O135" s="62">
        <f t="shared" si="92"/>
        <v>576.96</v>
      </c>
      <c r="P135" s="62">
        <v>5000</v>
      </c>
      <c r="Q135" s="62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00000000000001" customHeight="1">
      <c r="A136" s="33">
        <v>29</v>
      </c>
      <c r="B136" s="264" t="s">
        <v>293</v>
      </c>
      <c r="C136" s="264"/>
      <c r="D136" s="61" t="s">
        <v>296</v>
      </c>
      <c r="E136" s="66" t="s">
        <v>297</v>
      </c>
      <c r="F136" s="67">
        <f t="shared" si="93"/>
        <v>5769.6</v>
      </c>
      <c r="G136" s="27">
        <f>0</f>
        <v>0</v>
      </c>
      <c r="H136" s="62">
        <f t="shared" si="84"/>
        <v>17308.800000000003</v>
      </c>
      <c r="I136" s="62">
        <f t="shared" si="85"/>
        <v>432.72</v>
      </c>
      <c r="J136" s="62">
        <v>0</v>
      </c>
      <c r="K136" s="62">
        <f t="shared" si="86"/>
        <v>2884.8</v>
      </c>
      <c r="L136" s="36">
        <f t="shared" si="87"/>
        <v>20193.600000000002</v>
      </c>
      <c r="M136" s="62">
        <f t="shared" si="91"/>
        <v>5769.6</v>
      </c>
      <c r="N136" s="36">
        <f>25000+3000</f>
        <v>28000</v>
      </c>
      <c r="O136" s="62">
        <f t="shared" si="92"/>
        <v>576.96</v>
      </c>
      <c r="P136" s="62">
        <v>5000</v>
      </c>
      <c r="Q136" s="62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'[3]DECEMBER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00000000000001" customHeight="1">
      <c r="A137" s="33">
        <v>30</v>
      </c>
      <c r="B137" s="264" t="s">
        <v>294</v>
      </c>
      <c r="C137" s="264"/>
      <c r="D137" s="61" t="s">
        <v>296</v>
      </c>
      <c r="E137" s="66" t="s">
        <v>297</v>
      </c>
      <c r="F137" s="67">
        <f t="shared" si="93"/>
        <v>5769.6</v>
      </c>
      <c r="G137" s="33"/>
      <c r="H137" s="62">
        <f t="shared" si="84"/>
        <v>17308.800000000003</v>
      </c>
      <c r="I137" s="62">
        <f t="shared" si="85"/>
        <v>432.72</v>
      </c>
      <c r="J137" s="62">
        <v>0</v>
      </c>
      <c r="K137" s="62">
        <f t="shared" si="86"/>
        <v>2884.8</v>
      </c>
      <c r="L137" s="36">
        <f t="shared" si="87"/>
        <v>20193.600000000002</v>
      </c>
      <c r="M137" s="62">
        <f t="shared" si="91"/>
        <v>5769.6</v>
      </c>
      <c r="N137" s="36">
        <f>25000+7000</f>
        <v>32000</v>
      </c>
      <c r="O137" s="62">
        <f t="shared" si="92"/>
        <v>576.96</v>
      </c>
      <c r="P137" s="62">
        <v>5000</v>
      </c>
      <c r="Q137" s="62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00000000000001" customHeight="1">
      <c r="A138" s="33">
        <v>31</v>
      </c>
      <c r="B138" s="264" t="s">
        <v>295</v>
      </c>
      <c r="C138" s="264"/>
      <c r="D138" s="61" t="s">
        <v>312</v>
      </c>
      <c r="E138" s="66" t="s">
        <v>308</v>
      </c>
      <c r="F138" s="62">
        <f>5428.12</f>
        <v>5428.12</v>
      </c>
      <c r="G138" s="33"/>
      <c r="H138" s="62">
        <f t="shared" si="84"/>
        <v>16284.36</v>
      </c>
      <c r="I138" s="62">
        <f t="shared" si="85"/>
        <v>407.10899999999998</v>
      </c>
      <c r="J138" s="62">
        <v>0</v>
      </c>
      <c r="K138" s="62">
        <f t="shared" si="86"/>
        <v>2714.06</v>
      </c>
      <c r="L138" s="36">
        <f t="shared" si="87"/>
        <v>18998.419999999998</v>
      </c>
      <c r="M138" s="62">
        <f t="shared" si="91"/>
        <v>5428.12</v>
      </c>
      <c r="N138" s="36">
        <f t="shared" ref="N138:N156" si="94">25000+7000</f>
        <v>32000</v>
      </c>
      <c r="O138" s="62">
        <f t="shared" si="92"/>
        <v>542.81200000000001</v>
      </c>
      <c r="P138" s="62">
        <v>5000</v>
      </c>
      <c r="Q138" s="62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00000000000001" customHeight="1">
      <c r="A139" s="33">
        <v>32</v>
      </c>
      <c r="B139" s="264" t="s">
        <v>298</v>
      </c>
      <c r="C139" s="264"/>
      <c r="D139" s="61" t="s">
        <v>312</v>
      </c>
      <c r="E139" s="66" t="s">
        <v>308</v>
      </c>
      <c r="F139" s="62">
        <f t="shared" ref="F139:F144" si="95">5428.12</f>
        <v>5428.12</v>
      </c>
      <c r="G139" s="33"/>
      <c r="H139" s="62">
        <f t="shared" si="84"/>
        <v>16284.36</v>
      </c>
      <c r="I139" s="62">
        <f t="shared" si="85"/>
        <v>407.10899999999998</v>
      </c>
      <c r="J139" s="62">
        <v>0</v>
      </c>
      <c r="K139" s="62">
        <f t="shared" si="86"/>
        <v>2714.06</v>
      </c>
      <c r="L139" s="36">
        <f t="shared" si="87"/>
        <v>18998.419999999998</v>
      </c>
      <c r="M139" s="62">
        <f t="shared" si="91"/>
        <v>5428.12</v>
      </c>
      <c r="N139" s="36">
        <f>25000+4000</f>
        <v>29000</v>
      </c>
      <c r="O139" s="62">
        <f t="shared" si="92"/>
        <v>542.81200000000001</v>
      </c>
      <c r="P139" s="62">
        <v>5000</v>
      </c>
      <c r="Q139" s="62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00000000000001" customHeight="1">
      <c r="A140" s="33">
        <v>33</v>
      </c>
      <c r="B140" s="264" t="s">
        <v>299</v>
      </c>
      <c r="C140" s="264"/>
      <c r="D140" s="61" t="s">
        <v>312</v>
      </c>
      <c r="E140" s="66" t="s">
        <v>308</v>
      </c>
      <c r="F140" s="62">
        <f t="shared" si="95"/>
        <v>5428.12</v>
      </c>
      <c r="G140" s="33"/>
      <c r="H140" s="62">
        <f t="shared" si="84"/>
        <v>16284.36</v>
      </c>
      <c r="I140" s="62">
        <f t="shared" si="85"/>
        <v>407.10899999999998</v>
      </c>
      <c r="J140" s="62">
        <v>0</v>
      </c>
      <c r="K140" s="62">
        <f t="shared" si="86"/>
        <v>2714.06</v>
      </c>
      <c r="L140" s="36">
        <f t="shared" si="87"/>
        <v>18998.419999999998</v>
      </c>
      <c r="M140" s="62">
        <f t="shared" si="91"/>
        <v>5428.12</v>
      </c>
      <c r="N140" s="36">
        <f>25000+4000</f>
        <v>29000</v>
      </c>
      <c r="O140" s="62">
        <f t="shared" si="92"/>
        <v>542.81200000000001</v>
      </c>
      <c r="P140" s="62">
        <v>5000</v>
      </c>
      <c r="Q140" s="62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00000000000001" customHeight="1">
      <c r="A141" s="33">
        <v>34</v>
      </c>
      <c r="B141" s="33" t="s">
        <v>300</v>
      </c>
      <c r="C141" s="33"/>
      <c r="D141" s="61" t="s">
        <v>312</v>
      </c>
      <c r="E141" s="66" t="s">
        <v>308</v>
      </c>
      <c r="F141" s="62">
        <f t="shared" si="95"/>
        <v>5428.12</v>
      </c>
      <c r="G141" s="33"/>
      <c r="H141" s="62">
        <f t="shared" si="84"/>
        <v>16284.36</v>
      </c>
      <c r="I141" s="62">
        <f t="shared" si="85"/>
        <v>407.10899999999998</v>
      </c>
      <c r="J141" s="62">
        <v>0</v>
      </c>
      <c r="K141" s="62">
        <f t="shared" si="86"/>
        <v>2714.06</v>
      </c>
      <c r="L141" s="36">
        <f t="shared" si="87"/>
        <v>18998.419999999998</v>
      </c>
      <c r="M141" s="62">
        <f>F140*100%</f>
        <v>5428.12</v>
      </c>
      <c r="N141" s="36">
        <f t="shared" si="94"/>
        <v>32000</v>
      </c>
      <c r="O141" s="62">
        <f t="shared" si="92"/>
        <v>542.81200000000001</v>
      </c>
      <c r="P141" s="62">
        <v>5000</v>
      </c>
      <c r="Q141" s="62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00000000000001" customHeight="1">
      <c r="A142" s="33">
        <v>35</v>
      </c>
      <c r="B142" s="257" t="s">
        <v>301</v>
      </c>
      <c r="C142" s="258"/>
      <c r="D142" s="61" t="s">
        <v>312</v>
      </c>
      <c r="E142" s="66" t="s">
        <v>308</v>
      </c>
      <c r="F142" s="62">
        <f t="shared" si="95"/>
        <v>5428.12</v>
      </c>
      <c r="G142" s="33"/>
      <c r="H142" s="62">
        <f t="shared" si="84"/>
        <v>16284.36</v>
      </c>
      <c r="I142" s="62">
        <f t="shared" si="85"/>
        <v>407.10899999999998</v>
      </c>
      <c r="J142" s="62"/>
      <c r="K142" s="62">
        <f t="shared" si="86"/>
        <v>2714.06</v>
      </c>
      <c r="L142" s="36">
        <f t="shared" si="87"/>
        <v>18998.419999999998</v>
      </c>
      <c r="M142" s="62">
        <f t="shared" ref="M142:M157" si="96">F142*100%</f>
        <v>5428.12</v>
      </c>
      <c r="N142" s="36">
        <f>25000+4000</f>
        <v>29000</v>
      </c>
      <c r="O142" s="62">
        <f t="shared" si="92"/>
        <v>542.81200000000001</v>
      </c>
      <c r="P142" s="62">
        <v>5000</v>
      </c>
      <c r="Q142" s="62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00000000000001" customHeight="1">
      <c r="A143" s="33">
        <v>36</v>
      </c>
      <c r="B143" s="61" t="s">
        <v>302</v>
      </c>
      <c r="C143" s="33"/>
      <c r="D143" s="61" t="s">
        <v>312</v>
      </c>
      <c r="E143" s="66" t="s">
        <v>308</v>
      </c>
      <c r="F143" s="62">
        <f t="shared" si="95"/>
        <v>5428.12</v>
      </c>
      <c r="G143" s="33"/>
      <c r="H143" s="62">
        <f t="shared" si="84"/>
        <v>16284.36</v>
      </c>
      <c r="I143" s="62">
        <f t="shared" si="85"/>
        <v>407.10899999999998</v>
      </c>
      <c r="J143" s="62"/>
      <c r="K143" s="62">
        <f t="shared" si="86"/>
        <v>2714.06</v>
      </c>
      <c r="L143" s="36">
        <f t="shared" si="87"/>
        <v>18998.419999999998</v>
      </c>
      <c r="M143" s="62">
        <f t="shared" si="96"/>
        <v>5428.12</v>
      </c>
      <c r="N143" s="36">
        <f>25000+4000</f>
        <v>29000</v>
      </c>
      <c r="O143" s="62">
        <f t="shared" si="92"/>
        <v>542.81200000000001</v>
      </c>
      <c r="P143" s="62">
        <v>5000</v>
      </c>
      <c r="Q143" s="62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00000000000001" customHeight="1">
      <c r="A144" s="33">
        <v>37</v>
      </c>
      <c r="B144" s="61" t="s">
        <v>303</v>
      </c>
      <c r="C144" s="33"/>
      <c r="D144" s="61" t="s">
        <v>312</v>
      </c>
      <c r="E144" s="66" t="s">
        <v>308</v>
      </c>
      <c r="F144" s="62">
        <f t="shared" si="95"/>
        <v>5428.12</v>
      </c>
      <c r="G144" s="33"/>
      <c r="H144" s="62">
        <f t="shared" si="84"/>
        <v>16284.36</v>
      </c>
      <c r="I144" s="62">
        <f t="shared" si="85"/>
        <v>407.10899999999998</v>
      </c>
      <c r="J144" s="62"/>
      <c r="K144" s="62">
        <f t="shared" si="86"/>
        <v>2714.06</v>
      </c>
      <c r="L144" s="36">
        <f t="shared" si="87"/>
        <v>18998.419999999998</v>
      </c>
      <c r="M144" s="62">
        <f t="shared" si="96"/>
        <v>5428.12</v>
      </c>
      <c r="N144" s="36">
        <f t="shared" si="94"/>
        <v>32000</v>
      </c>
      <c r="O144" s="62">
        <f t="shared" si="92"/>
        <v>542.81200000000001</v>
      </c>
      <c r="P144" s="62">
        <v>5000</v>
      </c>
      <c r="Q144" s="62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00000000000001" customHeight="1">
      <c r="A145" s="33">
        <v>38</v>
      </c>
      <c r="B145" s="257" t="s">
        <v>304</v>
      </c>
      <c r="C145" s="258"/>
      <c r="D145" s="61" t="s">
        <v>312</v>
      </c>
      <c r="E145" s="66" t="s">
        <v>323</v>
      </c>
      <c r="F145" s="62">
        <f>4915.97</f>
        <v>4915.97</v>
      </c>
      <c r="G145" s="33"/>
      <c r="H145" s="62">
        <f t="shared" si="84"/>
        <v>14747.91</v>
      </c>
      <c r="I145" s="62">
        <f t="shared" si="85"/>
        <v>368.69774999999998</v>
      </c>
      <c r="J145" s="62"/>
      <c r="K145" s="62">
        <f t="shared" si="86"/>
        <v>2457.9850000000001</v>
      </c>
      <c r="L145" s="36">
        <f t="shared" si="87"/>
        <v>17205.895</v>
      </c>
      <c r="M145" s="62">
        <f t="shared" si="96"/>
        <v>4915.97</v>
      </c>
      <c r="N145" s="36">
        <f t="shared" si="94"/>
        <v>32000</v>
      </c>
      <c r="O145" s="62">
        <f t="shared" si="92"/>
        <v>491.59700000000004</v>
      </c>
      <c r="P145" s="62">
        <v>5000</v>
      </c>
      <c r="Q145" s="62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00000000000001" customHeight="1">
      <c r="A146" s="33">
        <v>39</v>
      </c>
      <c r="B146" s="257" t="s">
        <v>306</v>
      </c>
      <c r="C146" s="258"/>
      <c r="D146" s="61" t="s">
        <v>312</v>
      </c>
      <c r="E146" s="66" t="s">
        <v>323</v>
      </c>
      <c r="F146" s="62">
        <f>4915.97</f>
        <v>4915.97</v>
      </c>
      <c r="G146" s="33"/>
      <c r="H146" s="62">
        <f t="shared" si="84"/>
        <v>14747.91</v>
      </c>
      <c r="I146" s="62">
        <f t="shared" si="85"/>
        <v>368.69774999999998</v>
      </c>
      <c r="J146" s="62"/>
      <c r="K146" s="62">
        <f t="shared" si="86"/>
        <v>2457.9850000000001</v>
      </c>
      <c r="L146" s="36">
        <f t="shared" si="87"/>
        <v>17205.895</v>
      </c>
      <c r="M146" s="62">
        <f t="shared" si="96"/>
        <v>4915.97</v>
      </c>
      <c r="N146" s="36">
        <f t="shared" si="94"/>
        <v>32000</v>
      </c>
      <c r="O146" s="62">
        <f t="shared" si="92"/>
        <v>491.59700000000004</v>
      </c>
      <c r="P146" s="62">
        <v>5000</v>
      </c>
      <c r="Q146" s="62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00000000000001" customHeight="1">
      <c r="A147" s="33">
        <v>40</v>
      </c>
      <c r="B147" s="61" t="s">
        <v>307</v>
      </c>
      <c r="C147" s="33"/>
      <c r="D147" s="61" t="s">
        <v>312</v>
      </c>
      <c r="E147" s="66" t="s">
        <v>555</v>
      </c>
      <c r="F147" s="62">
        <f>4836.3</f>
        <v>4836.3</v>
      </c>
      <c r="G147" s="33"/>
      <c r="H147" s="62">
        <f t="shared" si="84"/>
        <v>14508.900000000001</v>
      </c>
      <c r="I147" s="62">
        <f t="shared" si="85"/>
        <v>362.72250000000003</v>
      </c>
      <c r="J147" s="62"/>
      <c r="K147" s="62">
        <f t="shared" si="86"/>
        <v>2418.15</v>
      </c>
      <c r="L147" s="36">
        <f t="shared" si="87"/>
        <v>16927.05</v>
      </c>
      <c r="M147" s="62">
        <f t="shared" si="96"/>
        <v>4836.3</v>
      </c>
      <c r="N147" s="36">
        <f t="shared" si="94"/>
        <v>32000</v>
      </c>
      <c r="O147" s="62">
        <f t="shared" si="92"/>
        <v>483.63000000000005</v>
      </c>
      <c r="P147" s="62">
        <v>5000</v>
      </c>
      <c r="Q147" s="62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00000000000001" customHeight="1">
      <c r="A148" s="33">
        <v>41</v>
      </c>
      <c r="B148" s="257" t="s">
        <v>309</v>
      </c>
      <c r="C148" s="258"/>
      <c r="D148" s="61" t="s">
        <v>312</v>
      </c>
      <c r="E148" s="66" t="s">
        <v>509</v>
      </c>
      <c r="F148" s="62">
        <f>4395.43</f>
        <v>4395.43</v>
      </c>
      <c r="G148" s="33"/>
      <c r="H148" s="62">
        <f t="shared" si="84"/>
        <v>13186.29</v>
      </c>
      <c r="I148" s="62">
        <f t="shared" si="85"/>
        <v>329.65725000000003</v>
      </c>
      <c r="J148" s="62"/>
      <c r="K148" s="62">
        <f t="shared" si="86"/>
        <v>2197.7150000000001</v>
      </c>
      <c r="L148" s="36">
        <f t="shared" si="87"/>
        <v>15384.005000000001</v>
      </c>
      <c r="M148" s="62">
        <f t="shared" si="96"/>
        <v>4395.43</v>
      </c>
      <c r="N148" s="36">
        <f t="shared" si="94"/>
        <v>32000</v>
      </c>
      <c r="O148" s="62">
        <f t="shared" si="92"/>
        <v>439.54300000000006</v>
      </c>
      <c r="P148" s="62">
        <v>5000</v>
      </c>
      <c r="Q148" s="62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00000000000001" customHeight="1">
      <c r="A149" s="33">
        <v>42</v>
      </c>
      <c r="B149" s="257" t="s">
        <v>311</v>
      </c>
      <c r="C149" s="258"/>
      <c r="D149" s="61" t="s">
        <v>312</v>
      </c>
      <c r="E149" s="66" t="s">
        <v>509</v>
      </c>
      <c r="F149" s="62">
        <f t="shared" ref="F149:F154" si="97">4395.43</f>
        <v>4395.43</v>
      </c>
      <c r="G149" s="33"/>
      <c r="H149" s="62">
        <f t="shared" si="84"/>
        <v>13186.29</v>
      </c>
      <c r="I149" s="62">
        <f t="shared" si="85"/>
        <v>329.65725000000003</v>
      </c>
      <c r="J149" s="62"/>
      <c r="K149" s="62">
        <f t="shared" si="86"/>
        <v>2197.7150000000001</v>
      </c>
      <c r="L149" s="36">
        <f t="shared" si="87"/>
        <v>15384.005000000001</v>
      </c>
      <c r="M149" s="62">
        <f t="shared" si="96"/>
        <v>4395.43</v>
      </c>
      <c r="N149" s="36">
        <f>25000+4000</f>
        <v>29000</v>
      </c>
      <c r="O149" s="62">
        <f t="shared" si="92"/>
        <v>439.54300000000006</v>
      </c>
      <c r="P149" s="62">
        <v>5000</v>
      </c>
      <c r="Q149" s="62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00000000000001" customHeight="1">
      <c r="A150" s="33">
        <v>43</v>
      </c>
      <c r="B150" s="257" t="s">
        <v>314</v>
      </c>
      <c r="C150" s="258"/>
      <c r="D150" s="61" t="s">
        <v>312</v>
      </c>
      <c r="E150" s="66" t="s">
        <v>509</v>
      </c>
      <c r="F150" s="62">
        <f t="shared" si="97"/>
        <v>4395.43</v>
      </c>
      <c r="G150" s="33"/>
      <c r="H150" s="62">
        <f t="shared" si="84"/>
        <v>13186.29</v>
      </c>
      <c r="I150" s="62">
        <f t="shared" si="85"/>
        <v>329.65725000000003</v>
      </c>
      <c r="J150" s="62"/>
      <c r="K150" s="62">
        <f t="shared" si="86"/>
        <v>2197.7150000000001</v>
      </c>
      <c r="L150" s="36">
        <f t="shared" si="87"/>
        <v>15384.005000000001</v>
      </c>
      <c r="M150" s="62">
        <f t="shared" si="96"/>
        <v>4395.43</v>
      </c>
      <c r="N150" s="36">
        <f>25000+4000</f>
        <v>29000</v>
      </c>
      <c r="O150" s="62">
        <f t="shared" si="92"/>
        <v>439.54300000000006</v>
      </c>
      <c r="P150" s="62">
        <v>5000</v>
      </c>
      <c r="Q150" s="62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00000000000001" customHeight="1">
      <c r="A151" s="33">
        <v>44</v>
      </c>
      <c r="B151" s="257" t="s">
        <v>315</v>
      </c>
      <c r="C151" s="258"/>
      <c r="D151" s="61" t="s">
        <v>312</v>
      </c>
      <c r="E151" s="66" t="s">
        <v>509</v>
      </c>
      <c r="F151" s="62">
        <f t="shared" si="97"/>
        <v>4395.43</v>
      </c>
      <c r="G151" s="27">
        <f>0</f>
        <v>0</v>
      </c>
      <c r="H151" s="62">
        <f t="shared" si="84"/>
        <v>13186.29</v>
      </c>
      <c r="I151" s="62">
        <f t="shared" si="85"/>
        <v>329.65725000000003</v>
      </c>
      <c r="J151" s="62"/>
      <c r="K151" s="62">
        <f t="shared" si="86"/>
        <v>2197.7150000000001</v>
      </c>
      <c r="L151" s="36">
        <f t="shared" si="87"/>
        <v>15384.005000000001</v>
      </c>
      <c r="M151" s="62">
        <f t="shared" si="96"/>
        <v>4395.43</v>
      </c>
      <c r="N151" s="36">
        <f t="shared" si="94"/>
        <v>32000</v>
      </c>
      <c r="O151" s="62">
        <f t="shared" si="92"/>
        <v>439.54300000000006</v>
      </c>
      <c r="P151" s="62">
        <v>5000</v>
      </c>
      <c r="Q151" s="62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00000000000001" customHeight="1">
      <c r="A152" s="33">
        <v>45</v>
      </c>
      <c r="B152" s="257" t="s">
        <v>316</v>
      </c>
      <c r="C152" s="258"/>
      <c r="D152" s="61" t="s">
        <v>312</v>
      </c>
      <c r="E152" s="66" t="s">
        <v>509</v>
      </c>
      <c r="F152" s="62">
        <f t="shared" si="97"/>
        <v>4395.43</v>
      </c>
      <c r="G152" s="33"/>
      <c r="H152" s="62">
        <f t="shared" si="84"/>
        <v>13186.29</v>
      </c>
      <c r="I152" s="62">
        <f t="shared" si="85"/>
        <v>329.65725000000003</v>
      </c>
      <c r="J152" s="62"/>
      <c r="K152" s="62">
        <f t="shared" si="86"/>
        <v>2197.7150000000001</v>
      </c>
      <c r="L152" s="36">
        <f t="shared" si="87"/>
        <v>15384.005000000001</v>
      </c>
      <c r="M152" s="62">
        <f t="shared" si="96"/>
        <v>4395.43</v>
      </c>
      <c r="N152" s="36">
        <f t="shared" si="94"/>
        <v>32000</v>
      </c>
      <c r="O152" s="62">
        <f t="shared" si="92"/>
        <v>439.54300000000006</v>
      </c>
      <c r="P152" s="62">
        <v>5000</v>
      </c>
      <c r="Q152" s="62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00000000000001" customHeight="1">
      <c r="A153" s="33">
        <v>46</v>
      </c>
      <c r="B153" s="257" t="s">
        <v>508</v>
      </c>
      <c r="C153" s="258"/>
      <c r="D153" s="61" t="s">
        <v>312</v>
      </c>
      <c r="E153" s="66" t="s">
        <v>509</v>
      </c>
      <c r="F153" s="62">
        <f t="shared" si="97"/>
        <v>4395.43</v>
      </c>
      <c r="G153" s="33"/>
      <c r="H153" s="62">
        <f t="shared" si="84"/>
        <v>13186.29</v>
      </c>
      <c r="I153" s="62">
        <f t="shared" si="85"/>
        <v>329.65725000000003</v>
      </c>
      <c r="J153" s="62"/>
      <c r="K153" s="62">
        <f t="shared" si="86"/>
        <v>2197.7150000000001</v>
      </c>
      <c r="L153" s="36">
        <f t="shared" si="87"/>
        <v>15384.005000000001</v>
      </c>
      <c r="M153" s="62">
        <f t="shared" si="96"/>
        <v>4395.43</v>
      </c>
      <c r="N153" s="36">
        <f t="shared" si="94"/>
        <v>32000</v>
      </c>
      <c r="O153" s="62">
        <f t="shared" si="92"/>
        <v>439.54300000000006</v>
      </c>
      <c r="P153" s="62">
        <v>5000</v>
      </c>
      <c r="Q153" s="62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00000000000001" customHeight="1">
      <c r="A154" s="33">
        <v>47</v>
      </c>
      <c r="B154" s="257" t="s">
        <v>317</v>
      </c>
      <c r="C154" s="258"/>
      <c r="D154" s="61" t="s">
        <v>312</v>
      </c>
      <c r="E154" s="66" t="s">
        <v>509</v>
      </c>
      <c r="F154" s="62">
        <f t="shared" si="97"/>
        <v>4395.43</v>
      </c>
      <c r="G154" s="33"/>
      <c r="H154" s="62">
        <f t="shared" si="84"/>
        <v>13186.29</v>
      </c>
      <c r="I154" s="62">
        <f t="shared" si="85"/>
        <v>329.65725000000003</v>
      </c>
      <c r="J154" s="62"/>
      <c r="K154" s="62">
        <f t="shared" si="86"/>
        <v>2197.7150000000001</v>
      </c>
      <c r="L154" s="36">
        <f t="shared" si="87"/>
        <v>15384.005000000001</v>
      </c>
      <c r="M154" s="62">
        <f t="shared" si="96"/>
        <v>4395.43</v>
      </c>
      <c r="N154" s="36">
        <f t="shared" si="94"/>
        <v>32000</v>
      </c>
      <c r="O154" s="62">
        <f t="shared" si="92"/>
        <v>439.54300000000006</v>
      </c>
      <c r="P154" s="62">
        <v>5000</v>
      </c>
      <c r="Q154" s="62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00000000000001" customHeight="1">
      <c r="A155" s="33">
        <v>48</v>
      </c>
      <c r="B155" s="259" t="s">
        <v>318</v>
      </c>
      <c r="C155" s="260"/>
      <c r="D155" s="61" t="s">
        <v>312</v>
      </c>
      <c r="E155" s="66" t="s">
        <v>325</v>
      </c>
      <c r="F155" s="62">
        <f>4248.51</f>
        <v>4248.51</v>
      </c>
      <c r="G155" s="33"/>
      <c r="H155" s="62">
        <f t="shared" si="84"/>
        <v>12745.53</v>
      </c>
      <c r="I155" s="62">
        <f t="shared" si="85"/>
        <v>318.63825000000003</v>
      </c>
      <c r="J155" s="62"/>
      <c r="K155" s="62">
        <f t="shared" si="86"/>
        <v>2124.2550000000001</v>
      </c>
      <c r="L155" s="36">
        <f t="shared" si="87"/>
        <v>14869.785</v>
      </c>
      <c r="M155" s="62">
        <f t="shared" si="96"/>
        <v>4248.51</v>
      </c>
      <c r="N155" s="36">
        <f t="shared" si="94"/>
        <v>32000</v>
      </c>
      <c r="O155" s="62">
        <f t="shared" si="92"/>
        <v>424.85100000000006</v>
      </c>
      <c r="P155" s="62">
        <v>5000</v>
      </c>
      <c r="Q155" s="62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00000000000001" customHeight="1">
      <c r="A156" s="33">
        <v>49</v>
      </c>
      <c r="B156" s="261" t="s">
        <v>320</v>
      </c>
      <c r="C156" s="262"/>
      <c r="D156" s="61" t="s">
        <v>312</v>
      </c>
      <c r="E156" s="66" t="s">
        <v>325</v>
      </c>
      <c r="F156" s="62">
        <f>4248.51</f>
        <v>4248.51</v>
      </c>
      <c r="G156" s="33"/>
      <c r="H156" s="62">
        <f t="shared" si="84"/>
        <v>12745.53</v>
      </c>
      <c r="I156" s="62">
        <f t="shared" si="85"/>
        <v>318.63825000000003</v>
      </c>
      <c r="J156" s="62"/>
      <c r="K156" s="62">
        <f t="shared" si="86"/>
        <v>2124.2550000000001</v>
      </c>
      <c r="L156" s="36">
        <f t="shared" si="87"/>
        <v>14869.785</v>
      </c>
      <c r="M156" s="62">
        <f t="shared" si="96"/>
        <v>4248.51</v>
      </c>
      <c r="N156" s="36">
        <f t="shared" si="94"/>
        <v>32000</v>
      </c>
      <c r="O156" s="62">
        <f t="shared" si="92"/>
        <v>424.85100000000006</v>
      </c>
      <c r="P156" s="62">
        <v>5000</v>
      </c>
      <c r="Q156" s="62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00000000000001" customHeight="1">
      <c r="A157" s="33">
        <v>50</v>
      </c>
      <c r="B157" s="102" t="s">
        <v>321</v>
      </c>
      <c r="C157" s="90"/>
      <c r="D157" s="61" t="s">
        <v>312</v>
      </c>
      <c r="E157" s="66" t="s">
        <v>325</v>
      </c>
      <c r="F157" s="62">
        <f>4101.58</f>
        <v>4101.58</v>
      </c>
      <c r="G157" s="27">
        <f>0</f>
        <v>0</v>
      </c>
      <c r="H157" s="62">
        <f t="shared" si="84"/>
        <v>12304.74</v>
      </c>
      <c r="I157" s="62">
        <f t="shared" si="85"/>
        <v>307.61849999999998</v>
      </c>
      <c r="J157" s="62"/>
      <c r="K157" s="62">
        <f t="shared" si="86"/>
        <v>2050.79</v>
      </c>
      <c r="L157" s="36">
        <f t="shared" si="87"/>
        <v>14355.529999999999</v>
      </c>
      <c r="M157" s="62">
        <f t="shared" si="96"/>
        <v>4101.58</v>
      </c>
      <c r="N157" s="36">
        <f>25000+4000</f>
        <v>29000</v>
      </c>
      <c r="O157" s="62">
        <f t="shared" si="92"/>
        <v>410.15800000000002</v>
      </c>
      <c r="P157" s="62">
        <v>5000</v>
      </c>
      <c r="Q157" s="62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00000000000001" customHeight="1">
      <c r="A158" s="33"/>
      <c r="B158" s="48" t="s">
        <v>34</v>
      </c>
      <c r="D158" s="49" t="s">
        <v>511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00000000000001" customHeight="1">
      <c r="A159" s="33"/>
      <c r="B159" s="263" t="s">
        <v>328</v>
      </c>
      <c r="C159" s="263"/>
      <c r="D159" s="101"/>
      <c r="E159" s="40"/>
      <c r="F159" s="41">
        <f t="shared" ref="F159:R159" si="99">F28+F33+F47+F51+F58+F65+F77+F84+F91+F105+F158</f>
        <v>2926420.93</v>
      </c>
      <c r="G159" s="41">
        <f t="shared" si="99"/>
        <v>0</v>
      </c>
      <c r="H159" s="41">
        <f t="shared" si="99"/>
        <v>8618774.040000001</v>
      </c>
      <c r="I159" s="41">
        <f t="shared" si="99"/>
        <v>255591.54349999991</v>
      </c>
      <c r="J159" s="41">
        <f t="shared" si="99"/>
        <v>1484521.0300000003</v>
      </c>
      <c r="K159" s="41">
        <f t="shared" si="99"/>
        <v>1455186.03</v>
      </c>
      <c r="L159" s="41">
        <f t="shared" si="99"/>
        <v>9680762.629999999</v>
      </c>
      <c r="M159" s="41">
        <f t="shared" si="99"/>
        <v>2886298.75</v>
      </c>
      <c r="N159" s="41">
        <f t="shared" si="99"/>
        <v>11927000</v>
      </c>
      <c r="O159" s="41">
        <f t="shared" si="99"/>
        <v>292642.098</v>
      </c>
      <c r="P159" s="41">
        <f t="shared" si="99"/>
        <v>1470000</v>
      </c>
      <c r="Q159" s="41">
        <f t="shared" si="99"/>
        <v>1055235</v>
      </c>
      <c r="R159" s="41">
        <f t="shared" si="99"/>
        <v>42052432.0515</v>
      </c>
      <c r="S159" s="41">
        <v>43425708.365500003</v>
      </c>
      <c r="T159" s="41">
        <f>T158+T105+T91+T84+T77+T65+T58+T47+T51+T33+T28</f>
        <v>1787089.5090000005</v>
      </c>
      <c r="U159" s="41">
        <f>U28+U33+U47+U51+U58+U65+U77+U84+U91+U105+U158</f>
        <v>3479500</v>
      </c>
      <c r="V159" s="41">
        <f>V28+V33+V47+V51+V58+V65+V77+V84+V91+V105+V158</f>
        <v>6737357.169999999</v>
      </c>
      <c r="W159" s="41">
        <f>W28+W33+W47+W51+W58+W65+W77+W84+W91+W105+W158</f>
        <v>26538.076000000001</v>
      </c>
      <c r="X159" s="41">
        <f>X28+X33+X47+X51+X58+X65+X77+X84+X91+X105+X158</f>
        <v>1200224.5900000001</v>
      </c>
      <c r="Y159" s="41">
        <f>Y28+Y33+Y47+Y51+Y58+Y65+Y77+Y84+Y91+Y105+Y158</f>
        <v>15670225.173500003</v>
      </c>
      <c r="Z159" s="41">
        <v>31457193.518750004</v>
      </c>
      <c r="AA159" s="41">
        <f>AA28+AA33+AA47+AA51+AA58+AA65+AA77+AA84+AA91+AA105+AA158</f>
        <v>30608812.215500005</v>
      </c>
      <c r="AB159" s="36"/>
    </row>
    <row r="160" spans="1:28" ht="20.100000000000001" customHeight="1">
      <c r="A160" s="33"/>
      <c r="B160" s="256"/>
      <c r="C160" s="256"/>
      <c r="D160" s="46"/>
      <c r="E160" s="70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36"/>
    </row>
    <row r="161" spans="1:28" ht="20.100000000000001" customHeight="1">
      <c r="A161" s="33"/>
      <c r="B161" s="256"/>
      <c r="C161" s="256"/>
      <c r="D161" s="242" t="s">
        <v>329</v>
      </c>
      <c r="E161" s="242"/>
      <c r="F161" s="242"/>
      <c r="G161" s="242"/>
      <c r="H161" s="242"/>
      <c r="I161" s="242"/>
      <c r="J161" s="242"/>
      <c r="K161" s="241" t="s">
        <v>330</v>
      </c>
      <c r="L161" s="241"/>
      <c r="M161" s="241"/>
      <c r="N161" s="40"/>
      <c r="O161" s="241" t="s">
        <v>331</v>
      </c>
      <c r="P161" s="241"/>
      <c r="Q161" s="241"/>
      <c r="R161" s="241"/>
      <c r="S161" s="40"/>
      <c r="T161" s="40"/>
      <c r="U161" s="40"/>
      <c r="V161" s="40"/>
      <c r="W161" s="40"/>
      <c r="X161" s="71"/>
      <c r="Y161" s="71"/>
      <c r="Z161" s="71"/>
      <c r="AA161" s="71"/>
      <c r="AB161" s="36"/>
    </row>
    <row r="162" spans="1:28" ht="20.100000000000001" customHeight="1">
      <c r="A162" s="3"/>
      <c r="B162" s="256"/>
      <c r="C162" s="256"/>
      <c r="D162" s="242"/>
      <c r="E162" s="242"/>
      <c r="F162" s="242"/>
      <c r="G162" s="242"/>
      <c r="H162" s="242"/>
      <c r="I162" s="242"/>
      <c r="J162" s="242"/>
      <c r="K162" s="241"/>
      <c r="L162" s="241"/>
      <c r="M162" s="241"/>
      <c r="N162" s="40"/>
      <c r="O162" s="241"/>
      <c r="P162" s="241"/>
      <c r="Q162" s="241"/>
      <c r="R162" s="241"/>
      <c r="S162" s="40"/>
      <c r="T162" s="40"/>
      <c r="U162" s="40"/>
      <c r="V162" s="40"/>
      <c r="W162" s="40"/>
      <c r="X162" s="71"/>
      <c r="Y162" s="71"/>
      <c r="Z162" s="71"/>
      <c r="AA162" s="71"/>
      <c r="AB162" s="36"/>
    </row>
    <row r="163" spans="1:28" ht="20.100000000000001" customHeight="1">
      <c r="A163" s="33"/>
      <c r="AB163" s="36"/>
    </row>
    <row r="164" spans="1:28" ht="20.100000000000001" customHeight="1">
      <c r="A164" s="33"/>
      <c r="AA164" s="34"/>
      <c r="AB164" s="36"/>
    </row>
    <row r="165" spans="1:28" ht="20.100000000000001" customHeight="1">
      <c r="A165" s="33"/>
      <c r="AB165" s="36"/>
    </row>
    <row r="166" spans="1:28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00000000000001" customHeight="1">
      <c r="AB176" s="36"/>
    </row>
    <row r="177" spans="28:28" ht="20.100000000000001" customHeight="1">
      <c r="AB177" s="36"/>
    </row>
    <row r="178" spans="28:28" ht="20.100000000000001" customHeight="1">
      <c r="AB178" s="36"/>
    </row>
    <row r="179" spans="28:28" ht="20.100000000000001" customHeight="1">
      <c r="AB179" s="36"/>
    </row>
    <row r="180" spans="28:28" ht="20.100000000000001" customHeight="1">
      <c r="AB180" s="36"/>
    </row>
    <row r="181" spans="28:28" ht="20.100000000000001" customHeight="1">
      <c r="AB181" s="36"/>
    </row>
    <row r="182" spans="28:28" ht="20.100000000000001" customHeight="1">
      <c r="AB182" s="36"/>
    </row>
    <row r="183" spans="28:28" ht="20.100000000000001" customHeight="1">
      <c r="AB183" s="36"/>
    </row>
    <row r="184" spans="28:28" ht="20.100000000000001" customHeight="1">
      <c r="AB184" s="36"/>
    </row>
    <row r="185" spans="28:28" ht="20.100000000000001" customHeight="1">
      <c r="AB185" s="36"/>
    </row>
    <row r="186" spans="28:28" ht="20.100000000000001" customHeight="1">
      <c r="AB186" s="36"/>
    </row>
    <row r="187" spans="28:28" ht="20.100000000000001" customHeight="1">
      <c r="AB187" s="36"/>
    </row>
    <row r="188" spans="28:28" ht="20.100000000000001" customHeight="1">
      <c r="AB188" s="36"/>
    </row>
    <row r="189" spans="28:28" ht="20.100000000000001" customHeight="1">
      <c r="AB189" s="36"/>
    </row>
    <row r="190" spans="28:28" ht="20.100000000000001" customHeight="1">
      <c r="AB190" s="36"/>
    </row>
    <row r="191" spans="28:28" ht="20.100000000000001" customHeight="1">
      <c r="AB191" s="36"/>
    </row>
    <row r="192" spans="28:28" ht="20.100000000000001" customHeight="1">
      <c r="AB192" s="36"/>
    </row>
    <row r="193" spans="28:28" ht="20.100000000000001" customHeight="1">
      <c r="AB193" s="36"/>
    </row>
    <row r="194" spans="28:28" ht="20.100000000000001" customHeight="1">
      <c r="AB194" s="36"/>
    </row>
    <row r="195" spans="28:28" ht="20.100000000000001" customHeight="1">
      <c r="AB195" s="36"/>
    </row>
    <row r="196" spans="28:28" ht="20.100000000000001" customHeight="1">
      <c r="AB196" s="36"/>
    </row>
    <row r="197" spans="28:28" ht="20.100000000000001" customHeight="1">
      <c r="AB197" s="36"/>
    </row>
    <row r="198" spans="28:28" ht="20.100000000000001" customHeight="1">
      <c r="AB198" s="36"/>
    </row>
    <row r="199" spans="28:28" ht="20.100000000000001" customHeight="1">
      <c r="AB199" s="36"/>
    </row>
    <row r="200" spans="28:28" ht="20.100000000000001" customHeight="1">
      <c r="AB200" s="36"/>
    </row>
    <row r="201" spans="28:28" ht="20.100000000000001" customHeight="1">
      <c r="AB201" s="36"/>
    </row>
    <row r="202" spans="28:28" ht="20.100000000000001" customHeight="1">
      <c r="AB202" s="36"/>
    </row>
    <row r="203" spans="28:28" ht="20.100000000000001" customHeight="1">
      <c r="AB203" s="36"/>
    </row>
    <row r="204" spans="28:28" ht="20.100000000000001" customHeight="1">
      <c r="AB204" s="36"/>
    </row>
    <row r="205" spans="28:28" ht="20.100000000000001" customHeight="1">
      <c r="AB205" s="36"/>
    </row>
    <row r="206" spans="28:28" ht="20.100000000000001" customHeight="1">
      <c r="AB206" s="36"/>
    </row>
    <row r="207" spans="28:28" ht="20.100000000000001" customHeight="1">
      <c r="AB207" s="36"/>
    </row>
    <row r="208" spans="28:28" ht="20.100000000000001" customHeight="1">
      <c r="AB208" s="36"/>
    </row>
    <row r="209" spans="28:28" ht="20.100000000000001" customHeight="1">
      <c r="AB209" s="36"/>
    </row>
    <row r="210" spans="28:28" ht="20.100000000000001" customHeight="1">
      <c r="AB210" s="36"/>
    </row>
    <row r="211" spans="28:28" ht="20.100000000000001" customHeight="1">
      <c r="AB211" s="36"/>
    </row>
    <row r="212" spans="28:28" ht="20.100000000000001" customHeight="1">
      <c r="AB212" s="36"/>
    </row>
    <row r="213" spans="28:28" ht="20.100000000000001" customHeight="1">
      <c r="AB213" s="36"/>
    </row>
    <row r="214" spans="28:28" ht="20.100000000000001" customHeight="1">
      <c r="AB214" s="36"/>
    </row>
    <row r="215" spans="28:28" ht="20.100000000000001" customHeight="1">
      <c r="AB215" s="36"/>
    </row>
    <row r="216" spans="28:28" ht="20.100000000000001" customHeight="1">
      <c r="AB216" s="36"/>
    </row>
    <row r="217" spans="28:28" ht="20.100000000000001" customHeight="1">
      <c r="AB217" s="36"/>
    </row>
    <row r="218" spans="28:28" ht="20.100000000000001" customHeight="1">
      <c r="AB218" s="36"/>
    </row>
    <row r="219" spans="28:28" ht="20.100000000000001" customHeight="1">
      <c r="AB219" s="36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I1" s="1" t="s">
        <v>0</v>
      </c>
    </row>
    <row r="2" spans="1:36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36" ht="20.100000000000001" customHeight="1">
      <c r="B3" s="240" t="s">
        <v>532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6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6" ht="20.100000000000001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239" t="s">
        <v>3</v>
      </c>
      <c r="X5" s="239"/>
      <c r="Y5" s="239"/>
      <c r="Z5" s="239"/>
      <c r="AA5" s="239"/>
      <c r="AB5" s="56"/>
      <c r="AC5" s="56" t="s">
        <v>4</v>
      </c>
    </row>
    <row r="6" spans="1:36" ht="54" customHeight="1">
      <c r="A6" s="33"/>
      <c r="B6" s="285"/>
      <c r="C6" s="285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556</v>
      </c>
      <c r="S6" s="59" t="s">
        <v>557</v>
      </c>
      <c r="T6" s="59" t="s">
        <v>558</v>
      </c>
      <c r="U6" s="59" t="s">
        <v>559</v>
      </c>
      <c r="V6" s="59" t="s">
        <v>560</v>
      </c>
      <c r="W6" s="2"/>
      <c r="X6" s="2"/>
      <c r="Y6" s="2"/>
      <c r="Z6" s="7"/>
      <c r="AA6" s="7"/>
      <c r="AB6" s="7" t="s">
        <v>536</v>
      </c>
      <c r="AC6" s="7" t="s">
        <v>537</v>
      </c>
    </row>
    <row r="7" spans="1:36" ht="55.9" customHeight="1">
      <c r="A7" s="33"/>
      <c r="B7" s="286"/>
      <c r="C7" s="286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 t="s">
        <v>18</v>
      </c>
      <c r="U7" s="2"/>
      <c r="V7" s="2" t="s">
        <v>18</v>
      </c>
      <c r="W7" s="59" t="s">
        <v>30</v>
      </c>
      <c r="X7" s="59" t="s">
        <v>31</v>
      </c>
      <c r="Y7" s="59" t="s">
        <v>32</v>
      </c>
      <c r="Z7" s="2" t="s">
        <v>33</v>
      </c>
      <c r="AA7" s="2" t="s">
        <v>34</v>
      </c>
      <c r="AB7" s="2"/>
      <c r="AC7" s="2"/>
    </row>
    <row r="8" spans="1:36" ht="20.100000000000001" customHeight="1">
      <c r="A8" s="21" t="s">
        <v>35</v>
      </c>
      <c r="B8" s="287" t="s">
        <v>36</v>
      </c>
      <c r="C8" s="287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 t="s">
        <v>37</v>
      </c>
      <c r="U8" s="60"/>
      <c r="V8" s="60" t="s">
        <v>37</v>
      </c>
      <c r="W8" s="60"/>
      <c r="X8" s="60"/>
      <c r="Y8" s="60"/>
      <c r="Z8" s="60" t="s">
        <v>37</v>
      </c>
      <c r="AA8" s="60"/>
      <c r="AB8" s="60"/>
      <c r="AC8" s="60"/>
    </row>
    <row r="9" spans="1:36" ht="18.75" customHeight="1">
      <c r="A9" s="3">
        <v>1</v>
      </c>
      <c r="B9" s="264" t="s">
        <v>96</v>
      </c>
      <c r="C9" s="264"/>
      <c r="D9" s="33" t="s">
        <v>100</v>
      </c>
      <c r="E9" s="66" t="s">
        <v>539</v>
      </c>
      <c r="F9" s="62">
        <f>19774.62</f>
        <v>19774.62</v>
      </c>
      <c r="G9" s="62"/>
      <c r="H9" s="62">
        <f>F9*300%</f>
        <v>59323.86</v>
      </c>
      <c r="I9" s="62">
        <f>F9*7.5%</f>
        <v>1483.0964999999999</v>
      </c>
      <c r="J9" s="62">
        <v>0</v>
      </c>
      <c r="K9" s="62">
        <f>F9*50%</f>
        <v>9887.31</v>
      </c>
      <c r="L9" s="36">
        <f>F9*350%</f>
        <v>69211.17</v>
      </c>
      <c r="M9" s="62">
        <f>F9*100%</f>
        <v>19774.62</v>
      </c>
      <c r="N9" s="64">
        <f t="shared" ref="N9" si="0">100000</f>
        <v>100000</v>
      </c>
      <c r="O9" s="62">
        <f>F9*10%</f>
        <v>1977.462</v>
      </c>
      <c r="P9" s="62">
        <v>10000</v>
      </c>
      <c r="Q9" s="62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'[3]DECEMBER 2019'!$H$43</f>
        <v>494.3655</v>
      </c>
      <c r="Z9" s="62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5">
        <f>AI9*12</f>
        <v>52083</v>
      </c>
    </row>
    <row r="10" spans="1:36" ht="18.75" customHeight="1">
      <c r="A10" s="3"/>
      <c r="B10" s="267" t="s">
        <v>34</v>
      </c>
      <c r="C10" s="267"/>
      <c r="D10" s="7">
        <v>19</v>
      </c>
      <c r="E10" s="66"/>
      <c r="F10" s="68">
        <f t="shared" ref="F10:R10" si="1">SUM(F9:F9)</f>
        <v>19774.62</v>
      </c>
      <c r="G10" s="68">
        <f t="shared" si="1"/>
        <v>0</v>
      </c>
      <c r="H10" s="68">
        <f t="shared" si="1"/>
        <v>59323.86</v>
      </c>
      <c r="I10" s="68">
        <f t="shared" si="1"/>
        <v>1483.0964999999999</v>
      </c>
      <c r="J10" s="68">
        <f t="shared" si="1"/>
        <v>0</v>
      </c>
      <c r="K10" s="68">
        <f t="shared" si="1"/>
        <v>9887.31</v>
      </c>
      <c r="L10" s="68">
        <f t="shared" si="1"/>
        <v>69211.17</v>
      </c>
      <c r="M10" s="68">
        <f t="shared" si="1"/>
        <v>19774.62</v>
      </c>
      <c r="N10" s="68">
        <f t="shared" si="1"/>
        <v>100000</v>
      </c>
      <c r="O10" s="68">
        <f t="shared" si="1"/>
        <v>1977.462</v>
      </c>
      <c r="P10" s="68">
        <f t="shared" si="1"/>
        <v>10000</v>
      </c>
      <c r="Q10" s="68">
        <f t="shared" si="1"/>
        <v>0</v>
      </c>
      <c r="R10" s="68">
        <f t="shared" si="1"/>
        <v>191432</v>
      </c>
      <c r="S10" s="68"/>
      <c r="T10" s="68"/>
      <c r="U10" s="68"/>
      <c r="V10" s="68">
        <f>SUM(V9)</f>
        <v>423372</v>
      </c>
      <c r="W10" s="68">
        <f>SUM(W9:W9)</f>
        <v>10000</v>
      </c>
      <c r="X10" s="68">
        <f>SUM(X9:X9)</f>
        <v>0</v>
      </c>
      <c r="Y10" s="68">
        <f>SUM(Y9:Y9)</f>
        <v>494.3655</v>
      </c>
      <c r="Z10" s="68">
        <f>SUM(Z9:Z9)</f>
        <v>3369.51</v>
      </c>
      <c r="AA10" s="68">
        <f>SUM(AA9:AA9)</f>
        <v>13863.8755</v>
      </c>
      <c r="AB10" s="68">
        <v>6022279.3780000014</v>
      </c>
      <c r="AC10" s="68">
        <f>SUM(AC9:AC9)</f>
        <v>177568.12450000001</v>
      </c>
    </row>
    <row r="11" spans="1:36" ht="20.100000000000001" customHeight="1">
      <c r="A11" s="3"/>
      <c r="B11" s="283" t="s">
        <v>121</v>
      </c>
      <c r="C11" s="284"/>
      <c r="D11" s="50"/>
      <c r="E11" s="2"/>
      <c r="F11" s="68"/>
      <c r="G11" s="68"/>
      <c r="H11" s="6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00000000000001" customHeight="1">
      <c r="A12" s="3">
        <v>1</v>
      </c>
      <c r="B12" s="257" t="s">
        <v>133</v>
      </c>
      <c r="C12" s="258"/>
      <c r="D12" s="33" t="s">
        <v>140</v>
      </c>
      <c r="E12" s="3" t="s">
        <v>98</v>
      </c>
      <c r="F12" s="62">
        <f>24741.26</f>
        <v>24741.26</v>
      </c>
      <c r="G12" s="62"/>
      <c r="H12" s="62">
        <f t="shared" ref="H12:H13" si="2">F12*300%</f>
        <v>74223.78</v>
      </c>
      <c r="I12" s="62">
        <f t="shared" ref="I12:I13" si="3">F12*7.5%</f>
        <v>1855.5944999999997</v>
      </c>
      <c r="J12" s="62"/>
      <c r="K12" s="62">
        <f t="shared" ref="K12:K13" si="4">F12*50%</f>
        <v>12370.63</v>
      </c>
      <c r="L12" s="62">
        <f t="shared" ref="L12:L13" si="5">F12*350%</f>
        <v>86594.409999999989</v>
      </c>
      <c r="M12" s="62">
        <f t="shared" ref="M12:M13" si="6">F12*100%</f>
        <v>24741.26</v>
      </c>
      <c r="N12" s="62">
        <f t="shared" ref="N12:N13" si="7">150000</f>
        <v>150000</v>
      </c>
      <c r="O12" s="62">
        <f t="shared" ref="O12:O13" si="8">F12*10%</f>
        <v>2474.1260000000002</v>
      </c>
      <c r="P12" s="62">
        <v>15000</v>
      </c>
      <c r="Q12" s="62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62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2">
        <f>7709.76</f>
        <v>7709.76</v>
      </c>
      <c r="AH12" s="42">
        <f>7709.76</f>
        <v>7709.76</v>
      </c>
      <c r="AI12" s="42">
        <f>AH12-AG12</f>
        <v>0</v>
      </c>
      <c r="AJ12" s="42"/>
    </row>
    <row r="13" spans="1:36" ht="20.100000000000001" customHeight="1">
      <c r="A13" s="3">
        <v>2</v>
      </c>
      <c r="B13" s="269" t="s">
        <v>139</v>
      </c>
      <c r="C13" s="270"/>
      <c r="D13" s="20" t="s">
        <v>142</v>
      </c>
      <c r="E13" s="29" t="s">
        <v>103</v>
      </c>
      <c r="F13" s="26">
        <f>18281.64</f>
        <v>18281.64</v>
      </c>
      <c r="G13" s="62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62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'[3]DECEMBER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2"/>
      <c r="AH13" s="42"/>
      <c r="AI13" s="42"/>
      <c r="AJ13" s="42"/>
    </row>
    <row r="14" spans="1:36" ht="20.100000000000001" customHeight="1">
      <c r="A14" s="3"/>
      <c r="B14" s="273" t="s">
        <v>34</v>
      </c>
      <c r="C14" s="274"/>
      <c r="D14" s="30">
        <v>11</v>
      </c>
      <c r="E14" s="30"/>
      <c r="F14" s="92">
        <f>SUM(F12:F13)</f>
        <v>43022.899999999994</v>
      </c>
      <c r="G14" s="92"/>
      <c r="H14" s="92">
        <f t="shared" ref="H14:R14" si="11">SUM(H12:H13)</f>
        <v>129068.7</v>
      </c>
      <c r="I14" s="92">
        <f t="shared" si="11"/>
        <v>3226.7174999999997</v>
      </c>
      <c r="J14" s="92">
        <f t="shared" si="11"/>
        <v>0</v>
      </c>
      <c r="K14" s="92">
        <f t="shared" si="11"/>
        <v>21511.449999999997</v>
      </c>
      <c r="L14" s="92">
        <f t="shared" si="11"/>
        <v>150580.15</v>
      </c>
      <c r="M14" s="92">
        <f t="shared" si="11"/>
        <v>43022.899999999994</v>
      </c>
      <c r="N14" s="92">
        <f t="shared" si="11"/>
        <v>300000</v>
      </c>
      <c r="O14" s="92">
        <f t="shared" si="11"/>
        <v>4302.29</v>
      </c>
      <c r="P14" s="92">
        <f t="shared" si="11"/>
        <v>25000</v>
      </c>
      <c r="Q14" s="92">
        <f t="shared" si="11"/>
        <v>0</v>
      </c>
      <c r="R14" s="92">
        <f t="shared" si="11"/>
        <v>419735</v>
      </c>
      <c r="S14" s="92"/>
      <c r="T14" s="92"/>
      <c r="U14" s="92"/>
      <c r="V14" s="92">
        <f t="shared" ref="V14:AA14" si="12">SUM(V12:V13)</f>
        <v>259199</v>
      </c>
      <c r="W14" s="92">
        <f t="shared" si="12"/>
        <v>75000</v>
      </c>
      <c r="X14" s="92">
        <f t="shared" si="12"/>
        <v>106666.67</v>
      </c>
      <c r="Y14" s="92">
        <f t="shared" si="12"/>
        <v>457.041</v>
      </c>
      <c r="Z14" s="92">
        <f t="shared" si="12"/>
        <v>11079.27</v>
      </c>
      <c r="AA14" s="92">
        <f t="shared" si="12"/>
        <v>193202.981</v>
      </c>
      <c r="AB14" s="92">
        <v>3902139.3202500008</v>
      </c>
      <c r="AC14" s="92">
        <f>R14-AA14</f>
        <v>226532.019</v>
      </c>
      <c r="AD14" s="34"/>
      <c r="AG14" s="42">
        <f>3369.51</f>
        <v>3369.51</v>
      </c>
      <c r="AH14" s="42">
        <f>7709.76</f>
        <v>7709.76</v>
      </c>
      <c r="AI14" s="42">
        <f>AH14-AG14</f>
        <v>4340.25</v>
      </c>
      <c r="AJ14" s="115">
        <f>AI14*5</f>
        <v>21701.25</v>
      </c>
    </row>
    <row r="15" spans="1:36" ht="20.100000000000001" customHeight="1">
      <c r="A15" s="3"/>
      <c r="B15" s="105"/>
      <c r="C15" s="105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00000000000001" customHeight="1">
      <c r="A16" s="3"/>
      <c r="B16" s="273" t="s">
        <v>467</v>
      </c>
      <c r="C16" s="274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00000000000001" customHeight="1">
      <c r="A17" s="3">
        <v>1</v>
      </c>
      <c r="B17" s="271" t="s">
        <v>190</v>
      </c>
      <c r="C17" s="272"/>
      <c r="D17" s="33" t="s">
        <v>137</v>
      </c>
      <c r="E17" s="3" t="s">
        <v>138</v>
      </c>
      <c r="F17" s="62">
        <f>25523.45</f>
        <v>25523.45</v>
      </c>
      <c r="G17" s="62"/>
      <c r="H17" s="62">
        <f>F17*300%</f>
        <v>76570.350000000006</v>
      </c>
      <c r="I17" s="62">
        <f>F17*7.5%</f>
        <v>1914.25875</v>
      </c>
      <c r="J17" s="62"/>
      <c r="K17" s="62">
        <f>F17*50%</f>
        <v>12761.725</v>
      </c>
      <c r="L17" s="36">
        <f>F17*350%</f>
        <v>89332.074999999997</v>
      </c>
      <c r="M17" s="62">
        <f>F17*100%</f>
        <v>25523.45</v>
      </c>
      <c r="N17" s="62">
        <f t="shared" ref="N17:N18" si="13">150000</f>
        <v>150000</v>
      </c>
      <c r="O17" s="62">
        <f>F17*10%</f>
        <v>2552.3450000000003</v>
      </c>
      <c r="P17" s="62">
        <v>15000</v>
      </c>
      <c r="Q17" s="62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'[3]DECEMBER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2">
        <f>7709.76</f>
        <v>7709.76</v>
      </c>
      <c r="AH17" s="42">
        <f>7709.76</f>
        <v>7709.76</v>
      </c>
      <c r="AI17" s="42">
        <f>AH17-AG17</f>
        <v>0</v>
      </c>
    </row>
    <row r="18" spans="1:36" ht="20.100000000000001" customHeight="1">
      <c r="A18" s="3">
        <v>2</v>
      </c>
      <c r="B18" s="269" t="s">
        <v>155</v>
      </c>
      <c r="C18" s="270"/>
      <c r="D18" s="47" t="s">
        <v>142</v>
      </c>
      <c r="E18" s="29" t="s">
        <v>103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62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2">
        <f>3369.51</f>
        <v>3369.51</v>
      </c>
      <c r="AH18" s="42">
        <f>7709.76</f>
        <v>7709.76</v>
      </c>
      <c r="AI18" s="42">
        <f>AH18-AG18</f>
        <v>4340.25</v>
      </c>
      <c r="AJ18" s="115">
        <f>AI18*5</f>
        <v>21701.25</v>
      </c>
    </row>
    <row r="19" spans="1:36" ht="20.100000000000001" customHeight="1">
      <c r="A19" s="3"/>
      <c r="B19" s="273" t="s">
        <v>34</v>
      </c>
      <c r="C19" s="274"/>
      <c r="D19" s="30">
        <v>4</v>
      </c>
      <c r="E19" s="30"/>
      <c r="F19" s="92">
        <f t="shared" ref="F19:R19" si="15">SUM(F17:F18)</f>
        <v>43805.09</v>
      </c>
      <c r="G19" s="92">
        <f t="shared" si="15"/>
        <v>0</v>
      </c>
      <c r="H19" s="92">
        <f t="shared" si="15"/>
        <v>131415.27000000002</v>
      </c>
      <c r="I19" s="92">
        <f t="shared" si="15"/>
        <v>3285.3817499999996</v>
      </c>
      <c r="J19" s="92">
        <f t="shared" si="15"/>
        <v>0</v>
      </c>
      <c r="K19" s="92">
        <f t="shared" si="15"/>
        <v>21902.544999999998</v>
      </c>
      <c r="L19" s="92">
        <f t="shared" si="15"/>
        <v>153317.815</v>
      </c>
      <c r="M19" s="92">
        <f t="shared" si="15"/>
        <v>43805.09</v>
      </c>
      <c r="N19" s="92">
        <f t="shared" si="15"/>
        <v>300000</v>
      </c>
      <c r="O19" s="92">
        <f t="shared" si="15"/>
        <v>4380.509</v>
      </c>
      <c r="P19" s="92">
        <f t="shared" si="15"/>
        <v>25000</v>
      </c>
      <c r="Q19" s="92">
        <f t="shared" si="15"/>
        <v>0</v>
      </c>
      <c r="R19" s="92">
        <f t="shared" si="15"/>
        <v>426911</v>
      </c>
      <c r="S19" s="92"/>
      <c r="T19" s="92"/>
      <c r="U19" s="92"/>
      <c r="V19" s="92">
        <f>SUM(V17:V18)</f>
        <v>341303</v>
      </c>
      <c r="W19" s="92">
        <f>SUM(W17:W18)</f>
        <v>130000</v>
      </c>
      <c r="X19" s="92">
        <f>SUM(X17:X18)</f>
        <v>163103.59</v>
      </c>
      <c r="Y19" s="92">
        <f>SUM(Y17:Y18)</f>
        <v>638.08625000000006</v>
      </c>
      <c r="Z19" s="92">
        <f>SUM(Z17:Z18)</f>
        <v>11079.27</v>
      </c>
      <c r="AA19" s="92">
        <f>SUM(R19:Z19)</f>
        <v>1073034.94625</v>
      </c>
      <c r="AB19" s="92">
        <v>1428432.6670000001</v>
      </c>
      <c r="AC19" s="92">
        <f>SUM(AC17:AC18)</f>
        <v>122090.05375000001</v>
      </c>
      <c r="AD19" s="34"/>
      <c r="AJ19" s="42"/>
    </row>
    <row r="20" spans="1:36" ht="20.100000000000001" customHeight="1">
      <c r="A20" s="3"/>
      <c r="B20" s="99"/>
      <c r="C20" s="10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2"/>
    </row>
    <row r="21" spans="1:36" ht="20.100000000000001" customHeight="1">
      <c r="A21" s="3"/>
      <c r="B21" s="273" t="s">
        <v>486</v>
      </c>
      <c r="C21" s="274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2"/>
    </row>
    <row r="22" spans="1:36" ht="20.100000000000001" customHeight="1">
      <c r="A22" s="3"/>
      <c r="B22" s="257" t="s">
        <v>189</v>
      </c>
      <c r="C22" s="258"/>
      <c r="D22" s="33" t="s">
        <v>131</v>
      </c>
      <c r="E22" s="3" t="s">
        <v>66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2">
        <f>7709.76</f>
        <v>7709.76</v>
      </c>
      <c r="AH22" s="42">
        <f>15548.33</f>
        <v>15548.33</v>
      </c>
      <c r="AI22" s="42">
        <f>AH22-AG22</f>
        <v>7838.57</v>
      </c>
      <c r="AJ22" s="42">
        <f>AI22*3</f>
        <v>23515.71</v>
      </c>
    </row>
    <row r="23" spans="1:36" ht="20.100000000000001" customHeight="1">
      <c r="A23" s="3">
        <v>1</v>
      </c>
      <c r="B23" s="257" t="s">
        <v>179</v>
      </c>
      <c r="C23" s="258"/>
      <c r="D23" s="61" t="s">
        <v>166</v>
      </c>
      <c r="E23" s="66" t="s">
        <v>82</v>
      </c>
      <c r="F23" s="62">
        <f>18779.3</f>
        <v>18779.3</v>
      </c>
      <c r="G23" s="62"/>
      <c r="H23" s="62">
        <f t="shared" ref="H23" si="16">F23*300%</f>
        <v>56337.899999999994</v>
      </c>
      <c r="I23" s="62">
        <f t="shared" ref="I23" si="17">F23*7.5%</f>
        <v>1408.4475</v>
      </c>
      <c r="J23" s="36">
        <v>0</v>
      </c>
      <c r="K23" s="62">
        <f>F23*50%</f>
        <v>9389.65</v>
      </c>
      <c r="L23" s="36">
        <f t="shared" ref="L23" si="18">F23*350%</f>
        <v>65727.55</v>
      </c>
      <c r="M23" s="62">
        <f>F23*100%</f>
        <v>18779.3</v>
      </c>
      <c r="N23" s="62">
        <f t="shared" ref="N23" si="19">150000</f>
        <v>150000</v>
      </c>
      <c r="O23" s="62">
        <f>F23*10%</f>
        <v>1877.93</v>
      </c>
      <c r="P23" s="62">
        <v>10000</v>
      </c>
      <c r="Q23" s="62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'[3]DECEMBER 2019'!$H$48</f>
        <v>469.48250000000002</v>
      </c>
      <c r="Z23" s="62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2">
        <f>3369.51</f>
        <v>3369.51</v>
      </c>
      <c r="AH23" s="42">
        <f>7709.76</f>
        <v>7709.76</v>
      </c>
      <c r="AI23" s="42">
        <f>AH23-AG23</f>
        <v>4340.25</v>
      </c>
      <c r="AJ23" s="42">
        <f>AI23*12</f>
        <v>52083</v>
      </c>
    </row>
    <row r="24" spans="1:36" ht="20.100000000000001" customHeight="1">
      <c r="A24" s="3"/>
      <c r="B24" s="273" t="s">
        <v>34</v>
      </c>
      <c r="C24" s="274"/>
      <c r="D24" s="30">
        <v>4</v>
      </c>
      <c r="E24" s="30"/>
      <c r="F24" s="92">
        <f>SUM(F23:F23)</f>
        <v>18779.3</v>
      </c>
      <c r="G24" s="92"/>
      <c r="H24" s="92">
        <f t="shared" ref="H24:R24" si="20">SUM(H23:H23)</f>
        <v>56337.899999999994</v>
      </c>
      <c r="I24" s="92">
        <f t="shared" si="20"/>
        <v>1408.4475</v>
      </c>
      <c r="J24" s="92">
        <f t="shared" si="20"/>
        <v>0</v>
      </c>
      <c r="K24" s="92">
        <f t="shared" si="20"/>
        <v>9389.65</v>
      </c>
      <c r="L24" s="92">
        <f t="shared" si="20"/>
        <v>65727.55</v>
      </c>
      <c r="M24" s="92">
        <f t="shared" si="20"/>
        <v>18779.3</v>
      </c>
      <c r="N24" s="95">
        <f t="shared" si="20"/>
        <v>150000</v>
      </c>
      <c r="O24" s="92">
        <f t="shared" si="20"/>
        <v>1877.93</v>
      </c>
      <c r="P24" s="92">
        <f t="shared" si="20"/>
        <v>10000</v>
      </c>
      <c r="Q24" s="92">
        <f t="shared" si="20"/>
        <v>0</v>
      </c>
      <c r="R24" s="92">
        <f t="shared" si="20"/>
        <v>182300</v>
      </c>
      <c r="S24" s="92"/>
      <c r="T24" s="92"/>
      <c r="U24" s="92"/>
      <c r="V24" s="92">
        <f>SUM(V22:V23)</f>
        <v>771300</v>
      </c>
      <c r="W24" s="92">
        <f>SUM(W23:W23)</f>
        <v>0</v>
      </c>
      <c r="X24" s="92">
        <f>SUM(X23:X23)</f>
        <v>0</v>
      </c>
      <c r="Y24" s="92">
        <f>SUM(Y23:Y23)</f>
        <v>469.48250000000002</v>
      </c>
      <c r="Z24" s="92">
        <f>SUM(Z23:Z23)</f>
        <v>3369.51</v>
      </c>
      <c r="AA24" s="92">
        <f>SUM(AA23:AA23)</f>
        <v>3838.9925000000003</v>
      </c>
      <c r="AB24" s="92">
        <v>1188810.1030000001</v>
      </c>
      <c r="AC24" s="92">
        <f>SUM(AC23:AC23)</f>
        <v>178461.00750000001</v>
      </c>
      <c r="AD24" s="34"/>
      <c r="AJ24" s="115">
        <f>SUM(AJ22:AJ23)</f>
        <v>75598.709999999992</v>
      </c>
    </row>
    <row r="25" spans="1:36" ht="20.100000000000001" customHeight="1">
      <c r="A25" s="3"/>
      <c r="B25" s="275"/>
      <c r="C25" s="276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63"/>
      <c r="S25" s="63"/>
      <c r="T25" s="63"/>
      <c r="U25" s="63"/>
      <c r="V25" s="63"/>
      <c r="W25" s="63"/>
      <c r="X25" s="63"/>
      <c r="Y25" s="63"/>
      <c r="Z25" s="39"/>
      <c r="AA25" s="36"/>
      <c r="AB25" s="36"/>
      <c r="AC25" s="36"/>
      <c r="AD25" s="34"/>
      <c r="AJ25" s="42"/>
    </row>
    <row r="26" spans="1:36" ht="20.100000000000001" customHeight="1">
      <c r="A26" s="3"/>
      <c r="B26" s="277" t="s">
        <v>469</v>
      </c>
      <c r="C26" s="278"/>
      <c r="D26" s="69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63"/>
      <c r="S26" s="63"/>
      <c r="T26" s="63"/>
      <c r="U26" s="63"/>
      <c r="V26" s="63"/>
      <c r="W26" s="63"/>
      <c r="X26" s="63"/>
      <c r="Y26" s="63"/>
      <c r="Z26" s="39"/>
      <c r="AA26" s="36"/>
      <c r="AB26" s="36"/>
      <c r="AC26" s="36"/>
      <c r="AJ26" s="42"/>
    </row>
    <row r="27" spans="1:36" ht="20.100000000000001" customHeight="1">
      <c r="A27" s="3">
        <v>1</v>
      </c>
      <c r="B27" s="257" t="s">
        <v>188</v>
      </c>
      <c r="C27" s="258"/>
      <c r="D27" s="33" t="s">
        <v>131</v>
      </c>
      <c r="E27" s="3" t="s">
        <v>132</v>
      </c>
      <c r="F27" s="62">
        <v>28489.81</v>
      </c>
      <c r="G27" s="62"/>
      <c r="H27" s="62">
        <f t="shared" ref="H27:H31" si="21">F27*300%</f>
        <v>85469.430000000008</v>
      </c>
      <c r="I27" s="62">
        <f t="shared" ref="I27:I31" si="22">F27*7.5%</f>
        <v>2136.7357499999998</v>
      </c>
      <c r="J27" s="62"/>
      <c r="K27" s="62">
        <f t="shared" ref="K27:K31" si="23">F27*50%</f>
        <v>14244.905000000001</v>
      </c>
      <c r="L27" s="62">
        <f t="shared" ref="L27:L31" si="24">F27*350%</f>
        <v>99714.335000000006</v>
      </c>
      <c r="M27" s="62">
        <f t="shared" ref="M27:M31" si="25">F27*100%</f>
        <v>28489.81</v>
      </c>
      <c r="N27" s="62">
        <f t="shared" ref="N27:N31" si="26">150000</f>
        <v>150000</v>
      </c>
      <c r="O27" s="62">
        <f t="shared" ref="O27:O31" si="27">F27*10%</f>
        <v>2848.9810000000002</v>
      </c>
      <c r="P27" s="62">
        <v>20000</v>
      </c>
      <c r="Q27" s="62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62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2">
        <f>7709.76</f>
        <v>7709.76</v>
      </c>
      <c r="AH27" s="42">
        <f>15548.33</f>
        <v>15548.33</v>
      </c>
      <c r="AI27" s="42">
        <f>AH27-AG27</f>
        <v>7838.57</v>
      </c>
      <c r="AJ27" s="42">
        <f>AI27*3</f>
        <v>23515.71</v>
      </c>
    </row>
    <row r="28" spans="1:36" ht="20.100000000000001" customHeight="1">
      <c r="A28" s="3">
        <v>2</v>
      </c>
      <c r="B28" s="257" t="s">
        <v>396</v>
      </c>
      <c r="C28" s="258"/>
      <c r="D28" s="33" t="s">
        <v>140</v>
      </c>
      <c r="E28" s="3" t="s">
        <v>138</v>
      </c>
      <c r="F28" s="62">
        <f>25523.45</f>
        <v>25523.45</v>
      </c>
      <c r="G28" s="62"/>
      <c r="H28" s="62">
        <f t="shared" si="21"/>
        <v>76570.350000000006</v>
      </c>
      <c r="I28" s="62">
        <f t="shared" si="22"/>
        <v>1914.25875</v>
      </c>
      <c r="J28" s="62">
        <v>0</v>
      </c>
      <c r="K28" s="62">
        <f t="shared" si="23"/>
        <v>12761.725</v>
      </c>
      <c r="L28" s="62">
        <f t="shared" si="24"/>
        <v>89332.074999999997</v>
      </c>
      <c r="M28" s="62">
        <f t="shared" si="25"/>
        <v>25523.45</v>
      </c>
      <c r="N28" s="62">
        <f t="shared" si="26"/>
        <v>150000</v>
      </c>
      <c r="O28" s="62">
        <f t="shared" si="27"/>
        <v>2552.3450000000003</v>
      </c>
      <c r="P28" s="62">
        <v>15000</v>
      </c>
      <c r="Q28" s="62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2">
        <f>7709.76</f>
        <v>7709.76</v>
      </c>
      <c r="AH28" s="42">
        <f>7709.76</f>
        <v>7709.76</v>
      </c>
      <c r="AI28" s="42">
        <f>AH28-AG28</f>
        <v>0</v>
      </c>
      <c r="AJ28" s="42"/>
    </row>
    <row r="29" spans="1:36" ht="20.100000000000001" customHeight="1">
      <c r="A29" s="3">
        <v>3</v>
      </c>
      <c r="B29" s="269" t="s">
        <v>192</v>
      </c>
      <c r="C29" s="270"/>
      <c r="D29" s="20" t="s">
        <v>140</v>
      </c>
      <c r="E29" s="29" t="s">
        <v>98</v>
      </c>
      <c r="F29" s="26">
        <f>24741.26</f>
        <v>24741.26</v>
      </c>
      <c r="G29" s="62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62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2">
        <f>7709.76</f>
        <v>7709.76</v>
      </c>
      <c r="AH29" s="42">
        <f>7709.76</f>
        <v>7709.76</v>
      </c>
      <c r="AI29" s="42">
        <f>AH29-AG29</f>
        <v>0</v>
      </c>
      <c r="AJ29" s="42"/>
    </row>
    <row r="30" spans="1:36" ht="20.100000000000001" customHeight="1">
      <c r="A30" s="3">
        <v>4</v>
      </c>
      <c r="B30" s="269" t="s">
        <v>491</v>
      </c>
      <c r="C30" s="270"/>
      <c r="D30" s="20" t="s">
        <v>544</v>
      </c>
      <c r="E30" s="29" t="s">
        <v>98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62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'[3]DECEMBER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2">
        <f>7709.76</f>
        <v>7709.76</v>
      </c>
      <c r="AH30" s="42">
        <f>7709.76</f>
        <v>7709.76</v>
      </c>
      <c r="AI30" s="42">
        <f>AH30-AG30</f>
        <v>0</v>
      </c>
      <c r="AJ30" s="42"/>
    </row>
    <row r="31" spans="1:36" ht="21.6" customHeight="1">
      <c r="A31" s="3">
        <v>5</v>
      </c>
      <c r="B31" s="264" t="s">
        <v>195</v>
      </c>
      <c r="C31" s="264"/>
      <c r="D31" s="33" t="s">
        <v>142</v>
      </c>
      <c r="E31" s="66" t="s">
        <v>103</v>
      </c>
      <c r="F31" s="62">
        <f>18281.64</f>
        <v>18281.64</v>
      </c>
      <c r="G31" s="62"/>
      <c r="H31" s="62">
        <f t="shared" si="21"/>
        <v>54844.92</v>
      </c>
      <c r="I31" s="62">
        <f t="shared" si="22"/>
        <v>1371.1229999999998</v>
      </c>
      <c r="J31" s="62">
        <v>0</v>
      </c>
      <c r="K31" s="62">
        <f t="shared" si="23"/>
        <v>9140.82</v>
      </c>
      <c r="L31" s="36">
        <f t="shared" si="24"/>
        <v>63985.74</v>
      </c>
      <c r="M31" s="62">
        <f t="shared" si="25"/>
        <v>18281.64</v>
      </c>
      <c r="N31" s="62">
        <f t="shared" si="26"/>
        <v>150000</v>
      </c>
      <c r="O31" s="62">
        <f t="shared" si="27"/>
        <v>1828.164</v>
      </c>
      <c r="P31" s="62">
        <v>10000</v>
      </c>
      <c r="Q31" s="62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62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2">
        <f>3369.51</f>
        <v>3369.51</v>
      </c>
      <c r="AH31" s="42">
        <f>7709.76</f>
        <v>7709.76</v>
      </c>
      <c r="AI31" s="42">
        <f>AH31-AG31</f>
        <v>4340.25</v>
      </c>
      <c r="AJ31" s="42">
        <f>AI31*3</f>
        <v>13020.75</v>
      </c>
    </row>
    <row r="32" spans="1:36" ht="20.100000000000001" customHeight="1">
      <c r="A32" s="33"/>
      <c r="B32" s="267" t="s">
        <v>34</v>
      </c>
      <c r="C32" s="267"/>
      <c r="D32" s="7">
        <v>9</v>
      </c>
      <c r="E32" s="7"/>
      <c r="F32" s="95">
        <f>SUM(F27:F31)</f>
        <v>121777.42</v>
      </c>
      <c r="G32" s="95"/>
      <c r="H32" s="95">
        <f t="shared" ref="H32:R32" si="32">SUM(H27:H31)</f>
        <v>365332.26</v>
      </c>
      <c r="I32" s="95">
        <f t="shared" si="32"/>
        <v>9133.3064999999988</v>
      </c>
      <c r="J32" s="95">
        <f t="shared" si="32"/>
        <v>0</v>
      </c>
      <c r="K32" s="95">
        <f t="shared" si="32"/>
        <v>60888.71</v>
      </c>
      <c r="L32" s="95">
        <f t="shared" si="32"/>
        <v>426220.97</v>
      </c>
      <c r="M32" s="95">
        <f t="shared" si="32"/>
        <v>121777.42</v>
      </c>
      <c r="N32" s="95">
        <f t="shared" si="32"/>
        <v>750000</v>
      </c>
      <c r="O32" s="95">
        <f t="shared" si="32"/>
        <v>12177.742000000002</v>
      </c>
      <c r="P32" s="95">
        <f t="shared" si="32"/>
        <v>75000</v>
      </c>
      <c r="Q32" s="95">
        <f t="shared" si="32"/>
        <v>0</v>
      </c>
      <c r="R32" s="95">
        <f t="shared" si="32"/>
        <v>1192307</v>
      </c>
      <c r="S32" s="95"/>
      <c r="T32" s="95"/>
      <c r="U32" s="95"/>
      <c r="V32" s="95">
        <f>SUM(V27:V31)</f>
        <v>476235</v>
      </c>
      <c r="W32" s="95">
        <f>SUM(W27:W31)</f>
        <v>130000</v>
      </c>
      <c r="X32" s="95">
        <f>SUM(X27:X31)</f>
        <v>87500</v>
      </c>
      <c r="Y32" s="95">
        <f>SUM(Y27:Y31)</f>
        <v>618.53150000000005</v>
      </c>
      <c r="Z32" s="95">
        <f>SUM(Z27:Z31)</f>
        <v>34208.550000000003</v>
      </c>
      <c r="AA32" s="95">
        <f>SUM(W32:Z32)</f>
        <v>252327.08150000003</v>
      </c>
      <c r="AB32" s="95">
        <v>3362401.5714999996</v>
      </c>
      <c r="AC32" s="95">
        <f>SUM(AC27:AC31)</f>
        <v>939979.91849999991</v>
      </c>
      <c r="AD32" s="34"/>
      <c r="AJ32" s="115">
        <f>SUM(AJ27:AJ31)</f>
        <v>36536.46</v>
      </c>
    </row>
    <row r="33" spans="1:36" ht="20.100000000000001" customHeight="1">
      <c r="A33" s="33"/>
      <c r="B33" s="96"/>
      <c r="C33" s="96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2"/>
    </row>
    <row r="34" spans="1:36" ht="20.100000000000001" customHeight="1">
      <c r="A34" s="33"/>
      <c r="B34" s="267" t="s">
        <v>199</v>
      </c>
      <c r="C34" s="267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2"/>
    </row>
    <row r="35" spans="1:36" ht="20.100000000000001" customHeight="1">
      <c r="A35" s="33">
        <v>1</v>
      </c>
      <c r="B35" s="269" t="s">
        <v>202</v>
      </c>
      <c r="C35" s="270"/>
      <c r="D35" s="20" t="s">
        <v>493</v>
      </c>
      <c r="E35" s="29" t="s">
        <v>98</v>
      </c>
      <c r="F35" s="26">
        <f>24741.26</f>
        <v>24741.26</v>
      </c>
      <c r="G35" s="62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2"/>
    </row>
    <row r="36" spans="1:36" ht="20.100000000000001" customHeight="1">
      <c r="A36" s="33"/>
      <c r="B36" s="267" t="s">
        <v>34</v>
      </c>
      <c r="C36" s="267"/>
      <c r="D36" s="7">
        <v>4</v>
      </c>
      <c r="E36" s="91"/>
      <c r="F36" s="92">
        <f t="shared" ref="F36:R36" si="33">SUM(F35:F35)</f>
        <v>24741.26</v>
      </c>
      <c r="G36" s="92">
        <f t="shared" si="33"/>
        <v>0</v>
      </c>
      <c r="H36" s="92">
        <f t="shared" si="33"/>
        <v>74223.78</v>
      </c>
      <c r="I36" s="92">
        <f t="shared" si="33"/>
        <v>1855.5944999999997</v>
      </c>
      <c r="J36" s="92">
        <f t="shared" si="33"/>
        <v>0</v>
      </c>
      <c r="K36" s="92">
        <f t="shared" si="33"/>
        <v>12370.63</v>
      </c>
      <c r="L36" s="92">
        <f t="shared" si="33"/>
        <v>86594.409999999989</v>
      </c>
      <c r="M36" s="92">
        <f t="shared" si="33"/>
        <v>24741.26</v>
      </c>
      <c r="N36" s="92">
        <f t="shared" si="33"/>
        <v>100000</v>
      </c>
      <c r="O36" s="92">
        <f t="shared" si="33"/>
        <v>2474.1260000000002</v>
      </c>
      <c r="P36" s="92">
        <f t="shared" si="33"/>
        <v>15000</v>
      </c>
      <c r="Q36" s="92">
        <f t="shared" si="33"/>
        <v>0</v>
      </c>
      <c r="R36" s="92">
        <f t="shared" si="33"/>
        <v>242001</v>
      </c>
      <c r="S36" s="92"/>
      <c r="T36" s="92"/>
      <c r="U36" s="92"/>
      <c r="V36" s="92">
        <f>SUM(V35)</f>
        <v>42912</v>
      </c>
      <c r="W36" s="92">
        <f>SUM(W35:W35)</f>
        <v>0</v>
      </c>
      <c r="X36" s="92">
        <f>SUM(X35:X35)</f>
        <v>0</v>
      </c>
      <c r="Y36" s="92">
        <f>SUM(Y35:Y35)</f>
        <v>0</v>
      </c>
      <c r="Z36" s="92">
        <f>SUM(Z35:Z35)</f>
        <v>7709.76</v>
      </c>
      <c r="AA36" s="92">
        <f>SUM(W36:Z36)</f>
        <v>7709.76</v>
      </c>
      <c r="AB36" s="92">
        <v>1505045.44325</v>
      </c>
      <c r="AC36" s="92">
        <f>SUM(AC35:AC35)</f>
        <v>234291.24</v>
      </c>
      <c r="AD36" s="34"/>
      <c r="AJ36" s="42"/>
    </row>
    <row r="37" spans="1:36" ht="20.100000000000001" customHeight="1">
      <c r="A37" s="33"/>
      <c r="B37" s="96"/>
      <c r="C37" s="96"/>
      <c r="D37" s="7"/>
      <c r="E37" s="9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2"/>
    </row>
    <row r="38" spans="1:36" ht="20.100000000000001" customHeight="1">
      <c r="A38" s="33"/>
      <c r="B38" s="267" t="s">
        <v>209</v>
      </c>
      <c r="C38" s="267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2"/>
    </row>
    <row r="39" spans="1:36" ht="20.100000000000001" customHeight="1">
      <c r="A39" s="33">
        <v>1</v>
      </c>
      <c r="B39" s="269" t="s">
        <v>216</v>
      </c>
      <c r="C39" s="270"/>
      <c r="D39" s="20" t="s">
        <v>548</v>
      </c>
      <c r="E39" s="29" t="s">
        <v>549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62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2">
        <f>234201</f>
        <v>234201</v>
      </c>
      <c r="AF39" s="107">
        <f>AE39-AD39</f>
        <v>33637</v>
      </c>
      <c r="AG39" s="1">
        <v>12</v>
      </c>
      <c r="AH39" s="107">
        <f>AF39*12</f>
        <v>403644</v>
      </c>
      <c r="AI39" s="113">
        <f>V39+AH39</f>
        <v>557219</v>
      </c>
      <c r="AJ39" s="42"/>
    </row>
    <row r="40" spans="1:36" ht="20.100000000000001" customHeight="1">
      <c r="A40" s="33"/>
      <c r="B40" s="267" t="s">
        <v>34</v>
      </c>
      <c r="C40" s="267"/>
      <c r="D40" s="3">
        <v>4</v>
      </c>
      <c r="E40" s="33"/>
      <c r="F40" s="93">
        <f>SUM(F39:F39)</f>
        <v>20770</v>
      </c>
      <c r="G40" s="94"/>
      <c r="H40" s="93">
        <f t="shared" ref="H40:R40" si="34">SUM(H39:H39)</f>
        <v>62310</v>
      </c>
      <c r="I40" s="93">
        <f t="shared" si="34"/>
        <v>1557.75</v>
      </c>
      <c r="J40" s="93">
        <f t="shared" si="34"/>
        <v>0</v>
      </c>
      <c r="K40" s="93">
        <f t="shared" si="34"/>
        <v>10385</v>
      </c>
      <c r="L40" s="93">
        <f t="shared" si="34"/>
        <v>72695</v>
      </c>
      <c r="M40" s="93">
        <f t="shared" si="34"/>
        <v>20770</v>
      </c>
      <c r="N40" s="93">
        <f t="shared" si="34"/>
        <v>150000</v>
      </c>
      <c r="O40" s="93">
        <f t="shared" si="34"/>
        <v>2077</v>
      </c>
      <c r="P40" s="93">
        <f t="shared" si="34"/>
        <v>10000</v>
      </c>
      <c r="Q40" s="93">
        <f t="shared" si="34"/>
        <v>0</v>
      </c>
      <c r="R40" s="93">
        <f t="shared" si="34"/>
        <v>195998</v>
      </c>
      <c r="S40" s="93"/>
      <c r="T40" s="93"/>
      <c r="U40" s="93"/>
      <c r="V40" s="93">
        <f>AI39</f>
        <v>557219</v>
      </c>
      <c r="W40" s="93">
        <f>SUM(W39:W39)</f>
        <v>50000</v>
      </c>
      <c r="X40" s="93">
        <f>SUM(X39:X39)</f>
        <v>43083.33</v>
      </c>
      <c r="Y40" s="93">
        <f>SUM(Y39:Y39)</f>
        <v>0</v>
      </c>
      <c r="Z40" s="93">
        <f>SUM(Z39:Z39)</f>
        <v>3369.51</v>
      </c>
      <c r="AA40" s="93">
        <f>SUM(W40:Z40)</f>
        <v>96452.84</v>
      </c>
      <c r="AB40" s="93">
        <v>1667586.32</v>
      </c>
      <c r="AC40" s="93">
        <f>SUM(AC39:AC39)</f>
        <v>99545.16</v>
      </c>
      <c r="AD40" s="34"/>
      <c r="AG40" s="42">
        <f>3369.51</f>
        <v>3369.51</v>
      </c>
      <c r="AH40" s="42">
        <f>7709.76</f>
        <v>7709.76</v>
      </c>
      <c r="AI40" s="42">
        <f>AH40-AG40</f>
        <v>4340.25</v>
      </c>
      <c r="AJ40" s="115">
        <f>AI40*17</f>
        <v>73784.25</v>
      </c>
    </row>
    <row r="41" spans="1:36" ht="20.100000000000001" customHeight="1">
      <c r="A41" s="33"/>
      <c r="B41" s="96"/>
      <c r="C41" s="96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2"/>
    </row>
    <row r="42" spans="1:36" ht="20.100000000000001" customHeight="1">
      <c r="A42" s="33"/>
      <c r="B42" s="267" t="s">
        <v>222</v>
      </c>
      <c r="C42" s="267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63"/>
      <c r="W42" s="63"/>
      <c r="X42" s="63"/>
      <c r="Y42" s="63"/>
      <c r="Z42" s="39"/>
      <c r="AA42" s="36"/>
      <c r="AB42" s="36"/>
      <c r="AC42" s="36"/>
      <c r="AJ42" s="42"/>
    </row>
    <row r="43" spans="1:36" ht="20.100000000000001" customHeight="1">
      <c r="A43" s="33">
        <v>1</v>
      </c>
      <c r="B43" s="264" t="s">
        <v>59</v>
      </c>
      <c r="C43" s="264"/>
      <c r="D43" s="61" t="s">
        <v>550</v>
      </c>
      <c r="E43" s="66" t="s">
        <v>138</v>
      </c>
      <c r="F43" s="62">
        <f t="shared" ref="F43:F44" si="35">25523.45</f>
        <v>25523.45</v>
      </c>
      <c r="G43" s="62"/>
      <c r="H43" s="62">
        <f t="shared" ref="H43:H46" si="36">F43*300%</f>
        <v>76570.350000000006</v>
      </c>
      <c r="I43" s="62">
        <f t="shared" ref="I43:I46" si="37">F43*7.5%</f>
        <v>1914.25875</v>
      </c>
      <c r="J43" s="62">
        <v>0</v>
      </c>
      <c r="K43" s="62">
        <f t="shared" ref="K43:K46" si="38">F43*50%</f>
        <v>12761.725</v>
      </c>
      <c r="L43" s="36">
        <f t="shared" ref="L43:L46" si="39">F43*350%</f>
        <v>89332.074999999997</v>
      </c>
      <c r="M43" s="62">
        <f t="shared" ref="M43:M46" si="40">F43*100%</f>
        <v>25523.45</v>
      </c>
      <c r="N43" s="62">
        <f t="shared" ref="N43:N46" si="41">100000</f>
        <v>100000</v>
      </c>
      <c r="O43" s="62">
        <f t="shared" ref="O43:O46" si="42">F43*10%</f>
        <v>2552.3450000000003</v>
      </c>
      <c r="P43" s="62">
        <v>15000</v>
      </c>
      <c r="Q43" s="62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'[3]DECEMBER 2019'!$H$32</f>
        <v>638.08625000000006</v>
      </c>
      <c r="Z43" s="62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2">
        <f t="shared" ref="AG43:AG44" si="45">7709.76</f>
        <v>7709.76</v>
      </c>
      <c r="AH43" s="42">
        <f t="shared" ref="AH43:AH44" si="46">15548.33</f>
        <v>15548.33</v>
      </c>
      <c r="AI43" s="42">
        <f>15548.33-7709.76</f>
        <v>7838.57</v>
      </c>
      <c r="AJ43" s="42">
        <f>AI43*12</f>
        <v>94062.84</v>
      </c>
    </row>
    <row r="44" spans="1:36" ht="20.100000000000001" customHeight="1">
      <c r="A44" s="33">
        <v>2</v>
      </c>
      <c r="B44" s="268" t="s">
        <v>230</v>
      </c>
      <c r="C44" s="268"/>
      <c r="D44" s="33" t="s">
        <v>551</v>
      </c>
      <c r="E44" s="66" t="s">
        <v>138</v>
      </c>
      <c r="F44" s="62">
        <f t="shared" si="35"/>
        <v>25523.45</v>
      </c>
      <c r="G44" s="62"/>
      <c r="H44" s="62">
        <f t="shared" si="36"/>
        <v>76570.350000000006</v>
      </c>
      <c r="I44" s="62">
        <f t="shared" si="37"/>
        <v>1914.25875</v>
      </c>
      <c r="J44" s="62">
        <v>0</v>
      </c>
      <c r="K44" s="62">
        <f t="shared" si="38"/>
        <v>12761.725</v>
      </c>
      <c r="L44" s="36">
        <f t="shared" si="39"/>
        <v>89332.074999999997</v>
      </c>
      <c r="M44" s="62">
        <f t="shared" si="40"/>
        <v>25523.45</v>
      </c>
      <c r="N44" s="62">
        <f t="shared" si="41"/>
        <v>100000</v>
      </c>
      <c r="O44" s="62">
        <f t="shared" si="42"/>
        <v>2552.3450000000003</v>
      </c>
      <c r="P44" s="62">
        <v>15000</v>
      </c>
      <c r="Q44" s="62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'[3]DECEMBER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2">
        <f t="shared" si="45"/>
        <v>7709.76</v>
      </c>
      <c r="AH44" s="42">
        <f t="shared" si="46"/>
        <v>15548.33</v>
      </c>
      <c r="AI44" s="42">
        <f>15548.33-7709.76</f>
        <v>7838.57</v>
      </c>
      <c r="AJ44" s="42">
        <f>AI44*12</f>
        <v>94062.84</v>
      </c>
    </row>
    <row r="45" spans="1:36" ht="20.100000000000001" customHeight="1">
      <c r="A45" s="33">
        <v>3</v>
      </c>
      <c r="B45" s="264" t="s">
        <v>235</v>
      </c>
      <c r="C45" s="264"/>
      <c r="D45" s="61" t="s">
        <v>552</v>
      </c>
      <c r="E45" s="66" t="s">
        <v>82</v>
      </c>
      <c r="F45" s="62">
        <f>18779.3</f>
        <v>18779.3</v>
      </c>
      <c r="G45" s="62"/>
      <c r="H45" s="62">
        <f t="shared" si="36"/>
        <v>56337.899999999994</v>
      </c>
      <c r="I45" s="62">
        <f t="shared" si="37"/>
        <v>1408.4475</v>
      </c>
      <c r="J45" s="62"/>
      <c r="K45" s="62">
        <f t="shared" si="38"/>
        <v>9389.65</v>
      </c>
      <c r="L45" s="36">
        <f t="shared" si="39"/>
        <v>65727.55</v>
      </c>
      <c r="M45" s="62">
        <f t="shared" si="40"/>
        <v>18779.3</v>
      </c>
      <c r="N45" s="62">
        <f t="shared" si="41"/>
        <v>100000</v>
      </c>
      <c r="O45" s="62">
        <f t="shared" si="42"/>
        <v>1877.93</v>
      </c>
      <c r="P45" s="62">
        <v>10000</v>
      </c>
      <c r="Q45" s="62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'[3]DECEMBER 2019'!$H$55</f>
        <v>469.48250000000002</v>
      </c>
      <c r="Z45" s="62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2">
        <f t="shared" ref="AG45:AG46" si="47">3369.51</f>
        <v>3369.51</v>
      </c>
      <c r="AH45" s="42">
        <f t="shared" ref="AH45:AH46" si="48">7709.76</f>
        <v>7709.76</v>
      </c>
      <c r="AI45" s="42">
        <f t="shared" ref="AI45:AI46" si="49">AH45-AG45</f>
        <v>4340.25</v>
      </c>
      <c r="AJ45" s="42">
        <f>AI45*12</f>
        <v>52083</v>
      </c>
    </row>
    <row r="46" spans="1:36" ht="20.100000000000001" customHeight="1">
      <c r="A46" s="33">
        <v>4</v>
      </c>
      <c r="B46" s="264" t="s">
        <v>237</v>
      </c>
      <c r="C46" s="264"/>
      <c r="D46" s="61" t="s">
        <v>552</v>
      </c>
      <c r="E46" s="66" t="s">
        <v>82</v>
      </c>
      <c r="F46" s="62">
        <f>18779.3</f>
        <v>18779.3</v>
      </c>
      <c r="G46" s="62"/>
      <c r="H46" s="62">
        <f t="shared" si="36"/>
        <v>56337.899999999994</v>
      </c>
      <c r="I46" s="62">
        <f t="shared" si="37"/>
        <v>1408.4475</v>
      </c>
      <c r="J46" s="62"/>
      <c r="K46" s="62">
        <f t="shared" si="38"/>
        <v>9389.65</v>
      </c>
      <c r="L46" s="36">
        <f t="shared" si="39"/>
        <v>65727.55</v>
      </c>
      <c r="M46" s="62">
        <f t="shared" si="40"/>
        <v>18779.3</v>
      </c>
      <c r="N46" s="62">
        <f t="shared" si="41"/>
        <v>100000</v>
      </c>
      <c r="O46" s="62">
        <f t="shared" si="42"/>
        <v>1877.93</v>
      </c>
      <c r="P46" s="62">
        <v>10000</v>
      </c>
      <c r="Q46" s="62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'[3]DECEMBER 2019'!$H$28</f>
        <v>469.48250000000002</v>
      </c>
      <c r="Z46" s="62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2">
        <f t="shared" si="47"/>
        <v>3369.51</v>
      </c>
      <c r="AH46" s="42">
        <f t="shared" si="48"/>
        <v>7709.76</v>
      </c>
      <c r="AI46" s="42">
        <f t="shared" si="49"/>
        <v>4340.25</v>
      </c>
      <c r="AJ46" s="42">
        <f>AI46*12</f>
        <v>52083</v>
      </c>
    </row>
    <row r="47" spans="1:36" ht="20.100000000000001" customHeight="1">
      <c r="A47" s="33"/>
      <c r="B47" s="267" t="s">
        <v>34</v>
      </c>
      <c r="C47" s="267"/>
      <c r="D47" s="91" t="s">
        <v>553</v>
      </c>
      <c r="E47" s="66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63">
        <f t="shared" si="50"/>
        <v>310119.25</v>
      </c>
      <c r="M47" s="39">
        <f t="shared" si="50"/>
        <v>88605.5</v>
      </c>
      <c r="N47" s="95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63">
        <f t="shared" si="50"/>
        <v>862954</v>
      </c>
      <c r="S47" s="63"/>
      <c r="T47" s="63"/>
      <c r="U47" s="63"/>
      <c r="V47" s="106">
        <f t="shared" ref="V47:AA47" si="51">SUM(V43:V46)</f>
        <v>3358944</v>
      </c>
      <c r="W47" s="63">
        <f t="shared" si="51"/>
        <v>200000</v>
      </c>
      <c r="X47" s="63">
        <f t="shared" si="51"/>
        <v>411388.89</v>
      </c>
      <c r="Y47" s="63">
        <f t="shared" si="51"/>
        <v>2215.1375000000003</v>
      </c>
      <c r="Z47" s="39">
        <f t="shared" si="51"/>
        <v>22158.54</v>
      </c>
      <c r="AA47" s="63">
        <f t="shared" si="51"/>
        <v>635762.5675</v>
      </c>
      <c r="AB47" s="63">
        <v>2853462.5927500003</v>
      </c>
      <c r="AC47" s="63">
        <f>SUM(AC43:AC46)</f>
        <v>227191.43249999994</v>
      </c>
      <c r="AJ47" s="115">
        <f>SUM(AJ43:AJ46)</f>
        <v>292291.68</v>
      </c>
    </row>
    <row r="48" spans="1:36" ht="20.100000000000001" customHeight="1">
      <c r="A48" s="33"/>
      <c r="B48" s="96"/>
      <c r="C48" s="96"/>
      <c r="D48" s="91"/>
      <c r="E48" s="66"/>
      <c r="F48" s="39"/>
      <c r="G48" s="39"/>
      <c r="H48" s="39"/>
      <c r="I48" s="39"/>
      <c r="J48" s="39"/>
      <c r="K48" s="39"/>
      <c r="L48" s="63"/>
      <c r="M48" s="39"/>
      <c r="N48" s="39"/>
      <c r="O48" s="39"/>
      <c r="P48" s="39"/>
      <c r="Q48" s="39"/>
      <c r="R48" s="63"/>
      <c r="S48" s="63"/>
      <c r="T48" s="63"/>
      <c r="U48" s="63"/>
      <c r="V48" s="63"/>
      <c r="W48" s="63"/>
      <c r="X48" s="63"/>
      <c r="Y48" s="63"/>
      <c r="Z48" s="39"/>
      <c r="AA48" s="63"/>
      <c r="AB48" s="63"/>
      <c r="AC48" s="63"/>
      <c r="AJ48" s="42"/>
    </row>
    <row r="49" spans="1:36" ht="20.100000000000001" customHeight="1">
      <c r="A49" s="33"/>
      <c r="B49" s="267" t="s">
        <v>242</v>
      </c>
      <c r="C49" s="267"/>
      <c r="D49" s="61"/>
      <c r="E49" s="66"/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36"/>
      <c r="W49" s="36"/>
      <c r="X49" s="36"/>
      <c r="Y49" s="36"/>
      <c r="Z49" s="62"/>
      <c r="AA49" s="36"/>
      <c r="AB49" s="36"/>
      <c r="AC49" s="36"/>
      <c r="AJ49" s="42"/>
    </row>
    <row r="50" spans="1:36" ht="20.100000000000001" customHeight="1">
      <c r="A50" s="33">
        <v>1</v>
      </c>
      <c r="B50" s="264" t="s">
        <v>257</v>
      </c>
      <c r="C50" s="264"/>
      <c r="D50" s="33" t="s">
        <v>264</v>
      </c>
      <c r="E50" s="66" t="s">
        <v>82</v>
      </c>
      <c r="F50" s="62">
        <f>18779.3</f>
        <v>18779.3</v>
      </c>
      <c r="G50" s="62"/>
      <c r="H50" s="62">
        <f t="shared" ref="H50:H60" si="52">F50*300%</f>
        <v>56337.899999999994</v>
      </c>
      <c r="I50" s="62">
        <f t="shared" ref="I50:I60" si="53">F50*7.5%</f>
        <v>1408.4475</v>
      </c>
      <c r="J50" s="36">
        <v>0</v>
      </c>
      <c r="K50" s="62">
        <f t="shared" ref="K50:K60" si="54">F50*50%</f>
        <v>9389.65</v>
      </c>
      <c r="L50" s="36">
        <f t="shared" ref="L50:L60" si="55">F50*350%</f>
        <v>65727.55</v>
      </c>
      <c r="M50" s="62">
        <f t="shared" ref="M50:M51" si="56">F50*100%</f>
        <v>18779.3</v>
      </c>
      <c r="N50" s="62">
        <f t="shared" ref="N50:N51" si="57">100000</f>
        <v>100000</v>
      </c>
      <c r="O50" s="62">
        <f t="shared" ref="O50:O51" si="58">F50*10%</f>
        <v>1877.93</v>
      </c>
      <c r="P50" s="62">
        <v>10000</v>
      </c>
      <c r="Q50" s="62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62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2">
        <f t="shared" ref="AG50" si="61">3369.51</f>
        <v>3369.51</v>
      </c>
      <c r="AH50" s="42">
        <f t="shared" ref="AH50" si="62">7709.76</f>
        <v>7709.76</v>
      </c>
      <c r="AI50" s="42">
        <f t="shared" ref="AI50" si="63">AH50-AG50</f>
        <v>4340.25</v>
      </c>
      <c r="AJ50" s="42">
        <f>AI50*10</f>
        <v>43402.5</v>
      </c>
    </row>
    <row r="51" spans="1:36" ht="20.100000000000001" customHeight="1">
      <c r="A51" s="33">
        <v>2</v>
      </c>
      <c r="B51" s="257" t="s">
        <v>265</v>
      </c>
      <c r="C51" s="258"/>
      <c r="D51" s="61" t="s">
        <v>554</v>
      </c>
      <c r="E51" s="66" t="s">
        <v>106</v>
      </c>
      <c r="F51" s="67">
        <v>13492.21</v>
      </c>
      <c r="G51" s="62"/>
      <c r="H51" s="62">
        <f t="shared" si="52"/>
        <v>40476.629999999997</v>
      </c>
      <c r="I51" s="62">
        <f t="shared" si="53"/>
        <v>1011.9157499999999</v>
      </c>
      <c r="J51" s="62"/>
      <c r="K51" s="62">
        <f t="shared" si="54"/>
        <v>6746.1049999999996</v>
      </c>
      <c r="L51" s="36">
        <f t="shared" si="55"/>
        <v>47222.735000000001</v>
      </c>
      <c r="M51" s="62">
        <f t="shared" si="56"/>
        <v>13492.21</v>
      </c>
      <c r="N51" s="62">
        <f t="shared" si="57"/>
        <v>100000</v>
      </c>
      <c r="O51" s="62">
        <f t="shared" si="58"/>
        <v>1349.221</v>
      </c>
      <c r="P51" s="62">
        <v>10000</v>
      </c>
      <c r="Q51" s="62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'[3]DECEMBER 2019'!$H$49</f>
        <v>337.30525</v>
      </c>
      <c r="Z51" s="62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2"/>
    </row>
    <row r="52" spans="1:36" ht="20.100000000000001" customHeight="1">
      <c r="A52" s="33">
        <v>3</v>
      </c>
      <c r="B52" s="264" t="s">
        <v>286</v>
      </c>
      <c r="C52" s="264"/>
      <c r="D52" s="61" t="s">
        <v>296</v>
      </c>
      <c r="E52" s="66" t="s">
        <v>297</v>
      </c>
      <c r="F52" s="67">
        <f>5769.6</f>
        <v>5769.6</v>
      </c>
      <c r="G52" s="33"/>
      <c r="H52" s="62">
        <f t="shared" si="52"/>
        <v>17308.800000000003</v>
      </c>
      <c r="I52" s="62">
        <f t="shared" si="53"/>
        <v>432.72</v>
      </c>
      <c r="J52" s="67">
        <v>0</v>
      </c>
      <c r="K52" s="62">
        <f t="shared" si="54"/>
        <v>2884.8</v>
      </c>
      <c r="L52" s="36">
        <f t="shared" si="55"/>
        <v>20193.600000000002</v>
      </c>
      <c r="M52" s="62">
        <f t="shared" ref="M52:M58" si="64">F52*100%</f>
        <v>5769.6</v>
      </c>
      <c r="N52" s="36">
        <f>25000+4000</f>
        <v>29000</v>
      </c>
      <c r="O52" s="62">
        <f t="shared" ref="O52:O60" si="65">F52*10%</f>
        <v>576.96</v>
      </c>
      <c r="P52" s="67">
        <v>5000</v>
      </c>
      <c r="Q52" s="62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'[3]DECEMBER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2"/>
    </row>
    <row r="53" spans="1:36" ht="20.100000000000001" customHeight="1">
      <c r="A53" s="33">
        <v>4</v>
      </c>
      <c r="B53" s="264" t="s">
        <v>289</v>
      </c>
      <c r="C53" s="264"/>
      <c r="D53" s="61" t="s">
        <v>296</v>
      </c>
      <c r="E53" s="66" t="s">
        <v>297</v>
      </c>
      <c r="F53" s="67">
        <f t="shared" ref="F53:F58" si="68">5769.6</f>
        <v>5769.6</v>
      </c>
      <c r="G53" s="33"/>
      <c r="H53" s="62">
        <f t="shared" si="52"/>
        <v>17308.800000000003</v>
      </c>
      <c r="I53" s="62">
        <f t="shared" si="53"/>
        <v>432.72</v>
      </c>
      <c r="J53" s="67">
        <v>0</v>
      </c>
      <c r="K53" s="62">
        <f t="shared" si="54"/>
        <v>2884.8</v>
      </c>
      <c r="L53" s="36">
        <f t="shared" si="55"/>
        <v>20193.600000000002</v>
      </c>
      <c r="M53" s="62">
        <f t="shared" si="64"/>
        <v>5769.6</v>
      </c>
      <c r="N53" s="36">
        <f>25000+7000</f>
        <v>32000</v>
      </c>
      <c r="O53" s="62">
        <f t="shared" si="65"/>
        <v>576.96</v>
      </c>
      <c r="P53" s="67">
        <v>5000</v>
      </c>
      <c r="Q53" s="62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2"/>
    </row>
    <row r="54" spans="1:36" ht="20.100000000000001" customHeight="1">
      <c r="A54" s="33">
        <v>5</v>
      </c>
      <c r="B54" s="264" t="s">
        <v>290</v>
      </c>
      <c r="C54" s="264"/>
      <c r="D54" s="61" t="s">
        <v>296</v>
      </c>
      <c r="E54" s="66" t="s">
        <v>297</v>
      </c>
      <c r="F54" s="67">
        <f t="shared" si="68"/>
        <v>5769.6</v>
      </c>
      <c r="G54" s="33"/>
      <c r="H54" s="62">
        <f t="shared" si="52"/>
        <v>17308.800000000003</v>
      </c>
      <c r="I54" s="62">
        <f t="shared" si="53"/>
        <v>432.72</v>
      </c>
      <c r="J54" s="62">
        <v>0</v>
      </c>
      <c r="K54" s="62">
        <f t="shared" si="54"/>
        <v>2884.8</v>
      </c>
      <c r="L54" s="36">
        <f t="shared" si="55"/>
        <v>20193.600000000002</v>
      </c>
      <c r="M54" s="62">
        <f t="shared" si="64"/>
        <v>5769.6</v>
      </c>
      <c r="N54" s="36">
        <f>25000+4000</f>
        <v>29000</v>
      </c>
      <c r="O54" s="62">
        <f t="shared" si="65"/>
        <v>576.96</v>
      </c>
      <c r="P54" s="62">
        <v>5000</v>
      </c>
      <c r="Q54" s="62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2"/>
    </row>
    <row r="55" spans="1:36" ht="20.100000000000001" customHeight="1">
      <c r="A55" s="33">
        <v>6</v>
      </c>
      <c r="B55" s="264" t="s">
        <v>291</v>
      </c>
      <c r="C55" s="264"/>
      <c r="D55" s="61" t="s">
        <v>296</v>
      </c>
      <c r="E55" s="66" t="s">
        <v>297</v>
      </c>
      <c r="F55" s="67">
        <f t="shared" si="68"/>
        <v>5769.6</v>
      </c>
      <c r="G55" s="33"/>
      <c r="H55" s="62">
        <f t="shared" si="52"/>
        <v>17308.800000000003</v>
      </c>
      <c r="I55" s="62">
        <f t="shared" si="53"/>
        <v>432.72</v>
      </c>
      <c r="J55" s="62">
        <v>0</v>
      </c>
      <c r="K55" s="62">
        <f t="shared" si="54"/>
        <v>2884.8</v>
      </c>
      <c r="L55" s="36">
        <f t="shared" si="55"/>
        <v>20193.600000000002</v>
      </c>
      <c r="M55" s="62">
        <f t="shared" si="64"/>
        <v>5769.6</v>
      </c>
      <c r="N55" s="36">
        <f>25000+4000</f>
        <v>29000</v>
      </c>
      <c r="O55" s="62">
        <f t="shared" si="65"/>
        <v>576.96</v>
      </c>
      <c r="P55" s="62">
        <v>5000</v>
      </c>
      <c r="Q55" s="62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2"/>
    </row>
    <row r="56" spans="1:36" ht="20.100000000000001" customHeight="1">
      <c r="A56" s="33">
        <v>7</v>
      </c>
      <c r="B56" s="264" t="s">
        <v>292</v>
      </c>
      <c r="C56" s="264"/>
      <c r="D56" s="61" t="s">
        <v>296</v>
      </c>
      <c r="E56" s="66" t="s">
        <v>297</v>
      </c>
      <c r="F56" s="67">
        <f t="shared" si="68"/>
        <v>5769.6</v>
      </c>
      <c r="G56" s="33"/>
      <c r="H56" s="62">
        <f t="shared" si="52"/>
        <v>17308.800000000003</v>
      </c>
      <c r="I56" s="62">
        <f t="shared" si="53"/>
        <v>432.72</v>
      </c>
      <c r="J56" s="62">
        <v>0</v>
      </c>
      <c r="K56" s="62">
        <f t="shared" si="54"/>
        <v>2884.8</v>
      </c>
      <c r="L56" s="36">
        <f t="shared" si="55"/>
        <v>20193.600000000002</v>
      </c>
      <c r="M56" s="62">
        <f t="shared" si="64"/>
        <v>5769.6</v>
      </c>
      <c r="N56" s="36">
        <f>25000+4000</f>
        <v>29000</v>
      </c>
      <c r="O56" s="62">
        <f t="shared" si="65"/>
        <v>576.96</v>
      </c>
      <c r="P56" s="62">
        <v>5000</v>
      </c>
      <c r="Q56" s="62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2"/>
    </row>
    <row r="57" spans="1:36" ht="20.100000000000001" customHeight="1">
      <c r="A57" s="33">
        <v>8</v>
      </c>
      <c r="B57" s="264" t="s">
        <v>293</v>
      </c>
      <c r="C57" s="264"/>
      <c r="D57" s="61" t="s">
        <v>296</v>
      </c>
      <c r="E57" s="66" t="s">
        <v>297</v>
      </c>
      <c r="F57" s="67">
        <f t="shared" si="68"/>
        <v>5769.6</v>
      </c>
      <c r="G57" s="27">
        <f>0</f>
        <v>0</v>
      </c>
      <c r="H57" s="62">
        <f t="shared" si="52"/>
        <v>17308.800000000003</v>
      </c>
      <c r="I57" s="62">
        <f t="shared" si="53"/>
        <v>432.72</v>
      </c>
      <c r="J57" s="62">
        <v>0</v>
      </c>
      <c r="K57" s="62">
        <f t="shared" si="54"/>
        <v>2884.8</v>
      </c>
      <c r="L57" s="36">
        <f t="shared" si="55"/>
        <v>20193.600000000002</v>
      </c>
      <c r="M57" s="62">
        <f t="shared" si="64"/>
        <v>5769.6</v>
      </c>
      <c r="N57" s="36">
        <f>25000+3000</f>
        <v>28000</v>
      </c>
      <c r="O57" s="62">
        <f t="shared" si="65"/>
        <v>576.96</v>
      </c>
      <c r="P57" s="62">
        <v>5000</v>
      </c>
      <c r="Q57" s="62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'[3]DECEMBER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2"/>
    </row>
    <row r="58" spans="1:36" ht="20.100000000000001" customHeight="1">
      <c r="A58" s="33">
        <v>9</v>
      </c>
      <c r="B58" s="264" t="s">
        <v>294</v>
      </c>
      <c r="C58" s="264"/>
      <c r="D58" s="61" t="s">
        <v>296</v>
      </c>
      <c r="E58" s="66" t="s">
        <v>297</v>
      </c>
      <c r="F58" s="67">
        <f t="shared" si="68"/>
        <v>5769.6</v>
      </c>
      <c r="G58" s="33"/>
      <c r="H58" s="62">
        <f t="shared" si="52"/>
        <v>17308.800000000003</v>
      </c>
      <c r="I58" s="62">
        <f t="shared" si="53"/>
        <v>432.72</v>
      </c>
      <c r="J58" s="62">
        <v>0</v>
      </c>
      <c r="K58" s="62">
        <f t="shared" si="54"/>
        <v>2884.8</v>
      </c>
      <c r="L58" s="36">
        <f t="shared" si="55"/>
        <v>20193.600000000002</v>
      </c>
      <c r="M58" s="62">
        <f t="shared" si="64"/>
        <v>5769.6</v>
      </c>
      <c r="N58" s="36">
        <f>25000+7000</f>
        <v>32000</v>
      </c>
      <c r="O58" s="62">
        <f t="shared" si="65"/>
        <v>576.96</v>
      </c>
      <c r="P58" s="62">
        <v>5000</v>
      </c>
      <c r="Q58" s="62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2"/>
    </row>
    <row r="59" spans="1:36" ht="20.100000000000001" customHeight="1">
      <c r="A59" s="33">
        <v>10</v>
      </c>
      <c r="B59" s="61" t="s">
        <v>307</v>
      </c>
      <c r="C59" s="33"/>
      <c r="D59" s="61" t="s">
        <v>312</v>
      </c>
      <c r="E59" s="66" t="s">
        <v>555</v>
      </c>
      <c r="F59" s="62">
        <f>4836.3</f>
        <v>4836.3</v>
      </c>
      <c r="G59" s="33"/>
      <c r="H59" s="62">
        <f t="shared" si="52"/>
        <v>14508.900000000001</v>
      </c>
      <c r="I59" s="62">
        <f t="shared" si="53"/>
        <v>362.72250000000003</v>
      </c>
      <c r="J59" s="62"/>
      <c r="K59" s="62">
        <f t="shared" si="54"/>
        <v>2418.15</v>
      </c>
      <c r="L59" s="36">
        <f t="shared" si="55"/>
        <v>16927.05</v>
      </c>
      <c r="M59" s="62">
        <f t="shared" ref="M59:M60" si="70">F59*100%</f>
        <v>4836.3</v>
      </c>
      <c r="N59" s="36">
        <f t="shared" ref="N59:N60" si="71">25000+7000</f>
        <v>32000</v>
      </c>
      <c r="O59" s="62">
        <f t="shared" si="65"/>
        <v>483.63000000000005</v>
      </c>
      <c r="P59" s="62">
        <v>5000</v>
      </c>
      <c r="Q59" s="62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2">
        <f>(51671-48025)+(53237-49373)</f>
        <v>7510</v>
      </c>
      <c r="AE59" s="1">
        <f>24</f>
        <v>24</v>
      </c>
      <c r="AF59" s="42">
        <f>AD59*AE59</f>
        <v>180240</v>
      </c>
      <c r="AG59" s="114">
        <f>V59+AF59</f>
        <v>217948</v>
      </c>
      <c r="AJ59" s="42"/>
    </row>
    <row r="60" spans="1:36" ht="20.100000000000001" customHeight="1">
      <c r="A60" s="33">
        <v>11</v>
      </c>
      <c r="B60" s="257" t="s">
        <v>309</v>
      </c>
      <c r="C60" s="258"/>
      <c r="D60" s="61" t="s">
        <v>312</v>
      </c>
      <c r="E60" s="66" t="s">
        <v>509</v>
      </c>
      <c r="F60" s="62">
        <f>4395.43</f>
        <v>4395.43</v>
      </c>
      <c r="G60" s="33"/>
      <c r="H60" s="62">
        <f t="shared" si="52"/>
        <v>13186.29</v>
      </c>
      <c r="I60" s="62">
        <f t="shared" si="53"/>
        <v>329.65725000000003</v>
      </c>
      <c r="J60" s="62"/>
      <c r="K60" s="62">
        <f t="shared" si="54"/>
        <v>2197.7150000000001</v>
      </c>
      <c r="L60" s="36">
        <f t="shared" si="55"/>
        <v>15384.005000000001</v>
      </c>
      <c r="M60" s="62">
        <f t="shared" si="70"/>
        <v>4395.43</v>
      </c>
      <c r="N60" s="36">
        <f t="shared" si="71"/>
        <v>32000</v>
      </c>
      <c r="O60" s="62">
        <f t="shared" si="65"/>
        <v>439.54300000000006</v>
      </c>
      <c r="P60" s="62">
        <v>5000</v>
      </c>
      <c r="Q60" s="62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2"/>
    </row>
    <row r="61" spans="1:36" ht="20.100000000000001" customHeight="1">
      <c r="A61" s="33"/>
      <c r="B61" s="48" t="s">
        <v>34</v>
      </c>
      <c r="D61" s="49" t="s">
        <v>511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63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18">
        <f>SUM(AC50:AC60)</f>
        <v>282975.12475000002</v>
      </c>
      <c r="AD61" s="74"/>
      <c r="AJ61" s="42"/>
    </row>
    <row r="62" spans="1:36" ht="20.100000000000001" customHeight="1">
      <c r="A62" s="33"/>
      <c r="B62" s="263" t="s">
        <v>328</v>
      </c>
      <c r="C62" s="263"/>
      <c r="D62" s="101"/>
      <c r="E62" s="40"/>
      <c r="F62" s="41" t="e">
        <f>F10+#REF!+F14+#REF!+F19+F24+F32+F36+F40+F47+F61</f>
        <v>#REF!</v>
      </c>
      <c r="G62" s="41" t="e">
        <f>G10+#REF!+G14+#REF!+G19+G24+G32+G36+G40+G47+G61</f>
        <v>#REF!</v>
      </c>
      <c r="H62" s="41" t="e">
        <f>H10+#REF!+H14+#REF!+H19+H24+H32+H36+H40+H47+H61</f>
        <v>#REF!</v>
      </c>
      <c r="I62" s="41" t="e">
        <f>I10+#REF!+I14+#REF!+I19+I24+I32+I36+I40+I47+I61</f>
        <v>#REF!</v>
      </c>
      <c r="J62" s="41" t="e">
        <f>J10+#REF!+J14+#REF!+J19+J24+J32+J36+J40+J47+J61</f>
        <v>#REF!</v>
      </c>
      <c r="K62" s="41" t="e">
        <f>K10+#REF!+K14+#REF!+K19+K24+K32+K36+K40+K47+K61</f>
        <v>#REF!</v>
      </c>
      <c r="L62" s="41" t="e">
        <f>L10+#REF!+L14+#REF!+L19+L24+L32+L36+L40+L47+L61</f>
        <v>#REF!</v>
      </c>
      <c r="M62" s="41" t="e">
        <f>M10+#REF!+M14+#REF!+M19+M24+M32+M36+M40+M47+M61</f>
        <v>#REF!</v>
      </c>
      <c r="N62" s="41" t="e">
        <f>N10+#REF!+N14+#REF!+N19+N24+N32+N36+N40+N47+N61</f>
        <v>#REF!</v>
      </c>
      <c r="O62" s="41" t="e">
        <f>O10+#REF!+O14+#REF!+O19+O24+O32+O36+O40+O47+O61</f>
        <v>#REF!</v>
      </c>
      <c r="P62" s="41" t="e">
        <f>P10+#REF!+P14+#REF!+P19+P24+P32+P36+P40+P47+P61</f>
        <v>#REF!</v>
      </c>
      <c r="Q62" s="41" t="e">
        <f>Q10+#REF!+Q14+#REF!+Q19+Q24+Q32+Q36+Q40+Q47+Q61</f>
        <v>#REF!</v>
      </c>
      <c r="R62" s="41"/>
      <c r="S62" s="41"/>
      <c r="T62" s="41"/>
      <c r="U62" s="41"/>
      <c r="V62" s="41">
        <f>V10+V14+V19+V24+V32+V36+V40+V47+V61</f>
        <v>9036660</v>
      </c>
      <c r="W62" s="41" t="e">
        <f>W10+#REF!+W14+#REF!+W19+W24+W32+W36+W40+W47+W61</f>
        <v>#REF!</v>
      </c>
      <c r="X62" s="41" t="e">
        <f>X10+#REF!+X14+#REF!+X19+X24+X32+X36+X40+X47+X61</f>
        <v>#REF!</v>
      </c>
      <c r="Y62" s="41" t="e">
        <f>Y10+#REF!+Y14+#REF!+Y19+Y24+Y32+Y36+Y40+Y47+Y61</f>
        <v>#REF!</v>
      </c>
      <c r="Z62" s="41" t="e">
        <f>Z10+#REF!+Z14+#REF!+Z19+Z24+Z32+Z36+Z40+Z47+Z61</f>
        <v>#REF!</v>
      </c>
      <c r="AA62" s="41" t="e">
        <f>AA10+#REF!+AA14+#REF!+AA19+AA24+AA32+AA36+AA40+AA47+AA61</f>
        <v>#REF!</v>
      </c>
      <c r="AB62" s="41">
        <v>31457193.518750004</v>
      </c>
      <c r="AC62" s="119" t="e">
        <f>AC10+#REF!+AC14+#REF!+AC19+AC24+AC32+AC36+AC40+AC47+AC61</f>
        <v>#REF!</v>
      </c>
      <c r="AD62" s="74"/>
      <c r="AJ62" s="42"/>
    </row>
    <row r="63" spans="1:36" ht="20.100000000000001" customHeight="1">
      <c r="A63" s="33"/>
      <c r="B63" s="256"/>
      <c r="C63" s="256"/>
      <c r="D63" s="46"/>
      <c r="E63" s="70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>
        <f>V62+AF59</f>
        <v>9216900</v>
      </c>
      <c r="W63" s="71"/>
      <c r="X63" s="71"/>
      <c r="Y63" s="71"/>
      <c r="Z63" s="71"/>
      <c r="AA63" s="71"/>
      <c r="AB63" s="71"/>
      <c r="AC63" s="120"/>
      <c r="AD63" s="74"/>
      <c r="AJ63" s="42">
        <f>AJ47+AJ40+AJ32+AJ24+AJ18+AJ14+AJ9+AJ50</f>
        <v>617099.1</v>
      </c>
    </row>
    <row r="64" spans="1:36" ht="20.100000000000001" customHeight="1">
      <c r="A64" s="33"/>
      <c r="B64" s="256"/>
      <c r="C64" s="256"/>
      <c r="D64" s="242" t="s">
        <v>329</v>
      </c>
      <c r="E64" s="242"/>
      <c r="F64" s="242"/>
      <c r="G64" s="242"/>
      <c r="H64" s="242"/>
      <c r="I64" s="242"/>
      <c r="J64" s="242"/>
      <c r="K64" s="241" t="s">
        <v>330</v>
      </c>
      <c r="L64" s="241"/>
      <c r="M64" s="241"/>
      <c r="N64" s="40"/>
      <c r="O64" s="241" t="s">
        <v>331</v>
      </c>
      <c r="P64" s="241"/>
      <c r="Q64" s="241"/>
      <c r="R64" s="241"/>
      <c r="S64" s="40"/>
      <c r="T64" s="40"/>
      <c r="U64" s="40"/>
      <c r="V64" s="40"/>
      <c r="W64" s="40"/>
      <c r="X64" s="40"/>
      <c r="Y64" s="40"/>
      <c r="Z64" s="71"/>
      <c r="AA64" s="71"/>
      <c r="AB64" s="71"/>
      <c r="AC64" s="120"/>
      <c r="AD64" s="74"/>
      <c r="AJ64" s="42"/>
    </row>
    <row r="65" spans="1:36" ht="20.100000000000001" customHeight="1">
      <c r="A65" s="3"/>
      <c r="B65" s="256"/>
      <c r="C65" s="256"/>
      <c r="D65" s="242"/>
      <c r="E65" s="242"/>
      <c r="F65" s="242"/>
      <c r="G65" s="242"/>
      <c r="H65" s="242"/>
      <c r="I65" s="242"/>
      <c r="J65" s="242"/>
      <c r="K65" s="241"/>
      <c r="L65" s="241"/>
      <c r="M65" s="241"/>
      <c r="N65" s="40"/>
      <c r="O65" s="241"/>
      <c r="P65" s="241"/>
      <c r="Q65" s="241"/>
      <c r="R65" s="241"/>
      <c r="S65" s="40"/>
      <c r="T65" s="40"/>
      <c r="U65" s="40"/>
      <c r="V65" s="40"/>
      <c r="W65" s="40"/>
      <c r="X65" s="40"/>
      <c r="Y65" s="40"/>
      <c r="Z65" s="71"/>
      <c r="AA65" s="71"/>
      <c r="AB65" s="71"/>
      <c r="AC65" s="120"/>
      <c r="AD65" s="74"/>
      <c r="AJ65" s="42"/>
    </row>
    <row r="66" spans="1:36" ht="20.100000000000001" customHeight="1">
      <c r="A66" s="33"/>
      <c r="AD66" s="74"/>
      <c r="AJ66" s="42"/>
    </row>
    <row r="67" spans="1:36" ht="20.100000000000001" customHeight="1">
      <c r="A67" s="33"/>
      <c r="AC67" s="34"/>
      <c r="AD67" s="74"/>
      <c r="AJ67" s="42"/>
    </row>
    <row r="68" spans="1:36" ht="20.100000000000001" customHeight="1">
      <c r="A68" s="33"/>
      <c r="AD68" s="74"/>
      <c r="AJ68" s="42"/>
    </row>
    <row r="69" spans="1:36" ht="20.10000000000000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74"/>
      <c r="AJ69" s="42"/>
    </row>
    <row r="70" spans="1:36" ht="20.10000000000000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74"/>
      <c r="AJ70" s="42"/>
    </row>
    <row r="71" spans="1:36" ht="20.10000000000000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74"/>
      <c r="AJ71" s="42"/>
    </row>
    <row r="72" spans="1:36" ht="20.10000000000000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74"/>
      <c r="AJ72" s="42"/>
    </row>
    <row r="73" spans="1:36" ht="20.10000000000000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74"/>
      <c r="AJ73" s="42"/>
    </row>
    <row r="74" spans="1:36" ht="20.10000000000000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74"/>
      <c r="AJ74" s="42"/>
    </row>
    <row r="75" spans="1:36" ht="20.10000000000000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74"/>
      <c r="AJ75" s="42"/>
    </row>
    <row r="76" spans="1:36" ht="20.100000000000001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74"/>
      <c r="AJ76" s="42"/>
    </row>
    <row r="77" spans="1:36" ht="20.10000000000000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74"/>
      <c r="AJ77" s="42"/>
    </row>
    <row r="78" spans="1:36" ht="20.100000000000001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74"/>
      <c r="AJ78" s="42"/>
    </row>
    <row r="79" spans="1:36" ht="20.100000000000001" customHeight="1">
      <c r="AD79" s="74"/>
      <c r="AJ79" s="42"/>
    </row>
    <row r="80" spans="1:36" ht="20.100000000000001" customHeight="1">
      <c r="AD80" s="74"/>
      <c r="AJ80" s="42"/>
    </row>
    <row r="81" spans="30:36" ht="20.100000000000001" customHeight="1">
      <c r="AD81" s="74"/>
      <c r="AJ81" s="42"/>
    </row>
    <row r="82" spans="30:36" ht="20.100000000000001" customHeight="1">
      <c r="AD82" s="74"/>
      <c r="AJ82" s="42"/>
    </row>
    <row r="83" spans="30:36" ht="20.100000000000001" customHeight="1">
      <c r="AD83" s="74"/>
      <c r="AJ83" s="42"/>
    </row>
    <row r="84" spans="30:36" ht="20.100000000000001" customHeight="1">
      <c r="AD84" s="74"/>
      <c r="AJ84" s="42"/>
    </row>
    <row r="85" spans="30:36" ht="20.100000000000001" customHeight="1">
      <c r="AD85" s="74"/>
      <c r="AJ85" s="42"/>
    </row>
    <row r="86" spans="30:36" ht="20.100000000000001" customHeight="1">
      <c r="AD86" s="74"/>
      <c r="AJ86" s="42"/>
    </row>
    <row r="87" spans="30:36" ht="20.100000000000001" customHeight="1">
      <c r="AD87" s="74"/>
      <c r="AJ87" s="42"/>
    </row>
    <row r="88" spans="30:36" ht="20.100000000000001" customHeight="1">
      <c r="AD88" s="74"/>
      <c r="AJ88" s="42"/>
    </row>
    <row r="89" spans="30:36" ht="20.100000000000001" customHeight="1">
      <c r="AD89" s="74"/>
      <c r="AJ89" s="42"/>
    </row>
    <row r="90" spans="30:36" ht="20.100000000000001" customHeight="1">
      <c r="AD90" s="74"/>
      <c r="AJ90" s="42"/>
    </row>
    <row r="91" spans="30:36" ht="20.100000000000001" customHeight="1">
      <c r="AD91" s="74"/>
      <c r="AJ91" s="42"/>
    </row>
    <row r="92" spans="30:36" ht="20.100000000000001" customHeight="1">
      <c r="AD92" s="74"/>
      <c r="AJ92" s="42"/>
    </row>
    <row r="93" spans="30:36" ht="20.100000000000001" customHeight="1">
      <c r="AD93" s="74"/>
      <c r="AJ93" s="42"/>
    </row>
    <row r="94" spans="30:36" ht="20.100000000000001" customHeight="1">
      <c r="AD94" s="74"/>
      <c r="AJ94" s="42"/>
    </row>
    <row r="95" spans="30:36" ht="20.100000000000001" customHeight="1">
      <c r="AD95" s="74"/>
    </row>
    <row r="96" spans="30:36" ht="20.100000000000001" customHeight="1">
      <c r="AD96" s="74"/>
    </row>
    <row r="97" spans="30:30" ht="20.100000000000001" customHeight="1">
      <c r="AD97" s="74"/>
    </row>
    <row r="98" spans="30:30" ht="20.100000000000001" customHeight="1">
      <c r="AD98" s="74"/>
    </row>
    <row r="99" spans="30:30" ht="20.100000000000001" customHeight="1">
      <c r="AD99" s="74"/>
    </row>
    <row r="100" spans="30:30" ht="20.100000000000001" customHeight="1">
      <c r="AD100" s="74"/>
    </row>
    <row r="101" spans="30:30" ht="20.100000000000001" customHeight="1">
      <c r="AD101" s="74"/>
    </row>
    <row r="102" spans="30:30" ht="20.100000000000001" customHeight="1">
      <c r="AD102" s="74"/>
    </row>
    <row r="103" spans="30:30" ht="20.100000000000001" customHeight="1">
      <c r="AD103" s="74"/>
    </row>
    <row r="104" spans="30:30" ht="20.100000000000001" customHeight="1">
      <c r="AD104" s="74"/>
    </row>
    <row r="105" spans="30:30" ht="20.100000000000001" customHeight="1">
      <c r="AD105" s="74"/>
    </row>
    <row r="106" spans="30:30" ht="20.100000000000001" customHeight="1">
      <c r="AD106" s="74"/>
    </row>
    <row r="107" spans="30:30" ht="20.100000000000001" customHeight="1">
      <c r="AD107" s="74"/>
    </row>
    <row r="108" spans="30:30" ht="20.100000000000001" customHeight="1">
      <c r="AD108" s="74"/>
    </row>
    <row r="109" spans="30:30" ht="20.100000000000001" customHeight="1">
      <c r="AD109" s="74"/>
    </row>
    <row r="110" spans="30:30" ht="20.100000000000001" customHeight="1">
      <c r="AD110" s="74"/>
    </row>
    <row r="111" spans="30:30" ht="20.100000000000001" customHeight="1">
      <c r="AD111" s="74"/>
    </row>
    <row r="112" spans="30:30" ht="20.100000000000001" customHeight="1">
      <c r="AD112" s="74"/>
    </row>
    <row r="113" spans="30:30" ht="20.100000000000001" customHeight="1">
      <c r="AD113" s="74"/>
    </row>
    <row r="114" spans="30:30" ht="20.100000000000001" customHeight="1">
      <c r="AD114" s="74"/>
    </row>
    <row r="115" spans="30:30" ht="20.100000000000001" customHeight="1">
      <c r="AD115" s="74"/>
    </row>
    <row r="116" spans="30:30" ht="20.100000000000001" customHeight="1">
      <c r="AD116" s="74"/>
    </row>
    <row r="117" spans="30:30" ht="20.100000000000001" customHeight="1">
      <c r="AD117" s="74"/>
    </row>
    <row r="118" spans="30:30" ht="20.100000000000001" customHeight="1">
      <c r="AD118" s="74"/>
    </row>
    <row r="119" spans="30:30" ht="20.100000000000001" customHeight="1">
      <c r="AD119" s="74"/>
    </row>
    <row r="120" spans="30:30" ht="20.100000000000001" customHeight="1">
      <c r="AD120" s="74"/>
    </row>
    <row r="121" spans="30:30" ht="20.100000000000001" customHeight="1">
      <c r="AD121" s="74"/>
    </row>
    <row r="122" spans="30:30" ht="20.100000000000001" customHeight="1">
      <c r="AD122" s="74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0" t="s">
        <v>561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562</v>
      </c>
      <c r="Z5" s="2" t="s">
        <v>562</v>
      </c>
    </row>
    <row r="6" spans="1:30" ht="35.450000000000003" customHeight="1">
      <c r="A6" s="33"/>
      <c r="B6" s="285"/>
      <c r="C6" s="285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537</v>
      </c>
      <c r="Y6" s="121"/>
      <c r="Z6" s="7" t="s">
        <v>563</v>
      </c>
    </row>
    <row r="7" spans="1:30" ht="55.9" customHeight="1">
      <c r="A7" s="33"/>
      <c r="B7" s="286"/>
      <c r="C7" s="286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122"/>
      <c r="Z7" s="33"/>
    </row>
    <row r="8" spans="1:30" ht="20.100000000000001" customHeight="1">
      <c r="A8" s="21" t="s">
        <v>35</v>
      </c>
      <c r="B8" s="287" t="s">
        <v>36</v>
      </c>
      <c r="C8" s="287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123"/>
      <c r="Z8" s="33"/>
    </row>
    <row r="9" spans="1:30" ht="20.100000000000001" customHeight="1">
      <c r="A9" s="3">
        <v>1</v>
      </c>
      <c r="B9" s="257" t="s">
        <v>38</v>
      </c>
      <c r="C9" s="258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24">
        <f>0</f>
        <v>0</v>
      </c>
      <c r="Z9" s="27">
        <f>2000000</f>
        <v>2000000</v>
      </c>
    </row>
    <row r="10" spans="1:30" ht="20.100000000000001" customHeight="1">
      <c r="A10" s="3">
        <v>2</v>
      </c>
      <c r="B10" s="257" t="s">
        <v>41</v>
      </c>
      <c r="C10" s="258"/>
      <c r="D10" s="61" t="s">
        <v>564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f t="shared" ref="N10:N74" si="0">150000</f>
        <v>150000</v>
      </c>
      <c r="O10" s="62">
        <f>F10*10%</f>
        <v>8174.0020000000004</v>
      </c>
      <c r="P10" s="62">
        <v>20000</v>
      </c>
      <c r="Q10" s="62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'[3]DECEMBER 2019'!$H$39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124">
        <f>0</f>
        <v>0</v>
      </c>
      <c r="Z10" s="27">
        <f>1000000</f>
        <v>1000000</v>
      </c>
    </row>
    <row r="11" spans="1:30" ht="20.100000000000001" customHeight="1">
      <c r="A11" s="3">
        <v>3</v>
      </c>
      <c r="B11" s="271" t="s">
        <v>52</v>
      </c>
      <c r="C11" s="272"/>
      <c r="D11" s="33" t="s">
        <v>538</v>
      </c>
      <c r="E11" s="38" t="s">
        <v>54</v>
      </c>
      <c r="F11" s="62">
        <v>33507.5</v>
      </c>
      <c r="G11" s="62"/>
      <c r="H11" s="62">
        <f t="shared" ref="H11:H24" si="1">F11*300%</f>
        <v>100522.5</v>
      </c>
      <c r="I11" s="62">
        <f t="shared" ref="I11:I24" si="2">F11*7.5%</f>
        <v>2513.0625</v>
      </c>
      <c r="J11" s="62">
        <v>40122.19</v>
      </c>
      <c r="K11" s="62">
        <f t="shared" ref="K11:K17" si="3">F11*50%</f>
        <v>16753.75</v>
      </c>
      <c r="L11" s="62">
        <f t="shared" ref="L11:L24" si="4">F11*350%</f>
        <v>117276.25</v>
      </c>
      <c r="M11" s="62">
        <f t="shared" ref="M11:M24" si="5">F11*100%</f>
        <v>33507.5</v>
      </c>
      <c r="N11" s="62">
        <f>100000</f>
        <v>100000</v>
      </c>
      <c r="O11" s="62">
        <f t="shared" ref="O11:O24" si="6">F11*10%</f>
        <v>3350.75</v>
      </c>
      <c r="P11" s="62">
        <v>20000</v>
      </c>
      <c r="Q11" s="62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'[3]DECEMBER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24">
        <f>0</f>
        <v>0</v>
      </c>
      <c r="Z11" s="27">
        <f>700000</f>
        <v>700000</v>
      </c>
    </row>
    <row r="12" spans="1:30" ht="20.100000000000001" customHeight="1">
      <c r="A12" s="3">
        <v>4</v>
      </c>
      <c r="B12" s="269" t="s">
        <v>55</v>
      </c>
      <c r="C12" s="270"/>
      <c r="D12" s="47" t="s">
        <v>56</v>
      </c>
      <c r="E12" s="29" t="s">
        <v>54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'[3]DECEMBER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25">
        <f>0</f>
        <v>0</v>
      </c>
      <c r="Z12" s="27">
        <f>700000</f>
        <v>700000</v>
      </c>
    </row>
    <row r="13" spans="1:30" ht="20.100000000000001" customHeight="1">
      <c r="A13" s="3">
        <v>5</v>
      </c>
      <c r="B13" s="271" t="s">
        <v>57</v>
      </c>
      <c r="C13" s="272"/>
      <c r="D13" s="33" t="s">
        <v>58</v>
      </c>
      <c r="E13" s="3" t="s">
        <v>54</v>
      </c>
      <c r="F13" s="36">
        <f>33507.5</f>
        <v>33507.5</v>
      </c>
      <c r="G13" s="62"/>
      <c r="H13" s="62">
        <f t="shared" si="1"/>
        <v>100522.5</v>
      </c>
      <c r="I13" s="62">
        <f t="shared" si="2"/>
        <v>2513.0625</v>
      </c>
      <c r="J13" s="62">
        <v>40122.19</v>
      </c>
      <c r="K13" s="62">
        <f t="shared" si="3"/>
        <v>16753.75</v>
      </c>
      <c r="L13" s="62">
        <f t="shared" si="4"/>
        <v>117276.25</v>
      </c>
      <c r="M13" s="62">
        <f t="shared" si="5"/>
        <v>33507.5</v>
      </c>
      <c r="N13" s="36">
        <f>100000</f>
        <v>100000</v>
      </c>
      <c r="O13" s="62">
        <f t="shared" si="6"/>
        <v>3350.75</v>
      </c>
      <c r="P13" s="62">
        <v>20000</v>
      </c>
      <c r="Q13" s="63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'[3]DECEMBER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24">
        <f>0</f>
        <v>0</v>
      </c>
      <c r="Z13" s="27">
        <f>700000</f>
        <v>700000</v>
      </c>
    </row>
    <row r="14" spans="1:30" ht="20.100000000000001" customHeight="1">
      <c r="A14" s="3">
        <v>6</v>
      </c>
      <c r="B14" s="271" t="s">
        <v>391</v>
      </c>
      <c r="C14" s="272"/>
      <c r="D14" s="43" t="s">
        <v>478</v>
      </c>
      <c r="E14" s="75" t="s">
        <v>227</v>
      </c>
      <c r="F14" s="65">
        <f>42653.17</f>
        <v>42653.17</v>
      </c>
      <c r="G14" s="64"/>
      <c r="H14" s="62">
        <f t="shared" si="1"/>
        <v>127959.51</v>
      </c>
      <c r="I14" s="62">
        <f t="shared" si="2"/>
        <v>3198.9877499999998</v>
      </c>
      <c r="J14" s="62">
        <v>40122.19</v>
      </c>
      <c r="K14" s="62">
        <f t="shared" si="3"/>
        <v>21326.584999999999</v>
      </c>
      <c r="L14" s="62">
        <f t="shared" si="4"/>
        <v>149286.095</v>
      </c>
      <c r="M14" s="62">
        <f t="shared" si="5"/>
        <v>42653.17</v>
      </c>
      <c r="N14" s="62">
        <f>100000</f>
        <v>100000</v>
      </c>
      <c r="O14" s="62">
        <f t="shared" si="6"/>
        <v>4265.317</v>
      </c>
      <c r="P14" s="62">
        <v>20000</v>
      </c>
      <c r="Q14" s="76"/>
      <c r="R14" s="36">
        <f t="shared" si="7"/>
        <v>551465.0247500001</v>
      </c>
      <c r="S14" s="65">
        <f>100000</f>
        <v>100000</v>
      </c>
      <c r="T14" s="65">
        <f>137500</f>
        <v>137500</v>
      </c>
      <c r="U14" s="65"/>
      <c r="V14" s="36">
        <v>21618.09</v>
      </c>
      <c r="W14" s="36">
        <f t="shared" si="8"/>
        <v>259118.09</v>
      </c>
      <c r="X14" s="36">
        <v>278625.90575000003</v>
      </c>
      <c r="Y14" s="124">
        <f>0</f>
        <v>0</v>
      </c>
      <c r="Z14" s="27">
        <f>700000</f>
        <v>700000</v>
      </c>
    </row>
    <row r="15" spans="1:30" ht="20.100000000000001" customHeight="1">
      <c r="A15" s="3">
        <v>7</v>
      </c>
      <c r="B15" s="271" t="s">
        <v>47</v>
      </c>
      <c r="C15" s="272"/>
      <c r="D15" s="43" t="s">
        <v>48</v>
      </c>
      <c r="E15" s="75" t="s">
        <v>479</v>
      </c>
      <c r="F15" s="65">
        <f>39662.25</f>
        <v>39662.25</v>
      </c>
      <c r="G15" s="64"/>
      <c r="H15" s="62">
        <f t="shared" si="1"/>
        <v>118986.75</v>
      </c>
      <c r="I15" s="62">
        <f t="shared" si="2"/>
        <v>2974.6687499999998</v>
      </c>
      <c r="J15" s="62">
        <v>40122.19</v>
      </c>
      <c r="K15" s="62">
        <f t="shared" si="3"/>
        <v>19831.125</v>
      </c>
      <c r="L15" s="62">
        <f t="shared" si="4"/>
        <v>138817.875</v>
      </c>
      <c r="M15" s="62">
        <f t="shared" si="5"/>
        <v>39662.25</v>
      </c>
      <c r="N15" s="65">
        <f>150000</f>
        <v>150000</v>
      </c>
      <c r="O15" s="62">
        <f t="shared" si="6"/>
        <v>3966.2250000000004</v>
      </c>
      <c r="P15" s="62">
        <v>20000</v>
      </c>
      <c r="Q15" s="65">
        <f>100000</f>
        <v>100000</v>
      </c>
      <c r="R15" s="36">
        <f t="shared" si="7"/>
        <v>674023.33374999999</v>
      </c>
      <c r="S15" s="65"/>
      <c r="T15" s="65"/>
      <c r="U15" s="65"/>
      <c r="V15" s="36">
        <f>21618.09</f>
        <v>21618.09</v>
      </c>
      <c r="W15" s="36">
        <f t="shared" si="8"/>
        <v>21618.09</v>
      </c>
      <c r="X15" s="36">
        <v>590588.72000000009</v>
      </c>
      <c r="Y15" s="124">
        <f>0</f>
        <v>0</v>
      </c>
      <c r="Z15" s="27">
        <f>700000</f>
        <v>700000</v>
      </c>
    </row>
    <row r="16" spans="1:30" ht="20.100000000000001" customHeight="1">
      <c r="A16" s="3">
        <v>8</v>
      </c>
      <c r="B16" s="271" t="s">
        <v>64</v>
      </c>
      <c r="C16" s="272"/>
      <c r="D16" s="43" t="s">
        <v>442</v>
      </c>
      <c r="E16" s="44" t="s">
        <v>138</v>
      </c>
      <c r="F16" s="64">
        <f>25523.45</f>
        <v>25523.45</v>
      </c>
      <c r="G16" s="64"/>
      <c r="H16" s="64">
        <f t="shared" si="1"/>
        <v>76570.350000000006</v>
      </c>
      <c r="I16" s="64">
        <f t="shared" si="2"/>
        <v>1914.25875</v>
      </c>
      <c r="J16" s="64"/>
      <c r="K16" s="64">
        <f t="shared" si="3"/>
        <v>12761.725</v>
      </c>
      <c r="L16" s="64">
        <f t="shared" si="4"/>
        <v>89332.074999999997</v>
      </c>
      <c r="M16" s="64">
        <f t="shared" si="5"/>
        <v>25523.45</v>
      </c>
      <c r="N16" s="64">
        <f>100000</f>
        <v>100000</v>
      </c>
      <c r="O16" s="64">
        <f t="shared" si="6"/>
        <v>2552.3450000000003</v>
      </c>
      <c r="P16" s="64">
        <v>15000</v>
      </c>
      <c r="Q16" s="64">
        <v>50000</v>
      </c>
      <c r="R16" s="36">
        <f t="shared" si="7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8"/>
        <v>120709.75999999999</v>
      </c>
      <c r="X16" s="36">
        <v>271291.30049999995</v>
      </c>
      <c r="Y16" s="124">
        <f>0</f>
        <v>0</v>
      </c>
      <c r="Z16" s="27">
        <f>500000</f>
        <v>500000</v>
      </c>
    </row>
    <row r="17" spans="1:26" ht="19.5" customHeight="1">
      <c r="A17" s="3">
        <v>9</v>
      </c>
      <c r="B17" s="271" t="s">
        <v>67</v>
      </c>
      <c r="C17" s="272"/>
      <c r="D17" s="33" t="s">
        <v>444</v>
      </c>
      <c r="E17" s="3" t="s">
        <v>73</v>
      </c>
      <c r="F17" s="62">
        <v>26339.3</v>
      </c>
      <c r="G17" s="62"/>
      <c r="H17" s="62">
        <f t="shared" si="1"/>
        <v>79017.899999999994</v>
      </c>
      <c r="I17" s="62">
        <f t="shared" si="2"/>
        <v>1975.4474999999998</v>
      </c>
      <c r="J17" s="62"/>
      <c r="K17" s="62">
        <f t="shared" si="3"/>
        <v>13169.65</v>
      </c>
      <c r="L17" s="36">
        <f t="shared" si="4"/>
        <v>92187.55</v>
      </c>
      <c r="M17" s="62">
        <f t="shared" si="5"/>
        <v>26339.3</v>
      </c>
      <c r="N17" s="64">
        <f t="shared" ref="N17:N26" si="9">100000</f>
        <v>100000</v>
      </c>
      <c r="O17" s="62">
        <f t="shared" si="6"/>
        <v>2633.9300000000003</v>
      </c>
      <c r="P17" s="62">
        <v>15000</v>
      </c>
      <c r="Q17" s="62">
        <v>0</v>
      </c>
      <c r="R17" s="36">
        <f t="shared" si="7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24">
        <f>0</f>
        <v>0</v>
      </c>
      <c r="Z17" s="27">
        <f>500000</f>
        <v>500000</v>
      </c>
    </row>
    <row r="18" spans="1:26" ht="19.5" customHeight="1">
      <c r="A18" s="3">
        <v>10</v>
      </c>
      <c r="B18" s="271" t="s">
        <v>69</v>
      </c>
      <c r="C18" s="272"/>
      <c r="D18" s="33" t="s">
        <v>445</v>
      </c>
      <c r="E18" s="3" t="s">
        <v>138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24">
        <f>0</f>
        <v>0</v>
      </c>
      <c r="Z18" s="27">
        <f>500000</f>
        <v>500000</v>
      </c>
    </row>
    <row r="19" spans="1:26" ht="20.100000000000001" customHeight="1">
      <c r="A19" s="3">
        <v>11</v>
      </c>
      <c r="B19" s="257" t="s">
        <v>71</v>
      </c>
      <c r="C19" s="258"/>
      <c r="D19" s="61" t="s">
        <v>444</v>
      </c>
      <c r="E19" s="66" t="s">
        <v>73</v>
      </c>
      <c r="F19" s="62">
        <f>26339.3</f>
        <v>26339.3</v>
      </c>
      <c r="G19" s="62">
        <v>0</v>
      </c>
      <c r="H19" s="62">
        <f t="shared" si="1"/>
        <v>79017.899999999994</v>
      </c>
      <c r="I19" s="62">
        <f t="shared" si="2"/>
        <v>1975.4474999999998</v>
      </c>
      <c r="J19" s="36">
        <v>0</v>
      </c>
      <c r="K19" s="62">
        <f>F19*50%</f>
        <v>13169.65</v>
      </c>
      <c r="L19" s="36">
        <f t="shared" si="4"/>
        <v>92187.55</v>
      </c>
      <c r="M19" s="62">
        <f t="shared" si="5"/>
        <v>26339.3</v>
      </c>
      <c r="N19" s="64">
        <f t="shared" si="9"/>
        <v>100000</v>
      </c>
      <c r="O19" s="62">
        <f t="shared" si="6"/>
        <v>2633.9300000000003</v>
      </c>
      <c r="P19" s="62">
        <v>15000</v>
      </c>
      <c r="Q19" s="62">
        <f>0</f>
        <v>0</v>
      </c>
      <c r="R19" s="36">
        <f t="shared" si="7"/>
        <v>356663.07749999996</v>
      </c>
      <c r="S19" s="36"/>
      <c r="T19" s="36"/>
      <c r="U19" s="36"/>
      <c r="V19" s="62">
        <f>7709.76</f>
        <v>7709.76</v>
      </c>
      <c r="W19" s="36">
        <f t="shared" si="8"/>
        <v>7709.76</v>
      </c>
      <c r="X19" s="36">
        <v>348953.31749999995</v>
      </c>
      <c r="Y19" s="124">
        <f>0</f>
        <v>0</v>
      </c>
      <c r="Z19" s="27">
        <f>500000</f>
        <v>500000</v>
      </c>
    </row>
    <row r="20" spans="1:26" ht="20.100000000000001" customHeight="1">
      <c r="A20" s="3">
        <v>12</v>
      </c>
      <c r="B20" s="257" t="s">
        <v>80</v>
      </c>
      <c r="C20" s="258"/>
      <c r="D20" s="61" t="s">
        <v>81</v>
      </c>
      <c r="E20" s="66" t="s">
        <v>103</v>
      </c>
      <c r="F20" s="62">
        <f>18281.64</f>
        <v>18281.64</v>
      </c>
      <c r="G20" s="62"/>
      <c r="H20" s="62">
        <f t="shared" si="1"/>
        <v>54844.92</v>
      </c>
      <c r="I20" s="62">
        <f t="shared" si="2"/>
        <v>1371.1229999999998</v>
      </c>
      <c r="J20" s="36"/>
      <c r="K20" s="62">
        <f>F20*50%</f>
        <v>9140.82</v>
      </c>
      <c r="L20" s="36">
        <f t="shared" si="4"/>
        <v>63985.74</v>
      </c>
      <c r="M20" s="62">
        <f t="shared" si="5"/>
        <v>18281.64</v>
      </c>
      <c r="N20" s="64">
        <f t="shared" si="9"/>
        <v>100000</v>
      </c>
      <c r="O20" s="62">
        <f t="shared" si="6"/>
        <v>1828.164</v>
      </c>
      <c r="P20" s="62">
        <v>10000</v>
      </c>
      <c r="Q20" s="62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124">
        <f>300000</f>
        <v>300000</v>
      </c>
      <c r="Z20" s="27"/>
    </row>
    <row r="21" spans="1:26" ht="18.75" customHeight="1">
      <c r="A21" s="3">
        <v>13</v>
      </c>
      <c r="B21" s="257" t="s">
        <v>83</v>
      </c>
      <c r="C21" s="258"/>
      <c r="D21" s="61" t="s">
        <v>89</v>
      </c>
      <c r="E21" s="66" t="s">
        <v>208</v>
      </c>
      <c r="F21" s="62">
        <f>19276.95</f>
        <v>19276.95</v>
      </c>
      <c r="G21" s="62"/>
      <c r="H21" s="62">
        <f t="shared" si="1"/>
        <v>57830.850000000006</v>
      </c>
      <c r="I21" s="62">
        <f t="shared" si="2"/>
        <v>1445.77125</v>
      </c>
      <c r="J21" s="36"/>
      <c r="K21" s="62">
        <f>F21*50%</f>
        <v>9638.4750000000004</v>
      </c>
      <c r="L21" s="36">
        <f t="shared" si="4"/>
        <v>67469.324999999997</v>
      </c>
      <c r="M21" s="62">
        <f t="shared" si="5"/>
        <v>19276.95</v>
      </c>
      <c r="N21" s="64">
        <f t="shared" si="9"/>
        <v>100000</v>
      </c>
      <c r="O21" s="62">
        <f t="shared" si="6"/>
        <v>1927.6950000000002</v>
      </c>
      <c r="P21" s="62">
        <v>10000</v>
      </c>
      <c r="Q21" s="62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8"/>
        <v>106338.99249999999</v>
      </c>
      <c r="X21" s="36">
        <v>175961.08499999996</v>
      </c>
      <c r="Y21" s="124">
        <f>300000</f>
        <v>300000</v>
      </c>
      <c r="Z21" s="27"/>
    </row>
    <row r="22" spans="1:26" ht="18.75" customHeight="1">
      <c r="A22" s="3">
        <v>14</v>
      </c>
      <c r="B22" s="97" t="s">
        <v>88</v>
      </c>
      <c r="C22" s="98"/>
      <c r="D22" s="61" t="s">
        <v>89</v>
      </c>
      <c r="E22" s="66" t="s">
        <v>108</v>
      </c>
      <c r="F22" s="67">
        <f>13112.16</f>
        <v>13112.16</v>
      </c>
      <c r="G22" s="62"/>
      <c r="H22" s="62">
        <f t="shared" si="1"/>
        <v>39336.479999999996</v>
      </c>
      <c r="I22" s="62">
        <f t="shared" si="2"/>
        <v>983.41199999999992</v>
      </c>
      <c r="J22" s="62"/>
      <c r="K22" s="62">
        <f t="shared" ref="K22:K24" si="11">F22*50%</f>
        <v>6556.08</v>
      </c>
      <c r="L22" s="36">
        <f t="shared" si="4"/>
        <v>45892.56</v>
      </c>
      <c r="M22" s="62">
        <f t="shared" si="5"/>
        <v>13112.16</v>
      </c>
      <c r="N22" s="64">
        <f t="shared" si="9"/>
        <v>100000</v>
      </c>
      <c r="O22" s="62">
        <f t="shared" si="6"/>
        <v>1311.2160000000001</v>
      </c>
      <c r="P22" s="62">
        <v>10000</v>
      </c>
      <c r="Q22" s="62"/>
      <c r="R22" s="36">
        <f t="shared" si="7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124">
        <f>300000</f>
        <v>300000</v>
      </c>
      <c r="Z22" s="27"/>
    </row>
    <row r="23" spans="1:26" ht="18.75" customHeight="1">
      <c r="A23" s="3">
        <v>15</v>
      </c>
      <c r="B23" s="97" t="s">
        <v>91</v>
      </c>
      <c r="C23" s="98"/>
      <c r="D23" s="61" t="s">
        <v>281</v>
      </c>
      <c r="E23" s="66" t="s">
        <v>93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64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25">
        <f>300000</f>
        <v>300000</v>
      </c>
      <c r="Z23" s="27"/>
    </row>
    <row r="24" spans="1:26" ht="18.75" customHeight="1">
      <c r="A24" s="3">
        <v>16</v>
      </c>
      <c r="B24" s="97" t="s">
        <v>94</v>
      </c>
      <c r="C24" s="98"/>
      <c r="D24" s="61" t="s">
        <v>281</v>
      </c>
      <c r="E24" s="66" t="s">
        <v>93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64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25">
        <f>300000</f>
        <v>300000</v>
      </c>
      <c r="Z24" s="27"/>
    </row>
    <row r="25" spans="1:26" ht="18.75" customHeight="1">
      <c r="A25" s="3">
        <v>17</v>
      </c>
      <c r="B25" s="264" t="s">
        <v>96</v>
      </c>
      <c r="C25" s="264"/>
      <c r="D25" s="33" t="s">
        <v>97</v>
      </c>
      <c r="E25" s="66" t="s">
        <v>79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9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124">
        <f>0</f>
        <v>0</v>
      </c>
      <c r="Z25" s="27">
        <f>500000</f>
        <v>500000</v>
      </c>
    </row>
    <row r="26" spans="1:26" ht="18.75" customHeight="1">
      <c r="A26" s="3">
        <v>18</v>
      </c>
      <c r="B26" s="257" t="s">
        <v>99</v>
      </c>
      <c r="C26" s="258"/>
      <c r="D26" s="33" t="s">
        <v>100</v>
      </c>
      <c r="E26" s="66" t="s">
        <v>103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9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124">
        <f>300000</f>
        <v>300000</v>
      </c>
      <c r="Z26" s="27"/>
    </row>
    <row r="27" spans="1:26" ht="18.75" customHeight="1">
      <c r="A27" s="3">
        <v>19</v>
      </c>
      <c r="B27" s="97" t="s">
        <v>101</v>
      </c>
      <c r="C27" s="98"/>
      <c r="D27" s="33" t="s">
        <v>102</v>
      </c>
      <c r="E27" s="66" t="s">
        <v>95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124">
        <f>300000</f>
        <v>300000</v>
      </c>
      <c r="Z27" s="27"/>
    </row>
    <row r="28" spans="1:26" ht="18.75" customHeight="1">
      <c r="A28" s="3"/>
      <c r="B28" s="267" t="s">
        <v>34</v>
      </c>
      <c r="C28" s="267"/>
      <c r="D28" s="7">
        <v>19</v>
      </c>
      <c r="E28" s="66"/>
      <c r="F28" s="68">
        <f t="shared" ref="F28:W28" si="14">SUM(F9:F27)</f>
        <v>664123.57999999996</v>
      </c>
      <c r="G28" s="68">
        <f t="shared" si="14"/>
        <v>0</v>
      </c>
      <c r="H28" s="68">
        <f t="shared" si="14"/>
        <v>1831881.9900000002</v>
      </c>
      <c r="I28" s="68">
        <f t="shared" si="14"/>
        <v>85919.242249999996</v>
      </c>
      <c r="J28" s="68">
        <f t="shared" si="14"/>
        <v>401221.9</v>
      </c>
      <c r="K28" s="68">
        <f t="shared" si="14"/>
        <v>324037.35499999992</v>
      </c>
      <c r="L28" s="68">
        <f t="shared" si="14"/>
        <v>1762721.905</v>
      </c>
      <c r="M28" s="68">
        <f t="shared" si="14"/>
        <v>624001.39999999991</v>
      </c>
      <c r="N28" s="68">
        <f t="shared" si="14"/>
        <v>2150000</v>
      </c>
      <c r="O28" s="68">
        <f t="shared" si="14"/>
        <v>66412.362999999998</v>
      </c>
      <c r="P28" s="68">
        <f t="shared" si="14"/>
        <v>290000</v>
      </c>
      <c r="Q28" s="68">
        <f t="shared" si="14"/>
        <v>425235</v>
      </c>
      <c r="R28" s="68">
        <f t="shared" si="14"/>
        <v>8625554.7352499999</v>
      </c>
      <c r="S28" s="68">
        <f t="shared" si="14"/>
        <v>535000</v>
      </c>
      <c r="T28" s="68">
        <f t="shared" si="14"/>
        <v>1017465.0599999999</v>
      </c>
      <c r="U28" s="68">
        <f t="shared" si="14"/>
        <v>6178.8935000000001</v>
      </c>
      <c r="V28" s="68">
        <f t="shared" si="14"/>
        <v>311816.36000000004</v>
      </c>
      <c r="W28" s="68">
        <f t="shared" si="14"/>
        <v>1870460.3135000002</v>
      </c>
      <c r="X28" s="68">
        <v>6193029.3780000014</v>
      </c>
      <c r="Y28" s="126">
        <f>SUM(Y9:Y27)</f>
        <v>2100000</v>
      </c>
      <c r="Z28" s="134">
        <f>SUM(Z9:Z27)</f>
        <v>9000000</v>
      </c>
    </row>
    <row r="29" spans="1:26" ht="18.75" customHeight="1">
      <c r="A29" s="3"/>
      <c r="B29" s="96"/>
      <c r="C29" s="96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126"/>
      <c r="Z29" s="33"/>
    </row>
    <row r="30" spans="1:26" ht="18.75" customHeight="1">
      <c r="A30" s="3"/>
      <c r="B30" s="267" t="s">
        <v>115</v>
      </c>
      <c r="C30" s="267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124"/>
      <c r="Z30" s="33"/>
    </row>
    <row r="31" spans="1:26" ht="18.75" customHeight="1">
      <c r="A31" s="3">
        <v>1</v>
      </c>
      <c r="B31" s="311" t="s">
        <v>482</v>
      </c>
      <c r="C31" s="312"/>
      <c r="D31" s="61" t="s">
        <v>483</v>
      </c>
      <c r="E31" s="66" t="s">
        <v>118</v>
      </c>
      <c r="F31" s="62">
        <f>79039.64</f>
        <v>79039.64</v>
      </c>
      <c r="G31" s="62"/>
      <c r="H31" s="62">
        <f t="shared" ref="H31" si="15">F31*300%</f>
        <v>237118.91999999998</v>
      </c>
      <c r="I31" s="62">
        <f t="shared" ref="I31" si="16">F31*7.5%</f>
        <v>5927.973</v>
      </c>
      <c r="J31" s="62">
        <f>80244.38</f>
        <v>80244.38</v>
      </c>
      <c r="K31" s="62">
        <f t="shared" ref="K31" si="17">F31*50%</f>
        <v>39519.82</v>
      </c>
      <c r="L31" s="62">
        <f t="shared" ref="L31" si="18">F31*350%</f>
        <v>276638.74</v>
      </c>
      <c r="M31" s="62">
        <f t="shared" ref="M31" si="19">F31*100%</f>
        <v>79039.64</v>
      </c>
      <c r="N31" s="64">
        <f t="shared" ref="N31" si="20">100000</f>
        <v>100000</v>
      </c>
      <c r="O31" s="62">
        <f t="shared" ref="O31" si="21">F31*10%</f>
        <v>7903.9639999999999</v>
      </c>
      <c r="P31" s="62">
        <v>20000</v>
      </c>
      <c r="Q31" s="62">
        <v>0</v>
      </c>
      <c r="R31" s="36">
        <f t="shared" ref="R31" si="22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124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34</v>
      </c>
      <c r="D32" s="7">
        <v>2</v>
      </c>
      <c r="E32" s="3"/>
      <c r="F32" s="68">
        <f t="shared" ref="F32:W32" si="23">SUM(F31:F31)</f>
        <v>79039.64</v>
      </c>
      <c r="G32" s="68">
        <f t="shared" si="23"/>
        <v>0</v>
      </c>
      <c r="H32" s="68">
        <f t="shared" si="23"/>
        <v>237118.91999999998</v>
      </c>
      <c r="I32" s="68">
        <f t="shared" si="23"/>
        <v>5927.973</v>
      </c>
      <c r="J32" s="68">
        <f t="shared" si="23"/>
        <v>80244.38</v>
      </c>
      <c r="K32" s="68">
        <f t="shared" si="23"/>
        <v>39519.82</v>
      </c>
      <c r="L32" s="68">
        <f t="shared" si="23"/>
        <v>276638.74</v>
      </c>
      <c r="M32" s="68">
        <f t="shared" si="23"/>
        <v>79039.64</v>
      </c>
      <c r="N32" s="68">
        <f t="shared" si="23"/>
        <v>100000</v>
      </c>
      <c r="O32" s="68">
        <f t="shared" si="23"/>
        <v>7903.9639999999999</v>
      </c>
      <c r="P32" s="68">
        <f t="shared" si="23"/>
        <v>20000</v>
      </c>
      <c r="Q32" s="68">
        <f t="shared" si="23"/>
        <v>0</v>
      </c>
      <c r="R32" s="68">
        <f t="shared" si="23"/>
        <v>925433.07700000005</v>
      </c>
      <c r="S32" s="68">
        <f t="shared" si="23"/>
        <v>100000</v>
      </c>
      <c r="T32" s="68">
        <f t="shared" si="23"/>
        <v>287500</v>
      </c>
      <c r="U32" s="68">
        <f t="shared" si="23"/>
        <v>1028.9422500000001</v>
      </c>
      <c r="V32" s="68">
        <f t="shared" si="23"/>
        <v>52776.63</v>
      </c>
      <c r="W32" s="68">
        <f t="shared" si="23"/>
        <v>441305.57225000003</v>
      </c>
      <c r="X32" s="68">
        <v>738282.45275000017</v>
      </c>
      <c r="Y32" s="126">
        <f>SUM(Y31)</f>
        <v>0</v>
      </c>
      <c r="Z32" s="134">
        <f>SUM(Z31)</f>
        <v>500000</v>
      </c>
    </row>
    <row r="33" spans="1:26" ht="20.100000000000001" customHeight="1">
      <c r="A33" s="3"/>
      <c r="B33" s="281"/>
      <c r="C33" s="282"/>
      <c r="D33" s="33"/>
      <c r="E33" s="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6"/>
      <c r="X33" s="36"/>
      <c r="Y33" s="124"/>
      <c r="Z33" s="33"/>
    </row>
    <row r="34" spans="1:26" ht="20.100000000000001" customHeight="1">
      <c r="A34" s="3"/>
      <c r="B34" s="283" t="s">
        <v>121</v>
      </c>
      <c r="C34" s="284"/>
      <c r="D34" s="50"/>
      <c r="E34" s="2"/>
      <c r="F34" s="68"/>
      <c r="G34" s="68"/>
      <c r="H34" s="68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24"/>
      <c r="Z34" s="33"/>
    </row>
    <row r="35" spans="1:26" ht="20.100000000000001" customHeight="1">
      <c r="A35" s="3">
        <v>1</v>
      </c>
      <c r="B35" s="257" t="s">
        <v>122</v>
      </c>
      <c r="C35" s="258"/>
      <c r="D35" s="33" t="s">
        <v>123</v>
      </c>
      <c r="E35" s="3" t="s">
        <v>43</v>
      </c>
      <c r="F35" s="62">
        <f>81740.02</f>
        <v>81740.02</v>
      </c>
      <c r="G35" s="62"/>
      <c r="H35" s="62">
        <f>F35*300%</f>
        <v>245220.06</v>
      </c>
      <c r="I35" s="62">
        <f>F35*7.5%</f>
        <v>6130.5015000000003</v>
      </c>
      <c r="J35" s="62">
        <v>80244.38</v>
      </c>
      <c r="K35" s="62">
        <f>F35*50%</f>
        <v>40870.01</v>
      </c>
      <c r="L35" s="62">
        <f>F35*350%</f>
        <v>286090.07</v>
      </c>
      <c r="M35" s="62">
        <f t="shared" ref="M35:M45" si="24">F35*100%</f>
        <v>81740.02</v>
      </c>
      <c r="N35" s="62">
        <f>150000</f>
        <v>150000</v>
      </c>
      <c r="O35" s="62">
        <f t="shared" ref="O35:O45" si="25">F35*10%</f>
        <v>8174.0020000000004</v>
      </c>
      <c r="P35" s="62">
        <v>20000</v>
      </c>
      <c r="Q35" s="62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62">
        <f>52776.63</f>
        <v>52776.63</v>
      </c>
      <c r="W35" s="36">
        <f t="shared" ref="W35:W45" si="27">V35+S35+T35+U35</f>
        <v>154776.63</v>
      </c>
      <c r="X35" s="36">
        <v>922656.44700000004</v>
      </c>
      <c r="Y35" s="124">
        <f>0</f>
        <v>0</v>
      </c>
      <c r="Z35" s="27">
        <f>1000000</f>
        <v>1000000</v>
      </c>
    </row>
    <row r="36" spans="1:26" ht="20.100000000000001" customHeight="1">
      <c r="A36" s="3">
        <v>2</v>
      </c>
      <c r="B36" s="257" t="s">
        <v>124</v>
      </c>
      <c r="C36" s="258"/>
      <c r="D36" s="33" t="s">
        <v>125</v>
      </c>
      <c r="E36" s="3" t="s">
        <v>54</v>
      </c>
      <c r="F36" s="62">
        <f>33507.5</f>
        <v>33507.5</v>
      </c>
      <c r="G36" s="62"/>
      <c r="H36" s="62">
        <f>F36*300%</f>
        <v>100522.5</v>
      </c>
      <c r="I36" s="62">
        <f>F36*7.5%</f>
        <v>2513.0625</v>
      </c>
      <c r="J36" s="62">
        <v>40122.19</v>
      </c>
      <c r="K36" s="62">
        <f>F36*50%</f>
        <v>16753.75</v>
      </c>
      <c r="L36" s="62">
        <f>F36*350%</f>
        <v>117276.25</v>
      </c>
      <c r="M36" s="62">
        <f>F36*100%</f>
        <v>33507.5</v>
      </c>
      <c r="N36" s="62">
        <f t="shared" ref="N36:N45" si="28">150000</f>
        <v>150000</v>
      </c>
      <c r="O36" s="62">
        <f>F36*10%</f>
        <v>3350.75</v>
      </c>
      <c r="P36" s="62">
        <v>20000</v>
      </c>
      <c r="Q36" s="62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62">
        <v>15548.33</v>
      </c>
      <c r="W36" s="36">
        <f>SUM(S36:V36)</f>
        <v>306457.44</v>
      </c>
      <c r="X36" s="36">
        <v>211096.0625</v>
      </c>
      <c r="Y36" s="124">
        <f>0</f>
        <v>0</v>
      </c>
      <c r="Z36" s="27">
        <f>700000</f>
        <v>700000</v>
      </c>
    </row>
    <row r="37" spans="1:26" ht="20.100000000000001" customHeight="1">
      <c r="A37" s="3">
        <v>3</v>
      </c>
      <c r="B37" s="257" t="s">
        <v>126</v>
      </c>
      <c r="C37" s="258"/>
      <c r="D37" s="33" t="s">
        <v>127</v>
      </c>
      <c r="E37" s="3" t="s">
        <v>54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si="28"/>
        <v>150000</v>
      </c>
      <c r="O37" s="62">
        <f>F37*10%</f>
        <v>3350.75</v>
      </c>
      <c r="P37" s="62">
        <v>20000</v>
      </c>
      <c r="Q37" s="62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62">
        <v>15548.33</v>
      </c>
      <c r="W37" s="36">
        <f>V37+S37+T37+U37</f>
        <v>305454.28999999998</v>
      </c>
      <c r="X37" s="36">
        <v>200682.76000000007</v>
      </c>
      <c r="Y37" s="124">
        <f>0</f>
        <v>0</v>
      </c>
      <c r="Z37" s="27">
        <f>700000</f>
        <v>700000</v>
      </c>
    </row>
    <row r="38" spans="1:26" ht="20.100000000000001" customHeight="1">
      <c r="A38" s="3">
        <v>4</v>
      </c>
      <c r="B38" s="257" t="s">
        <v>128</v>
      </c>
      <c r="C38" s="258"/>
      <c r="D38" s="33" t="s">
        <v>131</v>
      </c>
      <c r="E38" s="3" t="s">
        <v>132</v>
      </c>
      <c r="F38" s="62">
        <v>28489.81</v>
      </c>
      <c r="G38" s="62"/>
      <c r="H38" s="62">
        <f>F38*300%</f>
        <v>85469.430000000008</v>
      </c>
      <c r="I38" s="62">
        <f>F38*7.5%</f>
        <v>2136.7357499999998</v>
      </c>
      <c r="J38" s="62"/>
      <c r="K38" s="62">
        <f>F38*50%</f>
        <v>14244.905000000001</v>
      </c>
      <c r="L38" s="62">
        <f>F38*350%</f>
        <v>99714.335000000006</v>
      </c>
      <c r="M38" s="62">
        <f>F38*100%</f>
        <v>28489.81</v>
      </c>
      <c r="N38" s="62">
        <f t="shared" si="28"/>
        <v>150000</v>
      </c>
      <c r="O38" s="62">
        <f>F38*10%</f>
        <v>2848.9810000000002</v>
      </c>
      <c r="P38" s="62">
        <v>20000</v>
      </c>
      <c r="Q38" s="62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62">
        <v>7709.76</v>
      </c>
      <c r="W38" s="36">
        <f>SUM(S38:V38)</f>
        <v>243125.36000000002</v>
      </c>
      <c r="X38" s="36">
        <v>188268.64675000004</v>
      </c>
      <c r="Y38" s="124">
        <f>0</f>
        <v>0</v>
      </c>
      <c r="Z38" s="27">
        <f t="shared" ref="Z38:Z45" si="29">500000</f>
        <v>500000</v>
      </c>
    </row>
    <row r="39" spans="1:26" ht="20.100000000000001" customHeight="1">
      <c r="A39" s="3">
        <v>5</v>
      </c>
      <c r="B39" s="257" t="s">
        <v>130</v>
      </c>
      <c r="C39" s="258"/>
      <c r="D39" s="33" t="s">
        <v>131</v>
      </c>
      <c r="E39" s="3" t="s">
        <v>132</v>
      </c>
      <c r="F39" s="62">
        <f>28489.81</f>
        <v>28489.81</v>
      </c>
      <c r="G39" s="62"/>
      <c r="H39" s="62">
        <f t="shared" ref="H39:H45" si="30">F39*300%</f>
        <v>85469.430000000008</v>
      </c>
      <c r="I39" s="62">
        <f t="shared" ref="I39:I45" si="31">F39*7.5%</f>
        <v>2136.7357499999998</v>
      </c>
      <c r="J39" s="62">
        <v>0</v>
      </c>
      <c r="K39" s="62">
        <f t="shared" ref="K39:K45" si="32">F39*50%</f>
        <v>14244.905000000001</v>
      </c>
      <c r="L39" s="62">
        <f t="shared" ref="L39:L45" si="33">F39*350%</f>
        <v>99714.335000000006</v>
      </c>
      <c r="M39" s="62">
        <f t="shared" si="24"/>
        <v>28489.81</v>
      </c>
      <c r="N39" s="62">
        <f t="shared" si="28"/>
        <v>150000</v>
      </c>
      <c r="O39" s="62">
        <f t="shared" si="25"/>
        <v>2848.9810000000002</v>
      </c>
      <c r="P39" s="62">
        <v>20000</v>
      </c>
      <c r="Q39" s="62">
        <v>0</v>
      </c>
      <c r="R39" s="36">
        <f t="shared" si="26"/>
        <v>431394.00675000006</v>
      </c>
      <c r="S39" s="36"/>
      <c r="T39" s="36"/>
      <c r="U39" s="36">
        <f>'[3]DECEMBER 2019'!$H$27</f>
        <v>690.28075000000001</v>
      </c>
      <c r="V39" s="62">
        <v>7709.76</v>
      </c>
      <c r="W39" s="36">
        <f t="shared" si="27"/>
        <v>8400.0407500000001</v>
      </c>
      <c r="X39" s="36">
        <v>414932.99450000009</v>
      </c>
      <c r="Y39" s="124">
        <f>0</f>
        <v>0</v>
      </c>
      <c r="Z39" s="27">
        <f t="shared" si="29"/>
        <v>500000</v>
      </c>
    </row>
    <row r="40" spans="1:26" ht="20.100000000000001" customHeight="1">
      <c r="A40" s="3">
        <v>6</v>
      </c>
      <c r="B40" s="257" t="s">
        <v>133</v>
      </c>
      <c r="C40" s="258"/>
      <c r="D40" s="33" t="s">
        <v>131</v>
      </c>
      <c r="E40" s="3" t="s">
        <v>66</v>
      </c>
      <c r="F40" s="62">
        <f>27611.23</f>
        <v>27611.23</v>
      </c>
      <c r="G40" s="62"/>
      <c r="H40" s="62">
        <f t="shared" si="30"/>
        <v>82833.69</v>
      </c>
      <c r="I40" s="62">
        <f t="shared" si="31"/>
        <v>2070.8422499999997</v>
      </c>
      <c r="J40" s="62"/>
      <c r="K40" s="62">
        <f t="shared" si="32"/>
        <v>13805.615</v>
      </c>
      <c r="L40" s="62">
        <f t="shared" si="33"/>
        <v>96639.304999999993</v>
      </c>
      <c r="M40" s="62">
        <f t="shared" si="24"/>
        <v>27611.23</v>
      </c>
      <c r="N40" s="62">
        <f t="shared" si="28"/>
        <v>150000</v>
      </c>
      <c r="O40" s="62">
        <f t="shared" si="25"/>
        <v>2761.123</v>
      </c>
      <c r="P40" s="62">
        <v>15000</v>
      </c>
      <c r="Q40" s="62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62">
        <v>7709.76</v>
      </c>
      <c r="W40" s="36">
        <f t="shared" si="27"/>
        <v>129376.43</v>
      </c>
      <c r="X40" s="36">
        <v>262624.63049999997</v>
      </c>
      <c r="Y40" s="124">
        <f>0</f>
        <v>0</v>
      </c>
      <c r="Z40" s="27">
        <f t="shared" si="29"/>
        <v>500000</v>
      </c>
    </row>
    <row r="41" spans="1:26" ht="20.100000000000001" customHeight="1">
      <c r="A41" s="3">
        <v>7</v>
      </c>
      <c r="B41" s="265" t="s">
        <v>134</v>
      </c>
      <c r="C41" s="266"/>
      <c r="D41" s="20" t="s">
        <v>517</v>
      </c>
      <c r="E41" s="25" t="s">
        <v>73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62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24">
        <f>0</f>
        <v>0</v>
      </c>
      <c r="Z41" s="27">
        <f t="shared" si="29"/>
        <v>500000</v>
      </c>
    </row>
    <row r="42" spans="1:26" ht="20.100000000000001" customHeight="1">
      <c r="A42" s="3">
        <v>8</v>
      </c>
      <c r="B42" s="257" t="s">
        <v>136</v>
      </c>
      <c r="C42" s="258"/>
      <c r="D42" s="33" t="s">
        <v>137</v>
      </c>
      <c r="E42" s="3" t="s">
        <v>98</v>
      </c>
      <c r="F42" s="62">
        <f>24741.26</f>
        <v>24741.26</v>
      </c>
      <c r="G42" s="62"/>
      <c r="H42" s="62">
        <f t="shared" si="30"/>
        <v>74223.78</v>
      </c>
      <c r="I42" s="62">
        <f t="shared" si="31"/>
        <v>1855.5944999999997</v>
      </c>
      <c r="J42" s="62">
        <v>0</v>
      </c>
      <c r="K42" s="62">
        <f t="shared" si="32"/>
        <v>12370.63</v>
      </c>
      <c r="L42" s="62">
        <f t="shared" si="33"/>
        <v>86594.409999999989</v>
      </c>
      <c r="M42" s="62">
        <f t="shared" si="24"/>
        <v>24741.26</v>
      </c>
      <c r="N42" s="62">
        <f t="shared" si="28"/>
        <v>150000</v>
      </c>
      <c r="O42" s="62">
        <f t="shared" si="25"/>
        <v>2474.1260000000002</v>
      </c>
      <c r="P42" s="62">
        <v>15000</v>
      </c>
      <c r="Q42" s="62">
        <v>0</v>
      </c>
      <c r="R42" s="36">
        <f t="shared" si="26"/>
        <v>392001.06049999996</v>
      </c>
      <c r="S42" s="36"/>
      <c r="T42" s="36"/>
      <c r="U42" s="36"/>
      <c r="V42" s="62">
        <v>7709.76</v>
      </c>
      <c r="W42" s="36">
        <f t="shared" si="27"/>
        <v>7709.76</v>
      </c>
      <c r="X42" s="36">
        <v>376493.266</v>
      </c>
      <c r="Y42" s="124">
        <f>0</f>
        <v>0</v>
      </c>
      <c r="Z42" s="27">
        <f t="shared" si="29"/>
        <v>500000</v>
      </c>
    </row>
    <row r="43" spans="1:26" ht="20.100000000000001" customHeight="1">
      <c r="A43" s="3">
        <v>9</v>
      </c>
      <c r="B43" s="257" t="s">
        <v>394</v>
      </c>
      <c r="C43" s="258"/>
      <c r="D43" s="33" t="s">
        <v>140</v>
      </c>
      <c r="E43" s="3" t="s">
        <v>138</v>
      </c>
      <c r="F43" s="62">
        <f>25523.45</f>
        <v>25523.45</v>
      </c>
      <c r="G43" s="62"/>
      <c r="H43" s="62">
        <f t="shared" si="30"/>
        <v>76570.350000000006</v>
      </c>
      <c r="I43" s="62">
        <f t="shared" si="31"/>
        <v>1914.25875</v>
      </c>
      <c r="J43" s="62">
        <v>0</v>
      </c>
      <c r="K43" s="62">
        <f t="shared" si="32"/>
        <v>12761.725</v>
      </c>
      <c r="L43" s="62">
        <f t="shared" si="33"/>
        <v>89332.074999999997</v>
      </c>
      <c r="M43" s="62">
        <f t="shared" si="24"/>
        <v>25523.45</v>
      </c>
      <c r="N43" s="62">
        <f t="shared" si="28"/>
        <v>150000</v>
      </c>
      <c r="O43" s="62">
        <f t="shared" si="25"/>
        <v>2552.3450000000003</v>
      </c>
      <c r="P43" s="62">
        <v>15000</v>
      </c>
      <c r="Q43" s="62">
        <v>0</v>
      </c>
      <c r="R43" s="36">
        <f t="shared" si="26"/>
        <v>399177.65375</v>
      </c>
      <c r="S43" s="36"/>
      <c r="T43" s="36"/>
      <c r="U43" s="36"/>
      <c r="V43" s="62">
        <v>7709.76</v>
      </c>
      <c r="W43" s="36">
        <f t="shared" si="27"/>
        <v>7709.76</v>
      </c>
      <c r="X43" s="36">
        <v>384291.30049999995</v>
      </c>
      <c r="Y43" s="124">
        <f>0</f>
        <v>0</v>
      </c>
      <c r="Z43" s="27">
        <f t="shared" si="29"/>
        <v>500000</v>
      </c>
    </row>
    <row r="44" spans="1:26" ht="20.100000000000001" customHeight="1">
      <c r="A44" s="3">
        <v>10</v>
      </c>
      <c r="B44" s="257" t="s">
        <v>484</v>
      </c>
      <c r="C44" s="258"/>
      <c r="D44" s="33" t="s">
        <v>140</v>
      </c>
      <c r="E44" s="3" t="s">
        <v>138</v>
      </c>
      <c r="F44" s="62">
        <f>25523.45</f>
        <v>25523.45</v>
      </c>
      <c r="G44" s="62"/>
      <c r="H44" s="62">
        <f t="shared" si="30"/>
        <v>76570.350000000006</v>
      </c>
      <c r="I44" s="62">
        <f t="shared" si="31"/>
        <v>1914.25875</v>
      </c>
      <c r="J44" s="62">
        <f>J19</f>
        <v>0</v>
      </c>
      <c r="K44" s="62">
        <f t="shared" si="32"/>
        <v>12761.725</v>
      </c>
      <c r="L44" s="62">
        <f t="shared" si="33"/>
        <v>89332.074999999997</v>
      </c>
      <c r="M44" s="62">
        <f t="shared" si="24"/>
        <v>25523.45</v>
      </c>
      <c r="N44" s="62">
        <f t="shared" si="28"/>
        <v>150000</v>
      </c>
      <c r="O44" s="62">
        <f t="shared" si="25"/>
        <v>2552.3450000000003</v>
      </c>
      <c r="P44" s="62">
        <v>15000</v>
      </c>
      <c r="Q44" s="62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'[3]DECEMBER 2019'!$H$46</f>
        <v>618.53150000000005</v>
      </c>
      <c r="V44" s="62">
        <v>7709.76</v>
      </c>
      <c r="W44" s="36">
        <f t="shared" si="27"/>
        <v>220435.33150000003</v>
      </c>
      <c r="X44" s="36">
        <v>71565.728999999934</v>
      </c>
      <c r="Y44" s="124">
        <f>0</f>
        <v>0</v>
      </c>
      <c r="Z44" s="27">
        <f t="shared" si="29"/>
        <v>500000</v>
      </c>
    </row>
    <row r="45" spans="1:26" ht="20.100000000000001" customHeight="1">
      <c r="A45" s="3">
        <v>11</v>
      </c>
      <c r="B45" s="269" t="s">
        <v>139</v>
      </c>
      <c r="C45" s="270"/>
      <c r="D45" s="33" t="s">
        <v>140</v>
      </c>
      <c r="E45" s="29" t="s">
        <v>79</v>
      </c>
      <c r="F45" s="26">
        <f>23891.12</f>
        <v>23891.119999999999</v>
      </c>
      <c r="G45" s="62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62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'[3]DECEMBER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24">
        <f>0</f>
        <v>0</v>
      </c>
      <c r="Z45" s="27">
        <f t="shared" si="29"/>
        <v>500000</v>
      </c>
    </row>
    <row r="46" spans="1:26" ht="20.100000000000001" customHeight="1">
      <c r="A46" s="3"/>
      <c r="B46" s="273" t="s">
        <v>34</v>
      </c>
      <c r="C46" s="274"/>
      <c r="D46" s="30">
        <v>11</v>
      </c>
      <c r="E46" s="30"/>
      <c r="F46" s="92">
        <f>SUM(F35:F45)</f>
        <v>359364.45</v>
      </c>
      <c r="G46" s="92"/>
      <c r="H46" s="92">
        <f t="shared" ref="H46:W46" si="34">SUM(H35:H45)</f>
        <v>1078093.3500000001</v>
      </c>
      <c r="I46" s="92">
        <f t="shared" si="34"/>
        <v>26952.333749999998</v>
      </c>
      <c r="J46" s="92">
        <f t="shared" si="34"/>
        <v>160488.76</v>
      </c>
      <c r="K46" s="92">
        <f t="shared" si="34"/>
        <v>179682.22500000001</v>
      </c>
      <c r="L46" s="92">
        <f t="shared" si="34"/>
        <v>1257775.575</v>
      </c>
      <c r="M46" s="92">
        <f t="shared" si="34"/>
        <v>359364.45</v>
      </c>
      <c r="N46" s="92">
        <f>SUM(N35:N45)</f>
        <v>1650000</v>
      </c>
      <c r="O46" s="92">
        <f t="shared" si="34"/>
        <v>35936.445</v>
      </c>
      <c r="P46" s="92">
        <f t="shared" si="34"/>
        <v>190000</v>
      </c>
      <c r="Q46" s="92">
        <f t="shared" si="34"/>
        <v>0</v>
      </c>
      <c r="R46" s="92">
        <f t="shared" si="34"/>
        <v>5297657.5887500001</v>
      </c>
      <c r="S46" s="92">
        <f t="shared" si="34"/>
        <v>330000</v>
      </c>
      <c r="T46" s="92">
        <f t="shared" si="34"/>
        <v>982004.38</v>
      </c>
      <c r="U46" s="92">
        <f t="shared" si="34"/>
        <v>1765.8532499999999</v>
      </c>
      <c r="V46" s="92">
        <f t="shared" si="34"/>
        <v>145551.36999999997</v>
      </c>
      <c r="W46" s="92">
        <f t="shared" si="34"/>
        <v>1459321.6032500002</v>
      </c>
      <c r="X46" s="92">
        <v>3695472.6502500004</v>
      </c>
      <c r="Y46" s="127">
        <f>SUM(Y35:Y45)</f>
        <v>0</v>
      </c>
      <c r="Z46" s="134">
        <f>SUM(Z35:Z45)</f>
        <v>6400000</v>
      </c>
    </row>
    <row r="47" spans="1:26" ht="20.100000000000001" customHeight="1">
      <c r="A47" s="3"/>
      <c r="B47" s="105"/>
      <c r="C47" s="105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28"/>
      <c r="Z47" s="33"/>
    </row>
    <row r="48" spans="1:26" ht="20.100000000000001" customHeight="1">
      <c r="A48" s="3"/>
      <c r="B48" s="273" t="s">
        <v>144</v>
      </c>
      <c r="C48" s="274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28"/>
      <c r="Z48" s="33"/>
    </row>
    <row r="49" spans="1:26" ht="20.100000000000001" customHeight="1">
      <c r="A49" s="3">
        <v>1</v>
      </c>
      <c r="B49" s="257" t="s">
        <v>145</v>
      </c>
      <c r="C49" s="258"/>
      <c r="D49" s="61" t="s">
        <v>146</v>
      </c>
      <c r="E49" s="66" t="s">
        <v>43</v>
      </c>
      <c r="F49" s="62">
        <f>81740.02</f>
        <v>81740.02</v>
      </c>
      <c r="G49" s="62"/>
      <c r="H49" s="62">
        <f>F49*300%</f>
        <v>245220.06</v>
      </c>
      <c r="I49" s="62">
        <f>F49*7.5%</f>
        <v>6130.5015000000003</v>
      </c>
      <c r="J49" s="62">
        <v>80244.38</v>
      </c>
      <c r="K49" s="62">
        <f>F49*50%</f>
        <v>40870.01</v>
      </c>
      <c r="L49" s="62">
        <f>F49*350%</f>
        <v>286090.07</v>
      </c>
      <c r="M49" s="62">
        <f>F49*100%</f>
        <v>81740.02</v>
      </c>
      <c r="N49" s="62">
        <f>150000</f>
        <v>150000</v>
      </c>
      <c r="O49" s="62">
        <f>F49*10%</f>
        <v>8174.0020000000004</v>
      </c>
      <c r="P49" s="62">
        <v>20000</v>
      </c>
      <c r="Q49" s="62">
        <v>0</v>
      </c>
      <c r="R49" s="36">
        <f>SUM(F49:Q49)</f>
        <v>1000209.0635</v>
      </c>
      <c r="S49" s="36"/>
      <c r="T49" s="36"/>
      <c r="U49" s="36">
        <v>0</v>
      </c>
      <c r="V49" s="62">
        <v>52776.63</v>
      </c>
      <c r="W49" s="36">
        <f>S49+T49+U49+V49</f>
        <v>52776.63</v>
      </c>
      <c r="X49" s="36">
        <v>947432.43350000004</v>
      </c>
      <c r="Y49" s="124">
        <f>0</f>
        <v>0</v>
      </c>
      <c r="Z49" s="27">
        <f>500000</f>
        <v>500000</v>
      </c>
    </row>
    <row r="50" spans="1:26" ht="20.100000000000001" customHeight="1">
      <c r="A50" s="3"/>
      <c r="B50" s="273" t="s">
        <v>34</v>
      </c>
      <c r="C50" s="274"/>
      <c r="D50" s="30">
        <v>1</v>
      </c>
      <c r="E50" s="30"/>
      <c r="F50" s="92">
        <f t="shared" ref="F50:R50" si="35">SUM(F49:F49)</f>
        <v>81740.02</v>
      </c>
      <c r="G50" s="92">
        <f t="shared" si="35"/>
        <v>0</v>
      </c>
      <c r="H50" s="92">
        <f t="shared" si="35"/>
        <v>245220.06</v>
      </c>
      <c r="I50" s="92">
        <f t="shared" si="35"/>
        <v>6130.5015000000003</v>
      </c>
      <c r="J50" s="92">
        <f t="shared" si="35"/>
        <v>80244.38</v>
      </c>
      <c r="K50" s="92">
        <f t="shared" si="35"/>
        <v>40870.01</v>
      </c>
      <c r="L50" s="92">
        <f t="shared" si="35"/>
        <v>286090.07</v>
      </c>
      <c r="M50" s="92">
        <f t="shared" si="35"/>
        <v>81740.02</v>
      </c>
      <c r="N50" s="92">
        <f t="shared" si="35"/>
        <v>150000</v>
      </c>
      <c r="O50" s="92">
        <f t="shared" si="35"/>
        <v>8174.0020000000004</v>
      </c>
      <c r="P50" s="92">
        <f t="shared" si="35"/>
        <v>20000</v>
      </c>
      <c r="Q50" s="92">
        <f t="shared" si="35"/>
        <v>0</v>
      </c>
      <c r="R50" s="92">
        <f t="shared" si="35"/>
        <v>1000209.0635</v>
      </c>
      <c r="S50" s="92"/>
      <c r="T50" s="92"/>
      <c r="U50" s="92">
        <f>SUM(U49:U49)</f>
        <v>0</v>
      </c>
      <c r="V50" s="92">
        <f>SUM(V49:V49)</f>
        <v>52776.63</v>
      </c>
      <c r="W50" s="92">
        <f>SUM(W49:W49)</f>
        <v>52776.63</v>
      </c>
      <c r="X50" s="92">
        <v>947432.43350000004</v>
      </c>
      <c r="Y50" s="127">
        <f>SUM(Y49)</f>
        <v>0</v>
      </c>
      <c r="Z50" s="134">
        <f>SUM(Z49)</f>
        <v>500000</v>
      </c>
    </row>
    <row r="51" spans="1:26" ht="20.100000000000001" customHeight="1">
      <c r="A51" s="3"/>
      <c r="B51" s="273"/>
      <c r="C51" s="274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28"/>
      <c r="Z51" s="33"/>
    </row>
    <row r="52" spans="1:26" ht="20.100000000000001" customHeight="1">
      <c r="A52" s="3"/>
      <c r="B52" s="273" t="s">
        <v>467</v>
      </c>
      <c r="C52" s="274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28"/>
      <c r="Z52" s="33"/>
    </row>
    <row r="53" spans="1:26" ht="20.100000000000001" customHeight="1">
      <c r="A53" s="3">
        <v>1</v>
      </c>
      <c r="B53" s="269" t="s">
        <v>151</v>
      </c>
      <c r="C53" s="270"/>
      <c r="D53" s="47" t="s">
        <v>152</v>
      </c>
      <c r="E53" s="29" t="s">
        <v>118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62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25">
        <f>0</f>
        <v>0</v>
      </c>
      <c r="Z53" s="27">
        <f>500000</f>
        <v>500000</v>
      </c>
    </row>
    <row r="54" spans="1:26" ht="20.100000000000001" customHeight="1">
      <c r="A54" s="3">
        <v>2</v>
      </c>
      <c r="B54" s="271" t="s">
        <v>190</v>
      </c>
      <c r="C54" s="272"/>
      <c r="D54" s="33" t="s">
        <v>135</v>
      </c>
      <c r="E54" s="3" t="s">
        <v>66</v>
      </c>
      <c r="F54" s="62">
        <f>27611.23</f>
        <v>27611.23</v>
      </c>
      <c r="G54" s="62"/>
      <c r="H54" s="62">
        <f t="shared" si="36"/>
        <v>82833.69</v>
      </c>
      <c r="I54" s="62">
        <f t="shared" si="37"/>
        <v>2070.8422499999997</v>
      </c>
      <c r="J54" s="62"/>
      <c r="K54" s="62">
        <f t="shared" si="38"/>
        <v>13805.615</v>
      </c>
      <c r="L54" s="36">
        <f t="shared" si="39"/>
        <v>96639.304999999993</v>
      </c>
      <c r="M54" s="62">
        <f t="shared" si="40"/>
        <v>27611.23</v>
      </c>
      <c r="N54" s="62">
        <f t="shared" si="41"/>
        <v>150000</v>
      </c>
      <c r="O54" s="62">
        <f t="shared" si="42"/>
        <v>2761.123</v>
      </c>
      <c r="P54" s="62">
        <v>15000</v>
      </c>
      <c r="Q54" s="62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'[3]DECEMBER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25">
        <f>0</f>
        <v>0</v>
      </c>
      <c r="Z54" s="27">
        <f>500000</f>
        <v>500000</v>
      </c>
    </row>
    <row r="55" spans="1:26" ht="20.100000000000001" customHeight="1">
      <c r="A55" s="3">
        <v>3</v>
      </c>
      <c r="B55" s="269" t="s">
        <v>155</v>
      </c>
      <c r="C55" s="270"/>
      <c r="D55" s="33" t="s">
        <v>137</v>
      </c>
      <c r="E55" s="29" t="s">
        <v>79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62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25">
        <f>0</f>
        <v>0</v>
      </c>
      <c r="Z55" s="27">
        <f>500000</f>
        <v>500000</v>
      </c>
    </row>
    <row r="56" spans="1:26" ht="20.100000000000001" customHeight="1">
      <c r="A56" s="3">
        <v>4</v>
      </c>
      <c r="B56" s="269" t="s">
        <v>158</v>
      </c>
      <c r="C56" s="270"/>
      <c r="D56" s="20" t="s">
        <v>142</v>
      </c>
      <c r="E56" s="29" t="s">
        <v>159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62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24">
        <f>300000</f>
        <v>300000</v>
      </c>
      <c r="Z56" s="27"/>
    </row>
    <row r="57" spans="1:26" ht="20.100000000000001" customHeight="1">
      <c r="A57" s="3">
        <v>5</v>
      </c>
      <c r="B57" s="264" t="s">
        <v>160</v>
      </c>
      <c r="C57" s="264"/>
      <c r="D57" s="61" t="s">
        <v>447</v>
      </c>
      <c r="E57" s="66" t="s">
        <v>208</v>
      </c>
      <c r="F57" s="62">
        <f>19276.95</f>
        <v>19276.95</v>
      </c>
      <c r="G57" s="62"/>
      <c r="H57" s="62">
        <f t="shared" si="36"/>
        <v>57830.850000000006</v>
      </c>
      <c r="I57" s="62">
        <f t="shared" si="37"/>
        <v>1445.77125</v>
      </c>
      <c r="J57" s="62">
        <v>0</v>
      </c>
      <c r="K57" s="62">
        <f t="shared" si="38"/>
        <v>9638.4750000000004</v>
      </c>
      <c r="L57" s="36">
        <f t="shared" si="39"/>
        <v>67469.324999999997</v>
      </c>
      <c r="M57" s="62">
        <f t="shared" si="40"/>
        <v>19276.95</v>
      </c>
      <c r="N57" s="62">
        <f t="shared" si="41"/>
        <v>150000</v>
      </c>
      <c r="O57" s="62">
        <f t="shared" si="42"/>
        <v>1927.6950000000002</v>
      </c>
      <c r="P57" s="62">
        <v>10000</v>
      </c>
      <c r="Q57" s="62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44"/>
        <v>123838.99249999999</v>
      </c>
      <c r="X57" s="36">
        <v>108461.08499999993</v>
      </c>
      <c r="Y57" s="124">
        <f>300000</f>
        <v>300000</v>
      </c>
      <c r="Z57" s="27"/>
    </row>
    <row r="58" spans="1:26" ht="20.100000000000001" customHeight="1">
      <c r="A58" s="3">
        <v>6</v>
      </c>
      <c r="B58" s="257" t="s">
        <v>165</v>
      </c>
      <c r="C58" s="258"/>
      <c r="D58" s="33" t="s">
        <v>166</v>
      </c>
      <c r="E58" s="3" t="s">
        <v>103</v>
      </c>
      <c r="F58" s="62">
        <f>18281.64</f>
        <v>18281.64</v>
      </c>
      <c r="G58" s="62"/>
      <c r="H58" s="62">
        <f t="shared" si="36"/>
        <v>54844.92</v>
      </c>
      <c r="I58" s="62">
        <f t="shared" si="37"/>
        <v>1371.1229999999998</v>
      </c>
      <c r="J58" s="62"/>
      <c r="K58" s="62">
        <f t="shared" si="38"/>
        <v>9140.82</v>
      </c>
      <c r="L58" s="62">
        <f t="shared" si="39"/>
        <v>63985.74</v>
      </c>
      <c r="M58" s="62">
        <f t="shared" si="40"/>
        <v>18281.64</v>
      </c>
      <c r="N58" s="62">
        <f t="shared" ref="N58:N69" si="45">150000</f>
        <v>150000</v>
      </c>
      <c r="O58" s="62">
        <f t="shared" si="42"/>
        <v>1828.164</v>
      </c>
      <c r="P58" s="62">
        <v>10000</v>
      </c>
      <c r="Q58" s="62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62">
        <v>3369.51</v>
      </c>
      <c r="W58" s="36">
        <f>SUM(S58:V58)</f>
        <v>104869.51</v>
      </c>
      <c r="X58" s="36">
        <v>238298.69</v>
      </c>
      <c r="Y58" s="124">
        <f>300000</f>
        <v>300000</v>
      </c>
      <c r="Z58" s="27"/>
    </row>
    <row r="59" spans="1:26" ht="20.100000000000001" customHeight="1">
      <c r="A59" s="3"/>
      <c r="B59" s="273" t="s">
        <v>34</v>
      </c>
      <c r="C59" s="274"/>
      <c r="D59" s="30">
        <v>6</v>
      </c>
      <c r="E59" s="30"/>
      <c r="F59" s="92">
        <f t="shared" ref="F59:Q59" si="46">SUM(F53:F57)</f>
        <v>169593.56</v>
      </c>
      <c r="G59" s="92">
        <f t="shared" si="46"/>
        <v>0</v>
      </c>
      <c r="H59" s="92">
        <f t="shared" si="46"/>
        <v>508780.67999999993</v>
      </c>
      <c r="I59" s="92">
        <f t="shared" si="46"/>
        <v>12719.516999999998</v>
      </c>
      <c r="J59" s="92">
        <f t="shared" si="46"/>
        <v>80244.38</v>
      </c>
      <c r="K59" s="92">
        <f t="shared" si="46"/>
        <v>84796.78</v>
      </c>
      <c r="L59" s="92">
        <f t="shared" si="46"/>
        <v>593577.46</v>
      </c>
      <c r="M59" s="92">
        <f t="shared" si="46"/>
        <v>169593.56</v>
      </c>
      <c r="N59" s="92">
        <f t="shared" si="46"/>
        <v>750000</v>
      </c>
      <c r="O59" s="92">
        <f t="shared" si="46"/>
        <v>16959.356</v>
      </c>
      <c r="P59" s="92">
        <f t="shared" si="46"/>
        <v>70000</v>
      </c>
      <c r="Q59" s="92">
        <f t="shared" si="46"/>
        <v>0</v>
      </c>
      <c r="R59" s="92">
        <f>SUM(R53:R57)</f>
        <v>2456265.2930000001</v>
      </c>
      <c r="S59" s="92">
        <f>SUM(S53:S57)</f>
        <v>260000</v>
      </c>
      <c r="T59" s="92">
        <f>SUM(T53:T57)</f>
        <v>394875.25</v>
      </c>
      <c r="U59" s="92">
        <f>SUM(U53:U57)</f>
        <v>1107.5687500000001</v>
      </c>
      <c r="V59" s="92">
        <f>SUM(V53:V57)</f>
        <v>74935.169999999984</v>
      </c>
      <c r="W59" s="92">
        <f>SUM(R59:V59)</f>
        <v>3187183.2817500001</v>
      </c>
      <c r="X59" s="92">
        <v>1328432.6670000001</v>
      </c>
      <c r="Y59" s="127">
        <f>SUM(Y53:Y58)</f>
        <v>900000</v>
      </c>
      <c r="Z59" s="134">
        <f>SUM(Z53:Z58)</f>
        <v>1500000</v>
      </c>
    </row>
    <row r="60" spans="1:26" ht="20.100000000000001" customHeight="1">
      <c r="A60" s="3"/>
      <c r="B60" s="99"/>
      <c r="C60" s="10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28"/>
      <c r="Z60" s="33"/>
    </row>
    <row r="61" spans="1:26" ht="20.100000000000001" customHeight="1">
      <c r="A61" s="3"/>
      <c r="B61" s="273" t="s">
        <v>486</v>
      </c>
      <c r="C61" s="274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28"/>
      <c r="Z61" s="33"/>
    </row>
    <row r="62" spans="1:26" ht="20.100000000000001" customHeight="1">
      <c r="A62" s="3">
        <v>1</v>
      </c>
      <c r="B62" s="257" t="s">
        <v>173</v>
      </c>
      <c r="C62" s="258"/>
      <c r="D62" s="33" t="s">
        <v>174</v>
      </c>
      <c r="E62" s="3" t="s">
        <v>43</v>
      </c>
      <c r="F62" s="62">
        <f>81740.02</f>
        <v>81740.02</v>
      </c>
      <c r="G62" s="62"/>
      <c r="H62" s="62">
        <f t="shared" ref="H62" si="47">F62*300%</f>
        <v>245220.06</v>
      </c>
      <c r="I62" s="62">
        <f t="shared" ref="I62" si="48">F62*7.5%</f>
        <v>6130.5015000000003</v>
      </c>
      <c r="J62" s="62">
        <v>80244.38</v>
      </c>
      <c r="K62" s="62">
        <f>F62*50%</f>
        <v>40870.01</v>
      </c>
      <c r="L62" s="62">
        <f t="shared" ref="L62" si="49">F62*350%</f>
        <v>286090.07</v>
      </c>
      <c r="M62" s="62">
        <f>F62*100%</f>
        <v>81740.02</v>
      </c>
      <c r="N62" s="62">
        <f t="shared" si="45"/>
        <v>150000</v>
      </c>
      <c r="O62" s="62">
        <f>F62*10%</f>
        <v>8174.0020000000004</v>
      </c>
      <c r="P62" s="62">
        <v>20000</v>
      </c>
      <c r="Q62" s="62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62">
        <v>52776.63</v>
      </c>
      <c r="W62" s="36">
        <f>SUM(S62:V62)</f>
        <v>654591.73</v>
      </c>
      <c r="X62" s="36">
        <v>345617.33350000007</v>
      </c>
      <c r="Y62" s="124">
        <f>0</f>
        <v>0</v>
      </c>
      <c r="Z62" s="27">
        <f>1000000</f>
        <v>1000000</v>
      </c>
    </row>
    <row r="63" spans="1:26" ht="20.100000000000001" customHeight="1">
      <c r="A63" s="3">
        <v>2</v>
      </c>
      <c r="B63" s="257" t="s">
        <v>179</v>
      </c>
      <c r="C63" s="258"/>
      <c r="D63" s="33" t="s">
        <v>140</v>
      </c>
      <c r="E63" s="66" t="s">
        <v>79</v>
      </c>
      <c r="F63" s="62">
        <f>23891.12</f>
        <v>23891.119999999999</v>
      </c>
      <c r="G63" s="62"/>
      <c r="H63" s="62">
        <f>F63*300%</f>
        <v>71673.36</v>
      </c>
      <c r="I63" s="62">
        <f>F63*7.5%</f>
        <v>1791.8339999999998</v>
      </c>
      <c r="J63" s="36">
        <v>0</v>
      </c>
      <c r="K63" s="62">
        <f>F63*50%</f>
        <v>11945.56</v>
      </c>
      <c r="L63" s="36">
        <f>F63*350%</f>
        <v>83618.92</v>
      </c>
      <c r="M63" s="62">
        <f>F63*100%</f>
        <v>23891.119999999999</v>
      </c>
      <c r="N63" s="62">
        <f t="shared" si="45"/>
        <v>150000</v>
      </c>
      <c r="O63" s="62">
        <f>F63*10%</f>
        <v>2389.1120000000001</v>
      </c>
      <c r="P63" s="62">
        <v>15000</v>
      </c>
      <c r="Q63" s="62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'[3]DECEMBER 2019'!$H$48</f>
        <v>469.48250000000002</v>
      </c>
      <c r="V63" s="62">
        <f>7709.76</f>
        <v>7709.76</v>
      </c>
      <c r="W63" s="36">
        <f>S63+T63+U63+V63</f>
        <v>8179.2425000000003</v>
      </c>
      <c r="X63" s="36">
        <v>328461.08499999996</v>
      </c>
      <c r="Y63" s="124">
        <f>0</f>
        <v>0</v>
      </c>
      <c r="Z63" s="27">
        <f>500000</f>
        <v>500000</v>
      </c>
    </row>
    <row r="64" spans="1:26" ht="20.100000000000001" customHeight="1">
      <c r="A64" s="3"/>
      <c r="B64" s="273" t="s">
        <v>34</v>
      </c>
      <c r="C64" s="274"/>
      <c r="D64" s="30">
        <v>2</v>
      </c>
      <c r="E64" s="30"/>
      <c r="F64" s="92">
        <f>SUM(F62:F63)</f>
        <v>105631.14</v>
      </c>
      <c r="G64" s="92"/>
      <c r="H64" s="92">
        <f t="shared" ref="H64:W64" si="50">SUM(H62:H63)</f>
        <v>316893.42</v>
      </c>
      <c r="I64" s="92">
        <f t="shared" si="50"/>
        <v>7922.3355000000001</v>
      </c>
      <c r="J64" s="92">
        <f t="shared" si="50"/>
        <v>80244.38</v>
      </c>
      <c r="K64" s="92">
        <f t="shared" si="50"/>
        <v>52815.57</v>
      </c>
      <c r="L64" s="92">
        <f t="shared" si="50"/>
        <v>369708.99</v>
      </c>
      <c r="M64" s="92">
        <f t="shared" si="50"/>
        <v>105631.14</v>
      </c>
      <c r="N64" s="95">
        <f t="shared" si="50"/>
        <v>300000</v>
      </c>
      <c r="O64" s="92">
        <f t="shared" si="50"/>
        <v>10563.114000000001</v>
      </c>
      <c r="P64" s="92">
        <f t="shared" si="50"/>
        <v>35000</v>
      </c>
      <c r="Q64" s="92">
        <f t="shared" si="50"/>
        <v>0</v>
      </c>
      <c r="R64" s="92">
        <f t="shared" si="50"/>
        <v>1384410.0895</v>
      </c>
      <c r="S64" s="92">
        <f t="shared" si="50"/>
        <v>150000</v>
      </c>
      <c r="T64" s="92">
        <f t="shared" si="50"/>
        <v>451815.1</v>
      </c>
      <c r="U64" s="92">
        <f t="shared" si="50"/>
        <v>469.48250000000002</v>
      </c>
      <c r="V64" s="92">
        <f t="shared" si="50"/>
        <v>60486.39</v>
      </c>
      <c r="W64" s="92">
        <f t="shared" si="50"/>
        <v>662770.97250000003</v>
      </c>
      <c r="X64" s="92">
        <v>1157310.1030000001</v>
      </c>
      <c r="Y64" s="127">
        <f>SUM(Y62:Y63)</f>
        <v>0</v>
      </c>
      <c r="Z64" s="134">
        <f>SUM(Z62:Z63)</f>
        <v>1500000</v>
      </c>
    </row>
    <row r="65" spans="1:26" ht="20.100000000000001" customHeight="1">
      <c r="A65" s="3"/>
      <c r="B65" s="275"/>
      <c r="C65" s="276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3"/>
      <c r="S65" s="63"/>
      <c r="T65" s="63"/>
      <c r="U65" s="63"/>
      <c r="V65" s="39"/>
      <c r="W65" s="36"/>
      <c r="X65" s="36"/>
      <c r="Y65" s="124"/>
      <c r="Z65" s="33"/>
    </row>
    <row r="66" spans="1:26" ht="20.100000000000001" customHeight="1">
      <c r="A66" s="3"/>
      <c r="B66" s="277" t="s">
        <v>469</v>
      </c>
      <c r="C66" s="278"/>
      <c r="D66" s="69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124"/>
      <c r="Z66" s="33"/>
    </row>
    <row r="67" spans="1:26" ht="20.100000000000001" customHeight="1">
      <c r="A67" s="3">
        <v>1</v>
      </c>
      <c r="B67" s="257" t="s">
        <v>186</v>
      </c>
      <c r="C67" s="258"/>
      <c r="D67" s="33" t="s">
        <v>176</v>
      </c>
      <c r="E67" s="3" t="s">
        <v>54</v>
      </c>
      <c r="F67" s="62">
        <f>33507.5</f>
        <v>33507.5</v>
      </c>
      <c r="G67" s="62"/>
      <c r="H67" s="62">
        <f t="shared" ref="H67:H74" si="51">F67*300%</f>
        <v>100522.5</v>
      </c>
      <c r="I67" s="62">
        <f t="shared" ref="I67:I74" si="52">F67*7.5%</f>
        <v>2513.0625</v>
      </c>
      <c r="J67" s="62">
        <v>40122.19</v>
      </c>
      <c r="K67" s="62">
        <f t="shared" ref="K67:K74" si="53">F67*50%</f>
        <v>16753.75</v>
      </c>
      <c r="L67" s="62">
        <f t="shared" ref="L67:L74" si="54">F67*350%</f>
        <v>117276.25</v>
      </c>
      <c r="M67" s="62">
        <f t="shared" ref="M67:M74" si="55">F67*100%</f>
        <v>33507.5</v>
      </c>
      <c r="N67" s="62">
        <f t="shared" si="0"/>
        <v>150000</v>
      </c>
      <c r="O67" s="62">
        <f t="shared" ref="O67:O74" si="56">F67*10%</f>
        <v>3350.75</v>
      </c>
      <c r="P67" s="62">
        <v>20000</v>
      </c>
      <c r="Q67" s="62"/>
      <c r="R67" s="36">
        <f t="shared" ref="R67:R74" si="57">SUM(F67:Q67)</f>
        <v>517553.5025</v>
      </c>
      <c r="S67" s="36"/>
      <c r="T67" s="36"/>
      <c r="U67" s="36"/>
      <c r="V67" s="62">
        <v>15548.33</v>
      </c>
      <c r="W67" s="36">
        <f t="shared" ref="W67:W74" si="58">SUM(S67:V67)</f>
        <v>15548.33</v>
      </c>
      <c r="X67" s="36">
        <v>502005.17249999999</v>
      </c>
      <c r="Y67" s="124">
        <f>0</f>
        <v>0</v>
      </c>
      <c r="Z67" s="27">
        <f>700000</f>
        <v>700000</v>
      </c>
    </row>
    <row r="68" spans="1:26" ht="20.100000000000001" customHeight="1">
      <c r="A68" s="3">
        <v>2</v>
      </c>
      <c r="B68" s="257" t="s">
        <v>188</v>
      </c>
      <c r="C68" s="258"/>
      <c r="D68" s="33" t="s">
        <v>127</v>
      </c>
      <c r="E68" s="3" t="s">
        <v>129</v>
      </c>
      <c r="F68" s="62">
        <f>32263.2</f>
        <v>32263.200000000001</v>
      </c>
      <c r="G68" s="62"/>
      <c r="H68" s="62">
        <f t="shared" si="51"/>
        <v>96789.6</v>
      </c>
      <c r="I68" s="62">
        <f t="shared" si="52"/>
        <v>2419.7399999999998</v>
      </c>
      <c r="J68" s="62">
        <f>40122.19</f>
        <v>40122.19</v>
      </c>
      <c r="K68" s="62">
        <f t="shared" si="53"/>
        <v>16131.6</v>
      </c>
      <c r="L68" s="62">
        <f t="shared" si="54"/>
        <v>112921.2</v>
      </c>
      <c r="M68" s="62">
        <f t="shared" si="55"/>
        <v>32263.200000000001</v>
      </c>
      <c r="N68" s="62">
        <f t="shared" si="0"/>
        <v>150000</v>
      </c>
      <c r="O68" s="62">
        <f t="shared" si="56"/>
        <v>3226.32</v>
      </c>
      <c r="P68" s="62">
        <v>20000</v>
      </c>
      <c r="Q68" s="62"/>
      <c r="R68" s="36">
        <f t="shared" si="57"/>
        <v>506137.05000000005</v>
      </c>
      <c r="S68" s="36"/>
      <c r="T68" s="36"/>
      <c r="U68" s="36"/>
      <c r="V68" s="62">
        <f>15548.33</f>
        <v>15548.33</v>
      </c>
      <c r="W68" s="36">
        <f t="shared" si="58"/>
        <v>15548.33</v>
      </c>
      <c r="X68" s="36">
        <v>423684.24675000005</v>
      </c>
      <c r="Y68" s="124">
        <f>0</f>
        <v>0</v>
      </c>
      <c r="Z68" s="27">
        <f>700000</f>
        <v>700000</v>
      </c>
    </row>
    <row r="69" spans="1:26" ht="20.100000000000001" customHeight="1">
      <c r="A69" s="3">
        <v>3</v>
      </c>
      <c r="B69" s="257" t="s">
        <v>189</v>
      </c>
      <c r="C69" s="258"/>
      <c r="D69" s="33" t="s">
        <v>127</v>
      </c>
      <c r="E69" s="3" t="s">
        <v>129</v>
      </c>
      <c r="F69" s="62">
        <f>32263.2</f>
        <v>32263.200000000001</v>
      </c>
      <c r="G69" s="62"/>
      <c r="H69" s="62">
        <f>F69*300%</f>
        <v>96789.6</v>
      </c>
      <c r="I69" s="62">
        <f>F69*7.5%</f>
        <v>2419.7399999999998</v>
      </c>
      <c r="J69" s="62">
        <f>40122.19</f>
        <v>40122.19</v>
      </c>
      <c r="K69" s="62">
        <f>F69*50%</f>
        <v>16131.6</v>
      </c>
      <c r="L69" s="62">
        <f>F69*350%</f>
        <v>112921.2</v>
      </c>
      <c r="M69" s="62">
        <f>F69*100%</f>
        <v>32263.200000000001</v>
      </c>
      <c r="N69" s="62">
        <f t="shared" si="45"/>
        <v>150000</v>
      </c>
      <c r="O69" s="62">
        <f>F69*10%</f>
        <v>3226.32</v>
      </c>
      <c r="P69" s="62">
        <v>20000</v>
      </c>
      <c r="Q69" s="62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'[3]DECEMBER 2019'!$H$42</f>
        <v>690.28075000000001</v>
      </c>
      <c r="V69" s="62">
        <v>15548.33</v>
      </c>
      <c r="W69" s="36">
        <f>SUM(S69:V69)</f>
        <v>186238.61074999999</v>
      </c>
      <c r="X69" s="36">
        <v>244932.99450000006</v>
      </c>
      <c r="Y69" s="124">
        <f>0</f>
        <v>0</v>
      </c>
      <c r="Z69" s="27">
        <f>700000</f>
        <v>700000</v>
      </c>
    </row>
    <row r="70" spans="1:26" ht="20.100000000000001" customHeight="1">
      <c r="A70" s="3">
        <v>4</v>
      </c>
      <c r="B70" s="257" t="s">
        <v>396</v>
      </c>
      <c r="C70" s="258"/>
      <c r="D70" s="33" t="s">
        <v>131</v>
      </c>
      <c r="E70" s="3" t="s">
        <v>66</v>
      </c>
      <c r="F70" s="62">
        <f>27611.23</f>
        <v>27611.23</v>
      </c>
      <c r="G70" s="62"/>
      <c r="H70" s="62">
        <f t="shared" si="51"/>
        <v>82833.69</v>
      </c>
      <c r="I70" s="62">
        <f t="shared" si="52"/>
        <v>2070.8422499999997</v>
      </c>
      <c r="J70" s="62">
        <v>0</v>
      </c>
      <c r="K70" s="62">
        <f t="shared" si="53"/>
        <v>13805.615</v>
      </c>
      <c r="L70" s="62">
        <f t="shared" si="54"/>
        <v>96639.304999999993</v>
      </c>
      <c r="M70" s="62">
        <f t="shared" si="55"/>
        <v>27611.23</v>
      </c>
      <c r="N70" s="62">
        <f t="shared" si="0"/>
        <v>150000</v>
      </c>
      <c r="O70" s="62">
        <f t="shared" si="56"/>
        <v>2761.123</v>
      </c>
      <c r="P70" s="62">
        <v>15000</v>
      </c>
      <c r="Q70" s="62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24">
        <f>0</f>
        <v>0</v>
      </c>
      <c r="Z70" s="27">
        <f>500000</f>
        <v>500000</v>
      </c>
    </row>
    <row r="71" spans="1:26" ht="20.100000000000001" customHeight="1">
      <c r="A71" s="3">
        <v>5</v>
      </c>
      <c r="B71" s="269" t="s">
        <v>192</v>
      </c>
      <c r="C71" s="270"/>
      <c r="D71" s="33" t="s">
        <v>131</v>
      </c>
      <c r="E71" s="3" t="s">
        <v>66</v>
      </c>
      <c r="F71" s="26">
        <f>27611.23</f>
        <v>27611.23</v>
      </c>
      <c r="G71" s="62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62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24">
        <f>0</f>
        <v>0</v>
      </c>
      <c r="Z71" s="27">
        <f>500000</f>
        <v>500000</v>
      </c>
    </row>
    <row r="72" spans="1:26" ht="20.100000000000001" customHeight="1">
      <c r="A72" s="3">
        <v>6</v>
      </c>
      <c r="B72" s="269" t="s">
        <v>154</v>
      </c>
      <c r="C72" s="270"/>
      <c r="D72" s="20" t="s">
        <v>140</v>
      </c>
      <c r="E72" s="29" t="s">
        <v>138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62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24">
        <f>0</f>
        <v>0</v>
      </c>
      <c r="Z72" s="27">
        <f>500000</f>
        <v>500000</v>
      </c>
    </row>
    <row r="73" spans="1:26" ht="20.100000000000001" customHeight="1">
      <c r="A73" s="3">
        <v>7</v>
      </c>
      <c r="B73" s="269" t="s">
        <v>491</v>
      </c>
      <c r="C73" s="270"/>
      <c r="D73" s="33" t="s">
        <v>131</v>
      </c>
      <c r="E73" s="3" t="s">
        <v>66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62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'[3]DECEMBER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24">
        <f>0</f>
        <v>0</v>
      </c>
      <c r="Z73" s="27">
        <f>500000</f>
        <v>500000</v>
      </c>
    </row>
    <row r="74" spans="1:26" ht="21.6" customHeight="1">
      <c r="A74" s="3">
        <v>8</v>
      </c>
      <c r="B74" s="264" t="s">
        <v>195</v>
      </c>
      <c r="C74" s="264"/>
      <c r="D74" s="33" t="s">
        <v>140</v>
      </c>
      <c r="E74" s="66" t="s">
        <v>79</v>
      </c>
      <c r="F74" s="62">
        <f>23891.12</f>
        <v>23891.119999999999</v>
      </c>
      <c r="G74" s="62"/>
      <c r="H74" s="62">
        <f t="shared" si="51"/>
        <v>71673.36</v>
      </c>
      <c r="I74" s="62">
        <f t="shared" si="52"/>
        <v>1791.8339999999998</v>
      </c>
      <c r="J74" s="62">
        <v>0</v>
      </c>
      <c r="K74" s="62">
        <f t="shared" si="53"/>
        <v>11945.56</v>
      </c>
      <c r="L74" s="36">
        <f t="shared" si="54"/>
        <v>83618.92</v>
      </c>
      <c r="M74" s="62">
        <f t="shared" si="55"/>
        <v>23891.119999999999</v>
      </c>
      <c r="N74" s="62">
        <f t="shared" si="0"/>
        <v>150000</v>
      </c>
      <c r="O74" s="62">
        <f t="shared" si="56"/>
        <v>2389.1120000000001</v>
      </c>
      <c r="P74" s="62">
        <v>15000</v>
      </c>
      <c r="Q74" s="62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62">
        <f>7709.76</f>
        <v>7709.76</v>
      </c>
      <c r="W74" s="36">
        <f t="shared" si="58"/>
        <v>57709.760000000002</v>
      </c>
      <c r="X74" s="36">
        <v>299364.53699999995</v>
      </c>
      <c r="Y74" s="124">
        <f>0</f>
        <v>0</v>
      </c>
      <c r="Z74" s="27">
        <f>500000</f>
        <v>500000</v>
      </c>
    </row>
    <row r="75" spans="1:26" ht="20.100000000000001" customHeight="1">
      <c r="A75" s="33"/>
      <c r="B75" s="267" t="s">
        <v>34</v>
      </c>
      <c r="C75" s="267"/>
      <c r="D75" s="7">
        <v>8</v>
      </c>
      <c r="E75" s="7"/>
      <c r="F75" s="95">
        <f>SUM(F10:F74)</f>
        <v>3007059.8300000015</v>
      </c>
      <c r="G75" s="95"/>
      <c r="H75" s="95">
        <f t="shared" ref="H75:V75" si="59">SUM(H10:H74)</f>
        <v>8860690.7399999984</v>
      </c>
      <c r="I75" s="95">
        <f t="shared" si="59"/>
        <v>261639.46099999998</v>
      </c>
      <c r="J75" s="95">
        <f t="shared" si="59"/>
        <v>1765376.3599999994</v>
      </c>
      <c r="K75" s="95">
        <f t="shared" si="59"/>
        <v>1495505.4800000007</v>
      </c>
      <c r="L75" s="95">
        <f t="shared" si="59"/>
        <v>9962998.7799999993</v>
      </c>
      <c r="M75" s="95">
        <f t="shared" si="59"/>
        <v>2966937.6500000013</v>
      </c>
      <c r="N75" s="95">
        <f t="shared" si="59"/>
        <v>11350000</v>
      </c>
      <c r="O75" s="95">
        <f t="shared" si="59"/>
        <v>300705.98800000007</v>
      </c>
      <c r="P75" s="95">
        <f t="shared" si="59"/>
        <v>1370000</v>
      </c>
      <c r="Q75" s="95">
        <f t="shared" si="59"/>
        <v>825235</v>
      </c>
      <c r="R75" s="95">
        <f t="shared" si="59"/>
        <v>42166149.288999997</v>
      </c>
      <c r="S75" s="95">
        <f t="shared" si="59"/>
        <v>3045000</v>
      </c>
      <c r="T75" s="95">
        <f t="shared" si="59"/>
        <v>6582152.9099999992</v>
      </c>
      <c r="U75" s="95">
        <f t="shared" si="59"/>
        <v>22410.292749999993</v>
      </c>
      <c r="V75" s="95">
        <f t="shared" si="59"/>
        <v>1372071.4300000002</v>
      </c>
      <c r="W75" s="95">
        <f>SUM(S75:V75)</f>
        <v>11021634.632749999</v>
      </c>
      <c r="X75" s="95">
        <v>3242401.5714999996</v>
      </c>
      <c r="Y75" s="129">
        <f>SUM(Y67:Y74)</f>
        <v>0</v>
      </c>
      <c r="Z75" s="134">
        <f>SUM(Z67:Z74)</f>
        <v>4600000</v>
      </c>
    </row>
    <row r="76" spans="1:26" ht="20.100000000000001" customHeight="1">
      <c r="A76" s="33"/>
      <c r="B76" s="96"/>
      <c r="C76" s="96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18"/>
      <c r="Z76" s="33"/>
    </row>
    <row r="77" spans="1:26" ht="20.100000000000001" customHeight="1">
      <c r="A77" s="33"/>
      <c r="B77" s="267" t="s">
        <v>199</v>
      </c>
      <c r="C77" s="267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18"/>
      <c r="Z77" s="33"/>
    </row>
    <row r="78" spans="1:26" ht="20.100000000000001" customHeight="1">
      <c r="A78" s="33">
        <v>1</v>
      </c>
      <c r="B78" s="257" t="s">
        <v>44</v>
      </c>
      <c r="C78" s="258"/>
      <c r="D78" s="33" t="s">
        <v>45</v>
      </c>
      <c r="E78" s="3" t="s">
        <v>479</v>
      </c>
      <c r="F78" s="62">
        <f>39662.25</f>
        <v>39662.25</v>
      </c>
      <c r="G78" s="62"/>
      <c r="H78" s="62">
        <f>F78*300%</f>
        <v>118986.75</v>
      </c>
      <c r="I78" s="62">
        <f>F78*7.5%</f>
        <v>2974.6687499999998</v>
      </c>
      <c r="J78" s="62">
        <v>40122.19</v>
      </c>
      <c r="K78" s="62">
        <f>F78*50%</f>
        <v>19831.125</v>
      </c>
      <c r="L78" s="62">
        <f>F78*350%</f>
        <v>138817.875</v>
      </c>
      <c r="M78" s="62">
        <f>F78*100%</f>
        <v>39662.25</v>
      </c>
      <c r="N78" s="62">
        <v>150000</v>
      </c>
      <c r="O78" s="62">
        <f>F78*10%</f>
        <v>3966.2250000000004</v>
      </c>
      <c r="P78" s="62">
        <v>20000</v>
      </c>
      <c r="Q78" s="62">
        <v>150000</v>
      </c>
      <c r="R78" s="36">
        <f>SUM(F78:Q78)</f>
        <v>724023.33374999999</v>
      </c>
      <c r="S78" s="36"/>
      <c r="T78" s="36"/>
      <c r="U78" s="36">
        <f>'[3]DECEMBER 2019'!$H$30</f>
        <v>837.6875</v>
      </c>
      <c r="V78" s="62">
        <v>15548.33</v>
      </c>
      <c r="W78" s="36">
        <f>SUM(S78:V78)</f>
        <v>16386.017500000002</v>
      </c>
      <c r="X78" s="36">
        <v>651167.48499999999</v>
      </c>
      <c r="Y78" s="124">
        <f>0</f>
        <v>0</v>
      </c>
      <c r="Z78" s="27">
        <f>700000</f>
        <v>700000</v>
      </c>
    </row>
    <row r="79" spans="1:26" ht="20.100000000000001" customHeight="1">
      <c r="A79" s="33">
        <v>2</v>
      </c>
      <c r="B79" s="269" t="s">
        <v>202</v>
      </c>
      <c r="C79" s="270"/>
      <c r="D79" s="20" t="s">
        <v>493</v>
      </c>
      <c r="E79" s="29" t="s">
        <v>194</v>
      </c>
      <c r="F79" s="26">
        <f>27611.23</f>
        <v>27611.23</v>
      </c>
      <c r="G79" s="62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24">
        <f>0</f>
        <v>0</v>
      </c>
      <c r="Z79" s="27">
        <f>500000</f>
        <v>500000</v>
      </c>
    </row>
    <row r="80" spans="1:26" ht="20.100000000000001" customHeight="1">
      <c r="A80" s="33">
        <v>3</v>
      </c>
      <c r="B80" s="257" t="s">
        <v>206</v>
      </c>
      <c r="C80" s="258"/>
      <c r="D80" s="33" t="s">
        <v>565</v>
      </c>
      <c r="E80" s="66" t="s">
        <v>103</v>
      </c>
      <c r="F80" s="26">
        <f>18281.64</f>
        <v>18281.64</v>
      </c>
      <c r="G80" s="62"/>
      <c r="H80" s="62">
        <f>F80*300%</f>
        <v>54844.92</v>
      </c>
      <c r="I80" s="62">
        <f>F80*7.5%</f>
        <v>1371.1229999999998</v>
      </c>
      <c r="J80" s="62"/>
      <c r="K80" s="62">
        <f>F80*50%</f>
        <v>9140.82</v>
      </c>
      <c r="L80" s="36">
        <f>F80*350%</f>
        <v>63985.74</v>
      </c>
      <c r="M80" s="26">
        <f>F80*100%</f>
        <v>18281.64</v>
      </c>
      <c r="N80" s="62">
        <f t="shared" ref="N80" si="60">100000</f>
        <v>100000</v>
      </c>
      <c r="O80" s="62">
        <f>F80*10%</f>
        <v>1828.164</v>
      </c>
      <c r="P80" s="62">
        <v>10000</v>
      </c>
      <c r="Q80" s="62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62">
        <v>3369.51</v>
      </c>
      <c r="W80" s="36">
        <f>SUM(S80:V80)</f>
        <v>8369.51</v>
      </c>
      <c r="X80" s="36">
        <v>264798.69</v>
      </c>
      <c r="Y80" s="124">
        <f>300000</f>
        <v>300000</v>
      </c>
      <c r="Z80" s="27"/>
    </row>
    <row r="81" spans="1:26" ht="20.100000000000001" customHeight="1">
      <c r="A81" s="33">
        <v>4</v>
      </c>
      <c r="B81" s="97" t="s">
        <v>86</v>
      </c>
      <c r="C81" s="98"/>
      <c r="D81" s="33" t="s">
        <v>565</v>
      </c>
      <c r="E81" s="66" t="s">
        <v>95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25">
        <f>300000</f>
        <v>300000</v>
      </c>
      <c r="Z81" s="27"/>
    </row>
    <row r="82" spans="1:26" ht="20.100000000000001" customHeight="1">
      <c r="A82" s="33"/>
      <c r="B82" s="267" t="s">
        <v>34</v>
      </c>
      <c r="C82" s="267"/>
      <c r="D82" s="7">
        <v>4</v>
      </c>
      <c r="E82" s="91"/>
      <c r="F82" s="92">
        <f t="shared" ref="F82:Q82" si="62">SUM(F78:F81)</f>
        <v>103339.12</v>
      </c>
      <c r="G82" s="92">
        <f t="shared" si="62"/>
        <v>0</v>
      </c>
      <c r="H82" s="92">
        <f t="shared" si="62"/>
        <v>310017.36</v>
      </c>
      <c r="I82" s="92">
        <f t="shared" si="62"/>
        <v>7750.4339999999993</v>
      </c>
      <c r="J82" s="92">
        <f t="shared" si="62"/>
        <v>40122.19</v>
      </c>
      <c r="K82" s="92">
        <f t="shared" si="62"/>
        <v>51669.56</v>
      </c>
      <c r="L82" s="92">
        <f t="shared" si="62"/>
        <v>361686.92</v>
      </c>
      <c r="M82" s="92">
        <f t="shared" si="62"/>
        <v>103339.12</v>
      </c>
      <c r="N82" s="92">
        <f t="shared" si="62"/>
        <v>450000</v>
      </c>
      <c r="O82" s="92">
        <f t="shared" si="62"/>
        <v>10333.912</v>
      </c>
      <c r="P82" s="92">
        <f t="shared" si="62"/>
        <v>55000</v>
      </c>
      <c r="Q82" s="92">
        <f t="shared" si="62"/>
        <v>150000</v>
      </c>
      <c r="R82" s="92">
        <f>SUM(R78:R81)</f>
        <v>1643258.6159999999</v>
      </c>
      <c r="S82" s="92">
        <f>SUM(S78:S81)</f>
        <v>35000</v>
      </c>
      <c r="T82" s="92">
        <f>SUM(T78:T81)</f>
        <v>0</v>
      </c>
      <c r="U82" s="92">
        <f>SUM(U78:U81)</f>
        <v>1282.2874999999999</v>
      </c>
      <c r="V82" s="92">
        <f>SUM(V78:V81)</f>
        <v>29997.11</v>
      </c>
      <c r="W82" s="92">
        <f>SUM(S82:V82)</f>
        <v>66279.397499999992</v>
      </c>
      <c r="X82" s="92">
        <v>1485045.44325</v>
      </c>
      <c r="Y82" s="127">
        <f>SUM(Y78:Y81)</f>
        <v>600000</v>
      </c>
      <c r="Z82" s="134">
        <f>SUM(Z78:Z81)</f>
        <v>1200000</v>
      </c>
    </row>
    <row r="83" spans="1:26" ht="20.100000000000001" customHeight="1">
      <c r="A83" s="33"/>
      <c r="B83" s="96"/>
      <c r="C83" s="96"/>
      <c r="D83" s="7"/>
      <c r="E83" s="9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28"/>
      <c r="Z83" s="33"/>
    </row>
    <row r="84" spans="1:26" ht="20.100000000000001" customHeight="1">
      <c r="A84" s="33"/>
      <c r="B84" s="267" t="s">
        <v>209</v>
      </c>
      <c r="C84" s="267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30"/>
      <c r="Z84" s="33"/>
    </row>
    <row r="85" spans="1:26" ht="20.100000000000001" customHeight="1">
      <c r="A85" s="33">
        <v>1</v>
      </c>
      <c r="B85" s="257" t="s">
        <v>210</v>
      </c>
      <c r="C85" s="258"/>
      <c r="D85" s="61" t="s">
        <v>211</v>
      </c>
      <c r="E85" s="66" t="s">
        <v>118</v>
      </c>
      <c r="F85" s="62">
        <f>79039.64</f>
        <v>79039.64</v>
      </c>
      <c r="G85" s="62"/>
      <c r="H85" s="62">
        <f>F85*300%</f>
        <v>237118.91999999998</v>
      </c>
      <c r="I85" s="62">
        <f>F85*7.5%</f>
        <v>5927.973</v>
      </c>
      <c r="J85" s="62">
        <v>80244.38</v>
      </c>
      <c r="K85" s="62">
        <f>F85*50%</f>
        <v>39519.82</v>
      </c>
      <c r="L85" s="62">
        <f>F85*350%</f>
        <v>276638.74</v>
      </c>
      <c r="M85" s="62">
        <f>F85*100%</f>
        <v>79039.64</v>
      </c>
      <c r="N85" s="62">
        <v>150000</v>
      </c>
      <c r="O85" s="62">
        <f>F85*10%</f>
        <v>7903.9639999999999</v>
      </c>
      <c r="P85" s="62">
        <v>20000</v>
      </c>
      <c r="Q85" s="62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62">
        <f>52776.63</f>
        <v>52776.63</v>
      </c>
      <c r="W85" s="36">
        <f>SUM(S85:V85)</f>
        <v>152776.63</v>
      </c>
      <c r="X85" s="36">
        <v>797880.82750000013</v>
      </c>
      <c r="Y85" s="124">
        <f>0</f>
        <v>0</v>
      </c>
      <c r="Z85" s="27">
        <f>1000000</f>
        <v>1000000</v>
      </c>
    </row>
    <row r="86" spans="1:26" ht="20.100000000000001" customHeight="1">
      <c r="A86" s="33">
        <v>2</v>
      </c>
      <c r="B86" s="311" t="s">
        <v>212</v>
      </c>
      <c r="C86" s="312"/>
      <c r="D86" s="33" t="s">
        <v>213</v>
      </c>
      <c r="E86" s="3" t="s">
        <v>54</v>
      </c>
      <c r="F86" s="62">
        <f>33507.5</f>
        <v>33507.5</v>
      </c>
      <c r="G86" s="62"/>
      <c r="H86" s="62">
        <f>F86*300%</f>
        <v>100522.5</v>
      </c>
      <c r="I86" s="62">
        <f>F86*7.5%</f>
        <v>2513.0625</v>
      </c>
      <c r="J86" s="62">
        <v>40122.19</v>
      </c>
      <c r="K86" s="62">
        <f>F86*50%</f>
        <v>16753.75</v>
      </c>
      <c r="L86" s="62">
        <f>F86*350%</f>
        <v>117276.25</v>
      </c>
      <c r="M86" s="62">
        <f>F86*100%</f>
        <v>33507.5</v>
      </c>
      <c r="N86" s="62">
        <v>150000</v>
      </c>
      <c r="O86" s="62">
        <f>F86*10%</f>
        <v>3350.75</v>
      </c>
      <c r="P86" s="62">
        <v>20000</v>
      </c>
      <c r="Q86" s="62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'[3]DECEMBER 2019'!$H$37</f>
        <v>837.6875</v>
      </c>
      <c r="V86" s="62">
        <v>15548.33</v>
      </c>
      <c r="W86" s="36">
        <f>SUM(S86:V86)</f>
        <v>187636.01749999999</v>
      </c>
      <c r="X86" s="36">
        <v>329917.48499999999</v>
      </c>
      <c r="Y86" s="124">
        <f>0</f>
        <v>0</v>
      </c>
      <c r="Z86" s="27">
        <f>700000</f>
        <v>700000</v>
      </c>
    </row>
    <row r="87" spans="1:26" ht="20.100000000000001" customHeight="1">
      <c r="A87" s="33">
        <v>3</v>
      </c>
      <c r="B87" s="257" t="s">
        <v>214</v>
      </c>
      <c r="C87" s="258"/>
      <c r="D87" s="33" t="s">
        <v>547</v>
      </c>
      <c r="E87" s="3" t="s">
        <v>73</v>
      </c>
      <c r="F87" s="62">
        <f>26339.3</f>
        <v>26339.3</v>
      </c>
      <c r="G87" s="62"/>
      <c r="H87" s="62">
        <f>F87*300%</f>
        <v>79017.899999999994</v>
      </c>
      <c r="I87" s="62">
        <f>F87*7.5%</f>
        <v>1975.4474999999998</v>
      </c>
      <c r="J87" s="62">
        <v>0</v>
      </c>
      <c r="K87" s="62">
        <f>F87*50%</f>
        <v>13169.65</v>
      </c>
      <c r="L87" s="62">
        <f>F87*350%</f>
        <v>92187.55</v>
      </c>
      <c r="M87" s="62">
        <f>F87*100%</f>
        <v>26339.3</v>
      </c>
      <c r="N87" s="62">
        <v>150000</v>
      </c>
      <c r="O87" s="62">
        <f>F87*10%</f>
        <v>2633.9300000000003</v>
      </c>
      <c r="P87" s="62">
        <v>15000</v>
      </c>
      <c r="Q87" s="62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'[3]DECEMBER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24">
        <f>0</f>
        <v>0</v>
      </c>
      <c r="Z87" s="27">
        <f>500000</f>
        <v>500000</v>
      </c>
    </row>
    <row r="88" spans="1:26" ht="20.100000000000001" customHeight="1">
      <c r="A88" s="33">
        <v>4</v>
      </c>
      <c r="B88" s="269" t="s">
        <v>216</v>
      </c>
      <c r="C88" s="270"/>
      <c r="D88" s="20" t="s">
        <v>548</v>
      </c>
      <c r="E88" s="29" t="s">
        <v>98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62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24">
        <f>0</f>
        <v>0</v>
      </c>
      <c r="Z88" s="27">
        <f>500000</f>
        <v>500000</v>
      </c>
    </row>
    <row r="89" spans="1:26" ht="20.100000000000001" customHeight="1">
      <c r="A89" s="33"/>
      <c r="B89" s="267" t="s">
        <v>34</v>
      </c>
      <c r="C89" s="267"/>
      <c r="D89" s="3">
        <v>4</v>
      </c>
      <c r="E89" s="33"/>
      <c r="F89" s="93">
        <f>SUM(F85:F88)</f>
        <v>163627.70000000001</v>
      </c>
      <c r="G89" s="94"/>
      <c r="H89" s="93">
        <f t="shared" ref="H89:Q89" si="63">SUM(H85:H88)</f>
        <v>490883.1</v>
      </c>
      <c r="I89" s="93">
        <f t="shared" si="63"/>
        <v>12272.077499999999</v>
      </c>
      <c r="J89" s="93">
        <f t="shared" si="63"/>
        <v>120366.57</v>
      </c>
      <c r="K89" s="93">
        <f t="shared" si="63"/>
        <v>81813.850000000006</v>
      </c>
      <c r="L89" s="93">
        <f t="shared" si="63"/>
        <v>572696.94999999995</v>
      </c>
      <c r="M89" s="93">
        <f t="shared" si="63"/>
        <v>163627.70000000001</v>
      </c>
      <c r="N89" s="93">
        <f t="shared" si="63"/>
        <v>600000</v>
      </c>
      <c r="O89" s="93">
        <f t="shared" si="63"/>
        <v>16362.77</v>
      </c>
      <c r="P89" s="93">
        <f t="shared" si="63"/>
        <v>70000</v>
      </c>
      <c r="Q89" s="93">
        <f t="shared" si="63"/>
        <v>0</v>
      </c>
      <c r="R89" s="93">
        <f>SUM(R85:R88)</f>
        <v>2291650.7174999998</v>
      </c>
      <c r="S89" s="93">
        <f>SUM(S85:S88)</f>
        <v>220000</v>
      </c>
      <c r="T89" s="93">
        <f>SUM(T85:T88)</f>
        <v>174333.33000000002</v>
      </c>
      <c r="U89" s="93">
        <f>SUM(U85:U88)</f>
        <v>1475.7737500000001</v>
      </c>
      <c r="V89" s="93">
        <f>SUM(V85:V88)</f>
        <v>83744.479999999981</v>
      </c>
      <c r="W89" s="93">
        <f>SUM(S89:V89)</f>
        <v>479553.58374999999</v>
      </c>
      <c r="X89" s="93">
        <v>1742740.03</v>
      </c>
      <c r="Y89" s="131">
        <f>SUM(Y85:Y88)</f>
        <v>0</v>
      </c>
      <c r="Z89" s="134">
        <f>SUM(Z85:Z88)</f>
        <v>2700000</v>
      </c>
    </row>
    <row r="90" spans="1:26" ht="20.100000000000001" customHeight="1">
      <c r="A90" s="33"/>
      <c r="B90" s="96"/>
      <c r="C90" s="96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2"/>
      <c r="Z90" s="33"/>
    </row>
    <row r="91" spans="1:26" ht="20.100000000000001" customHeight="1">
      <c r="A91" s="33"/>
      <c r="B91" s="267" t="s">
        <v>222</v>
      </c>
      <c r="C91" s="267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63"/>
      <c r="S91" s="63"/>
      <c r="T91" s="63"/>
      <c r="U91" s="63"/>
      <c r="V91" s="39"/>
      <c r="W91" s="36"/>
      <c r="X91" s="36"/>
      <c r="Y91" s="124"/>
      <c r="Z91" s="33"/>
    </row>
    <row r="92" spans="1:26" ht="20.100000000000001" customHeight="1">
      <c r="A92" s="33">
        <v>1</v>
      </c>
      <c r="B92" s="264" t="s">
        <v>223</v>
      </c>
      <c r="C92" s="264"/>
      <c r="D92" s="61" t="s">
        <v>224</v>
      </c>
      <c r="E92" s="66" t="s">
        <v>43</v>
      </c>
      <c r="F92" s="62">
        <f>81740.02</f>
        <v>81740.02</v>
      </c>
      <c r="G92" s="62"/>
      <c r="H92" s="62">
        <f t="shared" ref="H92:H101" si="64">F92*300%</f>
        <v>245220.06</v>
      </c>
      <c r="I92" s="62">
        <f t="shared" ref="I92:I101" si="65">F92*7.5%</f>
        <v>6130.5015000000003</v>
      </c>
      <c r="J92" s="62">
        <f>80244.38</f>
        <v>80244.38</v>
      </c>
      <c r="K92" s="62">
        <f t="shared" ref="K92:K101" si="66">F92*50%</f>
        <v>40870.01</v>
      </c>
      <c r="L92" s="62">
        <f t="shared" ref="L92:L101" si="67">F92*350%</f>
        <v>286090.07</v>
      </c>
      <c r="M92" s="62">
        <f t="shared" ref="M92:M100" si="68">F92*100%</f>
        <v>81740.02</v>
      </c>
      <c r="N92" s="62">
        <f>100000</f>
        <v>100000</v>
      </c>
      <c r="O92" s="62">
        <f t="shared" ref="O92:O100" si="69">F92*10%</f>
        <v>8174.0020000000004</v>
      </c>
      <c r="P92" s="62">
        <v>20000</v>
      </c>
      <c r="Q92" s="62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'[3]DECEMBER 2019'!$H$24</f>
        <v>1975.991</v>
      </c>
      <c r="V92" s="62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24">
        <f>0</f>
        <v>0</v>
      </c>
      <c r="Z92" s="27">
        <f>1000000</f>
        <v>1000000</v>
      </c>
    </row>
    <row r="93" spans="1:26" ht="20.100000000000001" customHeight="1">
      <c r="A93" s="33">
        <v>2</v>
      </c>
      <c r="B93" s="264" t="s">
        <v>225</v>
      </c>
      <c r="C93" s="264"/>
      <c r="D93" s="61" t="s">
        <v>226</v>
      </c>
      <c r="E93" s="66" t="s">
        <v>227</v>
      </c>
      <c r="F93" s="62">
        <f>42653.17</f>
        <v>42653.17</v>
      </c>
      <c r="G93" s="62"/>
      <c r="H93" s="62">
        <f t="shared" si="64"/>
        <v>127959.51</v>
      </c>
      <c r="I93" s="62">
        <f t="shared" si="65"/>
        <v>3198.9877499999998</v>
      </c>
      <c r="J93" s="62">
        <v>40122.19</v>
      </c>
      <c r="K93" s="62">
        <f t="shared" si="66"/>
        <v>21326.584999999999</v>
      </c>
      <c r="L93" s="62">
        <f t="shared" si="67"/>
        <v>149286.095</v>
      </c>
      <c r="M93" s="62">
        <f t="shared" si="68"/>
        <v>42653.17</v>
      </c>
      <c r="N93" s="62">
        <f t="shared" ref="N93:N111" si="72">100000</f>
        <v>100000</v>
      </c>
      <c r="O93" s="62">
        <f t="shared" si="69"/>
        <v>4265.317</v>
      </c>
      <c r="P93" s="62">
        <v>20000</v>
      </c>
      <c r="Q93" s="62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62">
        <f>21618.09</f>
        <v>21618.09</v>
      </c>
      <c r="W93" s="36">
        <f t="shared" si="71"/>
        <v>121618.09</v>
      </c>
      <c r="X93" s="36">
        <v>516125.90575000003</v>
      </c>
      <c r="Y93" s="124">
        <f>0</f>
        <v>0</v>
      </c>
      <c r="Z93" s="27">
        <f>700000</f>
        <v>700000</v>
      </c>
    </row>
    <row r="94" spans="1:26" ht="20.100000000000001" customHeight="1">
      <c r="A94" s="33">
        <v>3</v>
      </c>
      <c r="B94" s="264" t="s">
        <v>228</v>
      </c>
      <c r="C94" s="264"/>
      <c r="D94" s="61" t="s">
        <v>495</v>
      </c>
      <c r="E94" s="66" t="s">
        <v>54</v>
      </c>
      <c r="F94" s="26">
        <f>33507.5</f>
        <v>33507.5</v>
      </c>
      <c r="G94" s="62"/>
      <c r="H94" s="62">
        <f t="shared" si="64"/>
        <v>100522.5</v>
      </c>
      <c r="I94" s="62">
        <f t="shared" si="65"/>
        <v>2513.0625</v>
      </c>
      <c r="J94" s="62">
        <v>40122.19</v>
      </c>
      <c r="K94" s="62">
        <f t="shared" si="66"/>
        <v>16753.75</v>
      </c>
      <c r="L94" s="36">
        <f t="shared" si="67"/>
        <v>117276.25</v>
      </c>
      <c r="M94" s="62">
        <f t="shared" si="68"/>
        <v>33507.5</v>
      </c>
      <c r="N94" s="62">
        <f t="shared" si="72"/>
        <v>100000</v>
      </c>
      <c r="O94" s="62">
        <f t="shared" si="69"/>
        <v>3350.75</v>
      </c>
      <c r="P94" s="62">
        <v>20000</v>
      </c>
      <c r="Q94" s="62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'[3]DECEMBER 2019'!$H$23</f>
        <v>806.58</v>
      </c>
      <c r="V94" s="62">
        <v>15548.33</v>
      </c>
      <c r="W94" s="36">
        <f t="shared" si="71"/>
        <v>215521.57999999996</v>
      </c>
      <c r="X94" s="36">
        <v>240615.47000000009</v>
      </c>
      <c r="Y94" s="124">
        <f>0</f>
        <v>0</v>
      </c>
      <c r="Z94" s="27">
        <f>700000</f>
        <v>700000</v>
      </c>
    </row>
    <row r="95" spans="1:26" ht="20.100000000000001" customHeight="1">
      <c r="A95" s="33">
        <v>4</v>
      </c>
      <c r="B95" s="264" t="s">
        <v>59</v>
      </c>
      <c r="C95" s="264"/>
      <c r="D95" s="61" t="s">
        <v>496</v>
      </c>
      <c r="E95" s="66" t="s">
        <v>129</v>
      </c>
      <c r="F95" s="62">
        <f>32263.2</f>
        <v>32263.200000000001</v>
      </c>
      <c r="G95" s="62"/>
      <c r="H95" s="62">
        <f t="shared" si="64"/>
        <v>96789.6</v>
      </c>
      <c r="I95" s="62">
        <f t="shared" si="65"/>
        <v>2419.7399999999998</v>
      </c>
      <c r="J95" s="62">
        <f>40122.19</f>
        <v>40122.19</v>
      </c>
      <c r="K95" s="62">
        <f t="shared" si="66"/>
        <v>16131.6</v>
      </c>
      <c r="L95" s="36">
        <f t="shared" si="67"/>
        <v>112921.2</v>
      </c>
      <c r="M95" s="62">
        <f t="shared" si="68"/>
        <v>32263.200000000001</v>
      </c>
      <c r="N95" s="62">
        <f t="shared" si="72"/>
        <v>100000</v>
      </c>
      <c r="O95" s="62">
        <f t="shared" si="69"/>
        <v>3226.32</v>
      </c>
      <c r="P95" s="62">
        <v>20000</v>
      </c>
      <c r="Q95" s="62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'[3]DECEMBER 2019'!$H$32</f>
        <v>638.08625000000006</v>
      </c>
      <c r="V95" s="62">
        <f>15548.33</f>
        <v>15548.33</v>
      </c>
      <c r="W95" s="36">
        <f t="shared" si="71"/>
        <v>156186.41624999998</v>
      </c>
      <c r="X95" s="36">
        <v>200829.8075</v>
      </c>
      <c r="Y95" s="124">
        <f>0</f>
        <v>0</v>
      </c>
      <c r="Z95" s="27">
        <f>700000</f>
        <v>700000</v>
      </c>
    </row>
    <row r="96" spans="1:26" ht="20.100000000000001" customHeight="1">
      <c r="A96" s="33">
        <v>5</v>
      </c>
      <c r="B96" s="268" t="s">
        <v>230</v>
      </c>
      <c r="C96" s="268"/>
      <c r="D96" s="33" t="s">
        <v>497</v>
      </c>
      <c r="E96" s="66" t="s">
        <v>129</v>
      </c>
      <c r="F96" s="62">
        <f>32263.2</f>
        <v>32263.200000000001</v>
      </c>
      <c r="G96" s="62"/>
      <c r="H96" s="62">
        <f t="shared" si="64"/>
        <v>96789.6</v>
      </c>
      <c r="I96" s="62">
        <f t="shared" si="65"/>
        <v>2419.7399999999998</v>
      </c>
      <c r="J96" s="62">
        <f>40122.19</f>
        <v>40122.19</v>
      </c>
      <c r="K96" s="62">
        <f t="shared" si="66"/>
        <v>16131.6</v>
      </c>
      <c r="L96" s="36">
        <f t="shared" si="67"/>
        <v>112921.2</v>
      </c>
      <c r="M96" s="62">
        <f t="shared" si="68"/>
        <v>32263.200000000001</v>
      </c>
      <c r="N96" s="62">
        <f t="shared" si="72"/>
        <v>100000</v>
      </c>
      <c r="O96" s="62">
        <f t="shared" si="69"/>
        <v>3226.32</v>
      </c>
      <c r="P96" s="62">
        <v>20000</v>
      </c>
      <c r="Q96" s="62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'[3]DECEMBER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24">
        <f>0</f>
        <v>0</v>
      </c>
      <c r="Z96" s="27">
        <f>700000</f>
        <v>700000</v>
      </c>
    </row>
    <row r="97" spans="1:26" ht="20.100000000000001" customHeight="1">
      <c r="A97" s="33">
        <v>6</v>
      </c>
      <c r="B97" s="313" t="s">
        <v>233</v>
      </c>
      <c r="C97" s="313"/>
      <c r="D97" s="61" t="s">
        <v>498</v>
      </c>
      <c r="E97" s="66" t="s">
        <v>98</v>
      </c>
      <c r="F97" s="62">
        <f>24741.26</f>
        <v>24741.26</v>
      </c>
      <c r="G97" s="62">
        <v>0</v>
      </c>
      <c r="H97" s="62">
        <f t="shared" si="64"/>
        <v>74223.78</v>
      </c>
      <c r="I97" s="62">
        <f t="shared" si="65"/>
        <v>1855.5944999999997</v>
      </c>
      <c r="J97" s="62">
        <v>0</v>
      </c>
      <c r="K97" s="62">
        <f t="shared" si="66"/>
        <v>12370.63</v>
      </c>
      <c r="L97" s="36">
        <f t="shared" si="67"/>
        <v>86594.409999999989</v>
      </c>
      <c r="M97" s="62">
        <f t="shared" si="68"/>
        <v>24741.26</v>
      </c>
      <c r="N97" s="62">
        <f t="shared" si="72"/>
        <v>100000</v>
      </c>
      <c r="O97" s="62">
        <f t="shared" si="69"/>
        <v>2474.1260000000002</v>
      </c>
      <c r="P97" s="62">
        <v>15000</v>
      </c>
      <c r="Q97" s="62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62">
        <f>7709.76</f>
        <v>7709.76</v>
      </c>
      <c r="W97" s="36">
        <f t="shared" si="71"/>
        <v>112709.75999999999</v>
      </c>
      <c r="X97" s="36">
        <v>226491.266</v>
      </c>
      <c r="Y97" s="124">
        <f>0</f>
        <v>0</v>
      </c>
      <c r="Z97" s="27">
        <f>500000</f>
        <v>500000</v>
      </c>
    </row>
    <row r="98" spans="1:26" ht="20.100000000000001" customHeight="1">
      <c r="A98" s="33">
        <v>7</v>
      </c>
      <c r="B98" s="264" t="s">
        <v>235</v>
      </c>
      <c r="C98" s="264"/>
      <c r="D98" s="61" t="s">
        <v>499</v>
      </c>
      <c r="E98" s="66" t="s">
        <v>79</v>
      </c>
      <c r="F98" s="62">
        <f>23891.12</f>
        <v>23891.119999999999</v>
      </c>
      <c r="G98" s="62"/>
      <c r="H98" s="62">
        <f t="shared" si="64"/>
        <v>71673.36</v>
      </c>
      <c r="I98" s="62">
        <f t="shared" si="65"/>
        <v>1791.8339999999998</v>
      </c>
      <c r="J98" s="62"/>
      <c r="K98" s="62">
        <f t="shared" si="66"/>
        <v>11945.56</v>
      </c>
      <c r="L98" s="36">
        <f t="shared" si="67"/>
        <v>83618.92</v>
      </c>
      <c r="M98" s="62">
        <f t="shared" si="68"/>
        <v>23891.119999999999</v>
      </c>
      <c r="N98" s="62">
        <f t="shared" si="72"/>
        <v>100000</v>
      </c>
      <c r="O98" s="62">
        <f t="shared" si="69"/>
        <v>2389.1120000000001</v>
      </c>
      <c r="P98" s="62">
        <v>15000</v>
      </c>
      <c r="Q98" s="62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'[3]DECEMBER 2019'!$H$55</f>
        <v>469.48250000000002</v>
      </c>
      <c r="V98" s="62">
        <f>7709.76</f>
        <v>7709.76</v>
      </c>
      <c r="W98" s="36">
        <f t="shared" si="71"/>
        <v>194012.57250000004</v>
      </c>
      <c r="X98" s="36">
        <v>132627.75499999992</v>
      </c>
      <c r="Y98" s="124">
        <f>0</f>
        <v>0</v>
      </c>
      <c r="Z98" s="27">
        <f>500000</f>
        <v>500000</v>
      </c>
    </row>
    <row r="99" spans="1:26" ht="20.100000000000001" customHeight="1">
      <c r="A99" s="33">
        <v>8</v>
      </c>
      <c r="B99" s="264" t="s">
        <v>237</v>
      </c>
      <c r="C99" s="264"/>
      <c r="D99" s="61" t="s">
        <v>499</v>
      </c>
      <c r="E99" s="66" t="s">
        <v>79</v>
      </c>
      <c r="F99" s="62">
        <f>23891.12</f>
        <v>23891.119999999999</v>
      </c>
      <c r="G99" s="62"/>
      <c r="H99" s="62">
        <f t="shared" si="64"/>
        <v>71673.36</v>
      </c>
      <c r="I99" s="62">
        <f t="shared" si="65"/>
        <v>1791.8339999999998</v>
      </c>
      <c r="J99" s="62"/>
      <c r="K99" s="62">
        <f t="shared" si="66"/>
        <v>11945.56</v>
      </c>
      <c r="L99" s="36">
        <f t="shared" si="67"/>
        <v>83618.92</v>
      </c>
      <c r="M99" s="62">
        <f t="shared" si="68"/>
        <v>23891.119999999999</v>
      </c>
      <c r="N99" s="62">
        <f t="shared" si="72"/>
        <v>100000</v>
      </c>
      <c r="O99" s="62">
        <f t="shared" si="69"/>
        <v>2389.1120000000001</v>
      </c>
      <c r="P99" s="62">
        <v>15000</v>
      </c>
      <c r="Q99" s="62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'[3]DECEMBER 2019'!$H$28</f>
        <v>469.48250000000002</v>
      </c>
      <c r="V99" s="62">
        <f>7709.76</f>
        <v>7709.76</v>
      </c>
      <c r="W99" s="36">
        <f t="shared" si="71"/>
        <v>213734.80250000002</v>
      </c>
      <c r="X99" s="36">
        <v>112905.52499999994</v>
      </c>
      <c r="Y99" s="124">
        <f>0</f>
        <v>0</v>
      </c>
      <c r="Z99" s="27">
        <f>500000</f>
        <v>500000</v>
      </c>
    </row>
    <row r="100" spans="1:26" ht="20.100000000000001" customHeight="1">
      <c r="A100" s="33">
        <v>9</v>
      </c>
      <c r="B100" s="257" t="s">
        <v>104</v>
      </c>
      <c r="C100" s="258"/>
      <c r="D100" s="61" t="s">
        <v>105</v>
      </c>
      <c r="E100" s="66" t="s">
        <v>111</v>
      </c>
      <c r="F100" s="67">
        <f>13112.16</f>
        <v>13112.16</v>
      </c>
      <c r="G100" s="62"/>
      <c r="H100" s="62">
        <f t="shared" si="64"/>
        <v>39336.479999999996</v>
      </c>
      <c r="I100" s="62">
        <f t="shared" si="65"/>
        <v>983.41199999999992</v>
      </c>
      <c r="J100" s="62"/>
      <c r="K100" s="62">
        <f t="shared" si="66"/>
        <v>6556.08</v>
      </c>
      <c r="L100" s="36">
        <f t="shared" si="67"/>
        <v>45892.56</v>
      </c>
      <c r="M100" s="62">
        <f t="shared" si="68"/>
        <v>13112.16</v>
      </c>
      <c r="N100" s="62">
        <f t="shared" si="72"/>
        <v>100000</v>
      </c>
      <c r="O100" s="62">
        <f t="shared" si="69"/>
        <v>1311.2160000000001</v>
      </c>
      <c r="P100" s="62">
        <v>10000</v>
      </c>
      <c r="Q100" s="62"/>
      <c r="R100" s="36">
        <f t="shared" si="70"/>
        <v>230304.068</v>
      </c>
      <c r="S100" s="36">
        <f>10000</f>
        <v>10000</v>
      </c>
      <c r="T100" s="36"/>
      <c r="U100" s="36"/>
      <c r="V100" s="62">
        <v>1484.37</v>
      </c>
      <c r="W100" s="36">
        <f t="shared" si="71"/>
        <v>11484.369999999999</v>
      </c>
      <c r="X100" s="36">
        <v>215331.73</v>
      </c>
      <c r="Y100" s="124">
        <f>300000</f>
        <v>300000</v>
      </c>
      <c r="Z100" s="27"/>
    </row>
    <row r="101" spans="1:26" ht="20.100000000000001" customHeight="1">
      <c r="A101" s="33">
        <v>10</v>
      </c>
      <c r="B101" s="97" t="s">
        <v>107</v>
      </c>
      <c r="C101" s="98"/>
      <c r="D101" s="61" t="s">
        <v>105</v>
      </c>
      <c r="E101" s="66" t="s">
        <v>500</v>
      </c>
      <c r="F101" s="67">
        <f>12732</f>
        <v>12732</v>
      </c>
      <c r="G101" s="62">
        <f>0</f>
        <v>0</v>
      </c>
      <c r="H101" s="62">
        <f t="shared" si="64"/>
        <v>38196</v>
      </c>
      <c r="I101" s="62">
        <f t="shared" si="65"/>
        <v>954.9</v>
      </c>
      <c r="J101" s="62"/>
      <c r="K101" s="62">
        <f t="shared" si="66"/>
        <v>6366</v>
      </c>
      <c r="L101" s="36">
        <f t="shared" si="67"/>
        <v>44562</v>
      </c>
      <c r="M101" s="62">
        <f>F101*100%</f>
        <v>12732</v>
      </c>
      <c r="N101" s="42">
        <f>100000</f>
        <v>100000</v>
      </c>
      <c r="O101" s="62">
        <f>F101*10%</f>
        <v>1273.2</v>
      </c>
      <c r="P101" s="62">
        <v>10000</v>
      </c>
      <c r="R101" s="62">
        <f t="shared" si="70"/>
        <v>226816.1</v>
      </c>
      <c r="S101" s="36">
        <f>20000</f>
        <v>20000</v>
      </c>
      <c r="T101" s="36"/>
      <c r="U101" s="36"/>
      <c r="V101" s="62">
        <f>(1484.37)</f>
        <v>1484.37</v>
      </c>
      <c r="W101" s="107">
        <f>S101+T101+U101+V101</f>
        <v>21484.37</v>
      </c>
      <c r="X101" s="36">
        <v>201844.6795</v>
      </c>
      <c r="Y101" s="124">
        <f>300000</f>
        <v>300000</v>
      </c>
      <c r="Z101" s="27"/>
    </row>
    <row r="102" spans="1:26" ht="20.100000000000001" customHeight="1">
      <c r="A102" s="33"/>
      <c r="B102" s="267" t="s">
        <v>34</v>
      </c>
      <c r="C102" s="267"/>
      <c r="D102" s="91" t="s">
        <v>501</v>
      </c>
      <c r="E102" s="66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63">
        <f t="shared" si="73"/>
        <v>1122781.625</v>
      </c>
      <c r="M102" s="39">
        <f t="shared" si="73"/>
        <v>320794.75</v>
      </c>
      <c r="N102" s="95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63">
        <f t="shared" si="73"/>
        <v>4679024.9712499995</v>
      </c>
      <c r="S102" s="63">
        <f t="shared" si="73"/>
        <v>830000</v>
      </c>
      <c r="T102" s="63">
        <f t="shared" si="73"/>
        <v>763333.33999999985</v>
      </c>
      <c r="U102" s="63">
        <f t="shared" si="73"/>
        <v>4997.7085000000006</v>
      </c>
      <c r="V102" s="39">
        <f t="shared" si="73"/>
        <v>147137.73000000001</v>
      </c>
      <c r="W102" s="63">
        <f t="shared" si="73"/>
        <v>1745468.7785000002</v>
      </c>
      <c r="X102" s="63">
        <v>2901795.9227500004</v>
      </c>
      <c r="Y102" s="133">
        <f>SUM(Y92:Y101)</f>
        <v>600000</v>
      </c>
      <c r="Z102" s="134">
        <f>SUM(Z92:Z101)</f>
        <v>5300000</v>
      </c>
    </row>
    <row r="103" spans="1:26" ht="20.100000000000001" customHeight="1">
      <c r="A103" s="33"/>
      <c r="B103" s="96"/>
      <c r="C103" s="96"/>
      <c r="D103" s="91"/>
      <c r="E103" s="66"/>
      <c r="F103" s="39"/>
      <c r="G103" s="39"/>
      <c r="H103" s="39"/>
      <c r="I103" s="39"/>
      <c r="J103" s="39"/>
      <c r="K103" s="39"/>
      <c r="L103" s="63"/>
      <c r="M103" s="39"/>
      <c r="N103" s="39"/>
      <c r="O103" s="39"/>
      <c r="P103" s="39"/>
      <c r="Q103" s="39"/>
      <c r="R103" s="63"/>
      <c r="S103" s="63"/>
      <c r="T103" s="63"/>
      <c r="U103" s="63"/>
      <c r="V103" s="39"/>
      <c r="W103" s="63"/>
      <c r="X103" s="63"/>
      <c r="Y103" s="133"/>
      <c r="Z103" s="33"/>
    </row>
    <row r="104" spans="1:26" ht="20.100000000000001" customHeight="1">
      <c r="A104" s="33"/>
      <c r="B104" s="267" t="s">
        <v>242</v>
      </c>
      <c r="C104" s="267"/>
      <c r="D104" s="61"/>
      <c r="E104" s="66"/>
      <c r="F104" s="62"/>
      <c r="G104" s="62"/>
      <c r="H104" s="62"/>
      <c r="I104" s="62"/>
      <c r="J104" s="62"/>
      <c r="K104" s="62"/>
      <c r="L104" s="36"/>
      <c r="M104" s="62"/>
      <c r="N104" s="62"/>
      <c r="O104" s="62"/>
      <c r="P104" s="62"/>
      <c r="Q104" s="62"/>
      <c r="R104" s="36"/>
      <c r="S104" s="36"/>
      <c r="T104" s="36"/>
      <c r="U104" s="36"/>
      <c r="V104" s="62"/>
      <c r="W104" s="36"/>
      <c r="X104" s="36"/>
      <c r="Y104" s="124"/>
      <c r="Z104" s="33"/>
    </row>
    <row r="105" spans="1:26" ht="20.100000000000001" customHeight="1">
      <c r="A105" s="33">
        <v>1</v>
      </c>
      <c r="B105" s="264" t="s">
        <v>243</v>
      </c>
      <c r="C105" s="264"/>
      <c r="D105" s="61" t="s">
        <v>502</v>
      </c>
      <c r="E105" s="66" t="s">
        <v>43</v>
      </c>
      <c r="F105" s="62">
        <v>81740.02</v>
      </c>
      <c r="G105" s="62">
        <v>0</v>
      </c>
      <c r="H105" s="62">
        <f>F105*300%</f>
        <v>245220.06</v>
      </c>
      <c r="I105" s="62">
        <f>F105*7.5%</f>
        <v>6130.5015000000003</v>
      </c>
      <c r="J105" s="62">
        <v>80244.38</v>
      </c>
      <c r="K105" s="62">
        <f>F105*50%</f>
        <v>40870.01</v>
      </c>
      <c r="L105" s="62">
        <f>F105*350%</f>
        <v>286090.07</v>
      </c>
      <c r="M105" s="62">
        <f>F105*100%</f>
        <v>81740.02</v>
      </c>
      <c r="N105" s="62">
        <f>100000</f>
        <v>100000</v>
      </c>
      <c r="O105" s="62">
        <f>F105*10%</f>
        <v>8174.0020000000004</v>
      </c>
      <c r="P105" s="62">
        <v>20000</v>
      </c>
      <c r="Q105" s="62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62">
        <v>52776.63</v>
      </c>
      <c r="W105" s="36">
        <f>SUM(S105:V105)</f>
        <v>427736.79</v>
      </c>
      <c r="X105" s="36">
        <v>522472.27350000007</v>
      </c>
      <c r="Y105" s="124">
        <f>0</f>
        <v>0</v>
      </c>
      <c r="Z105" s="27">
        <f>1000000</f>
        <v>1000000</v>
      </c>
    </row>
    <row r="106" spans="1:26" ht="20.100000000000001" customHeight="1">
      <c r="A106" s="33">
        <v>2</v>
      </c>
      <c r="B106" s="264" t="s">
        <v>245</v>
      </c>
      <c r="C106" s="264"/>
      <c r="D106" s="61" t="s">
        <v>503</v>
      </c>
      <c r="E106" s="66" t="s">
        <v>43</v>
      </c>
      <c r="F106" s="62">
        <f>81740.02</f>
        <v>81740.02</v>
      </c>
      <c r="G106" s="62"/>
      <c r="H106" s="62">
        <f>F106*300%</f>
        <v>245220.06</v>
      </c>
      <c r="I106" s="62">
        <f>F106*7.5%</f>
        <v>6130.5015000000003</v>
      </c>
      <c r="J106" s="62">
        <f>80244.38</f>
        <v>80244.38</v>
      </c>
      <c r="K106" s="62">
        <f>F106*50%</f>
        <v>40870.01</v>
      </c>
      <c r="L106" s="62">
        <f>F106*350%</f>
        <v>286090.07</v>
      </c>
      <c r="M106" s="62">
        <f>F106*100%</f>
        <v>81740.02</v>
      </c>
      <c r="N106" s="62">
        <f t="shared" ref="N106:N127" si="74">100000</f>
        <v>100000</v>
      </c>
      <c r="O106" s="62">
        <f>F106*10%</f>
        <v>8174.0020000000004</v>
      </c>
      <c r="P106" s="62">
        <v>20000</v>
      </c>
      <c r="Q106" s="62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62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24">
        <f>0</f>
        <v>0</v>
      </c>
      <c r="Z106" s="27">
        <f>500000</f>
        <v>500000</v>
      </c>
    </row>
    <row r="107" spans="1:26" ht="20.100000000000001" customHeight="1">
      <c r="A107" s="33">
        <v>3</v>
      </c>
      <c r="B107" s="313" t="s">
        <v>247</v>
      </c>
      <c r="C107" s="313"/>
      <c r="D107" s="61" t="s">
        <v>504</v>
      </c>
      <c r="E107" s="66" t="s">
        <v>227</v>
      </c>
      <c r="F107" s="62">
        <f>42653.17</f>
        <v>42653.17</v>
      </c>
      <c r="G107" s="62"/>
      <c r="H107" s="62">
        <f t="shared" ref="H107:H155" si="76">F107*300%</f>
        <v>127959.51</v>
      </c>
      <c r="I107" s="62">
        <f t="shared" ref="I107:I155" si="77">F107*7.5%</f>
        <v>3198.9877499999998</v>
      </c>
      <c r="J107" s="62">
        <v>40122.19</v>
      </c>
      <c r="K107" s="62">
        <f t="shared" ref="K107:K155" si="78">F107*50%</f>
        <v>21326.584999999999</v>
      </c>
      <c r="L107" s="62">
        <f t="shared" ref="L107:L155" si="79">F107*350%</f>
        <v>149286.095</v>
      </c>
      <c r="M107" s="62">
        <f t="shared" ref="M107:M127" si="80">F107*100%</f>
        <v>42653.17</v>
      </c>
      <c r="N107" s="62">
        <f t="shared" si="74"/>
        <v>100000</v>
      </c>
      <c r="O107" s="62">
        <f t="shared" ref="O107:O127" si="81">F107*10%</f>
        <v>4265.317</v>
      </c>
      <c r="P107" s="62">
        <v>20000</v>
      </c>
      <c r="Q107" s="62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62">
        <f>21618.09</f>
        <v>21618.09</v>
      </c>
      <c r="W107" s="36">
        <f t="shared" si="75"/>
        <v>214673.63</v>
      </c>
      <c r="X107" s="36">
        <v>323070.36575</v>
      </c>
      <c r="Y107" s="124">
        <f>0</f>
        <v>0</v>
      </c>
      <c r="Z107" s="27">
        <f>350000</f>
        <v>350000</v>
      </c>
    </row>
    <row r="108" spans="1:26" ht="20.100000000000001" customHeight="1">
      <c r="A108" s="33">
        <v>4</v>
      </c>
      <c r="B108" s="265" t="s">
        <v>249</v>
      </c>
      <c r="C108" s="266"/>
      <c r="D108" s="20" t="s">
        <v>505</v>
      </c>
      <c r="E108" s="25" t="s">
        <v>54</v>
      </c>
      <c r="F108" s="62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62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'[3]DECEMBER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24">
        <f>0</f>
        <v>0</v>
      </c>
      <c r="Z108" s="27">
        <f>700000</f>
        <v>700000</v>
      </c>
    </row>
    <row r="109" spans="1:26" ht="20.100000000000001" customHeight="1">
      <c r="A109" s="33">
        <v>5</v>
      </c>
      <c r="B109" s="271" t="s">
        <v>157</v>
      </c>
      <c r="C109" s="272"/>
      <c r="D109" s="33" t="s">
        <v>518</v>
      </c>
      <c r="E109" s="66" t="s">
        <v>138</v>
      </c>
      <c r="F109" s="62">
        <f>25523.45</f>
        <v>25523.45</v>
      </c>
      <c r="G109" s="62"/>
      <c r="H109" s="62">
        <f t="shared" si="76"/>
        <v>76570.350000000006</v>
      </c>
      <c r="I109" s="62">
        <f t="shared" si="77"/>
        <v>1914.25875</v>
      </c>
      <c r="J109" s="62"/>
      <c r="K109" s="62">
        <f t="shared" si="78"/>
        <v>12761.725</v>
      </c>
      <c r="L109" s="36">
        <f t="shared" si="79"/>
        <v>89332.074999999997</v>
      </c>
      <c r="M109" s="62">
        <f t="shared" si="80"/>
        <v>25523.45</v>
      </c>
      <c r="N109" s="62">
        <f t="shared" si="74"/>
        <v>100000</v>
      </c>
      <c r="O109" s="62">
        <f t="shared" si="81"/>
        <v>2552.3450000000003</v>
      </c>
      <c r="P109" s="62">
        <v>15000</v>
      </c>
      <c r="Q109" s="62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24">
        <f>0</f>
        <v>0</v>
      </c>
      <c r="Z109" s="27">
        <f>500000</f>
        <v>500000</v>
      </c>
    </row>
    <row r="110" spans="1:26" ht="20.100000000000001" customHeight="1">
      <c r="A110" s="33">
        <v>6</v>
      </c>
      <c r="B110" s="257" t="s">
        <v>259</v>
      </c>
      <c r="C110" s="258"/>
      <c r="D110" s="61" t="s">
        <v>447</v>
      </c>
      <c r="E110" s="66" t="s">
        <v>208</v>
      </c>
      <c r="F110" s="62">
        <f>19276.95</f>
        <v>19276.95</v>
      </c>
      <c r="G110" s="62"/>
      <c r="H110" s="62">
        <f t="shared" si="76"/>
        <v>57830.850000000006</v>
      </c>
      <c r="I110" s="62">
        <f t="shared" si="77"/>
        <v>1445.77125</v>
      </c>
      <c r="J110" s="62">
        <v>0</v>
      </c>
      <c r="K110" s="62">
        <f t="shared" si="78"/>
        <v>9638.4750000000004</v>
      </c>
      <c r="L110" s="36">
        <f t="shared" si="79"/>
        <v>67469.324999999997</v>
      </c>
      <c r="M110" s="62">
        <f t="shared" si="80"/>
        <v>19276.95</v>
      </c>
      <c r="N110" s="62">
        <f t="shared" si="74"/>
        <v>100000</v>
      </c>
      <c r="O110" s="62">
        <f t="shared" si="81"/>
        <v>1927.6950000000002</v>
      </c>
      <c r="P110" s="62">
        <v>10000</v>
      </c>
      <c r="Q110" s="62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'[3]DECEMBER 2019'!$H$45</f>
        <v>469.48250000000002</v>
      </c>
      <c r="V110" s="62">
        <f>3369.51</f>
        <v>3369.51</v>
      </c>
      <c r="W110" s="36">
        <f t="shared" si="75"/>
        <v>13838.9925</v>
      </c>
      <c r="X110" s="36">
        <v>268461.08499999996</v>
      </c>
      <c r="Y110" s="124">
        <f>300000</f>
        <v>300000</v>
      </c>
      <c r="Z110" s="27"/>
    </row>
    <row r="111" spans="1:26" ht="20.100000000000001" customHeight="1">
      <c r="A111" s="33">
        <v>7</v>
      </c>
      <c r="B111" s="264" t="s">
        <v>399</v>
      </c>
      <c r="C111" s="264"/>
      <c r="D111" s="33" t="s">
        <v>258</v>
      </c>
      <c r="E111" s="66" t="s">
        <v>138</v>
      </c>
      <c r="F111" s="62">
        <f>25523.45</f>
        <v>25523.45</v>
      </c>
      <c r="G111" s="62"/>
      <c r="H111" s="62">
        <f>F111*300%</f>
        <v>76570.350000000006</v>
      </c>
      <c r="I111" s="62">
        <f>F111*7.5%</f>
        <v>1914.25875</v>
      </c>
      <c r="J111" s="62">
        <v>0</v>
      </c>
      <c r="K111" s="62">
        <f>F111*50%</f>
        <v>12761.725</v>
      </c>
      <c r="L111" s="36">
        <f>F111*350%</f>
        <v>89332.074999999997</v>
      </c>
      <c r="M111" s="62">
        <f>F111*100%</f>
        <v>25523.45</v>
      </c>
      <c r="N111" s="62">
        <f t="shared" si="72"/>
        <v>100000</v>
      </c>
      <c r="O111" s="62">
        <f>F111*10%</f>
        <v>2552.3450000000003</v>
      </c>
      <c r="P111" s="62">
        <v>15000</v>
      </c>
      <c r="Q111" s="62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62">
        <v>7709.76</v>
      </c>
      <c r="W111" s="36">
        <f>SUM(S111:V111)</f>
        <v>100709.75999999999</v>
      </c>
      <c r="X111" s="36">
        <v>201291.30049999995</v>
      </c>
      <c r="Y111" s="124">
        <f>0</f>
        <v>0</v>
      </c>
      <c r="Z111" s="27">
        <f>500000</f>
        <v>500000</v>
      </c>
    </row>
    <row r="112" spans="1:26" ht="20.100000000000001" customHeight="1">
      <c r="A112" s="33">
        <v>8</v>
      </c>
      <c r="B112" s="264" t="s">
        <v>253</v>
      </c>
      <c r="C112" s="264"/>
      <c r="D112" s="61" t="s">
        <v>446</v>
      </c>
      <c r="E112" s="66" t="s">
        <v>138</v>
      </c>
      <c r="F112" s="62">
        <f>25523.45</f>
        <v>25523.45</v>
      </c>
      <c r="G112" s="62"/>
      <c r="H112" s="62">
        <f t="shared" si="76"/>
        <v>76570.350000000006</v>
      </c>
      <c r="I112" s="62">
        <f t="shared" si="77"/>
        <v>1914.25875</v>
      </c>
      <c r="J112" s="62">
        <v>0</v>
      </c>
      <c r="K112" s="62">
        <f t="shared" si="78"/>
        <v>12761.725</v>
      </c>
      <c r="L112" s="36">
        <f t="shared" si="79"/>
        <v>89332.074999999997</v>
      </c>
      <c r="M112" s="62">
        <f t="shared" si="80"/>
        <v>25523.45</v>
      </c>
      <c r="N112" s="62">
        <f t="shared" si="74"/>
        <v>100000</v>
      </c>
      <c r="O112" s="62">
        <f t="shared" si="81"/>
        <v>2552.3450000000003</v>
      </c>
      <c r="P112" s="62">
        <v>15000</v>
      </c>
      <c r="Q112" s="62"/>
      <c r="R112" s="36">
        <f t="shared" si="82"/>
        <v>349177.65375</v>
      </c>
      <c r="S112" s="36">
        <v>10000</v>
      </c>
      <c r="T112" s="36">
        <f>61800</f>
        <v>61800</v>
      </c>
      <c r="U112" s="36">
        <f>'[3]DECEMBER 2019'!$H$53</f>
        <v>618.53150000000005</v>
      </c>
      <c r="V112" s="62">
        <v>7709.76</v>
      </c>
      <c r="W112" s="36">
        <f t="shared" si="75"/>
        <v>80128.291499999992</v>
      </c>
      <c r="X112" s="36">
        <v>261872.76899999997</v>
      </c>
      <c r="Y112" s="124">
        <f>0</f>
        <v>0</v>
      </c>
      <c r="Z112" s="27">
        <f>500000</f>
        <v>500000</v>
      </c>
    </row>
    <row r="113" spans="1:26" ht="20.100000000000001" customHeight="1">
      <c r="A113" s="33">
        <v>9</v>
      </c>
      <c r="B113" s="264" t="s">
        <v>255</v>
      </c>
      <c r="C113" s="264"/>
      <c r="D113" s="33" t="s">
        <v>258</v>
      </c>
      <c r="E113" s="66" t="s">
        <v>138</v>
      </c>
      <c r="F113" s="62">
        <f>25523.45</f>
        <v>25523.45</v>
      </c>
      <c r="G113" s="62"/>
      <c r="H113" s="62">
        <f t="shared" si="76"/>
        <v>76570.350000000006</v>
      </c>
      <c r="I113" s="62">
        <f t="shared" si="77"/>
        <v>1914.25875</v>
      </c>
      <c r="J113" s="62">
        <v>0</v>
      </c>
      <c r="K113" s="62">
        <f t="shared" si="78"/>
        <v>12761.725</v>
      </c>
      <c r="L113" s="36">
        <f t="shared" si="79"/>
        <v>89332.074999999997</v>
      </c>
      <c r="M113" s="62">
        <f t="shared" si="80"/>
        <v>25523.45</v>
      </c>
      <c r="N113" s="62">
        <f t="shared" si="74"/>
        <v>100000</v>
      </c>
      <c r="O113" s="62">
        <f t="shared" si="81"/>
        <v>2552.3450000000003</v>
      </c>
      <c r="P113" s="62">
        <v>15000</v>
      </c>
      <c r="Q113" s="62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'[3]DECEMBER 2019'!$H$57</f>
        <v>618.53150000000005</v>
      </c>
      <c r="V113" s="62">
        <v>7709.76</v>
      </c>
      <c r="W113" s="36">
        <f t="shared" si="75"/>
        <v>8328.2914999999994</v>
      </c>
      <c r="X113" s="36">
        <v>333672.76899999997</v>
      </c>
      <c r="Y113" s="124">
        <f>0</f>
        <v>0</v>
      </c>
      <c r="Z113" s="27">
        <f>500000</f>
        <v>500000</v>
      </c>
    </row>
    <row r="114" spans="1:26" ht="20.100000000000001" customHeight="1">
      <c r="A114" s="33">
        <v>10</v>
      </c>
      <c r="B114" s="264" t="s">
        <v>257</v>
      </c>
      <c r="C114" s="264"/>
      <c r="D114" s="33" t="s">
        <v>258</v>
      </c>
      <c r="E114" s="66" t="s">
        <v>79</v>
      </c>
      <c r="F114" s="62">
        <f>23891.12</f>
        <v>23891.119999999999</v>
      </c>
      <c r="G114" s="62"/>
      <c r="H114" s="62">
        <f t="shared" si="76"/>
        <v>71673.36</v>
      </c>
      <c r="I114" s="62">
        <f t="shared" si="77"/>
        <v>1791.8339999999998</v>
      </c>
      <c r="J114" s="36">
        <v>0</v>
      </c>
      <c r="K114" s="62">
        <f t="shared" si="78"/>
        <v>11945.56</v>
      </c>
      <c r="L114" s="36">
        <f t="shared" si="79"/>
        <v>83618.92</v>
      </c>
      <c r="M114" s="62">
        <f t="shared" si="80"/>
        <v>23891.119999999999</v>
      </c>
      <c r="N114" s="62">
        <f t="shared" si="74"/>
        <v>100000</v>
      </c>
      <c r="O114" s="62">
        <f t="shared" si="81"/>
        <v>2389.1120000000001</v>
      </c>
      <c r="P114" s="62">
        <v>15000</v>
      </c>
      <c r="Q114" s="62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62">
        <f>7709.76</f>
        <v>7709.76</v>
      </c>
      <c r="W114" s="36">
        <f t="shared" si="75"/>
        <v>57709.760000000002</v>
      </c>
      <c r="X114" s="36">
        <v>178930.56749999995</v>
      </c>
      <c r="Y114" s="124">
        <f>0</f>
        <v>0</v>
      </c>
      <c r="Z114" s="27">
        <f>500000</f>
        <v>500000</v>
      </c>
    </row>
    <row r="115" spans="1:26" ht="20.100000000000001" customHeight="1">
      <c r="A115" s="33">
        <v>11</v>
      </c>
      <c r="B115" s="264" t="s">
        <v>261</v>
      </c>
      <c r="C115" s="264"/>
      <c r="D115" s="33" t="s">
        <v>447</v>
      </c>
      <c r="E115" s="66" t="s">
        <v>82</v>
      </c>
      <c r="F115" s="36">
        <f>18779.3</f>
        <v>18779.3</v>
      </c>
      <c r="G115" s="62"/>
      <c r="H115" s="62">
        <f>F115*300%</f>
        <v>56337.899999999994</v>
      </c>
      <c r="I115" s="62">
        <f>F115*7.5%</f>
        <v>1408.4475</v>
      </c>
      <c r="J115" s="62">
        <v>0</v>
      </c>
      <c r="K115" s="62">
        <f>F115*50%</f>
        <v>9389.65</v>
      </c>
      <c r="L115" s="36">
        <f>F115*350%</f>
        <v>65727.55</v>
      </c>
      <c r="M115" s="26">
        <f t="shared" si="80"/>
        <v>18779.3</v>
      </c>
      <c r="N115" s="62">
        <f t="shared" si="74"/>
        <v>100000</v>
      </c>
      <c r="O115" s="62">
        <f t="shared" si="81"/>
        <v>1877.93</v>
      </c>
      <c r="P115" s="62">
        <v>10000</v>
      </c>
      <c r="Q115" s="62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62">
        <v>3369.51</v>
      </c>
      <c r="W115" s="36">
        <f t="shared" si="75"/>
        <v>53369.51</v>
      </c>
      <c r="X115" s="36">
        <v>224364.53699999995</v>
      </c>
      <c r="Y115" s="124">
        <f t="shared" ref="Y115:Y128" si="83">300000</f>
        <v>300000</v>
      </c>
      <c r="Z115" s="27"/>
    </row>
    <row r="116" spans="1:26" ht="20.100000000000001" customHeight="1">
      <c r="A116" s="33">
        <v>12</v>
      </c>
      <c r="B116" s="257" t="s">
        <v>263</v>
      </c>
      <c r="C116" s="258"/>
      <c r="D116" s="33" t="s">
        <v>264</v>
      </c>
      <c r="E116" s="66" t="s">
        <v>103</v>
      </c>
      <c r="F116" s="26">
        <f>18281.64</f>
        <v>18281.64</v>
      </c>
      <c r="G116" s="62"/>
      <c r="H116" s="62">
        <f>F116*300%</f>
        <v>54844.92</v>
      </c>
      <c r="I116" s="62">
        <f>F116*7.5%</f>
        <v>1371.1229999999998</v>
      </c>
      <c r="J116" s="62"/>
      <c r="K116" s="62">
        <f>F116*50%</f>
        <v>9140.82</v>
      </c>
      <c r="L116" s="36">
        <f>F116*350%</f>
        <v>63985.74</v>
      </c>
      <c r="M116" s="26">
        <f t="shared" si="80"/>
        <v>18281.64</v>
      </c>
      <c r="N116" s="62">
        <f t="shared" si="74"/>
        <v>100000</v>
      </c>
      <c r="O116" s="62">
        <f t="shared" si="81"/>
        <v>1828.164</v>
      </c>
      <c r="P116" s="62">
        <v>10000</v>
      </c>
      <c r="Q116" s="62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62">
        <v>3369.51</v>
      </c>
      <c r="W116" s="36">
        <f t="shared" si="75"/>
        <v>147091.06</v>
      </c>
      <c r="X116" s="36">
        <v>126077.14000000001</v>
      </c>
      <c r="Y116" s="124">
        <f t="shared" si="83"/>
        <v>300000</v>
      </c>
      <c r="Z116" s="27"/>
    </row>
    <row r="117" spans="1:26" ht="20.100000000000001" customHeight="1">
      <c r="A117" s="33">
        <v>13</v>
      </c>
      <c r="B117" s="257" t="s">
        <v>265</v>
      </c>
      <c r="C117" s="258"/>
      <c r="D117" s="61" t="s">
        <v>266</v>
      </c>
      <c r="E117" s="66" t="s">
        <v>95</v>
      </c>
      <c r="F117" s="67">
        <f>17784</f>
        <v>17784</v>
      </c>
      <c r="G117" s="62"/>
      <c r="H117" s="62">
        <f t="shared" si="76"/>
        <v>53352</v>
      </c>
      <c r="I117" s="62">
        <f t="shared" si="77"/>
        <v>1333.8</v>
      </c>
      <c r="J117" s="62"/>
      <c r="K117" s="62">
        <f t="shared" si="78"/>
        <v>8892</v>
      </c>
      <c r="L117" s="36">
        <f t="shared" si="79"/>
        <v>62244</v>
      </c>
      <c r="M117" s="62">
        <f t="shared" si="80"/>
        <v>17784</v>
      </c>
      <c r="N117" s="62">
        <f t="shared" si="74"/>
        <v>100000</v>
      </c>
      <c r="O117" s="62">
        <f t="shared" si="81"/>
        <v>1778.4</v>
      </c>
      <c r="P117" s="62">
        <v>10000</v>
      </c>
      <c r="Q117" s="62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'[3]DECEMBER 2019'!$H$49</f>
        <v>337.30525</v>
      </c>
      <c r="V117" s="62">
        <f>3369.51</f>
        <v>3369.51</v>
      </c>
      <c r="W117" s="36">
        <f t="shared" si="75"/>
        <v>95685.195250000004</v>
      </c>
      <c r="X117" s="36">
        <v>89990.971499999985</v>
      </c>
      <c r="Y117" s="124">
        <f t="shared" si="83"/>
        <v>300000</v>
      </c>
      <c r="Z117" s="27"/>
    </row>
    <row r="118" spans="1:26" ht="20.100000000000001" customHeight="1">
      <c r="A118" s="33">
        <v>14</v>
      </c>
      <c r="B118" s="257" t="s">
        <v>269</v>
      </c>
      <c r="C118" s="258"/>
      <c r="D118" s="61" t="s">
        <v>268</v>
      </c>
      <c r="E118" s="66" t="s">
        <v>106</v>
      </c>
      <c r="F118" s="67">
        <f>13492.21</f>
        <v>13492.21</v>
      </c>
      <c r="G118" s="62"/>
      <c r="H118" s="62">
        <f t="shared" si="76"/>
        <v>40476.629999999997</v>
      </c>
      <c r="I118" s="62">
        <f t="shared" si="77"/>
        <v>1011.9157499999999</v>
      </c>
      <c r="J118" s="62"/>
      <c r="K118" s="62">
        <f t="shared" si="78"/>
        <v>6746.1049999999996</v>
      </c>
      <c r="L118" s="36">
        <f t="shared" si="79"/>
        <v>47222.735000000001</v>
      </c>
      <c r="M118" s="62">
        <f t="shared" si="80"/>
        <v>13492.21</v>
      </c>
      <c r="N118" s="62">
        <f t="shared" si="74"/>
        <v>100000</v>
      </c>
      <c r="O118" s="62">
        <f t="shared" si="81"/>
        <v>1349.221</v>
      </c>
      <c r="P118" s="62">
        <v>10000</v>
      </c>
      <c r="Q118" s="62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62">
        <v>1484.37</v>
      </c>
      <c r="W118" s="36">
        <f t="shared" si="75"/>
        <v>46067.700000000004</v>
      </c>
      <c r="X118" s="36">
        <v>184236.36799999999</v>
      </c>
      <c r="Y118" s="124">
        <f t="shared" si="83"/>
        <v>300000</v>
      </c>
      <c r="Z118" s="27"/>
    </row>
    <row r="119" spans="1:26" ht="20.100000000000001" customHeight="1">
      <c r="A119" s="33">
        <v>15</v>
      </c>
      <c r="B119" s="257" t="s">
        <v>270</v>
      </c>
      <c r="C119" s="258"/>
      <c r="D119" s="61" t="s">
        <v>268</v>
      </c>
      <c r="E119" s="66" t="s">
        <v>106</v>
      </c>
      <c r="F119" s="67">
        <f>13492.21</f>
        <v>13492.21</v>
      </c>
      <c r="G119" s="62"/>
      <c r="H119" s="62">
        <f t="shared" si="76"/>
        <v>40476.629999999997</v>
      </c>
      <c r="I119" s="62">
        <f t="shared" si="77"/>
        <v>1011.9157499999999</v>
      </c>
      <c r="J119" s="62"/>
      <c r="K119" s="62">
        <f t="shared" si="78"/>
        <v>6746.1049999999996</v>
      </c>
      <c r="L119" s="36">
        <f t="shared" si="79"/>
        <v>47222.735000000001</v>
      </c>
      <c r="M119" s="62">
        <f t="shared" si="80"/>
        <v>13492.21</v>
      </c>
      <c r="N119" s="62">
        <f t="shared" si="74"/>
        <v>100000</v>
      </c>
      <c r="O119" s="62">
        <f t="shared" si="81"/>
        <v>1349.221</v>
      </c>
      <c r="P119" s="62">
        <v>10000</v>
      </c>
      <c r="Q119" s="62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'[3]DECEMBER 2019'!$H$41</f>
        <v>327.80400000000003</v>
      </c>
      <c r="V119" s="62">
        <v>1484.37</v>
      </c>
      <c r="W119" s="36">
        <f t="shared" si="75"/>
        <v>119312.174</v>
      </c>
      <c r="X119" s="36">
        <v>110991.894</v>
      </c>
      <c r="Y119" s="124">
        <f t="shared" si="83"/>
        <v>300000</v>
      </c>
      <c r="Z119" s="27"/>
    </row>
    <row r="120" spans="1:26" ht="20.100000000000001" customHeight="1">
      <c r="A120" s="33">
        <v>16</v>
      </c>
      <c r="B120" s="257" t="s">
        <v>271</v>
      </c>
      <c r="C120" s="258"/>
      <c r="D120" s="61" t="s">
        <v>268</v>
      </c>
      <c r="E120" s="66" t="s">
        <v>106</v>
      </c>
      <c r="F120" s="67">
        <f>13492.21</f>
        <v>13492.21</v>
      </c>
      <c r="G120" s="62"/>
      <c r="H120" s="62">
        <f t="shared" si="76"/>
        <v>40476.629999999997</v>
      </c>
      <c r="I120" s="62">
        <f t="shared" si="77"/>
        <v>1011.9157499999999</v>
      </c>
      <c r="J120" s="62"/>
      <c r="K120" s="62">
        <f t="shared" si="78"/>
        <v>6746.1049999999996</v>
      </c>
      <c r="L120" s="36">
        <f t="shared" si="79"/>
        <v>47222.735000000001</v>
      </c>
      <c r="M120" s="62">
        <f t="shared" si="80"/>
        <v>13492.21</v>
      </c>
      <c r="N120" s="62">
        <f t="shared" si="74"/>
        <v>100000</v>
      </c>
      <c r="O120" s="62">
        <f t="shared" si="81"/>
        <v>1349.221</v>
      </c>
      <c r="P120" s="62">
        <v>10000</v>
      </c>
      <c r="Q120" s="62"/>
      <c r="R120" s="36">
        <f t="shared" si="82"/>
        <v>233791.02674999999</v>
      </c>
      <c r="S120" s="36"/>
      <c r="T120" s="36"/>
      <c r="U120" s="36"/>
      <c r="V120" s="62">
        <v>1484.37</v>
      </c>
      <c r="W120" s="36">
        <f t="shared" si="75"/>
        <v>1484.37</v>
      </c>
      <c r="X120" s="36">
        <v>228819.698</v>
      </c>
      <c r="Y120" s="124">
        <f t="shared" si="83"/>
        <v>300000</v>
      </c>
      <c r="Z120" s="27"/>
    </row>
    <row r="121" spans="1:26" ht="20.100000000000001" customHeight="1">
      <c r="A121" s="33">
        <v>17</v>
      </c>
      <c r="B121" s="257" t="s">
        <v>274</v>
      </c>
      <c r="C121" s="258"/>
      <c r="D121" s="61" t="s">
        <v>268</v>
      </c>
      <c r="E121" s="66" t="s">
        <v>111</v>
      </c>
      <c r="F121" s="67">
        <f>13112.16</f>
        <v>13112.16</v>
      </c>
      <c r="G121" s="62"/>
      <c r="H121" s="62">
        <f t="shared" si="76"/>
        <v>39336.479999999996</v>
      </c>
      <c r="I121" s="62">
        <f t="shared" si="77"/>
        <v>983.41199999999992</v>
      </c>
      <c r="J121" s="62"/>
      <c r="K121" s="62">
        <f t="shared" si="78"/>
        <v>6556.08</v>
      </c>
      <c r="L121" s="36">
        <f t="shared" si="79"/>
        <v>45892.56</v>
      </c>
      <c r="M121" s="62">
        <f t="shared" si="80"/>
        <v>13112.16</v>
      </c>
      <c r="N121" s="62">
        <f t="shared" si="74"/>
        <v>100000</v>
      </c>
      <c r="O121" s="62">
        <f t="shared" si="81"/>
        <v>1311.2160000000001</v>
      </c>
      <c r="P121" s="62">
        <v>10000</v>
      </c>
      <c r="Q121" s="62"/>
      <c r="R121" s="36">
        <f t="shared" si="82"/>
        <v>230304.068</v>
      </c>
      <c r="S121" s="36"/>
      <c r="T121" s="36"/>
      <c r="U121" s="36"/>
      <c r="V121" s="62">
        <v>1484.37</v>
      </c>
      <c r="W121" s="36">
        <f t="shared" si="75"/>
        <v>1484.37</v>
      </c>
      <c r="X121" s="36">
        <v>225331.73</v>
      </c>
      <c r="Y121" s="124">
        <f t="shared" si="83"/>
        <v>300000</v>
      </c>
      <c r="Z121" s="27"/>
    </row>
    <row r="122" spans="1:26" ht="20.100000000000001" customHeight="1">
      <c r="A122" s="33">
        <v>18</v>
      </c>
      <c r="B122" s="257" t="s">
        <v>275</v>
      </c>
      <c r="C122" s="258"/>
      <c r="D122" s="61" t="s">
        <v>276</v>
      </c>
      <c r="E122" s="66" t="s">
        <v>111</v>
      </c>
      <c r="F122" s="67">
        <f>13112.16</f>
        <v>13112.16</v>
      </c>
      <c r="G122" s="62"/>
      <c r="H122" s="62">
        <f t="shared" si="76"/>
        <v>39336.479999999996</v>
      </c>
      <c r="I122" s="62">
        <f t="shared" si="77"/>
        <v>983.41199999999992</v>
      </c>
      <c r="J122" s="62"/>
      <c r="K122" s="62">
        <f t="shared" si="78"/>
        <v>6556.08</v>
      </c>
      <c r="L122" s="36">
        <f t="shared" si="79"/>
        <v>45892.56</v>
      </c>
      <c r="M122" s="62">
        <f t="shared" si="80"/>
        <v>13112.16</v>
      </c>
      <c r="N122" s="62">
        <f t="shared" si="74"/>
        <v>100000</v>
      </c>
      <c r="O122" s="62">
        <f t="shared" si="81"/>
        <v>1311.2160000000001</v>
      </c>
      <c r="P122" s="62">
        <v>10000</v>
      </c>
      <c r="Q122" s="62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62">
        <v>1484.37</v>
      </c>
      <c r="W122" s="36">
        <f t="shared" si="75"/>
        <v>66484.37</v>
      </c>
      <c r="X122" s="36">
        <v>136581.73000000001</v>
      </c>
      <c r="Y122" s="124">
        <f t="shared" si="83"/>
        <v>300000</v>
      </c>
      <c r="Z122" s="27"/>
    </row>
    <row r="123" spans="1:26" ht="20.100000000000001" customHeight="1">
      <c r="A123" s="33">
        <v>19</v>
      </c>
      <c r="B123" s="257" t="s">
        <v>217</v>
      </c>
      <c r="C123" s="258"/>
      <c r="D123" s="61" t="s">
        <v>494</v>
      </c>
      <c r="E123" s="66" t="s">
        <v>111</v>
      </c>
      <c r="F123" s="67">
        <f>13112.16</f>
        <v>13112.16</v>
      </c>
      <c r="G123" s="62"/>
      <c r="H123" s="62">
        <f t="shared" si="76"/>
        <v>39336.479999999996</v>
      </c>
      <c r="I123" s="62">
        <f t="shared" si="77"/>
        <v>983.41199999999992</v>
      </c>
      <c r="J123" s="62"/>
      <c r="K123" s="62">
        <f t="shared" si="78"/>
        <v>6556.08</v>
      </c>
      <c r="L123" s="36">
        <f t="shared" si="79"/>
        <v>45892.56</v>
      </c>
      <c r="M123" s="62">
        <f t="shared" si="80"/>
        <v>13112.16</v>
      </c>
      <c r="N123" s="62">
        <f t="shared" si="74"/>
        <v>100000</v>
      </c>
      <c r="O123" s="62">
        <f t="shared" si="81"/>
        <v>1311.2160000000001</v>
      </c>
      <c r="P123" s="62">
        <v>10000</v>
      </c>
      <c r="Q123" s="62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62">
        <v>1484.37</v>
      </c>
      <c r="W123" s="36">
        <f t="shared" si="75"/>
        <v>47734.37</v>
      </c>
      <c r="X123" s="36">
        <v>179081.73</v>
      </c>
      <c r="Y123" s="124">
        <f t="shared" si="83"/>
        <v>300000</v>
      </c>
      <c r="Z123" s="27"/>
    </row>
    <row r="124" spans="1:26" ht="20.100000000000001" customHeight="1">
      <c r="A124" s="33">
        <v>20</v>
      </c>
      <c r="B124" s="257" t="s">
        <v>278</v>
      </c>
      <c r="C124" s="258"/>
      <c r="D124" s="61" t="s">
        <v>494</v>
      </c>
      <c r="E124" s="66" t="s">
        <v>111</v>
      </c>
      <c r="F124" s="67">
        <f>13112.16</f>
        <v>13112.16</v>
      </c>
      <c r="G124" s="62"/>
      <c r="H124" s="62">
        <f t="shared" si="76"/>
        <v>39336.479999999996</v>
      </c>
      <c r="I124" s="62">
        <f t="shared" si="77"/>
        <v>983.41199999999992</v>
      </c>
      <c r="J124" s="62"/>
      <c r="K124" s="62">
        <f t="shared" si="78"/>
        <v>6556.08</v>
      </c>
      <c r="L124" s="36">
        <f t="shared" si="79"/>
        <v>45892.56</v>
      </c>
      <c r="M124" s="62">
        <f t="shared" si="80"/>
        <v>13112.16</v>
      </c>
      <c r="N124" s="62">
        <f t="shared" si="74"/>
        <v>100000</v>
      </c>
      <c r="O124" s="62">
        <f t="shared" si="81"/>
        <v>1311.2160000000001</v>
      </c>
      <c r="P124" s="62">
        <v>10000</v>
      </c>
      <c r="Q124" s="62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62">
        <v>1484.37</v>
      </c>
      <c r="W124" s="36">
        <f t="shared" si="75"/>
        <v>21484.37</v>
      </c>
      <c r="X124" s="36">
        <v>215331.73</v>
      </c>
      <c r="Y124" s="124">
        <f t="shared" si="83"/>
        <v>300000</v>
      </c>
      <c r="Z124" s="27"/>
    </row>
    <row r="125" spans="1:26" ht="20.100000000000001" customHeight="1">
      <c r="A125" s="33">
        <v>21</v>
      </c>
      <c r="B125" s="257" t="s">
        <v>277</v>
      </c>
      <c r="C125" s="258"/>
      <c r="D125" s="61" t="s">
        <v>268</v>
      </c>
      <c r="E125" s="66" t="s">
        <v>111</v>
      </c>
      <c r="F125" s="67">
        <f>13112.16</f>
        <v>13112.16</v>
      </c>
      <c r="G125" s="62"/>
      <c r="H125" s="62">
        <f t="shared" si="76"/>
        <v>39336.479999999996</v>
      </c>
      <c r="I125" s="62">
        <f t="shared" si="77"/>
        <v>983.41199999999992</v>
      </c>
      <c r="J125" s="62"/>
      <c r="K125" s="62">
        <f t="shared" si="78"/>
        <v>6556.08</v>
      </c>
      <c r="L125" s="36">
        <f t="shared" si="79"/>
        <v>45892.56</v>
      </c>
      <c r="M125" s="62">
        <f t="shared" si="80"/>
        <v>13112.16</v>
      </c>
      <c r="N125" s="62">
        <f t="shared" si="74"/>
        <v>100000</v>
      </c>
      <c r="O125" s="62">
        <f t="shared" si="81"/>
        <v>1311.2160000000001</v>
      </c>
      <c r="P125" s="62">
        <v>10000</v>
      </c>
      <c r="Q125" s="62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62">
        <v>1484.37</v>
      </c>
      <c r="W125" s="36">
        <f t="shared" si="75"/>
        <v>11802.669999999998</v>
      </c>
      <c r="X125" s="36">
        <v>215013.43</v>
      </c>
      <c r="Y125" s="124">
        <f t="shared" si="83"/>
        <v>300000</v>
      </c>
      <c r="Z125" s="27"/>
    </row>
    <row r="126" spans="1:26" ht="20.100000000000001" customHeight="1">
      <c r="A126" s="33">
        <v>22</v>
      </c>
      <c r="B126" s="257" t="s">
        <v>262</v>
      </c>
      <c r="C126" s="258"/>
      <c r="D126" s="61" t="s">
        <v>448</v>
      </c>
      <c r="E126" s="66" t="s">
        <v>208</v>
      </c>
      <c r="F126" s="62">
        <f>19276.95</f>
        <v>19276.95</v>
      </c>
      <c r="G126" s="62"/>
      <c r="H126" s="62">
        <f t="shared" si="76"/>
        <v>57830.850000000006</v>
      </c>
      <c r="I126" s="62">
        <f t="shared" si="77"/>
        <v>1445.77125</v>
      </c>
      <c r="J126" s="36"/>
      <c r="K126" s="62">
        <f t="shared" si="78"/>
        <v>9638.4750000000004</v>
      </c>
      <c r="L126" s="36">
        <f t="shared" si="79"/>
        <v>67469.324999999997</v>
      </c>
      <c r="M126" s="62">
        <f t="shared" si="80"/>
        <v>19276.95</v>
      </c>
      <c r="N126" s="62">
        <f t="shared" si="74"/>
        <v>100000</v>
      </c>
      <c r="O126" s="62">
        <f t="shared" si="81"/>
        <v>1927.6950000000002</v>
      </c>
      <c r="P126" s="62">
        <v>10000</v>
      </c>
      <c r="Q126" s="62"/>
      <c r="R126" s="36">
        <f t="shared" si="82"/>
        <v>286866.01625000004</v>
      </c>
      <c r="S126" s="36">
        <f>20000</f>
        <v>20000</v>
      </c>
      <c r="T126" s="36"/>
      <c r="U126" s="36"/>
      <c r="V126" s="62">
        <v>3369.51</v>
      </c>
      <c r="W126" s="36">
        <f t="shared" si="75"/>
        <v>23369.510000000002</v>
      </c>
      <c r="X126" s="36">
        <v>268930.56749999995</v>
      </c>
      <c r="Y126" s="124">
        <f t="shared" si="83"/>
        <v>300000</v>
      </c>
      <c r="Z126" s="27"/>
    </row>
    <row r="127" spans="1:26" ht="20.100000000000001" customHeight="1">
      <c r="A127" s="33">
        <v>23</v>
      </c>
      <c r="B127" s="257" t="s">
        <v>267</v>
      </c>
      <c r="C127" s="258"/>
      <c r="D127" s="61" t="s">
        <v>268</v>
      </c>
      <c r="E127" s="66" t="s">
        <v>103</v>
      </c>
      <c r="F127" s="26">
        <f>18281.64</f>
        <v>18281.64</v>
      </c>
      <c r="G127" s="62"/>
      <c r="H127" s="62">
        <f t="shared" si="76"/>
        <v>54844.92</v>
      </c>
      <c r="I127" s="62">
        <f t="shared" si="77"/>
        <v>1371.1229999999998</v>
      </c>
      <c r="J127" s="36"/>
      <c r="K127" s="62">
        <f t="shared" si="78"/>
        <v>9140.82</v>
      </c>
      <c r="L127" s="36">
        <f t="shared" si="79"/>
        <v>63985.74</v>
      </c>
      <c r="M127" s="62">
        <f t="shared" si="80"/>
        <v>18281.64</v>
      </c>
      <c r="N127" s="62">
        <f t="shared" si="74"/>
        <v>100000</v>
      </c>
      <c r="O127" s="62">
        <f t="shared" si="81"/>
        <v>1828.164</v>
      </c>
      <c r="P127" s="62">
        <v>10000</v>
      </c>
      <c r="Q127" s="62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'[3]DECEMBER 2019'!$H$34</f>
        <v>444.6</v>
      </c>
      <c r="V127" s="62">
        <v>3369.51</v>
      </c>
      <c r="W127" s="36">
        <f t="shared" si="75"/>
        <v>92564.11</v>
      </c>
      <c r="X127" s="36">
        <v>180604.09000000003</v>
      </c>
      <c r="Y127" s="124">
        <f t="shared" si="83"/>
        <v>300000</v>
      </c>
      <c r="Z127" s="27"/>
    </row>
    <row r="128" spans="1:26" ht="20.100000000000001" customHeight="1">
      <c r="A128" s="33">
        <v>24</v>
      </c>
      <c r="B128" s="97" t="s">
        <v>280</v>
      </c>
      <c r="C128" s="98"/>
      <c r="D128" s="61" t="s">
        <v>281</v>
      </c>
      <c r="E128" s="66" t="s">
        <v>500</v>
      </c>
      <c r="F128" s="67">
        <f>17784</f>
        <v>17784</v>
      </c>
      <c r="G128" s="62">
        <f>0</f>
        <v>0</v>
      </c>
      <c r="H128" s="62">
        <f t="shared" si="76"/>
        <v>53352</v>
      </c>
      <c r="I128" s="62">
        <f t="shared" si="77"/>
        <v>1333.8</v>
      </c>
      <c r="J128" s="62"/>
      <c r="K128" s="62">
        <f t="shared" si="78"/>
        <v>8892</v>
      </c>
      <c r="L128" s="36">
        <f t="shared" si="79"/>
        <v>62244</v>
      </c>
      <c r="M128" s="62">
        <f>F128*100%</f>
        <v>17784</v>
      </c>
      <c r="N128" s="42">
        <f>100000</f>
        <v>100000</v>
      </c>
      <c r="O128" s="62">
        <f>F128*10%</f>
        <v>1778.4</v>
      </c>
      <c r="P128" s="62">
        <v>10000</v>
      </c>
      <c r="R128" s="62">
        <f t="shared" si="82"/>
        <v>273168.2</v>
      </c>
      <c r="S128" s="36">
        <f>30000</f>
        <v>30000</v>
      </c>
      <c r="T128" s="36"/>
      <c r="U128" s="36"/>
      <c r="V128" s="62">
        <f>3369.51</f>
        <v>3369.51</v>
      </c>
      <c r="W128" s="36">
        <f t="shared" si="75"/>
        <v>33369.51</v>
      </c>
      <c r="X128" s="36">
        <v>193329.04949999999</v>
      </c>
      <c r="Y128" s="124">
        <f t="shared" si="83"/>
        <v>300000</v>
      </c>
      <c r="Z128" s="27"/>
    </row>
    <row r="129" spans="1:26" ht="20.100000000000001" customHeight="1">
      <c r="A129" s="33">
        <v>25</v>
      </c>
      <c r="B129" s="264" t="s">
        <v>286</v>
      </c>
      <c r="C129" s="264"/>
      <c r="D129" s="61" t="s">
        <v>287</v>
      </c>
      <c r="E129" s="111" t="s">
        <v>566</v>
      </c>
      <c r="F129" s="112">
        <f>5769.6</f>
        <v>5769.6</v>
      </c>
      <c r="G129" s="33"/>
      <c r="H129" s="62">
        <f t="shared" si="76"/>
        <v>17308.800000000003</v>
      </c>
      <c r="I129" s="62">
        <f t="shared" si="77"/>
        <v>432.72</v>
      </c>
      <c r="J129" s="67">
        <v>0</v>
      </c>
      <c r="K129" s="62">
        <f t="shared" si="78"/>
        <v>2884.8</v>
      </c>
      <c r="L129" s="36">
        <f t="shared" si="79"/>
        <v>20193.600000000002</v>
      </c>
      <c r="M129" s="62">
        <f t="shared" ref="M129:M138" si="84">F129*100%</f>
        <v>5769.6</v>
      </c>
      <c r="N129" s="36">
        <f>25000+4000</f>
        <v>29000</v>
      </c>
      <c r="O129" s="62">
        <f t="shared" ref="O129:O155" si="85">F129*10%</f>
        <v>576.96</v>
      </c>
      <c r="P129" s="67">
        <v>5000</v>
      </c>
      <c r="Q129" s="62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'[3]DECEMBER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24">
        <f t="shared" ref="Y129:Y155" si="86">100000</f>
        <v>100000</v>
      </c>
      <c r="Z129" s="27"/>
    </row>
    <row r="130" spans="1:26" ht="20.100000000000001" customHeight="1">
      <c r="A130" s="33">
        <v>26</v>
      </c>
      <c r="B130" s="264" t="s">
        <v>289</v>
      </c>
      <c r="C130" s="264"/>
      <c r="D130" s="61" t="s">
        <v>287</v>
      </c>
      <c r="E130" s="111" t="s">
        <v>566</v>
      </c>
      <c r="F130" s="112">
        <f t="shared" ref="F130:F135" si="87">5769.6</f>
        <v>5769.6</v>
      </c>
      <c r="G130" s="33"/>
      <c r="H130" s="62">
        <f t="shared" si="76"/>
        <v>17308.800000000003</v>
      </c>
      <c r="I130" s="62">
        <f t="shared" si="77"/>
        <v>432.72</v>
      </c>
      <c r="J130" s="67">
        <v>0</v>
      </c>
      <c r="K130" s="62">
        <f t="shared" si="78"/>
        <v>2884.8</v>
      </c>
      <c r="L130" s="36">
        <f t="shared" si="79"/>
        <v>20193.600000000002</v>
      </c>
      <c r="M130" s="62">
        <f t="shared" si="84"/>
        <v>5769.6</v>
      </c>
      <c r="N130" s="36">
        <f>25000+7000</f>
        <v>32000</v>
      </c>
      <c r="O130" s="62">
        <f t="shared" si="85"/>
        <v>576.96</v>
      </c>
      <c r="P130" s="67">
        <v>5000</v>
      </c>
      <c r="Q130" s="62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24">
        <f t="shared" si="86"/>
        <v>100000</v>
      </c>
      <c r="Z130" s="27"/>
    </row>
    <row r="131" spans="1:26" ht="20.100000000000001" customHeight="1">
      <c r="A131" s="33">
        <v>27</v>
      </c>
      <c r="B131" s="264" t="s">
        <v>290</v>
      </c>
      <c r="C131" s="264"/>
      <c r="D131" s="61" t="s">
        <v>287</v>
      </c>
      <c r="E131" s="111" t="s">
        <v>566</v>
      </c>
      <c r="F131" s="112">
        <f t="shared" si="87"/>
        <v>5769.6</v>
      </c>
      <c r="G131" s="33"/>
      <c r="H131" s="62">
        <f t="shared" si="76"/>
        <v>17308.800000000003</v>
      </c>
      <c r="I131" s="62">
        <f t="shared" si="77"/>
        <v>432.72</v>
      </c>
      <c r="J131" s="62">
        <v>0</v>
      </c>
      <c r="K131" s="62">
        <f t="shared" si="78"/>
        <v>2884.8</v>
      </c>
      <c r="L131" s="36">
        <f t="shared" si="79"/>
        <v>20193.600000000002</v>
      </c>
      <c r="M131" s="62">
        <f t="shared" si="84"/>
        <v>5769.6</v>
      </c>
      <c r="N131" s="36">
        <f>25000+4000</f>
        <v>29000</v>
      </c>
      <c r="O131" s="62">
        <f t="shared" si="85"/>
        <v>576.96</v>
      </c>
      <c r="P131" s="62">
        <v>5000</v>
      </c>
      <c r="Q131" s="62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24">
        <f t="shared" si="86"/>
        <v>100000</v>
      </c>
      <c r="Z131" s="27"/>
    </row>
    <row r="132" spans="1:26" ht="20.100000000000001" customHeight="1">
      <c r="A132" s="33">
        <v>28</v>
      </c>
      <c r="B132" s="264" t="s">
        <v>291</v>
      </c>
      <c r="C132" s="264"/>
      <c r="D132" s="61" t="s">
        <v>287</v>
      </c>
      <c r="E132" s="111" t="s">
        <v>566</v>
      </c>
      <c r="F132" s="112">
        <f t="shared" si="87"/>
        <v>5769.6</v>
      </c>
      <c r="G132" s="33"/>
      <c r="H132" s="62">
        <f t="shared" si="76"/>
        <v>17308.800000000003</v>
      </c>
      <c r="I132" s="62">
        <f t="shared" si="77"/>
        <v>432.72</v>
      </c>
      <c r="J132" s="62">
        <v>0</v>
      </c>
      <c r="K132" s="62">
        <f t="shared" si="78"/>
        <v>2884.8</v>
      </c>
      <c r="L132" s="36">
        <f t="shared" si="79"/>
        <v>20193.600000000002</v>
      </c>
      <c r="M132" s="62">
        <f t="shared" si="84"/>
        <v>5769.6</v>
      </c>
      <c r="N132" s="36">
        <f>25000+4000</f>
        <v>29000</v>
      </c>
      <c r="O132" s="62">
        <f t="shared" si="85"/>
        <v>576.96</v>
      </c>
      <c r="P132" s="62">
        <v>5000</v>
      </c>
      <c r="Q132" s="62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24">
        <f t="shared" si="86"/>
        <v>100000</v>
      </c>
      <c r="Z132" s="27"/>
    </row>
    <row r="133" spans="1:26" ht="20.100000000000001" customHeight="1">
      <c r="A133" s="33">
        <v>29</v>
      </c>
      <c r="B133" s="264" t="s">
        <v>292</v>
      </c>
      <c r="C133" s="264"/>
      <c r="D133" s="61" t="s">
        <v>287</v>
      </c>
      <c r="E133" s="111" t="s">
        <v>566</v>
      </c>
      <c r="F133" s="112">
        <f t="shared" si="87"/>
        <v>5769.6</v>
      </c>
      <c r="G133" s="33"/>
      <c r="H133" s="62">
        <f t="shared" si="76"/>
        <v>17308.800000000003</v>
      </c>
      <c r="I133" s="62">
        <f t="shared" si="77"/>
        <v>432.72</v>
      </c>
      <c r="J133" s="62">
        <v>0</v>
      </c>
      <c r="K133" s="62">
        <f t="shared" si="78"/>
        <v>2884.8</v>
      </c>
      <c r="L133" s="36">
        <f t="shared" si="79"/>
        <v>20193.600000000002</v>
      </c>
      <c r="M133" s="62">
        <f t="shared" si="84"/>
        <v>5769.6</v>
      </c>
      <c r="N133" s="36">
        <f>25000+4000</f>
        <v>29000</v>
      </c>
      <c r="O133" s="62">
        <f t="shared" si="85"/>
        <v>576.96</v>
      </c>
      <c r="P133" s="62">
        <v>5000</v>
      </c>
      <c r="Q133" s="62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24">
        <f t="shared" si="86"/>
        <v>100000</v>
      </c>
      <c r="Z133" s="27"/>
    </row>
    <row r="134" spans="1:26" ht="20.100000000000001" customHeight="1">
      <c r="A134" s="33">
        <v>30</v>
      </c>
      <c r="B134" s="264" t="s">
        <v>293</v>
      </c>
      <c r="C134" s="264"/>
      <c r="D134" s="61" t="s">
        <v>287</v>
      </c>
      <c r="E134" s="111" t="s">
        <v>566</v>
      </c>
      <c r="F134" s="112">
        <f t="shared" si="87"/>
        <v>5769.6</v>
      </c>
      <c r="G134" s="27">
        <f>0</f>
        <v>0</v>
      </c>
      <c r="H134" s="62">
        <f t="shared" si="76"/>
        <v>17308.800000000003</v>
      </c>
      <c r="I134" s="62">
        <f t="shared" si="77"/>
        <v>432.72</v>
      </c>
      <c r="J134" s="62">
        <v>0</v>
      </c>
      <c r="K134" s="62">
        <f t="shared" si="78"/>
        <v>2884.8</v>
      </c>
      <c r="L134" s="36">
        <f t="shared" si="79"/>
        <v>20193.600000000002</v>
      </c>
      <c r="M134" s="62">
        <f t="shared" si="84"/>
        <v>5769.6</v>
      </c>
      <c r="N134" s="36">
        <f>25000+3000</f>
        <v>28000</v>
      </c>
      <c r="O134" s="62">
        <f t="shared" si="85"/>
        <v>576.96</v>
      </c>
      <c r="P134" s="62">
        <v>5000</v>
      </c>
      <c r="Q134" s="62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'[3]DECEMBER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24">
        <f t="shared" si="86"/>
        <v>100000</v>
      </c>
      <c r="Z134" s="27"/>
    </row>
    <row r="135" spans="1:26" ht="20.100000000000001" customHeight="1">
      <c r="A135" s="33">
        <v>31</v>
      </c>
      <c r="B135" s="264" t="s">
        <v>294</v>
      </c>
      <c r="C135" s="264"/>
      <c r="D135" s="61" t="s">
        <v>287</v>
      </c>
      <c r="E135" s="111" t="s">
        <v>566</v>
      </c>
      <c r="F135" s="112">
        <f t="shared" si="87"/>
        <v>5769.6</v>
      </c>
      <c r="G135" s="33"/>
      <c r="H135" s="62">
        <f t="shared" si="76"/>
        <v>17308.800000000003</v>
      </c>
      <c r="I135" s="62">
        <f t="shared" si="77"/>
        <v>432.72</v>
      </c>
      <c r="J135" s="62">
        <v>0</v>
      </c>
      <c r="K135" s="62">
        <f t="shared" si="78"/>
        <v>2884.8</v>
      </c>
      <c r="L135" s="36">
        <f t="shared" si="79"/>
        <v>20193.600000000002</v>
      </c>
      <c r="M135" s="62">
        <f t="shared" si="84"/>
        <v>5769.6</v>
      </c>
      <c r="N135" s="36">
        <f>25000+7000</f>
        <v>32000</v>
      </c>
      <c r="O135" s="62">
        <f t="shared" si="85"/>
        <v>576.96</v>
      </c>
      <c r="P135" s="62">
        <v>5000</v>
      </c>
      <c r="Q135" s="62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24">
        <f t="shared" si="86"/>
        <v>100000</v>
      </c>
      <c r="Z135" s="27"/>
    </row>
    <row r="136" spans="1:26" ht="20.100000000000001" customHeight="1">
      <c r="A136" s="33">
        <v>32</v>
      </c>
      <c r="B136" s="264" t="s">
        <v>295</v>
      </c>
      <c r="C136" s="264"/>
      <c r="D136" s="61" t="s">
        <v>296</v>
      </c>
      <c r="E136" s="66" t="s">
        <v>507</v>
      </c>
      <c r="F136" s="62">
        <f t="shared" ref="F136:F142" si="88">5598.92</f>
        <v>5598.92</v>
      </c>
      <c r="G136" s="33"/>
      <c r="H136" s="62">
        <f t="shared" si="76"/>
        <v>16796.760000000002</v>
      </c>
      <c r="I136" s="62">
        <f t="shared" si="77"/>
        <v>419.91899999999998</v>
      </c>
      <c r="J136" s="62">
        <v>0</v>
      </c>
      <c r="K136" s="62">
        <f t="shared" si="78"/>
        <v>2799.46</v>
      </c>
      <c r="L136" s="36">
        <f t="shared" si="79"/>
        <v>19596.22</v>
      </c>
      <c r="M136" s="62">
        <f t="shared" si="84"/>
        <v>5598.92</v>
      </c>
      <c r="N136" s="36">
        <f t="shared" ref="N136:N154" si="89">25000+7000</f>
        <v>32000</v>
      </c>
      <c r="O136" s="62">
        <f t="shared" si="85"/>
        <v>559.89200000000005</v>
      </c>
      <c r="P136" s="62">
        <v>5000</v>
      </c>
      <c r="Q136" s="62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24">
        <f t="shared" si="86"/>
        <v>100000</v>
      </c>
      <c r="Z136" s="27"/>
    </row>
    <row r="137" spans="1:26" ht="20.100000000000001" customHeight="1">
      <c r="A137" s="33">
        <v>33</v>
      </c>
      <c r="B137" s="264" t="s">
        <v>298</v>
      </c>
      <c r="C137" s="264"/>
      <c r="D137" s="61" t="s">
        <v>296</v>
      </c>
      <c r="E137" s="66" t="s">
        <v>507</v>
      </c>
      <c r="F137" s="62">
        <f t="shared" si="88"/>
        <v>5598.92</v>
      </c>
      <c r="G137" s="33"/>
      <c r="H137" s="62">
        <f t="shared" si="76"/>
        <v>16796.760000000002</v>
      </c>
      <c r="I137" s="62">
        <f t="shared" si="77"/>
        <v>419.91899999999998</v>
      </c>
      <c r="J137" s="62">
        <v>0</v>
      </c>
      <c r="K137" s="62">
        <f t="shared" si="78"/>
        <v>2799.46</v>
      </c>
      <c r="L137" s="36">
        <f t="shared" si="79"/>
        <v>19596.22</v>
      </c>
      <c r="M137" s="62">
        <f t="shared" si="84"/>
        <v>5598.92</v>
      </c>
      <c r="N137" s="36">
        <f>25000+4000</f>
        <v>29000</v>
      </c>
      <c r="O137" s="62">
        <f t="shared" si="85"/>
        <v>559.89200000000005</v>
      </c>
      <c r="P137" s="62">
        <v>5000</v>
      </c>
      <c r="Q137" s="62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24">
        <f t="shared" si="86"/>
        <v>100000</v>
      </c>
      <c r="Z137" s="27"/>
    </row>
    <row r="138" spans="1:26" ht="20.100000000000001" customHeight="1">
      <c r="A138" s="33">
        <v>34</v>
      </c>
      <c r="B138" s="264" t="s">
        <v>299</v>
      </c>
      <c r="C138" s="264"/>
      <c r="D138" s="61" t="s">
        <v>296</v>
      </c>
      <c r="E138" s="66" t="s">
        <v>507</v>
      </c>
      <c r="F138" s="62">
        <f t="shared" si="88"/>
        <v>5598.92</v>
      </c>
      <c r="G138" s="33"/>
      <c r="H138" s="62">
        <f t="shared" si="76"/>
        <v>16796.760000000002</v>
      </c>
      <c r="I138" s="62">
        <f t="shared" si="77"/>
        <v>419.91899999999998</v>
      </c>
      <c r="J138" s="62">
        <v>0</v>
      </c>
      <c r="K138" s="62">
        <f t="shared" si="78"/>
        <v>2799.46</v>
      </c>
      <c r="L138" s="36">
        <f t="shared" si="79"/>
        <v>19596.22</v>
      </c>
      <c r="M138" s="62">
        <f t="shared" si="84"/>
        <v>5598.92</v>
      </c>
      <c r="N138" s="36">
        <f>25000+4000</f>
        <v>29000</v>
      </c>
      <c r="O138" s="62">
        <f t="shared" si="85"/>
        <v>559.89200000000005</v>
      </c>
      <c r="P138" s="62">
        <v>5000</v>
      </c>
      <c r="Q138" s="62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24">
        <f t="shared" si="86"/>
        <v>100000</v>
      </c>
      <c r="Z138" s="27"/>
    </row>
    <row r="139" spans="1:26" ht="20.100000000000001" customHeight="1">
      <c r="A139" s="33">
        <v>35</v>
      </c>
      <c r="B139" s="33" t="s">
        <v>300</v>
      </c>
      <c r="C139" s="33"/>
      <c r="D139" s="61" t="s">
        <v>296</v>
      </c>
      <c r="E139" s="66" t="s">
        <v>507</v>
      </c>
      <c r="F139" s="62">
        <f t="shared" si="88"/>
        <v>5598.92</v>
      </c>
      <c r="G139" s="33"/>
      <c r="H139" s="62">
        <f t="shared" si="76"/>
        <v>16796.760000000002</v>
      </c>
      <c r="I139" s="62">
        <f t="shared" si="77"/>
        <v>419.91899999999998</v>
      </c>
      <c r="J139" s="62">
        <v>0</v>
      </c>
      <c r="K139" s="62">
        <f t="shared" si="78"/>
        <v>2799.46</v>
      </c>
      <c r="L139" s="36">
        <f t="shared" si="79"/>
        <v>19596.22</v>
      </c>
      <c r="M139" s="62">
        <f>F138*100%</f>
        <v>5598.92</v>
      </c>
      <c r="N139" s="36">
        <f t="shared" si="89"/>
        <v>32000</v>
      </c>
      <c r="O139" s="62">
        <f t="shared" si="85"/>
        <v>559.89200000000005</v>
      </c>
      <c r="P139" s="62">
        <v>5000</v>
      </c>
      <c r="Q139" s="62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24">
        <f t="shared" si="86"/>
        <v>100000</v>
      </c>
      <c r="Z139" s="27"/>
    </row>
    <row r="140" spans="1:26" ht="20.100000000000001" customHeight="1">
      <c r="A140" s="33">
        <v>36</v>
      </c>
      <c r="B140" s="257" t="s">
        <v>301</v>
      </c>
      <c r="C140" s="258"/>
      <c r="D140" s="61" t="s">
        <v>296</v>
      </c>
      <c r="E140" s="66" t="s">
        <v>507</v>
      </c>
      <c r="F140" s="62">
        <f t="shared" si="88"/>
        <v>5598.92</v>
      </c>
      <c r="G140" s="33"/>
      <c r="H140" s="62">
        <f t="shared" si="76"/>
        <v>16796.760000000002</v>
      </c>
      <c r="I140" s="62">
        <f t="shared" si="77"/>
        <v>419.91899999999998</v>
      </c>
      <c r="J140" s="62"/>
      <c r="K140" s="62">
        <f t="shared" si="78"/>
        <v>2799.46</v>
      </c>
      <c r="L140" s="36">
        <f t="shared" si="79"/>
        <v>19596.22</v>
      </c>
      <c r="M140" s="62">
        <f t="shared" ref="M140:M155" si="90">F140*100%</f>
        <v>5598.92</v>
      </c>
      <c r="N140" s="36">
        <f>25000+4000</f>
        <v>29000</v>
      </c>
      <c r="O140" s="62">
        <f t="shared" si="85"/>
        <v>559.89200000000005</v>
      </c>
      <c r="P140" s="62">
        <v>5000</v>
      </c>
      <c r="Q140" s="62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24">
        <f t="shared" si="86"/>
        <v>100000</v>
      </c>
      <c r="Z140" s="27"/>
    </row>
    <row r="141" spans="1:26" ht="20.100000000000001" customHeight="1">
      <c r="A141" s="33">
        <v>37</v>
      </c>
      <c r="B141" s="61" t="s">
        <v>302</v>
      </c>
      <c r="C141" s="33"/>
      <c r="D141" s="61" t="s">
        <v>296</v>
      </c>
      <c r="E141" s="66" t="s">
        <v>507</v>
      </c>
      <c r="F141" s="62">
        <f t="shared" si="88"/>
        <v>5598.92</v>
      </c>
      <c r="G141" s="33"/>
      <c r="H141" s="62">
        <f t="shared" si="76"/>
        <v>16796.760000000002</v>
      </c>
      <c r="I141" s="62">
        <f t="shared" si="77"/>
        <v>419.91899999999998</v>
      </c>
      <c r="J141" s="62"/>
      <c r="K141" s="62">
        <f t="shared" si="78"/>
        <v>2799.46</v>
      </c>
      <c r="L141" s="36">
        <f t="shared" si="79"/>
        <v>19596.22</v>
      </c>
      <c r="M141" s="62">
        <f t="shared" si="90"/>
        <v>5598.92</v>
      </c>
      <c r="N141" s="36">
        <f>25000+4000</f>
        <v>29000</v>
      </c>
      <c r="O141" s="62">
        <f t="shared" si="85"/>
        <v>559.89200000000005</v>
      </c>
      <c r="P141" s="62">
        <v>5000</v>
      </c>
      <c r="Q141" s="62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24">
        <f t="shared" si="86"/>
        <v>100000</v>
      </c>
      <c r="Z141" s="27"/>
    </row>
    <row r="142" spans="1:26" ht="20.100000000000001" customHeight="1">
      <c r="A142" s="33">
        <v>38</v>
      </c>
      <c r="B142" s="61" t="s">
        <v>303</v>
      </c>
      <c r="C142" s="33"/>
      <c r="D142" s="61" t="s">
        <v>296</v>
      </c>
      <c r="E142" s="66" t="s">
        <v>507</v>
      </c>
      <c r="F142" s="62">
        <f t="shared" si="88"/>
        <v>5598.92</v>
      </c>
      <c r="G142" s="33"/>
      <c r="H142" s="62">
        <f t="shared" si="76"/>
        <v>16796.760000000002</v>
      </c>
      <c r="I142" s="62">
        <f t="shared" si="77"/>
        <v>419.91899999999998</v>
      </c>
      <c r="J142" s="62"/>
      <c r="K142" s="62">
        <f t="shared" si="78"/>
        <v>2799.46</v>
      </c>
      <c r="L142" s="36">
        <f t="shared" si="79"/>
        <v>19596.22</v>
      </c>
      <c r="M142" s="62">
        <f t="shared" si="90"/>
        <v>5598.92</v>
      </c>
      <c r="N142" s="36">
        <f t="shared" si="89"/>
        <v>32000</v>
      </c>
      <c r="O142" s="62">
        <f t="shared" si="85"/>
        <v>559.89200000000005</v>
      </c>
      <c r="P142" s="62">
        <v>5000</v>
      </c>
      <c r="Q142" s="62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24">
        <f t="shared" si="86"/>
        <v>100000</v>
      </c>
      <c r="Z142" s="27"/>
    </row>
    <row r="143" spans="1:26" ht="20.100000000000001" customHeight="1">
      <c r="A143" s="33">
        <v>39</v>
      </c>
      <c r="B143" s="257" t="s">
        <v>304</v>
      </c>
      <c r="C143" s="258"/>
      <c r="D143" s="61" t="s">
        <v>296</v>
      </c>
      <c r="E143" s="66" t="s">
        <v>310</v>
      </c>
      <c r="F143" s="62">
        <f>5086.76</f>
        <v>5086.76</v>
      </c>
      <c r="G143" s="33"/>
      <c r="H143" s="62">
        <f t="shared" si="76"/>
        <v>15260.28</v>
      </c>
      <c r="I143" s="62">
        <f t="shared" si="77"/>
        <v>381.50700000000001</v>
      </c>
      <c r="J143" s="62"/>
      <c r="K143" s="62">
        <f t="shared" si="78"/>
        <v>2543.38</v>
      </c>
      <c r="L143" s="36">
        <f t="shared" si="79"/>
        <v>17803.66</v>
      </c>
      <c r="M143" s="62">
        <f t="shared" si="90"/>
        <v>5086.76</v>
      </c>
      <c r="N143" s="36">
        <f t="shared" si="89"/>
        <v>32000</v>
      </c>
      <c r="O143" s="62">
        <f t="shared" si="85"/>
        <v>508.67600000000004</v>
      </c>
      <c r="P143" s="62">
        <v>5000</v>
      </c>
      <c r="Q143" s="62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24">
        <f t="shared" si="86"/>
        <v>100000</v>
      </c>
      <c r="Z143" s="27"/>
    </row>
    <row r="144" spans="1:26" ht="20.100000000000001" customHeight="1">
      <c r="A144" s="33">
        <v>40</v>
      </c>
      <c r="B144" s="257" t="s">
        <v>306</v>
      </c>
      <c r="C144" s="258"/>
      <c r="D144" s="61" t="s">
        <v>296</v>
      </c>
      <c r="E144" s="66" t="s">
        <v>310</v>
      </c>
      <c r="F144" s="62">
        <f>5086.76</f>
        <v>5086.76</v>
      </c>
      <c r="G144" s="33"/>
      <c r="H144" s="62">
        <f t="shared" si="76"/>
        <v>15260.28</v>
      </c>
      <c r="I144" s="62">
        <f t="shared" si="77"/>
        <v>381.50700000000001</v>
      </c>
      <c r="J144" s="62"/>
      <c r="K144" s="62">
        <f t="shared" si="78"/>
        <v>2543.38</v>
      </c>
      <c r="L144" s="36">
        <f t="shared" si="79"/>
        <v>17803.66</v>
      </c>
      <c r="M144" s="62">
        <f t="shared" si="90"/>
        <v>5086.76</v>
      </c>
      <c r="N144" s="36">
        <f t="shared" si="89"/>
        <v>32000</v>
      </c>
      <c r="O144" s="62">
        <f t="shared" si="85"/>
        <v>508.67600000000004</v>
      </c>
      <c r="P144" s="62">
        <v>5000</v>
      </c>
      <c r="Q144" s="62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24">
        <f t="shared" si="86"/>
        <v>100000</v>
      </c>
      <c r="Z144" s="27"/>
    </row>
    <row r="145" spans="1:26" ht="20.100000000000001" customHeight="1">
      <c r="A145" s="33">
        <v>41</v>
      </c>
      <c r="B145" s="61" t="s">
        <v>307</v>
      </c>
      <c r="C145" s="33"/>
      <c r="D145" s="61" t="s">
        <v>296</v>
      </c>
      <c r="E145" s="66" t="s">
        <v>305</v>
      </c>
      <c r="F145" s="62">
        <f>5257.44</f>
        <v>5257.44</v>
      </c>
      <c r="G145" s="33"/>
      <c r="H145" s="62">
        <f t="shared" si="76"/>
        <v>15772.32</v>
      </c>
      <c r="I145" s="62">
        <f t="shared" si="77"/>
        <v>394.30799999999994</v>
      </c>
      <c r="J145" s="62"/>
      <c r="K145" s="62">
        <f t="shared" si="78"/>
        <v>2628.72</v>
      </c>
      <c r="L145" s="36">
        <f t="shared" si="79"/>
        <v>18401.039999999997</v>
      </c>
      <c r="M145" s="62">
        <f t="shared" si="90"/>
        <v>5257.44</v>
      </c>
      <c r="N145" s="36">
        <f t="shared" si="89"/>
        <v>32000</v>
      </c>
      <c r="O145" s="62">
        <f t="shared" si="85"/>
        <v>525.74400000000003</v>
      </c>
      <c r="P145" s="62">
        <v>5000</v>
      </c>
      <c r="Q145" s="62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24">
        <f t="shared" si="86"/>
        <v>100000</v>
      </c>
      <c r="Z145" s="27"/>
    </row>
    <row r="146" spans="1:26" ht="20.100000000000001" customHeight="1">
      <c r="A146" s="33">
        <v>42</v>
      </c>
      <c r="B146" s="257" t="s">
        <v>309</v>
      </c>
      <c r="C146" s="258"/>
      <c r="D146" s="61" t="s">
        <v>296</v>
      </c>
      <c r="E146" s="66" t="s">
        <v>323</v>
      </c>
      <c r="F146" s="62">
        <f>4915.97</f>
        <v>4915.97</v>
      </c>
      <c r="G146" s="33"/>
      <c r="H146" s="62">
        <f t="shared" si="76"/>
        <v>14747.91</v>
      </c>
      <c r="I146" s="62">
        <f t="shared" si="77"/>
        <v>368.69774999999998</v>
      </c>
      <c r="J146" s="62"/>
      <c r="K146" s="62">
        <f t="shared" si="78"/>
        <v>2457.9850000000001</v>
      </c>
      <c r="L146" s="36">
        <f t="shared" si="79"/>
        <v>17205.895</v>
      </c>
      <c r="M146" s="62">
        <f t="shared" si="90"/>
        <v>4915.97</v>
      </c>
      <c r="N146" s="36">
        <f t="shared" si="89"/>
        <v>32000</v>
      </c>
      <c r="O146" s="62">
        <f t="shared" si="85"/>
        <v>491.59700000000004</v>
      </c>
      <c r="P146" s="62">
        <v>5000</v>
      </c>
      <c r="Q146" s="62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24">
        <f t="shared" si="86"/>
        <v>100000</v>
      </c>
      <c r="Z146" s="27"/>
    </row>
    <row r="147" spans="1:26" ht="20.100000000000001" customHeight="1">
      <c r="A147" s="33">
        <v>43</v>
      </c>
      <c r="B147" s="257" t="s">
        <v>311</v>
      </c>
      <c r="C147" s="258"/>
      <c r="D147" s="61" t="s">
        <v>312</v>
      </c>
      <c r="E147" s="66" t="s">
        <v>319</v>
      </c>
      <c r="F147" s="62">
        <f t="shared" ref="F147:F152" si="91">4836.3</f>
        <v>4836.3</v>
      </c>
      <c r="G147" s="33"/>
      <c r="H147" s="62">
        <f t="shared" si="76"/>
        <v>14508.900000000001</v>
      </c>
      <c r="I147" s="62">
        <f t="shared" si="77"/>
        <v>362.72250000000003</v>
      </c>
      <c r="J147" s="62"/>
      <c r="K147" s="62">
        <f t="shared" si="78"/>
        <v>2418.15</v>
      </c>
      <c r="L147" s="36">
        <f t="shared" si="79"/>
        <v>16927.05</v>
      </c>
      <c r="M147" s="62">
        <f t="shared" si="90"/>
        <v>4836.3</v>
      </c>
      <c r="N147" s="36">
        <f>25000+4000</f>
        <v>29000</v>
      </c>
      <c r="O147" s="62">
        <f t="shared" si="85"/>
        <v>483.63000000000005</v>
      </c>
      <c r="P147" s="62">
        <v>5000</v>
      </c>
      <c r="Q147" s="62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24">
        <f t="shared" si="86"/>
        <v>100000</v>
      </c>
      <c r="Z147" s="27"/>
    </row>
    <row r="148" spans="1:26" ht="20.100000000000001" customHeight="1">
      <c r="A148" s="33">
        <v>44</v>
      </c>
      <c r="B148" s="257" t="s">
        <v>314</v>
      </c>
      <c r="C148" s="258"/>
      <c r="D148" s="61" t="s">
        <v>312</v>
      </c>
      <c r="E148" s="66" t="s">
        <v>319</v>
      </c>
      <c r="F148" s="62">
        <f t="shared" si="91"/>
        <v>4836.3</v>
      </c>
      <c r="G148" s="33"/>
      <c r="H148" s="62">
        <f t="shared" si="76"/>
        <v>14508.900000000001</v>
      </c>
      <c r="I148" s="62">
        <f t="shared" si="77"/>
        <v>362.72250000000003</v>
      </c>
      <c r="J148" s="62"/>
      <c r="K148" s="62">
        <f t="shared" si="78"/>
        <v>2418.15</v>
      </c>
      <c r="L148" s="36">
        <f t="shared" si="79"/>
        <v>16927.05</v>
      </c>
      <c r="M148" s="62">
        <f t="shared" si="90"/>
        <v>4836.3</v>
      </c>
      <c r="N148" s="36">
        <f>25000+4000</f>
        <v>29000</v>
      </c>
      <c r="O148" s="62">
        <f t="shared" si="85"/>
        <v>483.63000000000005</v>
      </c>
      <c r="P148" s="62">
        <v>5000</v>
      </c>
      <c r="Q148" s="62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24">
        <f t="shared" si="86"/>
        <v>100000</v>
      </c>
      <c r="Z148" s="27"/>
    </row>
    <row r="149" spans="1:26" ht="20.100000000000001" customHeight="1">
      <c r="A149" s="33">
        <v>45</v>
      </c>
      <c r="B149" s="257" t="s">
        <v>315</v>
      </c>
      <c r="C149" s="258"/>
      <c r="D149" s="61" t="s">
        <v>312</v>
      </c>
      <c r="E149" s="66" t="s">
        <v>319</v>
      </c>
      <c r="F149" s="62">
        <f t="shared" si="91"/>
        <v>4836.3</v>
      </c>
      <c r="G149" s="27">
        <f>0</f>
        <v>0</v>
      </c>
      <c r="H149" s="62">
        <f t="shared" si="76"/>
        <v>14508.900000000001</v>
      </c>
      <c r="I149" s="62">
        <f t="shared" si="77"/>
        <v>362.72250000000003</v>
      </c>
      <c r="J149" s="62"/>
      <c r="K149" s="62">
        <f t="shared" si="78"/>
        <v>2418.15</v>
      </c>
      <c r="L149" s="36">
        <f t="shared" si="79"/>
        <v>16927.05</v>
      </c>
      <c r="M149" s="62">
        <f t="shared" si="90"/>
        <v>4836.3</v>
      </c>
      <c r="N149" s="36">
        <f t="shared" si="89"/>
        <v>32000</v>
      </c>
      <c r="O149" s="62">
        <f t="shared" si="85"/>
        <v>483.63000000000005</v>
      </c>
      <c r="P149" s="62">
        <v>5000</v>
      </c>
      <c r="Q149" s="62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24">
        <f t="shared" si="86"/>
        <v>100000</v>
      </c>
      <c r="Z149" s="27"/>
    </row>
    <row r="150" spans="1:26" ht="20.100000000000001" customHeight="1">
      <c r="A150" s="33">
        <v>46</v>
      </c>
      <c r="B150" s="257" t="s">
        <v>316</v>
      </c>
      <c r="C150" s="258"/>
      <c r="D150" s="61" t="s">
        <v>312</v>
      </c>
      <c r="E150" s="66" t="s">
        <v>319</v>
      </c>
      <c r="F150" s="62">
        <f t="shared" si="91"/>
        <v>4836.3</v>
      </c>
      <c r="G150" s="33"/>
      <c r="H150" s="62">
        <f t="shared" si="76"/>
        <v>14508.900000000001</v>
      </c>
      <c r="I150" s="62">
        <f t="shared" si="77"/>
        <v>362.72250000000003</v>
      </c>
      <c r="J150" s="62"/>
      <c r="K150" s="62">
        <f t="shared" si="78"/>
        <v>2418.15</v>
      </c>
      <c r="L150" s="36">
        <f t="shared" si="79"/>
        <v>16927.05</v>
      </c>
      <c r="M150" s="62">
        <f t="shared" si="90"/>
        <v>4836.3</v>
      </c>
      <c r="N150" s="36">
        <f t="shared" si="89"/>
        <v>32000</v>
      </c>
      <c r="O150" s="62">
        <f t="shared" si="85"/>
        <v>483.63000000000005</v>
      </c>
      <c r="P150" s="62">
        <v>5000</v>
      </c>
      <c r="Q150" s="62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24">
        <f t="shared" si="86"/>
        <v>100000</v>
      </c>
      <c r="Z150" s="27"/>
    </row>
    <row r="151" spans="1:26" ht="20.100000000000001" customHeight="1">
      <c r="A151" s="33">
        <v>47</v>
      </c>
      <c r="B151" s="257" t="s">
        <v>508</v>
      </c>
      <c r="C151" s="258"/>
      <c r="D151" s="61" t="s">
        <v>312</v>
      </c>
      <c r="E151" s="66" t="s">
        <v>319</v>
      </c>
      <c r="F151" s="62">
        <f t="shared" si="91"/>
        <v>4836.3</v>
      </c>
      <c r="G151" s="33"/>
      <c r="H151" s="62">
        <f t="shared" si="76"/>
        <v>14508.900000000001</v>
      </c>
      <c r="I151" s="62">
        <f t="shared" si="77"/>
        <v>362.72250000000003</v>
      </c>
      <c r="J151" s="62"/>
      <c r="K151" s="62">
        <f t="shared" si="78"/>
        <v>2418.15</v>
      </c>
      <c r="L151" s="36">
        <f t="shared" si="79"/>
        <v>16927.05</v>
      </c>
      <c r="M151" s="62">
        <f t="shared" si="90"/>
        <v>4836.3</v>
      </c>
      <c r="N151" s="36">
        <f t="shared" si="89"/>
        <v>32000</v>
      </c>
      <c r="O151" s="62">
        <f t="shared" si="85"/>
        <v>483.63000000000005</v>
      </c>
      <c r="P151" s="62">
        <v>5000</v>
      </c>
      <c r="Q151" s="62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24">
        <f t="shared" si="86"/>
        <v>100000</v>
      </c>
      <c r="Z151" s="27"/>
    </row>
    <row r="152" spans="1:26" ht="20.100000000000001" customHeight="1">
      <c r="A152" s="33">
        <v>48</v>
      </c>
      <c r="B152" s="257" t="s">
        <v>317</v>
      </c>
      <c r="C152" s="258"/>
      <c r="D152" s="61" t="s">
        <v>312</v>
      </c>
      <c r="E152" s="66" t="s">
        <v>319</v>
      </c>
      <c r="F152" s="62">
        <f t="shared" si="91"/>
        <v>4836.3</v>
      </c>
      <c r="G152" s="33"/>
      <c r="H152" s="62">
        <f t="shared" si="76"/>
        <v>14508.900000000001</v>
      </c>
      <c r="I152" s="62">
        <f t="shared" si="77"/>
        <v>362.72250000000003</v>
      </c>
      <c r="J152" s="62"/>
      <c r="K152" s="62">
        <f t="shared" si="78"/>
        <v>2418.15</v>
      </c>
      <c r="L152" s="36">
        <f t="shared" si="79"/>
        <v>16927.05</v>
      </c>
      <c r="M152" s="62">
        <f t="shared" si="90"/>
        <v>4836.3</v>
      </c>
      <c r="N152" s="36">
        <f t="shared" si="89"/>
        <v>32000</v>
      </c>
      <c r="O152" s="62">
        <f t="shared" si="85"/>
        <v>483.63000000000005</v>
      </c>
      <c r="P152" s="62">
        <v>5000</v>
      </c>
      <c r="Q152" s="62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24">
        <f t="shared" si="86"/>
        <v>100000</v>
      </c>
      <c r="Z152" s="27"/>
    </row>
    <row r="153" spans="1:26" ht="20.100000000000001" customHeight="1">
      <c r="A153" s="33">
        <v>49</v>
      </c>
      <c r="B153" s="264" t="s">
        <v>318</v>
      </c>
      <c r="C153" s="264"/>
      <c r="D153" s="61" t="s">
        <v>312</v>
      </c>
      <c r="E153" s="66" t="s">
        <v>509</v>
      </c>
      <c r="F153" s="62">
        <f>4395.43</f>
        <v>4395.43</v>
      </c>
      <c r="G153" s="33"/>
      <c r="H153" s="62">
        <f t="shared" si="76"/>
        <v>13186.29</v>
      </c>
      <c r="I153" s="62">
        <f t="shared" si="77"/>
        <v>329.65725000000003</v>
      </c>
      <c r="J153" s="62"/>
      <c r="K153" s="62">
        <f t="shared" si="78"/>
        <v>2197.7150000000001</v>
      </c>
      <c r="L153" s="36">
        <f t="shared" si="79"/>
        <v>15384.005000000001</v>
      </c>
      <c r="M153" s="62">
        <f t="shared" si="90"/>
        <v>4395.43</v>
      </c>
      <c r="N153" s="36">
        <f t="shared" si="89"/>
        <v>32000</v>
      </c>
      <c r="O153" s="62">
        <f t="shared" si="85"/>
        <v>439.54300000000006</v>
      </c>
      <c r="P153" s="62">
        <v>5000</v>
      </c>
      <c r="Q153" s="62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24">
        <f t="shared" si="86"/>
        <v>100000</v>
      </c>
      <c r="Z153" s="27"/>
    </row>
    <row r="154" spans="1:26" ht="20.100000000000001" customHeight="1">
      <c r="A154" s="33">
        <v>50</v>
      </c>
      <c r="B154" s="264" t="s">
        <v>320</v>
      </c>
      <c r="C154" s="264"/>
      <c r="D154" s="61" t="s">
        <v>312</v>
      </c>
      <c r="E154" s="66" t="s">
        <v>509</v>
      </c>
      <c r="F154" s="62">
        <f>4395.43</f>
        <v>4395.43</v>
      </c>
      <c r="G154" s="33"/>
      <c r="H154" s="62">
        <f t="shared" si="76"/>
        <v>13186.29</v>
      </c>
      <c r="I154" s="62">
        <f t="shared" si="77"/>
        <v>329.65725000000003</v>
      </c>
      <c r="J154" s="62"/>
      <c r="K154" s="62">
        <f t="shared" si="78"/>
        <v>2197.7150000000001</v>
      </c>
      <c r="L154" s="36">
        <f t="shared" si="79"/>
        <v>15384.005000000001</v>
      </c>
      <c r="M154" s="62">
        <f t="shared" si="90"/>
        <v>4395.43</v>
      </c>
      <c r="N154" s="36">
        <f t="shared" si="89"/>
        <v>32000</v>
      </c>
      <c r="O154" s="62">
        <f t="shared" si="85"/>
        <v>439.54300000000006</v>
      </c>
      <c r="P154" s="62">
        <v>5000</v>
      </c>
      <c r="Q154" s="62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24">
        <f t="shared" si="86"/>
        <v>100000</v>
      </c>
      <c r="Z154" s="27"/>
    </row>
    <row r="155" spans="1:26" ht="20.100000000000001" customHeight="1">
      <c r="A155" s="33">
        <v>51</v>
      </c>
      <c r="B155" s="61" t="s">
        <v>321</v>
      </c>
      <c r="C155" s="61"/>
      <c r="D155" s="61" t="s">
        <v>312</v>
      </c>
      <c r="E155" s="66" t="s">
        <v>509</v>
      </c>
      <c r="F155" s="62">
        <f>4395.43</f>
        <v>4395.43</v>
      </c>
      <c r="G155" s="27">
        <f>0</f>
        <v>0</v>
      </c>
      <c r="H155" s="62">
        <f t="shared" si="76"/>
        <v>13186.29</v>
      </c>
      <c r="I155" s="62">
        <f t="shared" si="77"/>
        <v>329.65725000000003</v>
      </c>
      <c r="J155" s="62"/>
      <c r="K155" s="62">
        <f t="shared" si="78"/>
        <v>2197.7150000000001</v>
      </c>
      <c r="L155" s="36">
        <f t="shared" si="79"/>
        <v>15384.005000000001</v>
      </c>
      <c r="M155" s="62">
        <f t="shared" si="90"/>
        <v>4395.43</v>
      </c>
      <c r="N155" s="36">
        <f>25000+4000</f>
        <v>29000</v>
      </c>
      <c r="O155" s="62">
        <f t="shared" si="85"/>
        <v>439.54300000000006</v>
      </c>
      <c r="P155" s="62">
        <v>5000</v>
      </c>
      <c r="Q155" s="62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24">
        <f t="shared" si="86"/>
        <v>100000</v>
      </c>
      <c r="Z155" s="27"/>
    </row>
    <row r="156" spans="1:26" ht="20.100000000000001" customHeight="1">
      <c r="A156" s="33"/>
      <c r="B156" s="48" t="s">
        <v>34</v>
      </c>
      <c r="C156" s="33"/>
      <c r="D156" s="49" t="s">
        <v>567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18">
        <f>SUM(Y105:Y155)</f>
        <v>7200000</v>
      </c>
      <c r="Z156" s="134">
        <f>SUM(Z105:Z155)</f>
        <v>5050000</v>
      </c>
    </row>
    <row r="157" spans="1:26" ht="20.100000000000001" customHeight="1">
      <c r="A157" s="33"/>
      <c r="B157" s="263" t="s">
        <v>328</v>
      </c>
      <c r="C157" s="263"/>
      <c r="D157" s="101"/>
      <c r="E157" s="40"/>
      <c r="F157" s="41">
        <f t="shared" ref="F157:W157" si="94">F28+F32+F46+F50+F59+F64+F75+F82+F89+F102+F156</f>
        <v>5797571.9900000021</v>
      </c>
      <c r="G157" s="41">
        <f t="shared" si="94"/>
        <v>0</v>
      </c>
      <c r="H157" s="41">
        <f t="shared" si="94"/>
        <v>17071738.469999999</v>
      </c>
      <c r="I157" s="41">
        <f t="shared" si="94"/>
        <v>507037.84674999997</v>
      </c>
      <c r="J157" s="41">
        <f t="shared" si="94"/>
        <v>3290019.5799999996</v>
      </c>
      <c r="K157" s="41">
        <f t="shared" si="94"/>
        <v>2882737.1250000009</v>
      </c>
      <c r="L157" s="41">
        <f t="shared" si="94"/>
        <v>19168080.715</v>
      </c>
      <c r="M157" s="41">
        <f t="shared" si="94"/>
        <v>5717327.6300000018</v>
      </c>
      <c r="N157" s="41">
        <f t="shared" si="94"/>
        <v>21727000</v>
      </c>
      <c r="O157" s="41">
        <f t="shared" si="94"/>
        <v>579757.20900000015</v>
      </c>
      <c r="P157" s="41">
        <f t="shared" si="94"/>
        <v>2725000</v>
      </c>
      <c r="Q157" s="41">
        <f t="shared" si="94"/>
        <v>1780470</v>
      </c>
      <c r="R157" s="41">
        <f t="shared" si="94"/>
        <v>81246740.565749988</v>
      </c>
      <c r="S157" s="41">
        <f t="shared" si="94"/>
        <v>6501500</v>
      </c>
      <c r="T157" s="41">
        <f t="shared" si="94"/>
        <v>12156926.749999998</v>
      </c>
      <c r="U157" s="41">
        <f t="shared" si="94"/>
        <v>47021.024999999994</v>
      </c>
      <c r="V157" s="41">
        <f t="shared" si="94"/>
        <v>2554396.39</v>
      </c>
      <c r="W157" s="41">
        <f t="shared" si="94"/>
        <v>23716109.457999997</v>
      </c>
      <c r="X157" s="41">
        <v>30608812.215500005</v>
      </c>
      <c r="Y157" s="119">
        <f>Y28+Y32+Y46+Y50+Y59+Y64+Y75+Y82+Y89+Y102+Y156</f>
        <v>11400000</v>
      </c>
      <c r="Z157" s="41">
        <f>Z28+Z32+Z46+Z50+Z59+Z64+Z75+Z82+Z89+Z102+Z156</f>
        <v>38250000</v>
      </c>
    </row>
    <row r="158" spans="1:26" ht="20.100000000000001" customHeight="1">
      <c r="A158" s="33"/>
      <c r="B158" s="256"/>
      <c r="C158" s="256"/>
      <c r="D158" s="46"/>
      <c r="E158" s="70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120"/>
      <c r="Z158" s="33"/>
    </row>
    <row r="159" spans="1:26" ht="20.100000000000001" customHeight="1">
      <c r="A159" s="33"/>
    </row>
    <row r="160" spans="1:26" ht="20.100000000000001" customHeight="1">
      <c r="A160" s="33"/>
      <c r="Y160" s="34"/>
    </row>
    <row r="161" spans="1:25" ht="20.100000000000001" customHeight="1">
      <c r="A161" s="33"/>
    </row>
    <row r="162" spans="1:25" ht="20.100000000000001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3:E3"/>
    <mergeCell ref="B5:C5"/>
    <mergeCell ref="S5:W5"/>
    <mergeCell ref="B6:C6"/>
    <mergeCell ref="B7:C7"/>
    <mergeCell ref="B8:C8"/>
    <mergeCell ref="B16:C16"/>
    <mergeCell ref="B17:C17"/>
    <mergeCell ref="B18:C18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0" t="s">
        <v>568</v>
      </c>
      <c r="C3" s="240"/>
      <c r="D3" s="240"/>
      <c r="E3" s="240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0" t="s">
        <v>2</v>
      </c>
      <c r="C5" s="240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39" t="s">
        <v>3</v>
      </c>
      <c r="T5" s="239"/>
      <c r="U5" s="239"/>
      <c r="V5" s="239"/>
      <c r="W5" s="239"/>
      <c r="X5" s="56"/>
      <c r="Y5" s="56" t="s">
        <v>4</v>
      </c>
    </row>
    <row r="6" spans="1:30" ht="35.450000000000003" customHeight="1">
      <c r="A6" s="33"/>
      <c r="B6" s="285"/>
      <c r="C6" s="285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537</v>
      </c>
      <c r="Y6" s="7" t="s">
        <v>523</v>
      </c>
    </row>
    <row r="7" spans="1:30" ht="55.9" customHeight="1">
      <c r="A7" s="33"/>
      <c r="B7" s="286"/>
      <c r="C7" s="286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87" t="s">
        <v>36</v>
      </c>
      <c r="C8" s="287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57" t="s">
        <v>38</v>
      </c>
      <c r="C9" s="258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00000000000001" customHeight="1">
      <c r="A10" s="3">
        <v>2</v>
      </c>
      <c r="B10" s="271" t="s">
        <v>52</v>
      </c>
      <c r="C10" s="272"/>
      <c r="D10" s="33" t="s">
        <v>538</v>
      </c>
      <c r="E10" s="38" t="s">
        <v>54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00000000000001" customHeight="1">
      <c r="A11" s="3">
        <v>3</v>
      </c>
      <c r="B11" s="269" t="s">
        <v>55</v>
      </c>
      <c r="C11" s="270"/>
      <c r="D11" s="47" t="s">
        <v>56</v>
      </c>
      <c r="E11" s="29" t="s">
        <v>54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00000000000001" customHeight="1">
      <c r="A12" s="3">
        <v>4</v>
      </c>
      <c r="B12" s="271" t="s">
        <v>57</v>
      </c>
      <c r="C12" s="272"/>
      <c r="D12" s="33" t="s">
        <v>58</v>
      </c>
      <c r="E12" s="3" t="s">
        <v>54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00000000000001" customHeight="1">
      <c r="A13" s="3">
        <v>5</v>
      </c>
      <c r="B13" s="271" t="s">
        <v>391</v>
      </c>
      <c r="C13" s="272"/>
      <c r="D13" s="43" t="s">
        <v>478</v>
      </c>
      <c r="E13" s="75" t="s">
        <v>227</v>
      </c>
      <c r="F13" s="65">
        <f>42653.17</f>
        <v>42653.17</v>
      </c>
      <c r="G13" s="64"/>
      <c r="H13" s="62">
        <f t="shared" si="0"/>
        <v>127959.51</v>
      </c>
      <c r="I13" s="62">
        <f t="shared" si="1"/>
        <v>3198.9877499999998</v>
      </c>
      <c r="J13" s="62">
        <v>40122.19</v>
      </c>
      <c r="K13" s="62">
        <f t="shared" si="2"/>
        <v>21326.584999999999</v>
      </c>
      <c r="L13" s="62">
        <f t="shared" si="3"/>
        <v>149286.095</v>
      </c>
      <c r="M13" s="62">
        <f t="shared" si="4"/>
        <v>42653.17</v>
      </c>
      <c r="N13" s="62">
        <f>100000</f>
        <v>100000</v>
      </c>
      <c r="O13" s="62">
        <f t="shared" si="5"/>
        <v>4265.317</v>
      </c>
      <c r="P13" s="62">
        <v>20000</v>
      </c>
      <c r="Q13" s="76"/>
      <c r="R13" s="36">
        <f t="shared" si="6"/>
        <v>551465.0247500001</v>
      </c>
      <c r="S13" s="65">
        <f>100000</f>
        <v>100000</v>
      </c>
      <c r="T13" s="65">
        <f>137500</f>
        <v>137500</v>
      </c>
      <c r="U13" s="65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00000000000001" customHeight="1">
      <c r="A14" s="3">
        <v>6</v>
      </c>
      <c r="B14" s="271" t="s">
        <v>47</v>
      </c>
      <c r="C14" s="272"/>
      <c r="D14" s="43" t="s">
        <v>48</v>
      </c>
      <c r="E14" s="75" t="s">
        <v>479</v>
      </c>
      <c r="F14" s="65">
        <f>39662.25</f>
        <v>39662.25</v>
      </c>
      <c r="G14" s="64"/>
      <c r="H14" s="62">
        <f t="shared" si="0"/>
        <v>118986.75</v>
      </c>
      <c r="I14" s="62">
        <f t="shared" si="1"/>
        <v>2974.6687499999998</v>
      </c>
      <c r="J14" s="62">
        <v>40122.19</v>
      </c>
      <c r="K14" s="62">
        <f t="shared" si="2"/>
        <v>19831.125</v>
      </c>
      <c r="L14" s="62">
        <f t="shared" si="3"/>
        <v>138817.875</v>
      </c>
      <c r="M14" s="62">
        <f t="shared" si="4"/>
        <v>39662.25</v>
      </c>
      <c r="N14" s="65">
        <f>150000</f>
        <v>150000</v>
      </c>
      <c r="O14" s="62">
        <f t="shared" si="5"/>
        <v>3966.2250000000004</v>
      </c>
      <c r="P14" s="62">
        <v>20000</v>
      </c>
      <c r="Q14" s="65">
        <f>100000</f>
        <v>100000</v>
      </c>
      <c r="R14" s="36">
        <f t="shared" si="6"/>
        <v>674023.33374999999</v>
      </c>
      <c r="S14" s="65"/>
      <c r="T14" s="65"/>
      <c r="U14" s="65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00000000000001" customHeight="1">
      <c r="A15" s="3">
        <v>7</v>
      </c>
      <c r="B15" s="271" t="s">
        <v>525</v>
      </c>
      <c r="C15" s="272"/>
      <c r="D15" s="43" t="s">
        <v>526</v>
      </c>
      <c r="E15" s="44" t="s">
        <v>138</v>
      </c>
      <c r="F15" s="64">
        <f>25523.45</f>
        <v>25523.45</v>
      </c>
      <c r="G15" s="64"/>
      <c r="H15" s="64">
        <f t="shared" si="0"/>
        <v>76570.350000000006</v>
      </c>
      <c r="I15" s="64">
        <f t="shared" si="1"/>
        <v>1914.25875</v>
      </c>
      <c r="J15" s="64"/>
      <c r="K15" s="64">
        <f t="shared" si="2"/>
        <v>12761.725</v>
      </c>
      <c r="L15" s="64">
        <f t="shared" si="3"/>
        <v>89332.074999999997</v>
      </c>
      <c r="M15" s="64">
        <f t="shared" si="4"/>
        <v>25523.45</v>
      </c>
      <c r="N15" s="64">
        <f>100000</f>
        <v>100000</v>
      </c>
      <c r="O15" s="64">
        <f t="shared" si="5"/>
        <v>2552.3450000000003</v>
      </c>
      <c r="P15" s="64">
        <v>15000</v>
      </c>
      <c r="Q15" s="64">
        <f>100000</f>
        <v>100000</v>
      </c>
      <c r="R15" s="36">
        <f t="shared" si="6"/>
        <v>449177.65375</v>
      </c>
      <c r="S15" s="65">
        <f>100000</f>
        <v>100000</v>
      </c>
      <c r="T15" s="65">
        <f>0</f>
        <v>0</v>
      </c>
      <c r="U15" s="65">
        <f>'[3]DECEMBER 2019'!$H$22</f>
        <v>618.53150000000005</v>
      </c>
      <c r="V15" s="65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00000000000001" customHeight="1">
      <c r="A16" s="3">
        <v>8</v>
      </c>
      <c r="B16" s="271" t="s">
        <v>64</v>
      </c>
      <c r="C16" s="272"/>
      <c r="D16" s="43" t="s">
        <v>442</v>
      </c>
      <c r="E16" s="44" t="s">
        <v>138</v>
      </c>
      <c r="F16" s="64">
        <f>25523.45</f>
        <v>25523.45</v>
      </c>
      <c r="G16" s="64"/>
      <c r="H16" s="64">
        <f t="shared" si="0"/>
        <v>76570.350000000006</v>
      </c>
      <c r="I16" s="64">
        <f t="shared" si="1"/>
        <v>1914.25875</v>
      </c>
      <c r="J16" s="64"/>
      <c r="K16" s="64">
        <f t="shared" si="2"/>
        <v>12761.725</v>
      </c>
      <c r="L16" s="64">
        <f t="shared" si="3"/>
        <v>89332.074999999997</v>
      </c>
      <c r="M16" s="64">
        <f t="shared" si="4"/>
        <v>25523.45</v>
      </c>
      <c r="N16" s="64">
        <f>100000</f>
        <v>100000</v>
      </c>
      <c r="O16" s="64">
        <f t="shared" si="5"/>
        <v>2552.3450000000003</v>
      </c>
      <c r="P16" s="64">
        <v>15000</v>
      </c>
      <c r="Q16" s="64">
        <v>50000</v>
      </c>
      <c r="R16" s="36">
        <f t="shared" si="6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271" t="s">
        <v>67</v>
      </c>
      <c r="C17" s="272"/>
      <c r="D17" s="33" t="s">
        <v>444</v>
      </c>
      <c r="E17" s="3" t="s">
        <v>73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8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271" t="s">
        <v>69</v>
      </c>
      <c r="C18" s="272"/>
      <c r="D18" s="33" t="s">
        <v>445</v>
      </c>
      <c r="E18" s="3" t="s">
        <v>138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00000000000001" customHeight="1">
      <c r="A19" s="3">
        <v>11</v>
      </c>
      <c r="B19" s="257" t="s">
        <v>71</v>
      </c>
      <c r="C19" s="258"/>
      <c r="D19" s="61" t="s">
        <v>444</v>
      </c>
      <c r="E19" s="66" t="s">
        <v>73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8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/>
      <c r="T19" s="36"/>
      <c r="U19" s="36"/>
      <c r="V19" s="62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00000000000001" customHeight="1">
      <c r="A20" s="3">
        <v>12</v>
      </c>
      <c r="B20" s="257" t="s">
        <v>80</v>
      </c>
      <c r="C20" s="258"/>
      <c r="D20" s="61" t="s">
        <v>81</v>
      </c>
      <c r="E20" s="66" t="s">
        <v>103</v>
      </c>
      <c r="F20" s="62">
        <f>18281.64</f>
        <v>18281.64</v>
      </c>
      <c r="G20" s="62"/>
      <c r="H20" s="62">
        <f t="shared" si="0"/>
        <v>54844.92</v>
      </c>
      <c r="I20" s="62">
        <f t="shared" si="1"/>
        <v>1371.1229999999998</v>
      </c>
      <c r="J20" s="36"/>
      <c r="K20" s="62">
        <f>F20*50%</f>
        <v>9140.82</v>
      </c>
      <c r="L20" s="36">
        <f t="shared" si="3"/>
        <v>63985.74</v>
      </c>
      <c r="M20" s="62">
        <f t="shared" si="4"/>
        <v>18281.64</v>
      </c>
      <c r="N20" s="64">
        <f t="shared" si="8"/>
        <v>100000</v>
      </c>
      <c r="O20" s="62">
        <f t="shared" si="5"/>
        <v>1828.164</v>
      </c>
      <c r="P20" s="62">
        <v>10000</v>
      </c>
      <c r="Q20" s="62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257" t="s">
        <v>83</v>
      </c>
      <c r="C21" s="258"/>
      <c r="D21" s="61" t="s">
        <v>89</v>
      </c>
      <c r="E21" s="66" t="s">
        <v>208</v>
      </c>
      <c r="F21" s="62">
        <f>19276.95</f>
        <v>19276.95</v>
      </c>
      <c r="G21" s="62"/>
      <c r="H21" s="62">
        <f t="shared" si="0"/>
        <v>57830.850000000006</v>
      </c>
      <c r="I21" s="62">
        <f t="shared" si="1"/>
        <v>1445.77125</v>
      </c>
      <c r="J21" s="36"/>
      <c r="K21" s="62">
        <f>F21*50%</f>
        <v>9638.4750000000004</v>
      </c>
      <c r="L21" s="36">
        <f t="shared" si="3"/>
        <v>67469.324999999997</v>
      </c>
      <c r="M21" s="62">
        <f t="shared" si="4"/>
        <v>19276.95</v>
      </c>
      <c r="N21" s="64">
        <f t="shared" si="8"/>
        <v>100000</v>
      </c>
      <c r="O21" s="62">
        <f t="shared" si="5"/>
        <v>1927.6950000000002</v>
      </c>
      <c r="P21" s="62">
        <v>10000</v>
      </c>
      <c r="Q21" s="62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97" t="s">
        <v>88</v>
      </c>
      <c r="C22" s="98"/>
      <c r="D22" s="61" t="s">
        <v>89</v>
      </c>
      <c r="E22" s="66" t="s">
        <v>108</v>
      </c>
      <c r="F22" s="67">
        <f>13112.16</f>
        <v>13112.16</v>
      </c>
      <c r="G22" s="62"/>
      <c r="H22" s="62">
        <f t="shared" si="0"/>
        <v>39336.479999999996</v>
      </c>
      <c r="I22" s="62">
        <f t="shared" si="1"/>
        <v>983.41199999999992</v>
      </c>
      <c r="J22" s="62"/>
      <c r="K22" s="62">
        <f t="shared" ref="K22:K24" si="10">F22*50%</f>
        <v>6556.08</v>
      </c>
      <c r="L22" s="36">
        <f t="shared" si="3"/>
        <v>45892.56</v>
      </c>
      <c r="M22" s="62">
        <f t="shared" si="4"/>
        <v>13112.16</v>
      </c>
      <c r="N22" s="64">
        <f t="shared" si="8"/>
        <v>100000</v>
      </c>
      <c r="O22" s="62">
        <f t="shared" si="5"/>
        <v>1311.2160000000001</v>
      </c>
      <c r="P22" s="62">
        <v>10000</v>
      </c>
      <c r="Q22" s="62"/>
      <c r="R22" s="36">
        <f t="shared" si="6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97" t="s">
        <v>91</v>
      </c>
      <c r="C23" s="98"/>
      <c r="D23" s="61" t="s">
        <v>281</v>
      </c>
      <c r="E23" s="66" t="s">
        <v>93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64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97" t="s">
        <v>94</v>
      </c>
      <c r="C24" s="98"/>
      <c r="D24" s="61" t="s">
        <v>281</v>
      </c>
      <c r="E24" s="66" t="s">
        <v>93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64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264" t="s">
        <v>96</v>
      </c>
      <c r="C25" s="264"/>
      <c r="D25" s="33" t="s">
        <v>97</v>
      </c>
      <c r="E25" s="66" t="s">
        <v>79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8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257" t="s">
        <v>99</v>
      </c>
      <c r="C26" s="258"/>
      <c r="D26" s="33" t="s">
        <v>100</v>
      </c>
      <c r="E26" s="66" t="s">
        <v>103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8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97" t="s">
        <v>101</v>
      </c>
      <c r="C27" s="98"/>
      <c r="D27" s="33" t="s">
        <v>102</v>
      </c>
      <c r="E27" s="66" t="s">
        <v>95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267" t="s">
        <v>34</v>
      </c>
      <c r="C28" s="267"/>
      <c r="D28" s="7">
        <v>19</v>
      </c>
      <c r="E28" s="66"/>
      <c r="F28" s="68">
        <f t="shared" ref="F28:W28" si="13">SUM(F9:F27)</f>
        <v>607907.00999999989</v>
      </c>
      <c r="G28" s="68">
        <f t="shared" si="13"/>
        <v>0</v>
      </c>
      <c r="H28" s="68">
        <f t="shared" si="13"/>
        <v>1663232.28</v>
      </c>
      <c r="I28" s="68">
        <f t="shared" si="13"/>
        <v>81702.999499999991</v>
      </c>
      <c r="J28" s="68">
        <f t="shared" si="13"/>
        <v>320977.52</v>
      </c>
      <c r="K28" s="68">
        <f t="shared" si="13"/>
        <v>295929.07</v>
      </c>
      <c r="L28" s="68">
        <f t="shared" si="13"/>
        <v>1565963.91</v>
      </c>
      <c r="M28" s="68">
        <f t="shared" si="13"/>
        <v>567784.83000000007</v>
      </c>
      <c r="N28" s="68">
        <f t="shared" si="13"/>
        <v>2100000</v>
      </c>
      <c r="O28" s="68">
        <f t="shared" si="13"/>
        <v>60790.706000000006</v>
      </c>
      <c r="P28" s="68">
        <f t="shared" si="13"/>
        <v>285000</v>
      </c>
      <c r="Q28" s="68">
        <f t="shared" si="13"/>
        <v>525235</v>
      </c>
      <c r="R28" s="68">
        <f t="shared" si="13"/>
        <v>8074523.3254999984</v>
      </c>
      <c r="S28" s="68">
        <f t="shared" si="13"/>
        <v>435000</v>
      </c>
      <c r="T28" s="68">
        <f t="shared" si="13"/>
        <v>957742.84</v>
      </c>
      <c r="U28" s="68">
        <f t="shared" si="13"/>
        <v>4753.9245000000001</v>
      </c>
      <c r="V28" s="68">
        <f t="shared" si="13"/>
        <v>266749.49000000005</v>
      </c>
      <c r="W28" s="68">
        <f t="shared" si="13"/>
        <v>1664246.2545</v>
      </c>
      <c r="X28" s="68">
        <v>6193029.3780000014</v>
      </c>
      <c r="Y28" s="68">
        <f>SUM(Y9:Y27)</f>
        <v>10250000</v>
      </c>
    </row>
    <row r="29" spans="1:25" ht="18.75" customHeight="1">
      <c r="A29" s="3"/>
      <c r="B29" s="96"/>
      <c r="C29" s="96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18.75" customHeight="1">
      <c r="A30" s="3"/>
      <c r="B30" s="267" t="s">
        <v>115</v>
      </c>
      <c r="C30" s="267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36"/>
    </row>
    <row r="31" spans="1:25" ht="18.75" customHeight="1">
      <c r="A31" s="3">
        <v>1</v>
      </c>
      <c r="B31" s="311" t="s">
        <v>482</v>
      </c>
      <c r="C31" s="312"/>
      <c r="D31" s="61" t="s">
        <v>483</v>
      </c>
      <c r="E31" s="66" t="s">
        <v>118</v>
      </c>
      <c r="F31" s="62">
        <f>79039.64</f>
        <v>79039.64</v>
      </c>
      <c r="G31" s="62"/>
      <c r="H31" s="62">
        <f t="shared" ref="H31" si="14">F31*300%</f>
        <v>237118.91999999998</v>
      </c>
      <c r="I31" s="62">
        <f t="shared" ref="I31" si="15">F31*7.5%</f>
        <v>5927.973</v>
      </c>
      <c r="J31" s="62">
        <f>80244.38</f>
        <v>80244.38</v>
      </c>
      <c r="K31" s="62">
        <f t="shared" ref="K31" si="16">F31*50%</f>
        <v>39519.82</v>
      </c>
      <c r="L31" s="62">
        <f t="shared" ref="L31" si="17">F31*350%</f>
        <v>276638.74</v>
      </c>
      <c r="M31" s="62">
        <f t="shared" ref="M31" si="18">F31*100%</f>
        <v>79039.64</v>
      </c>
      <c r="N31" s="64">
        <f t="shared" ref="N31:N32" si="19">100000</f>
        <v>100000</v>
      </c>
      <c r="O31" s="62">
        <f t="shared" ref="O31" si="20">F31*10%</f>
        <v>7903.9639999999999</v>
      </c>
      <c r="P31" s="62">
        <v>20000</v>
      </c>
      <c r="Q31" s="62">
        <v>0</v>
      </c>
      <c r="R31" s="36">
        <f t="shared" ref="R31" si="21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311" t="s">
        <v>541</v>
      </c>
      <c r="C32" s="312"/>
      <c r="D32" s="61" t="s">
        <v>542</v>
      </c>
      <c r="E32" s="66" t="s">
        <v>82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19"/>
        <v>100000</v>
      </c>
      <c r="O32" s="62">
        <f>F32*10%</f>
        <v>1877.93</v>
      </c>
      <c r="P32" s="62">
        <v>10000</v>
      </c>
      <c r="Q32" s="62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2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97818.94</v>
      </c>
      <c r="G33" s="68">
        <f t="shared" ref="G33:W33" si="22">SUM(G31:G32)</f>
        <v>0</v>
      </c>
      <c r="H33" s="68">
        <f t="shared" si="22"/>
        <v>293456.81999999995</v>
      </c>
      <c r="I33" s="68">
        <f t="shared" si="22"/>
        <v>7336.4205000000002</v>
      </c>
      <c r="J33" s="68">
        <f t="shared" si="22"/>
        <v>80244.38</v>
      </c>
      <c r="K33" s="68">
        <f t="shared" si="22"/>
        <v>48909.47</v>
      </c>
      <c r="L33" s="68">
        <f t="shared" si="22"/>
        <v>342366.29</v>
      </c>
      <c r="M33" s="68">
        <f t="shared" si="22"/>
        <v>97818.94</v>
      </c>
      <c r="N33" s="68">
        <f>SUM(N31:N32)</f>
        <v>200000</v>
      </c>
      <c r="O33" s="68">
        <f t="shared" si="22"/>
        <v>9781.8940000000002</v>
      </c>
      <c r="P33" s="68">
        <f t="shared" si="22"/>
        <v>30000</v>
      </c>
      <c r="Q33" s="68">
        <f t="shared" si="22"/>
        <v>0</v>
      </c>
      <c r="R33" s="68">
        <f t="shared" si="22"/>
        <v>925433.07700000005</v>
      </c>
      <c r="S33" s="68">
        <f t="shared" si="22"/>
        <v>100000</v>
      </c>
      <c r="T33" s="68">
        <f t="shared" si="22"/>
        <v>287500</v>
      </c>
      <c r="U33" s="68">
        <f t="shared" si="22"/>
        <v>1028.9422500000001</v>
      </c>
      <c r="V33" s="68">
        <f t="shared" si="22"/>
        <v>52776.63</v>
      </c>
      <c r="W33" s="68">
        <f t="shared" si="22"/>
        <v>441305.57225000003</v>
      </c>
      <c r="X33" s="68">
        <v>738282.45275000017</v>
      </c>
      <c r="Y33" s="68">
        <f>SUM(Y31:Y32)</f>
        <v>500000</v>
      </c>
    </row>
    <row r="34" spans="1:25" ht="20.100000000000001" customHeight="1">
      <c r="A34" s="3"/>
      <c r="B34" s="281"/>
      <c r="C34" s="282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6"/>
      <c r="X34" s="36"/>
      <c r="Y34" s="36"/>
    </row>
    <row r="35" spans="1:25" ht="20.100000000000001" customHeight="1">
      <c r="A35" s="3"/>
      <c r="B35" s="283" t="s">
        <v>121</v>
      </c>
      <c r="C35" s="284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00000000000001" customHeight="1">
      <c r="A36" s="3">
        <v>1</v>
      </c>
      <c r="B36" s="257" t="s">
        <v>122</v>
      </c>
      <c r="C36" s="258"/>
      <c r="D36" s="33" t="s">
        <v>123</v>
      </c>
      <c r="E36" s="3" t="s">
        <v>43</v>
      </c>
      <c r="F36" s="62">
        <f>81740.02</f>
        <v>81740.02</v>
      </c>
      <c r="G36" s="62"/>
      <c r="H36" s="62">
        <f>F36*300%</f>
        <v>245220.06</v>
      </c>
      <c r="I36" s="62">
        <f>F36*7.5%</f>
        <v>6130.5015000000003</v>
      </c>
      <c r="J36" s="62">
        <v>80244.38</v>
      </c>
      <c r="K36" s="62">
        <f>F36*50%</f>
        <v>40870.01</v>
      </c>
      <c r="L36" s="62">
        <f>F36*350%</f>
        <v>286090.07</v>
      </c>
      <c r="M36" s="62">
        <f t="shared" ref="M36:M46" si="23">F36*100%</f>
        <v>81740.02</v>
      </c>
      <c r="N36" s="62">
        <f>150000</f>
        <v>150000</v>
      </c>
      <c r="O36" s="62">
        <f t="shared" ref="O36:O46" si="24">F36*10%</f>
        <v>8174.0020000000004</v>
      </c>
      <c r="P36" s="62">
        <v>20000</v>
      </c>
      <c r="Q36" s="62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62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00000000000001" customHeight="1">
      <c r="A37" s="3">
        <v>2</v>
      </c>
      <c r="B37" s="257" t="s">
        <v>124</v>
      </c>
      <c r="C37" s="258"/>
      <c r="D37" s="33" t="s">
        <v>125</v>
      </c>
      <c r="E37" s="3" t="s">
        <v>54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27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2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00000000000001" customHeight="1">
      <c r="A38" s="3">
        <v>3</v>
      </c>
      <c r="B38" s="257" t="s">
        <v>126</v>
      </c>
      <c r="C38" s="258"/>
      <c r="D38" s="33" t="s">
        <v>127</v>
      </c>
      <c r="E38" s="3" t="s">
        <v>54</v>
      </c>
      <c r="F38" s="62">
        <f>33507.5</f>
        <v>33507.5</v>
      </c>
      <c r="G38" s="62"/>
      <c r="H38" s="62">
        <f>F38*300%</f>
        <v>100522.5</v>
      </c>
      <c r="I38" s="62">
        <f>F38*7.5%</f>
        <v>2513.0625</v>
      </c>
      <c r="J38" s="62">
        <v>40122.19</v>
      </c>
      <c r="K38" s="62">
        <f>F38*50%</f>
        <v>16753.75</v>
      </c>
      <c r="L38" s="62">
        <f>F38*350%</f>
        <v>117276.25</v>
      </c>
      <c r="M38" s="62">
        <f>F38*100%</f>
        <v>33507.5</v>
      </c>
      <c r="N38" s="62">
        <f t="shared" si="27"/>
        <v>150000</v>
      </c>
      <c r="O38" s="62">
        <f>F38*10%</f>
        <v>3350.75</v>
      </c>
      <c r="P38" s="62">
        <v>20000</v>
      </c>
      <c r="Q38" s="62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2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00000000000001" customHeight="1">
      <c r="A39" s="3">
        <v>4</v>
      </c>
      <c r="B39" s="257" t="s">
        <v>128</v>
      </c>
      <c r="C39" s="258"/>
      <c r="D39" s="33" t="s">
        <v>131</v>
      </c>
      <c r="E39" s="3" t="s">
        <v>132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27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2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00000000000001" customHeight="1">
      <c r="A40" s="3">
        <v>5</v>
      </c>
      <c r="B40" s="257" t="s">
        <v>130</v>
      </c>
      <c r="C40" s="258"/>
      <c r="D40" s="33" t="s">
        <v>131</v>
      </c>
      <c r="E40" s="3" t="s">
        <v>132</v>
      </c>
      <c r="F40" s="62">
        <f>28489.81</f>
        <v>28489.81</v>
      </c>
      <c r="G40" s="62"/>
      <c r="H40" s="62">
        <f t="shared" ref="H40:H46" si="29">F40*300%</f>
        <v>85469.430000000008</v>
      </c>
      <c r="I40" s="62">
        <f t="shared" ref="I40:I46" si="30">F40*7.5%</f>
        <v>2136.7357499999998</v>
      </c>
      <c r="J40" s="62">
        <v>0</v>
      </c>
      <c r="K40" s="62">
        <f t="shared" ref="K40:K46" si="31">F40*50%</f>
        <v>14244.905000000001</v>
      </c>
      <c r="L40" s="62">
        <f t="shared" ref="L40:L46" si="32">F40*350%</f>
        <v>99714.335000000006</v>
      </c>
      <c r="M40" s="62">
        <f t="shared" si="23"/>
        <v>28489.81</v>
      </c>
      <c r="N40" s="62">
        <f t="shared" si="27"/>
        <v>150000</v>
      </c>
      <c r="O40" s="62">
        <f t="shared" si="24"/>
        <v>2848.9810000000002</v>
      </c>
      <c r="P40" s="62">
        <v>20000</v>
      </c>
      <c r="Q40" s="62">
        <v>0</v>
      </c>
      <c r="R40" s="36">
        <f t="shared" si="25"/>
        <v>431394.00675000006</v>
      </c>
      <c r="S40" s="36"/>
      <c r="T40" s="36"/>
      <c r="U40" s="36">
        <f>'[3]DECEMBER 2019'!$H$27</f>
        <v>690.28075000000001</v>
      </c>
      <c r="V40" s="62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00000000000001" customHeight="1">
      <c r="A41" s="3">
        <v>6</v>
      </c>
      <c r="B41" s="257" t="s">
        <v>133</v>
      </c>
      <c r="C41" s="258"/>
      <c r="D41" s="33" t="s">
        <v>131</v>
      </c>
      <c r="E41" s="3" t="s">
        <v>66</v>
      </c>
      <c r="F41" s="62">
        <f>27611.23</f>
        <v>27611.23</v>
      </c>
      <c r="G41" s="62"/>
      <c r="H41" s="62">
        <f t="shared" si="29"/>
        <v>82833.69</v>
      </c>
      <c r="I41" s="62">
        <f t="shared" si="30"/>
        <v>2070.8422499999997</v>
      </c>
      <c r="J41" s="62"/>
      <c r="K41" s="62">
        <f t="shared" si="31"/>
        <v>13805.615</v>
      </c>
      <c r="L41" s="62">
        <f t="shared" si="32"/>
        <v>96639.304999999993</v>
      </c>
      <c r="M41" s="62">
        <f t="shared" si="23"/>
        <v>27611.23</v>
      </c>
      <c r="N41" s="62">
        <f t="shared" si="27"/>
        <v>150000</v>
      </c>
      <c r="O41" s="62">
        <f t="shared" si="24"/>
        <v>2761.123</v>
      </c>
      <c r="P41" s="62">
        <v>15000</v>
      </c>
      <c r="Q41" s="62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62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00000000000001" customHeight="1">
      <c r="A42" s="3">
        <v>7</v>
      </c>
      <c r="B42" s="265" t="s">
        <v>134</v>
      </c>
      <c r="C42" s="266"/>
      <c r="D42" s="20" t="s">
        <v>517</v>
      </c>
      <c r="E42" s="25" t="s">
        <v>73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00000000000001" customHeight="1">
      <c r="A43" s="3">
        <v>8</v>
      </c>
      <c r="B43" s="257" t="s">
        <v>136</v>
      </c>
      <c r="C43" s="258"/>
      <c r="D43" s="33" t="s">
        <v>137</v>
      </c>
      <c r="E43" s="3" t="s">
        <v>98</v>
      </c>
      <c r="F43" s="62">
        <f>24741.26</f>
        <v>24741.26</v>
      </c>
      <c r="G43" s="62"/>
      <c r="H43" s="62">
        <f t="shared" si="29"/>
        <v>74223.78</v>
      </c>
      <c r="I43" s="62">
        <f t="shared" si="30"/>
        <v>1855.5944999999997</v>
      </c>
      <c r="J43" s="62">
        <v>0</v>
      </c>
      <c r="K43" s="62">
        <f t="shared" si="31"/>
        <v>12370.63</v>
      </c>
      <c r="L43" s="62">
        <f t="shared" si="32"/>
        <v>86594.409999999989</v>
      </c>
      <c r="M43" s="62">
        <f t="shared" si="23"/>
        <v>24741.26</v>
      </c>
      <c r="N43" s="62">
        <f t="shared" si="27"/>
        <v>150000</v>
      </c>
      <c r="O43" s="62">
        <f t="shared" si="24"/>
        <v>2474.1260000000002</v>
      </c>
      <c r="P43" s="62">
        <v>15000</v>
      </c>
      <c r="Q43" s="62">
        <v>0</v>
      </c>
      <c r="R43" s="36">
        <f t="shared" si="25"/>
        <v>392001.06049999996</v>
      </c>
      <c r="S43" s="36"/>
      <c r="T43" s="36"/>
      <c r="U43" s="36"/>
      <c r="V43" s="62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00000000000001" customHeight="1">
      <c r="A44" s="3">
        <v>9</v>
      </c>
      <c r="B44" s="257" t="s">
        <v>394</v>
      </c>
      <c r="C44" s="258"/>
      <c r="D44" s="33" t="s">
        <v>140</v>
      </c>
      <c r="E44" s="3" t="s">
        <v>138</v>
      </c>
      <c r="F44" s="62">
        <f>25523.45</f>
        <v>25523.45</v>
      </c>
      <c r="G44" s="62"/>
      <c r="H44" s="62">
        <f t="shared" si="29"/>
        <v>76570.350000000006</v>
      </c>
      <c r="I44" s="62">
        <f t="shared" si="30"/>
        <v>1914.25875</v>
      </c>
      <c r="J44" s="62">
        <v>0</v>
      </c>
      <c r="K44" s="62">
        <f t="shared" si="31"/>
        <v>12761.725</v>
      </c>
      <c r="L44" s="62">
        <f t="shared" si="32"/>
        <v>89332.074999999997</v>
      </c>
      <c r="M44" s="62">
        <f t="shared" si="23"/>
        <v>25523.45</v>
      </c>
      <c r="N44" s="62">
        <f t="shared" si="27"/>
        <v>150000</v>
      </c>
      <c r="O44" s="62">
        <f t="shared" si="24"/>
        <v>2552.3450000000003</v>
      </c>
      <c r="P44" s="62">
        <v>15000</v>
      </c>
      <c r="Q44" s="62">
        <v>0</v>
      </c>
      <c r="R44" s="36">
        <f t="shared" si="25"/>
        <v>399177.65375</v>
      </c>
      <c r="S44" s="36"/>
      <c r="T44" s="36"/>
      <c r="U44" s="36"/>
      <c r="V44" s="62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00000000000001" customHeight="1">
      <c r="A45" s="3">
        <v>10</v>
      </c>
      <c r="B45" s="257" t="s">
        <v>484</v>
      </c>
      <c r="C45" s="258"/>
      <c r="D45" s="33" t="s">
        <v>140</v>
      </c>
      <c r="E45" s="3" t="s">
        <v>138</v>
      </c>
      <c r="F45" s="62">
        <f>25523.45</f>
        <v>25523.45</v>
      </c>
      <c r="G45" s="62"/>
      <c r="H45" s="62">
        <f t="shared" si="29"/>
        <v>76570.350000000006</v>
      </c>
      <c r="I45" s="62">
        <f t="shared" si="30"/>
        <v>1914.25875</v>
      </c>
      <c r="J45" s="62">
        <f>J19</f>
        <v>0</v>
      </c>
      <c r="K45" s="62">
        <f t="shared" si="31"/>
        <v>12761.725</v>
      </c>
      <c r="L45" s="62">
        <f t="shared" si="32"/>
        <v>89332.074999999997</v>
      </c>
      <c r="M45" s="62">
        <f t="shared" si="23"/>
        <v>25523.45</v>
      </c>
      <c r="N45" s="62">
        <f t="shared" si="27"/>
        <v>150000</v>
      </c>
      <c r="O45" s="62">
        <f t="shared" si="24"/>
        <v>2552.3450000000003</v>
      </c>
      <c r="P45" s="62">
        <v>15000</v>
      </c>
      <c r="Q45" s="62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2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00000000000001" customHeight="1">
      <c r="A46" s="3">
        <v>11</v>
      </c>
      <c r="B46" s="269" t="s">
        <v>139</v>
      </c>
      <c r="C46" s="270"/>
      <c r="D46" s="33" t="s">
        <v>140</v>
      </c>
      <c r="E46" s="29" t="s">
        <v>79</v>
      </c>
      <c r="F46" s="26">
        <f>23891.12</f>
        <v>23891.119999999999</v>
      </c>
      <c r="G46" s="62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62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00000000000001" customHeight="1">
      <c r="A47" s="3"/>
      <c r="B47" s="273" t="s">
        <v>34</v>
      </c>
      <c r="C47" s="274"/>
      <c r="D47" s="30">
        <v>11</v>
      </c>
      <c r="E47" s="30"/>
      <c r="F47" s="92">
        <f>SUM(F36:F46)</f>
        <v>359364.45</v>
      </c>
      <c r="G47" s="92"/>
      <c r="H47" s="92">
        <f t="shared" ref="H47:W47" si="33">SUM(H36:H46)</f>
        <v>1078093.3500000001</v>
      </c>
      <c r="I47" s="92">
        <f t="shared" si="33"/>
        <v>26952.333749999998</v>
      </c>
      <c r="J47" s="92">
        <f t="shared" si="33"/>
        <v>160488.76</v>
      </c>
      <c r="K47" s="92">
        <f t="shared" si="33"/>
        <v>179682.22500000001</v>
      </c>
      <c r="L47" s="92">
        <f t="shared" si="33"/>
        <v>1257775.575</v>
      </c>
      <c r="M47" s="92">
        <f t="shared" si="33"/>
        <v>359364.45</v>
      </c>
      <c r="N47" s="92">
        <f>SUM(N36:N46)</f>
        <v>1650000</v>
      </c>
      <c r="O47" s="92">
        <f t="shared" si="33"/>
        <v>35936.445</v>
      </c>
      <c r="P47" s="92">
        <f t="shared" si="33"/>
        <v>190000</v>
      </c>
      <c r="Q47" s="92">
        <f t="shared" si="33"/>
        <v>0</v>
      </c>
      <c r="R47" s="92">
        <f t="shared" si="33"/>
        <v>5297657.5887500001</v>
      </c>
      <c r="S47" s="92">
        <f t="shared" si="33"/>
        <v>330000</v>
      </c>
      <c r="T47" s="92">
        <f t="shared" si="33"/>
        <v>982004.38</v>
      </c>
      <c r="U47" s="92">
        <f t="shared" si="33"/>
        <v>1765.8532499999999</v>
      </c>
      <c r="V47" s="92">
        <f t="shared" si="33"/>
        <v>145551.36999999997</v>
      </c>
      <c r="W47" s="92">
        <f t="shared" si="33"/>
        <v>1459321.6032500002</v>
      </c>
      <c r="X47" s="92">
        <v>3695472.6502500004</v>
      </c>
      <c r="Y47" s="92">
        <f>SUM(Y36:Y46)</f>
        <v>6400000</v>
      </c>
    </row>
    <row r="48" spans="1:25" ht="20.100000000000001" customHeight="1">
      <c r="A48" s="3"/>
      <c r="B48" s="105"/>
      <c r="C48" s="105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"/>
      <c r="B49" s="273" t="s">
        <v>144</v>
      </c>
      <c r="C49" s="274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">
        <v>1</v>
      </c>
      <c r="B50" s="257" t="s">
        <v>145</v>
      </c>
      <c r="C50" s="258"/>
      <c r="D50" s="61" t="s">
        <v>146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/>
      <c r="T50" s="36"/>
      <c r="U50" s="36">
        <v>0</v>
      </c>
      <c r="V50" s="62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00000000000001" customHeight="1">
      <c r="A51" s="3"/>
      <c r="B51" s="273" t="s">
        <v>34</v>
      </c>
      <c r="C51" s="274"/>
      <c r="D51" s="30">
        <v>2</v>
      </c>
      <c r="E51" s="30"/>
      <c r="F51" s="92">
        <f t="shared" ref="F51:R51" si="34">SUM(F50:F50)</f>
        <v>81740.02</v>
      </c>
      <c r="G51" s="92">
        <f t="shared" si="34"/>
        <v>0</v>
      </c>
      <c r="H51" s="92">
        <f t="shared" si="34"/>
        <v>245220.06</v>
      </c>
      <c r="I51" s="92">
        <f t="shared" si="34"/>
        <v>6130.5015000000003</v>
      </c>
      <c r="J51" s="92">
        <f t="shared" si="34"/>
        <v>80244.38</v>
      </c>
      <c r="K51" s="92">
        <f t="shared" si="34"/>
        <v>40870.01</v>
      </c>
      <c r="L51" s="92">
        <f t="shared" si="34"/>
        <v>286090.07</v>
      </c>
      <c r="M51" s="92">
        <f t="shared" si="34"/>
        <v>81740.02</v>
      </c>
      <c r="N51" s="92">
        <f t="shared" si="34"/>
        <v>150000</v>
      </c>
      <c r="O51" s="92">
        <f t="shared" si="34"/>
        <v>8174.0020000000004</v>
      </c>
      <c r="P51" s="92">
        <f t="shared" si="34"/>
        <v>20000</v>
      </c>
      <c r="Q51" s="92">
        <f t="shared" si="34"/>
        <v>0</v>
      </c>
      <c r="R51" s="92">
        <f t="shared" si="34"/>
        <v>1000209.0635</v>
      </c>
      <c r="S51" s="92"/>
      <c r="T51" s="92"/>
      <c r="U51" s="92">
        <f>SUM(U50:U50)</f>
        <v>0</v>
      </c>
      <c r="V51" s="92">
        <f>SUM(V50:V50)</f>
        <v>52776.63</v>
      </c>
      <c r="W51" s="92">
        <f>SUM(W50:W50)</f>
        <v>52776.63</v>
      </c>
      <c r="X51" s="92">
        <v>947432.43350000004</v>
      </c>
      <c r="Y51" s="92">
        <f>SUM(Y50)</f>
        <v>500000</v>
      </c>
    </row>
    <row r="52" spans="1:25" ht="20.100000000000001" customHeight="1">
      <c r="A52" s="3"/>
      <c r="B52" s="273"/>
      <c r="C52" s="274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73" t="s">
        <v>467</v>
      </c>
      <c r="C53" s="274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69" t="s">
        <v>151</v>
      </c>
      <c r="C54" s="270"/>
      <c r="D54" s="47" t="s">
        <v>152</v>
      </c>
      <c r="E54" s="29" t="s">
        <v>118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2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00000000000001" customHeight="1">
      <c r="A55" s="3">
        <v>2</v>
      </c>
      <c r="B55" s="271" t="s">
        <v>190</v>
      </c>
      <c r="C55" s="272"/>
      <c r="D55" s="33" t="s">
        <v>135</v>
      </c>
      <c r="E55" s="3" t="s">
        <v>66</v>
      </c>
      <c r="F55" s="62">
        <f>27611.23</f>
        <v>27611.23</v>
      </c>
      <c r="G55" s="62"/>
      <c r="H55" s="62">
        <f>F55*300%</f>
        <v>82833.69</v>
      </c>
      <c r="I55" s="62">
        <f>F55*7.5%</f>
        <v>2070.8422499999997</v>
      </c>
      <c r="J55" s="62"/>
      <c r="K55" s="62">
        <f>F55*50%</f>
        <v>13805.615</v>
      </c>
      <c r="L55" s="36">
        <f>F55*350%</f>
        <v>96639.304999999993</v>
      </c>
      <c r="M55" s="62">
        <f>F55*100%</f>
        <v>27611.23</v>
      </c>
      <c r="N55" s="62">
        <f t="shared" si="35"/>
        <v>150000</v>
      </c>
      <c r="O55" s="62">
        <f>F55*10%</f>
        <v>2761.123</v>
      </c>
      <c r="P55" s="62">
        <v>15000</v>
      </c>
      <c r="Q55" s="62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00000000000001" customHeight="1">
      <c r="A56" s="3">
        <v>3</v>
      </c>
      <c r="B56" s="269" t="s">
        <v>155</v>
      </c>
      <c r="C56" s="270"/>
      <c r="D56" s="33" t="s">
        <v>137</v>
      </c>
      <c r="E56" s="29" t="s">
        <v>79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2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00000000000001" customHeight="1">
      <c r="A57" s="3">
        <v>4</v>
      </c>
      <c r="B57" s="264" t="s">
        <v>160</v>
      </c>
      <c r="C57" s="264"/>
      <c r="D57" s="61" t="s">
        <v>447</v>
      </c>
      <c r="E57" s="66" t="s">
        <v>208</v>
      </c>
      <c r="F57" s="62">
        <f>19276.95</f>
        <v>19276.95</v>
      </c>
      <c r="G57" s="62"/>
      <c r="H57" s="62">
        <f>F57*300%</f>
        <v>57830.850000000006</v>
      </c>
      <c r="I57" s="62">
        <f>F57*7.5%</f>
        <v>1445.77125</v>
      </c>
      <c r="J57" s="62">
        <v>0</v>
      </c>
      <c r="K57" s="62">
        <f>F57*50%</f>
        <v>9638.4750000000004</v>
      </c>
      <c r="L57" s="36">
        <f>F57*350%</f>
        <v>67469.324999999997</v>
      </c>
      <c r="M57" s="62">
        <f>F57*100%</f>
        <v>19276.95</v>
      </c>
      <c r="N57" s="62">
        <f t="shared" si="35"/>
        <v>150000</v>
      </c>
      <c r="O57" s="62">
        <f>F57*10%</f>
        <v>1927.6950000000002</v>
      </c>
      <c r="P57" s="62">
        <v>10000</v>
      </c>
      <c r="Q57" s="62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00000000000001" customHeight="1">
      <c r="A58" s="3"/>
      <c r="B58" s="273" t="s">
        <v>34</v>
      </c>
      <c r="C58" s="274"/>
      <c r="D58" s="30">
        <v>4</v>
      </c>
      <c r="E58" s="30"/>
      <c r="F58" s="92">
        <f t="shared" ref="F58:Q58" si="37">SUM(F54:F57)</f>
        <v>149818.94</v>
      </c>
      <c r="G58" s="92">
        <f t="shared" si="37"/>
        <v>0</v>
      </c>
      <c r="H58" s="92">
        <f t="shared" si="37"/>
        <v>449456.81999999995</v>
      </c>
      <c r="I58" s="92">
        <f t="shared" si="37"/>
        <v>11236.420499999998</v>
      </c>
      <c r="J58" s="92">
        <f t="shared" si="37"/>
        <v>80244.38</v>
      </c>
      <c r="K58" s="92">
        <f t="shared" si="37"/>
        <v>74909.47</v>
      </c>
      <c r="L58" s="92">
        <f t="shared" si="37"/>
        <v>524366.28999999992</v>
      </c>
      <c r="M58" s="92">
        <f t="shared" si="37"/>
        <v>149818.94</v>
      </c>
      <c r="N58" s="92">
        <f t="shared" si="37"/>
        <v>600000</v>
      </c>
      <c r="O58" s="92">
        <f t="shared" si="37"/>
        <v>14981.894</v>
      </c>
      <c r="P58" s="92">
        <f t="shared" si="37"/>
        <v>60000</v>
      </c>
      <c r="Q58" s="92">
        <f t="shared" si="37"/>
        <v>0</v>
      </c>
      <c r="R58" s="92">
        <f>SUM(R54:R57)</f>
        <v>2114833.1545000002</v>
      </c>
      <c r="S58" s="92">
        <f>SUM(S54:S57)</f>
        <v>250000</v>
      </c>
      <c r="T58" s="92">
        <f>SUM(T54:T57)</f>
        <v>263103.58999999997</v>
      </c>
      <c r="U58" s="92">
        <f>SUM(U54:U57)</f>
        <v>1107.5687500000001</v>
      </c>
      <c r="V58" s="92">
        <f>SUM(V54:V57)</f>
        <v>71565.659999999989</v>
      </c>
      <c r="W58" s="92">
        <f>SUM(R58:V58)</f>
        <v>2700609.9732500003</v>
      </c>
      <c r="X58" s="92">
        <v>1328432.6670000001</v>
      </c>
      <c r="Y58" s="92">
        <f>SUM(Y54:Y57)</f>
        <v>1800000</v>
      </c>
    </row>
    <row r="59" spans="1:25" ht="20.100000000000001" customHeight="1">
      <c r="A59" s="3"/>
      <c r="B59" s="99"/>
      <c r="C59" s="10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/>
      <c r="B60" s="273" t="s">
        <v>486</v>
      </c>
      <c r="C60" s="274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">
        <v>1</v>
      </c>
      <c r="B61" s="257" t="s">
        <v>173</v>
      </c>
      <c r="C61" s="258"/>
      <c r="D61" s="33" t="s">
        <v>174</v>
      </c>
      <c r="E61" s="3" t="s">
        <v>43</v>
      </c>
      <c r="F61" s="62">
        <f>81740.02</f>
        <v>81740.02</v>
      </c>
      <c r="G61" s="62"/>
      <c r="H61" s="62">
        <f t="shared" ref="H61:H64" si="38">F61*300%</f>
        <v>245220.06</v>
      </c>
      <c r="I61" s="62">
        <f t="shared" ref="I61:I64" si="39">F61*7.5%</f>
        <v>6130.5015000000003</v>
      </c>
      <c r="J61" s="62">
        <v>80244.38</v>
      </c>
      <c r="K61" s="62">
        <f>F61*50%</f>
        <v>40870.01</v>
      </c>
      <c r="L61" s="62">
        <f t="shared" ref="L61:L64" si="40">F61*350%</f>
        <v>286090.07</v>
      </c>
      <c r="M61" s="62">
        <f>F61*100%</f>
        <v>81740.02</v>
      </c>
      <c r="N61" s="62">
        <f t="shared" ref="N61:N64" si="41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2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00000000000001" customHeight="1">
      <c r="A62" s="3">
        <v>2</v>
      </c>
      <c r="B62" s="257" t="s">
        <v>189</v>
      </c>
      <c r="C62" s="258"/>
      <c r="D62" s="33" t="s">
        <v>127</v>
      </c>
      <c r="E62" s="3" t="s">
        <v>129</v>
      </c>
      <c r="F62" s="62">
        <f>32263.2</f>
        <v>32263.200000000001</v>
      </c>
      <c r="G62" s="62"/>
      <c r="H62" s="62">
        <f t="shared" si="38"/>
        <v>96789.6</v>
      </c>
      <c r="I62" s="62">
        <f t="shared" si="39"/>
        <v>2419.7399999999998</v>
      </c>
      <c r="J62" s="62">
        <f>40122.19</f>
        <v>40122.19</v>
      </c>
      <c r="K62" s="62">
        <f>F62*50%</f>
        <v>16131.6</v>
      </c>
      <c r="L62" s="62">
        <f t="shared" si="40"/>
        <v>112921.2</v>
      </c>
      <c r="M62" s="62">
        <f>F62*100%</f>
        <v>32263.200000000001</v>
      </c>
      <c r="N62" s="62">
        <f t="shared" si="41"/>
        <v>150000</v>
      </c>
      <c r="O62" s="62">
        <f>F62*10%</f>
        <v>3226.32</v>
      </c>
      <c r="P62" s="62">
        <v>20000</v>
      </c>
      <c r="Q62" s="62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2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00000000000001" customHeight="1">
      <c r="A63" s="3">
        <v>3</v>
      </c>
      <c r="B63" s="257" t="s">
        <v>165</v>
      </c>
      <c r="C63" s="258"/>
      <c r="D63" s="33" t="s">
        <v>166</v>
      </c>
      <c r="E63" s="3" t="s">
        <v>103</v>
      </c>
      <c r="F63" s="62">
        <f>18281.64</f>
        <v>18281.64</v>
      </c>
      <c r="G63" s="62"/>
      <c r="H63" s="62">
        <f t="shared" si="38"/>
        <v>54844.92</v>
      </c>
      <c r="I63" s="62">
        <f t="shared" si="39"/>
        <v>1371.1229999999998</v>
      </c>
      <c r="J63" s="62"/>
      <c r="K63" s="62">
        <f>F63*50%</f>
        <v>9140.82</v>
      </c>
      <c r="L63" s="62">
        <f t="shared" si="40"/>
        <v>63985.74</v>
      </c>
      <c r="M63" s="62">
        <f>F63*100%</f>
        <v>18281.64</v>
      </c>
      <c r="N63" s="62">
        <f t="shared" si="41"/>
        <v>150000</v>
      </c>
      <c r="O63" s="62">
        <f>F63*10%</f>
        <v>1828.164</v>
      </c>
      <c r="P63" s="62">
        <v>10000</v>
      </c>
      <c r="Q63" s="62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2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00000000000001" customHeight="1">
      <c r="A64" s="3">
        <v>4</v>
      </c>
      <c r="B64" s="257" t="s">
        <v>179</v>
      </c>
      <c r="C64" s="258"/>
      <c r="D64" s="33" t="s">
        <v>140</v>
      </c>
      <c r="E64" s="66" t="s">
        <v>79</v>
      </c>
      <c r="F64" s="62">
        <f>23891.12</f>
        <v>23891.119999999999</v>
      </c>
      <c r="G64" s="62"/>
      <c r="H64" s="62">
        <f t="shared" si="38"/>
        <v>71673.36</v>
      </c>
      <c r="I64" s="62">
        <f t="shared" si="39"/>
        <v>1791.8339999999998</v>
      </c>
      <c r="J64" s="36">
        <v>0</v>
      </c>
      <c r="K64" s="62">
        <f>F64*50%</f>
        <v>11945.56</v>
      </c>
      <c r="L64" s="36">
        <f t="shared" si="40"/>
        <v>83618.92</v>
      </c>
      <c r="M64" s="62">
        <f>F64*100%</f>
        <v>23891.119999999999</v>
      </c>
      <c r="N64" s="62">
        <f t="shared" si="41"/>
        <v>150000</v>
      </c>
      <c r="O64" s="62">
        <f>F64*10%</f>
        <v>2389.1120000000001</v>
      </c>
      <c r="P64" s="62">
        <v>15000</v>
      </c>
      <c r="Q64" s="62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2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00000000000001" customHeight="1">
      <c r="A65" s="3"/>
      <c r="B65" s="273" t="s">
        <v>34</v>
      </c>
      <c r="C65" s="274"/>
      <c r="D65" s="30">
        <v>4</v>
      </c>
      <c r="E65" s="30"/>
      <c r="F65" s="92">
        <f>SUM(F61:F64)</f>
        <v>156175.97999999998</v>
      </c>
      <c r="G65" s="92"/>
      <c r="H65" s="92">
        <f t="shared" ref="H65:W65" si="42">SUM(H61:H64)</f>
        <v>468527.94</v>
      </c>
      <c r="I65" s="92">
        <f t="shared" si="42"/>
        <v>11713.198499999999</v>
      </c>
      <c r="J65" s="92">
        <f t="shared" si="42"/>
        <v>120366.57</v>
      </c>
      <c r="K65" s="92">
        <f t="shared" si="42"/>
        <v>78087.989999999991</v>
      </c>
      <c r="L65" s="92">
        <f t="shared" si="42"/>
        <v>546615.93000000005</v>
      </c>
      <c r="M65" s="92">
        <f t="shared" si="42"/>
        <v>156175.97999999998</v>
      </c>
      <c r="N65" s="95">
        <f>SUM(N61:N64)</f>
        <v>600000</v>
      </c>
      <c r="O65" s="92">
        <f t="shared" si="42"/>
        <v>15617.598000000002</v>
      </c>
      <c r="P65" s="92">
        <f t="shared" si="42"/>
        <v>65000</v>
      </c>
      <c r="Q65" s="92">
        <f t="shared" si="42"/>
        <v>0</v>
      </c>
      <c r="R65" s="92">
        <f t="shared" si="42"/>
        <v>2218281.1864999998</v>
      </c>
      <c r="S65" s="92">
        <f t="shared" si="42"/>
        <v>240000</v>
      </c>
      <c r="T65" s="92">
        <f t="shared" si="42"/>
        <v>633315.1</v>
      </c>
      <c r="U65" s="92">
        <f t="shared" si="42"/>
        <v>1159.76325</v>
      </c>
      <c r="V65" s="92">
        <f t="shared" si="42"/>
        <v>79404.229999999981</v>
      </c>
      <c r="W65" s="92">
        <f t="shared" si="42"/>
        <v>953879.09325000003</v>
      </c>
      <c r="X65" s="92">
        <v>1157310.1030000001</v>
      </c>
      <c r="Y65" s="92">
        <f>SUM(Y61:Y64)</f>
        <v>2500000</v>
      </c>
    </row>
    <row r="66" spans="1:25" ht="20.100000000000001" customHeight="1">
      <c r="A66" s="3"/>
      <c r="B66" s="275"/>
      <c r="C66" s="276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36"/>
    </row>
    <row r="67" spans="1:25" ht="20.100000000000001" customHeight="1">
      <c r="A67" s="3"/>
      <c r="B67" s="277" t="s">
        <v>469</v>
      </c>
      <c r="C67" s="278"/>
      <c r="D67" s="69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39"/>
      <c r="W67" s="36"/>
      <c r="X67" s="36"/>
      <c r="Y67" s="36"/>
    </row>
    <row r="68" spans="1:25" ht="20.100000000000001" customHeight="1">
      <c r="A68" s="3">
        <v>1</v>
      </c>
      <c r="B68" s="257" t="s">
        <v>41</v>
      </c>
      <c r="C68" s="258"/>
      <c r="D68" s="61" t="s">
        <v>543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3">F68*100%</f>
        <v>81740.02</v>
      </c>
      <c r="N68" s="62">
        <f t="shared" ref="N68:N76" si="44">150000</f>
        <v>150000</v>
      </c>
      <c r="O68" s="62">
        <f t="shared" ref="O68:O76" si="45">F68*10%</f>
        <v>8174.0020000000004</v>
      </c>
      <c r="P68" s="62">
        <v>20000</v>
      </c>
      <c r="Q68" s="62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2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00000000000001" customHeight="1">
      <c r="A69" s="3">
        <v>2</v>
      </c>
      <c r="B69" s="257" t="s">
        <v>186</v>
      </c>
      <c r="C69" s="258"/>
      <c r="D69" s="33" t="s">
        <v>176</v>
      </c>
      <c r="E69" s="3" t="s">
        <v>54</v>
      </c>
      <c r="F69" s="62">
        <f>33507.5</f>
        <v>33507.5</v>
      </c>
      <c r="G69" s="62"/>
      <c r="H69" s="62">
        <f t="shared" ref="H69:H76" si="47">F69*300%</f>
        <v>100522.5</v>
      </c>
      <c r="I69" s="62">
        <f t="shared" ref="I69:I76" si="48">F69*7.5%</f>
        <v>2513.0625</v>
      </c>
      <c r="J69" s="62">
        <v>40122.19</v>
      </c>
      <c r="K69" s="62">
        <f t="shared" ref="K69:K76" si="49">F69*50%</f>
        <v>16753.75</v>
      </c>
      <c r="L69" s="62">
        <f t="shared" ref="L69:L76" si="50">F69*350%</f>
        <v>117276.25</v>
      </c>
      <c r="M69" s="62">
        <f t="shared" si="43"/>
        <v>33507.5</v>
      </c>
      <c r="N69" s="62">
        <f t="shared" si="44"/>
        <v>150000</v>
      </c>
      <c r="O69" s="62">
        <f t="shared" si="45"/>
        <v>3350.75</v>
      </c>
      <c r="P69" s="62">
        <v>20000</v>
      </c>
      <c r="Q69" s="62"/>
      <c r="R69" s="36">
        <f t="shared" si="46"/>
        <v>517553.5025</v>
      </c>
      <c r="S69" s="36"/>
      <c r="T69" s="36"/>
      <c r="U69" s="36"/>
      <c r="V69" s="62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00000000000001" customHeight="1">
      <c r="A70" s="3">
        <v>3</v>
      </c>
      <c r="B70" s="257" t="s">
        <v>188</v>
      </c>
      <c r="C70" s="258"/>
      <c r="D70" s="33" t="s">
        <v>127</v>
      </c>
      <c r="E70" s="3" t="s">
        <v>129</v>
      </c>
      <c r="F70" s="62">
        <f>32263.2</f>
        <v>32263.200000000001</v>
      </c>
      <c r="G70" s="62"/>
      <c r="H70" s="62">
        <f t="shared" si="47"/>
        <v>96789.6</v>
      </c>
      <c r="I70" s="62">
        <f t="shared" si="48"/>
        <v>2419.7399999999998</v>
      </c>
      <c r="J70" s="62">
        <f>40122.19</f>
        <v>40122.19</v>
      </c>
      <c r="K70" s="62">
        <f t="shared" si="49"/>
        <v>16131.6</v>
      </c>
      <c r="L70" s="62">
        <f t="shared" si="50"/>
        <v>112921.2</v>
      </c>
      <c r="M70" s="62">
        <f t="shared" si="43"/>
        <v>32263.200000000001</v>
      </c>
      <c r="N70" s="62">
        <f t="shared" si="44"/>
        <v>150000</v>
      </c>
      <c r="O70" s="62">
        <f t="shared" si="45"/>
        <v>3226.32</v>
      </c>
      <c r="P70" s="62">
        <v>20000</v>
      </c>
      <c r="Q70" s="62"/>
      <c r="R70" s="36">
        <f t="shared" si="46"/>
        <v>506137.05000000005</v>
      </c>
      <c r="S70" s="36"/>
      <c r="T70" s="36"/>
      <c r="U70" s="36"/>
      <c r="V70" s="62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00000000000001" customHeight="1">
      <c r="A71" s="3">
        <v>4</v>
      </c>
      <c r="B71" s="257" t="s">
        <v>396</v>
      </c>
      <c r="C71" s="258"/>
      <c r="D71" s="33" t="s">
        <v>131</v>
      </c>
      <c r="E71" s="3" t="s">
        <v>66</v>
      </c>
      <c r="F71" s="62">
        <f>27611.23</f>
        <v>27611.23</v>
      </c>
      <c r="G71" s="62"/>
      <c r="H71" s="62">
        <f t="shared" si="47"/>
        <v>82833.69</v>
      </c>
      <c r="I71" s="62">
        <f t="shared" si="48"/>
        <v>2070.8422499999997</v>
      </c>
      <c r="J71" s="62">
        <v>0</v>
      </c>
      <c r="K71" s="62">
        <f t="shared" si="49"/>
        <v>13805.615</v>
      </c>
      <c r="L71" s="62">
        <f t="shared" si="50"/>
        <v>96639.304999999993</v>
      </c>
      <c r="M71" s="62">
        <f t="shared" si="43"/>
        <v>27611.23</v>
      </c>
      <c r="N71" s="62">
        <f t="shared" si="44"/>
        <v>150000</v>
      </c>
      <c r="O71" s="62">
        <f t="shared" si="45"/>
        <v>2761.123</v>
      </c>
      <c r="P71" s="62">
        <v>15000</v>
      </c>
      <c r="Q71" s="62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00000000000001" customHeight="1">
      <c r="A72" s="3">
        <v>5</v>
      </c>
      <c r="B72" s="269" t="s">
        <v>192</v>
      </c>
      <c r="C72" s="270"/>
      <c r="D72" s="33" t="s">
        <v>131</v>
      </c>
      <c r="E72" s="3" t="s">
        <v>66</v>
      </c>
      <c r="F72" s="26">
        <f>27611.23</f>
        <v>27611.23</v>
      </c>
      <c r="G72" s="62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62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00000000000001" customHeight="1">
      <c r="A73" s="3">
        <v>6</v>
      </c>
      <c r="B73" s="269" t="s">
        <v>158</v>
      </c>
      <c r="C73" s="270"/>
      <c r="D73" s="20" t="s">
        <v>142</v>
      </c>
      <c r="E73" s="29" t="s">
        <v>159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62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00000000000001" customHeight="1">
      <c r="A74" s="3">
        <v>7</v>
      </c>
      <c r="B74" s="269" t="s">
        <v>154</v>
      </c>
      <c r="C74" s="270"/>
      <c r="D74" s="20" t="s">
        <v>140</v>
      </c>
      <c r="E74" s="29" t="s">
        <v>138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62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00000000000001" customHeight="1">
      <c r="A75" s="3">
        <v>8</v>
      </c>
      <c r="B75" s="269" t="s">
        <v>491</v>
      </c>
      <c r="C75" s="270"/>
      <c r="D75" s="33" t="s">
        <v>131</v>
      </c>
      <c r="E75" s="3" t="s">
        <v>66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62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" customHeight="1">
      <c r="A76" s="3">
        <v>9</v>
      </c>
      <c r="B76" s="264" t="s">
        <v>195</v>
      </c>
      <c r="C76" s="264"/>
      <c r="D76" s="33" t="s">
        <v>140</v>
      </c>
      <c r="E76" s="66" t="s">
        <v>79</v>
      </c>
      <c r="F76" s="62">
        <f>23891.12</f>
        <v>23891.119999999999</v>
      </c>
      <c r="G76" s="62"/>
      <c r="H76" s="62">
        <f t="shared" si="47"/>
        <v>71673.36</v>
      </c>
      <c r="I76" s="62">
        <f t="shared" si="48"/>
        <v>1791.8339999999998</v>
      </c>
      <c r="J76" s="62">
        <v>0</v>
      </c>
      <c r="K76" s="62">
        <f t="shared" si="49"/>
        <v>11945.56</v>
      </c>
      <c r="L76" s="36">
        <f t="shared" si="50"/>
        <v>83618.92</v>
      </c>
      <c r="M76" s="62">
        <f t="shared" si="43"/>
        <v>23891.119999999999</v>
      </c>
      <c r="N76" s="62">
        <f t="shared" si="44"/>
        <v>150000</v>
      </c>
      <c r="O76" s="62">
        <f t="shared" si="45"/>
        <v>2389.1120000000001</v>
      </c>
      <c r="P76" s="62">
        <v>15000</v>
      </c>
      <c r="Q76" s="62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62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00000000000001" customHeight="1">
      <c r="A77" s="33"/>
      <c r="B77" s="267" t="s">
        <v>34</v>
      </c>
      <c r="C77" s="267"/>
      <c r="D77" s="7">
        <v>9</v>
      </c>
      <c r="E77" s="7"/>
      <c r="F77" s="95">
        <f>SUM(F68:F76)</f>
        <v>299533.60000000003</v>
      </c>
      <c r="G77" s="95"/>
      <c r="H77" s="95">
        <f t="shared" ref="H77:Q77" si="52">SUM(H68:H76)</f>
        <v>898600.79999999993</v>
      </c>
      <c r="I77" s="95">
        <f t="shared" si="52"/>
        <v>22465.02</v>
      </c>
      <c r="J77" s="95">
        <f t="shared" si="52"/>
        <v>160488.76</v>
      </c>
      <c r="K77" s="95">
        <f t="shared" si="52"/>
        <v>149766.80000000002</v>
      </c>
      <c r="L77" s="95">
        <f t="shared" si="52"/>
        <v>1048367.6</v>
      </c>
      <c r="M77" s="95">
        <f t="shared" si="52"/>
        <v>299533.60000000003</v>
      </c>
      <c r="N77" s="95">
        <f>SUM(N68:N76)</f>
        <v>1350000</v>
      </c>
      <c r="O77" s="95">
        <f t="shared" si="52"/>
        <v>29953.360000000001</v>
      </c>
      <c r="P77" s="95">
        <f t="shared" si="52"/>
        <v>145000</v>
      </c>
      <c r="Q77" s="95">
        <f t="shared" si="52"/>
        <v>0</v>
      </c>
      <c r="R77" s="95">
        <f>SUM(R68:R76)</f>
        <v>4403709.54</v>
      </c>
      <c r="S77" s="95">
        <f>SUM(S68:S76)</f>
        <v>415000</v>
      </c>
      <c r="T77" s="95">
        <f>SUM(T68:T76)</f>
        <v>324827.21000000002</v>
      </c>
      <c r="U77" s="95">
        <f>SUM(U68:U76)</f>
        <v>2662.0320000000002</v>
      </c>
      <c r="V77" s="95">
        <f>SUM(V68:V76)</f>
        <v>125791.59999999996</v>
      </c>
      <c r="W77" s="95">
        <f>SUM(S77:V77)</f>
        <v>868280.84199999995</v>
      </c>
      <c r="X77" s="95">
        <v>3242401.5714999996</v>
      </c>
      <c r="Y77" s="95">
        <f>SUM(Y68:Y76)</f>
        <v>5200000</v>
      </c>
    </row>
    <row r="78" spans="1:25" ht="20.100000000000001" customHeight="1">
      <c r="A78" s="33"/>
      <c r="B78" s="96"/>
      <c r="C78" s="9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00000000000001" customHeight="1">
      <c r="A79" s="33"/>
      <c r="B79" s="267" t="s">
        <v>199</v>
      </c>
      <c r="C79" s="267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00000000000001" customHeight="1">
      <c r="A80" s="33">
        <v>1</v>
      </c>
      <c r="B80" s="257" t="s">
        <v>44</v>
      </c>
      <c r="C80" s="258"/>
      <c r="D80" s="33" t="s">
        <v>45</v>
      </c>
      <c r="E80" s="3" t="s">
        <v>479</v>
      </c>
      <c r="F80" s="62">
        <f>39662.25</f>
        <v>39662.25</v>
      </c>
      <c r="G80" s="62"/>
      <c r="H80" s="62">
        <f>F80*300%</f>
        <v>118986.75</v>
      </c>
      <c r="I80" s="62">
        <f>F80*7.5%</f>
        <v>2974.6687499999998</v>
      </c>
      <c r="J80" s="62">
        <v>40122.19</v>
      </c>
      <c r="K80" s="62">
        <f>F80*50%</f>
        <v>19831.125</v>
      </c>
      <c r="L80" s="62">
        <f>F80*350%</f>
        <v>138817.875</v>
      </c>
      <c r="M80" s="62">
        <f>F80*100%</f>
        <v>39662.25</v>
      </c>
      <c r="N80" s="62">
        <v>150000</v>
      </c>
      <c r="O80" s="62">
        <f>F80*10%</f>
        <v>3966.2250000000004</v>
      </c>
      <c r="P80" s="62">
        <v>20000</v>
      </c>
      <c r="Q80" s="62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2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00000000000001" customHeight="1">
      <c r="A81" s="33">
        <v>2</v>
      </c>
      <c r="B81" s="269" t="s">
        <v>202</v>
      </c>
      <c r="C81" s="270"/>
      <c r="D81" s="20" t="s">
        <v>493</v>
      </c>
      <c r="E81" s="29" t="s">
        <v>194</v>
      </c>
      <c r="F81" s="26">
        <f>27611.23</f>
        <v>27611.23</v>
      </c>
      <c r="G81" s="62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00000000000001" customHeight="1">
      <c r="A82" s="33">
        <v>3</v>
      </c>
      <c r="B82" s="257" t="s">
        <v>206</v>
      </c>
      <c r="C82" s="258"/>
      <c r="D82" s="33" t="s">
        <v>546</v>
      </c>
      <c r="E82" s="66" t="s">
        <v>103</v>
      </c>
      <c r="F82" s="26">
        <f>18281.64</f>
        <v>18281.64</v>
      </c>
      <c r="G82" s="62"/>
      <c r="H82" s="62">
        <f>F82*300%</f>
        <v>54844.92</v>
      </c>
      <c r="I82" s="62">
        <f>F82*7.5%</f>
        <v>1371.1229999999998</v>
      </c>
      <c r="J82" s="62"/>
      <c r="K82" s="62">
        <f>F82*50%</f>
        <v>9140.82</v>
      </c>
      <c r="L82" s="36">
        <f>F82*350%</f>
        <v>63985.74</v>
      </c>
      <c r="M82" s="26">
        <f>F82*100%</f>
        <v>18281.64</v>
      </c>
      <c r="N82" s="62">
        <f t="shared" ref="N82" si="53">100000</f>
        <v>100000</v>
      </c>
      <c r="O82" s="62">
        <f>F82*10%</f>
        <v>1828.164</v>
      </c>
      <c r="P82" s="62">
        <v>10000</v>
      </c>
      <c r="Q82" s="62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2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00000000000001" customHeight="1">
      <c r="A83" s="33">
        <v>4</v>
      </c>
      <c r="B83" s="97" t="s">
        <v>86</v>
      </c>
      <c r="C83" s="98"/>
      <c r="D83" s="33"/>
      <c r="E83" s="66" t="s">
        <v>95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00000000000001" customHeight="1">
      <c r="A84" s="33"/>
      <c r="B84" s="267" t="s">
        <v>34</v>
      </c>
      <c r="C84" s="267"/>
      <c r="D84" s="7">
        <v>4</v>
      </c>
      <c r="E84" s="91"/>
      <c r="F84" s="92">
        <f t="shared" ref="F84:Q84" si="55">SUM(F80:F83)</f>
        <v>103339.12</v>
      </c>
      <c r="G84" s="92">
        <f t="shared" si="55"/>
        <v>0</v>
      </c>
      <c r="H84" s="92">
        <f t="shared" si="55"/>
        <v>310017.36</v>
      </c>
      <c r="I84" s="92">
        <f t="shared" si="55"/>
        <v>7750.4339999999993</v>
      </c>
      <c r="J84" s="92">
        <f t="shared" si="55"/>
        <v>40122.19</v>
      </c>
      <c r="K84" s="92">
        <f t="shared" si="55"/>
        <v>51669.56</v>
      </c>
      <c r="L84" s="92">
        <f t="shared" si="55"/>
        <v>361686.92</v>
      </c>
      <c r="M84" s="92">
        <f t="shared" si="55"/>
        <v>103339.12</v>
      </c>
      <c r="N84" s="92">
        <f t="shared" si="55"/>
        <v>450000</v>
      </c>
      <c r="O84" s="92">
        <f t="shared" si="55"/>
        <v>10333.912</v>
      </c>
      <c r="P84" s="92">
        <f t="shared" si="55"/>
        <v>55000</v>
      </c>
      <c r="Q84" s="92">
        <f t="shared" si="55"/>
        <v>150000</v>
      </c>
      <c r="R84" s="92">
        <f>SUM(R80:R83)</f>
        <v>1643258.6159999999</v>
      </c>
      <c r="S84" s="92">
        <f>SUM(S80:S83)</f>
        <v>35000</v>
      </c>
      <c r="T84" s="92">
        <f>SUM(T80:T83)</f>
        <v>0</v>
      </c>
      <c r="U84" s="92">
        <f>SUM(U80:U83)</f>
        <v>1282.2874999999999</v>
      </c>
      <c r="V84" s="92">
        <f>SUM(V80:V83)</f>
        <v>29997.11</v>
      </c>
      <c r="W84" s="92">
        <f>SUM(S84:V84)</f>
        <v>66279.397499999992</v>
      </c>
      <c r="X84" s="92">
        <v>1485045.44325</v>
      </c>
      <c r="Y84" s="92">
        <f>SUM(Y80:Y83)</f>
        <v>1800000</v>
      </c>
    </row>
    <row r="85" spans="1:25" ht="20.100000000000001" customHeight="1">
      <c r="A85" s="33"/>
      <c r="B85" s="96"/>
      <c r="C85" s="96"/>
      <c r="D85" s="7"/>
      <c r="E85" s="9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3"/>
      <c r="B86" s="267" t="s">
        <v>209</v>
      </c>
      <c r="C86" s="267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>
      <c r="A87" s="33">
        <v>1</v>
      </c>
      <c r="B87" s="257" t="s">
        <v>210</v>
      </c>
      <c r="C87" s="258"/>
      <c r="D87" s="61" t="s">
        <v>211</v>
      </c>
      <c r="E87" s="66" t="s">
        <v>118</v>
      </c>
      <c r="F87" s="62">
        <f>79039.64</f>
        <v>79039.64</v>
      </c>
      <c r="G87" s="62"/>
      <c r="H87" s="62">
        <f>F87*300%</f>
        <v>237118.91999999998</v>
      </c>
      <c r="I87" s="62">
        <f>F87*7.5%</f>
        <v>5927.973</v>
      </c>
      <c r="J87" s="62">
        <v>80244.38</v>
      </c>
      <c r="K87" s="62">
        <f>F87*50%</f>
        <v>39519.82</v>
      </c>
      <c r="L87" s="62">
        <f>F87*350%</f>
        <v>276638.74</v>
      </c>
      <c r="M87" s="62">
        <f>F87*100%</f>
        <v>79039.64</v>
      </c>
      <c r="N87" s="62">
        <v>150000</v>
      </c>
      <c r="O87" s="62">
        <f>F87*10%</f>
        <v>7903.9639999999999</v>
      </c>
      <c r="P87" s="62">
        <v>20000</v>
      </c>
      <c r="Q87" s="62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2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00000000000001" customHeight="1">
      <c r="A88" s="33">
        <v>2</v>
      </c>
      <c r="B88" s="311" t="s">
        <v>212</v>
      </c>
      <c r="C88" s="312"/>
      <c r="D88" s="33" t="s">
        <v>213</v>
      </c>
      <c r="E88" s="3" t="s">
        <v>54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2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00000000000001" customHeight="1">
      <c r="A89" s="33">
        <v>3</v>
      </c>
      <c r="B89" s="257" t="s">
        <v>214</v>
      </c>
      <c r="C89" s="258"/>
      <c r="D89" s="33" t="s">
        <v>547</v>
      </c>
      <c r="E89" s="3" t="s">
        <v>73</v>
      </c>
      <c r="F89" s="62">
        <f>26339.3</f>
        <v>26339.3</v>
      </c>
      <c r="G89" s="62"/>
      <c r="H89" s="62">
        <f>F89*300%</f>
        <v>79017.899999999994</v>
      </c>
      <c r="I89" s="62">
        <f>F89*7.5%</f>
        <v>1975.4474999999998</v>
      </c>
      <c r="J89" s="62">
        <v>0</v>
      </c>
      <c r="K89" s="62">
        <f>F89*50%</f>
        <v>13169.65</v>
      </c>
      <c r="L89" s="62">
        <f>F89*350%</f>
        <v>92187.55</v>
      </c>
      <c r="M89" s="62">
        <f>F89*100%</f>
        <v>26339.3</v>
      </c>
      <c r="N89" s="62">
        <v>150000</v>
      </c>
      <c r="O89" s="62">
        <f>F89*10%</f>
        <v>2633.9300000000003</v>
      </c>
      <c r="P89" s="62">
        <v>15000</v>
      </c>
      <c r="Q89" s="62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00000000000001" customHeight="1">
      <c r="A90" s="33">
        <v>4</v>
      </c>
      <c r="B90" s="269" t="s">
        <v>216</v>
      </c>
      <c r="C90" s="270"/>
      <c r="D90" s="20" t="s">
        <v>548</v>
      </c>
      <c r="E90" s="29" t="s">
        <v>98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2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00000000000001" customHeight="1">
      <c r="A91" s="33"/>
      <c r="B91" s="267" t="s">
        <v>34</v>
      </c>
      <c r="C91" s="267"/>
      <c r="D91" s="3">
        <v>4</v>
      </c>
      <c r="E91" s="33"/>
      <c r="F91" s="93">
        <f>SUM(F87:F90)</f>
        <v>163627.70000000001</v>
      </c>
      <c r="G91" s="94"/>
      <c r="H91" s="93">
        <f t="shared" ref="H91:Q91" si="56">SUM(H87:H90)</f>
        <v>490883.1</v>
      </c>
      <c r="I91" s="93">
        <f t="shared" si="56"/>
        <v>12272.077499999999</v>
      </c>
      <c r="J91" s="93">
        <f t="shared" si="56"/>
        <v>120366.57</v>
      </c>
      <c r="K91" s="93">
        <f t="shared" si="56"/>
        <v>81813.850000000006</v>
      </c>
      <c r="L91" s="93">
        <f t="shared" si="56"/>
        <v>572696.94999999995</v>
      </c>
      <c r="M91" s="93">
        <f t="shared" si="56"/>
        <v>163627.70000000001</v>
      </c>
      <c r="N91" s="93">
        <f t="shared" si="56"/>
        <v>600000</v>
      </c>
      <c r="O91" s="93">
        <f t="shared" si="56"/>
        <v>16362.77</v>
      </c>
      <c r="P91" s="93">
        <f t="shared" si="56"/>
        <v>70000</v>
      </c>
      <c r="Q91" s="93">
        <f t="shared" si="56"/>
        <v>0</v>
      </c>
      <c r="R91" s="93">
        <f>SUM(R87:R90)</f>
        <v>2291650.7174999998</v>
      </c>
      <c r="S91" s="93">
        <f>SUM(S87:S90)</f>
        <v>220000</v>
      </c>
      <c r="T91" s="93">
        <f>SUM(T87:T90)</f>
        <v>174333.33000000002</v>
      </c>
      <c r="U91" s="93">
        <f>SUM(U87:U90)</f>
        <v>1475.7737500000001</v>
      </c>
      <c r="V91" s="93">
        <f>SUM(V87:V90)</f>
        <v>83744.479999999981</v>
      </c>
      <c r="W91" s="93">
        <f>SUM(S91:V91)</f>
        <v>479553.58374999999</v>
      </c>
      <c r="X91" s="93">
        <v>1742740.03</v>
      </c>
      <c r="Y91" s="93">
        <f>SUM(Y87:Y90)</f>
        <v>2700000</v>
      </c>
    </row>
    <row r="92" spans="1:25" ht="20.100000000000001" customHeight="1">
      <c r="A92" s="33"/>
      <c r="B92" s="96"/>
      <c r="C92" s="9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00000000000001" customHeight="1">
      <c r="A93" s="33"/>
      <c r="B93" s="267" t="s">
        <v>222</v>
      </c>
      <c r="C93" s="267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39"/>
      <c r="W93" s="36"/>
      <c r="X93" s="36"/>
      <c r="Y93" s="36"/>
    </row>
    <row r="94" spans="1:25" ht="20.100000000000001" customHeight="1">
      <c r="A94" s="33">
        <v>1</v>
      </c>
      <c r="B94" s="264" t="s">
        <v>223</v>
      </c>
      <c r="C94" s="264"/>
      <c r="D94" s="61" t="s">
        <v>224</v>
      </c>
      <c r="E94" s="66" t="s">
        <v>43</v>
      </c>
      <c r="F94" s="62">
        <f>81740.02</f>
        <v>81740.02</v>
      </c>
      <c r="G94" s="62"/>
      <c r="H94" s="62">
        <f t="shared" ref="H94:H104" si="57">F94*300%</f>
        <v>245220.06</v>
      </c>
      <c r="I94" s="62">
        <f t="shared" ref="I94:I104" si="58">F94*7.5%</f>
        <v>6130.5015000000003</v>
      </c>
      <c r="J94" s="62">
        <f>80244.38</f>
        <v>80244.38</v>
      </c>
      <c r="K94" s="62">
        <f t="shared" ref="K94:K104" si="59">F94*50%</f>
        <v>40870.01</v>
      </c>
      <c r="L94" s="62">
        <f t="shared" ref="L94:L104" si="60">F94*350%</f>
        <v>286090.07</v>
      </c>
      <c r="M94" s="62">
        <f t="shared" ref="M94:M103" si="61">F94*100%</f>
        <v>81740.02</v>
      </c>
      <c r="N94" s="62">
        <f>100000</f>
        <v>100000</v>
      </c>
      <c r="O94" s="62">
        <f t="shared" ref="O94:O103" si="62">F94*10%</f>
        <v>8174.0020000000004</v>
      </c>
      <c r="P94" s="62">
        <v>20000</v>
      </c>
      <c r="Q94" s="62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2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00000000000001" customHeight="1">
      <c r="A95" s="33">
        <v>2</v>
      </c>
      <c r="B95" s="264" t="s">
        <v>225</v>
      </c>
      <c r="C95" s="264"/>
      <c r="D95" s="61" t="s">
        <v>226</v>
      </c>
      <c r="E95" s="66" t="s">
        <v>227</v>
      </c>
      <c r="F95" s="62">
        <f>42653.17</f>
        <v>42653.17</v>
      </c>
      <c r="G95" s="62"/>
      <c r="H95" s="62">
        <f t="shared" si="57"/>
        <v>127959.51</v>
      </c>
      <c r="I95" s="62">
        <f t="shared" si="58"/>
        <v>3198.9877499999998</v>
      </c>
      <c r="J95" s="62">
        <v>40122.19</v>
      </c>
      <c r="K95" s="62">
        <f t="shared" si="59"/>
        <v>21326.584999999999</v>
      </c>
      <c r="L95" s="62">
        <f t="shared" si="60"/>
        <v>149286.095</v>
      </c>
      <c r="M95" s="62">
        <f t="shared" si="61"/>
        <v>42653.17</v>
      </c>
      <c r="N95" s="62">
        <f t="shared" ref="N95:N103" si="65">100000</f>
        <v>100000</v>
      </c>
      <c r="O95" s="62">
        <f t="shared" si="62"/>
        <v>4265.317</v>
      </c>
      <c r="P95" s="62">
        <v>20000</v>
      </c>
      <c r="Q95" s="62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62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00000000000001" customHeight="1">
      <c r="A96" s="33">
        <v>3</v>
      </c>
      <c r="B96" s="264" t="s">
        <v>228</v>
      </c>
      <c r="C96" s="264"/>
      <c r="D96" s="61" t="s">
        <v>495</v>
      </c>
      <c r="E96" s="66" t="s">
        <v>54</v>
      </c>
      <c r="F96" s="26">
        <f>33507.5</f>
        <v>33507.5</v>
      </c>
      <c r="G96" s="62"/>
      <c r="H96" s="62">
        <f t="shared" si="57"/>
        <v>100522.5</v>
      </c>
      <c r="I96" s="62">
        <f t="shared" si="58"/>
        <v>2513.0625</v>
      </c>
      <c r="J96" s="62">
        <v>40122.19</v>
      </c>
      <c r="K96" s="62">
        <f t="shared" si="59"/>
        <v>16753.75</v>
      </c>
      <c r="L96" s="36">
        <f t="shared" si="60"/>
        <v>117276.25</v>
      </c>
      <c r="M96" s="62">
        <f t="shared" si="61"/>
        <v>33507.5</v>
      </c>
      <c r="N96" s="62">
        <f t="shared" si="65"/>
        <v>100000</v>
      </c>
      <c r="O96" s="62">
        <f t="shared" si="62"/>
        <v>3350.75</v>
      </c>
      <c r="P96" s="62">
        <v>20000</v>
      </c>
      <c r="Q96" s="62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2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00000000000001" customHeight="1">
      <c r="A97" s="33">
        <v>4</v>
      </c>
      <c r="B97" s="264" t="s">
        <v>59</v>
      </c>
      <c r="C97" s="264"/>
      <c r="D97" s="61" t="s">
        <v>496</v>
      </c>
      <c r="E97" s="66" t="s">
        <v>129</v>
      </c>
      <c r="F97" s="62">
        <f>32263.2</f>
        <v>32263.200000000001</v>
      </c>
      <c r="G97" s="62"/>
      <c r="H97" s="62">
        <f t="shared" si="57"/>
        <v>96789.6</v>
      </c>
      <c r="I97" s="62">
        <f t="shared" si="58"/>
        <v>2419.7399999999998</v>
      </c>
      <c r="J97" s="62">
        <f>40122.19</f>
        <v>40122.19</v>
      </c>
      <c r="K97" s="62">
        <f t="shared" si="59"/>
        <v>16131.6</v>
      </c>
      <c r="L97" s="36">
        <f t="shared" si="60"/>
        <v>112921.2</v>
      </c>
      <c r="M97" s="62">
        <f t="shared" si="61"/>
        <v>32263.200000000001</v>
      </c>
      <c r="N97" s="62">
        <f t="shared" si="65"/>
        <v>100000</v>
      </c>
      <c r="O97" s="62">
        <f t="shared" si="62"/>
        <v>3226.32</v>
      </c>
      <c r="P97" s="62">
        <v>20000</v>
      </c>
      <c r="Q97" s="62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2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00000000000001" customHeight="1">
      <c r="A98" s="33">
        <v>5</v>
      </c>
      <c r="B98" s="268" t="s">
        <v>230</v>
      </c>
      <c r="C98" s="268"/>
      <c r="D98" s="33" t="s">
        <v>497</v>
      </c>
      <c r="E98" s="66" t="s">
        <v>129</v>
      </c>
      <c r="F98" s="62">
        <f>32263.2</f>
        <v>32263.200000000001</v>
      </c>
      <c r="G98" s="62"/>
      <c r="H98" s="62">
        <f t="shared" si="57"/>
        <v>96789.6</v>
      </c>
      <c r="I98" s="62">
        <f t="shared" si="58"/>
        <v>2419.7399999999998</v>
      </c>
      <c r="J98" s="62">
        <f>40122.19</f>
        <v>40122.19</v>
      </c>
      <c r="K98" s="62">
        <f t="shared" si="59"/>
        <v>16131.6</v>
      </c>
      <c r="L98" s="36">
        <f t="shared" si="60"/>
        <v>112921.2</v>
      </c>
      <c r="M98" s="62">
        <f t="shared" si="61"/>
        <v>32263.200000000001</v>
      </c>
      <c r="N98" s="62">
        <f t="shared" si="65"/>
        <v>100000</v>
      </c>
      <c r="O98" s="62">
        <f t="shared" si="62"/>
        <v>3226.32</v>
      </c>
      <c r="P98" s="62">
        <v>20000</v>
      </c>
      <c r="Q98" s="62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00000000000001" customHeight="1">
      <c r="A99" s="33">
        <v>6</v>
      </c>
      <c r="B99" s="313" t="s">
        <v>233</v>
      </c>
      <c r="C99" s="313"/>
      <c r="D99" s="61" t="s">
        <v>498</v>
      </c>
      <c r="E99" s="66" t="s">
        <v>98</v>
      </c>
      <c r="F99" s="62">
        <f>24741.26</f>
        <v>24741.26</v>
      </c>
      <c r="G99" s="62">
        <v>0</v>
      </c>
      <c r="H99" s="62">
        <f t="shared" si="57"/>
        <v>74223.78</v>
      </c>
      <c r="I99" s="62">
        <f t="shared" si="58"/>
        <v>1855.5944999999997</v>
      </c>
      <c r="J99" s="62">
        <v>0</v>
      </c>
      <c r="K99" s="62">
        <f t="shared" si="59"/>
        <v>12370.63</v>
      </c>
      <c r="L99" s="36">
        <f t="shared" si="60"/>
        <v>86594.409999999989</v>
      </c>
      <c r="M99" s="62">
        <f t="shared" si="61"/>
        <v>24741.26</v>
      </c>
      <c r="N99" s="62">
        <f t="shared" si="65"/>
        <v>100000</v>
      </c>
      <c r="O99" s="62">
        <f t="shared" si="62"/>
        <v>2474.1260000000002</v>
      </c>
      <c r="P99" s="62">
        <v>15000</v>
      </c>
      <c r="Q99" s="62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62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00000000000001" customHeight="1">
      <c r="A100" s="33">
        <v>7</v>
      </c>
      <c r="B100" s="264" t="s">
        <v>235</v>
      </c>
      <c r="C100" s="264"/>
      <c r="D100" s="61" t="s">
        <v>499</v>
      </c>
      <c r="E100" s="66" t="s">
        <v>79</v>
      </c>
      <c r="F100" s="62">
        <f>23891.12</f>
        <v>23891.119999999999</v>
      </c>
      <c r="G100" s="62"/>
      <c r="H100" s="62">
        <f t="shared" si="57"/>
        <v>71673.36</v>
      </c>
      <c r="I100" s="62">
        <f t="shared" si="58"/>
        <v>1791.8339999999998</v>
      </c>
      <c r="J100" s="62"/>
      <c r="K100" s="62">
        <f t="shared" si="59"/>
        <v>11945.56</v>
      </c>
      <c r="L100" s="36">
        <f t="shared" si="60"/>
        <v>83618.92</v>
      </c>
      <c r="M100" s="62">
        <f t="shared" si="61"/>
        <v>23891.119999999999</v>
      </c>
      <c r="N100" s="62">
        <f t="shared" si="65"/>
        <v>100000</v>
      </c>
      <c r="O100" s="62">
        <f t="shared" si="62"/>
        <v>2389.1120000000001</v>
      </c>
      <c r="P100" s="62">
        <v>15000</v>
      </c>
      <c r="Q100" s="62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2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00000000000001" customHeight="1">
      <c r="A101" s="33">
        <v>8</v>
      </c>
      <c r="B101" s="264" t="s">
        <v>237</v>
      </c>
      <c r="C101" s="264"/>
      <c r="D101" s="61" t="s">
        <v>499</v>
      </c>
      <c r="E101" s="66" t="s">
        <v>79</v>
      </c>
      <c r="F101" s="62">
        <f>23891.12</f>
        <v>23891.119999999999</v>
      </c>
      <c r="G101" s="62"/>
      <c r="H101" s="62">
        <f t="shared" si="57"/>
        <v>71673.36</v>
      </c>
      <c r="I101" s="62">
        <f t="shared" si="58"/>
        <v>1791.8339999999998</v>
      </c>
      <c r="J101" s="62"/>
      <c r="K101" s="62">
        <f t="shared" si="59"/>
        <v>11945.56</v>
      </c>
      <c r="L101" s="36">
        <f t="shared" si="60"/>
        <v>83618.92</v>
      </c>
      <c r="M101" s="62">
        <f t="shared" si="61"/>
        <v>23891.119999999999</v>
      </c>
      <c r="N101" s="62">
        <f t="shared" si="65"/>
        <v>100000</v>
      </c>
      <c r="O101" s="62">
        <f t="shared" si="62"/>
        <v>2389.1120000000001</v>
      </c>
      <c r="P101" s="62">
        <v>15000</v>
      </c>
      <c r="Q101" s="62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2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00000000000001" customHeight="1">
      <c r="A102" s="33">
        <v>9</v>
      </c>
      <c r="B102" s="264" t="s">
        <v>399</v>
      </c>
      <c r="C102" s="264"/>
      <c r="D102" s="33" t="s">
        <v>258</v>
      </c>
      <c r="E102" s="66" t="s">
        <v>138</v>
      </c>
      <c r="F102" s="62">
        <f>25523.45</f>
        <v>25523.45</v>
      </c>
      <c r="G102" s="62"/>
      <c r="H102" s="62">
        <f t="shared" si="57"/>
        <v>76570.350000000006</v>
      </c>
      <c r="I102" s="62">
        <f t="shared" si="58"/>
        <v>1914.25875</v>
      </c>
      <c r="J102" s="62">
        <v>0</v>
      </c>
      <c r="K102" s="62">
        <f t="shared" si="59"/>
        <v>12761.725</v>
      </c>
      <c r="L102" s="36">
        <f t="shared" si="60"/>
        <v>89332.074999999997</v>
      </c>
      <c r="M102" s="62">
        <f t="shared" si="61"/>
        <v>25523.45</v>
      </c>
      <c r="N102" s="62">
        <f t="shared" si="65"/>
        <v>100000</v>
      </c>
      <c r="O102" s="62">
        <f t="shared" si="62"/>
        <v>2552.3450000000003</v>
      </c>
      <c r="P102" s="62">
        <v>15000</v>
      </c>
      <c r="Q102" s="62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62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00000000000001" customHeight="1">
      <c r="A103" s="33">
        <v>10</v>
      </c>
      <c r="B103" s="257" t="s">
        <v>104</v>
      </c>
      <c r="C103" s="258"/>
      <c r="D103" s="61" t="s">
        <v>105</v>
      </c>
      <c r="E103" s="66" t="s">
        <v>111</v>
      </c>
      <c r="F103" s="67">
        <f>13112.16</f>
        <v>13112.16</v>
      </c>
      <c r="G103" s="62"/>
      <c r="H103" s="62">
        <f t="shared" si="57"/>
        <v>39336.479999999996</v>
      </c>
      <c r="I103" s="62">
        <f t="shared" si="58"/>
        <v>983.41199999999992</v>
      </c>
      <c r="J103" s="62"/>
      <c r="K103" s="62">
        <f t="shared" si="59"/>
        <v>6556.08</v>
      </c>
      <c r="L103" s="36">
        <f t="shared" si="60"/>
        <v>45892.56</v>
      </c>
      <c r="M103" s="62">
        <f t="shared" si="61"/>
        <v>13112.16</v>
      </c>
      <c r="N103" s="62">
        <f t="shared" si="65"/>
        <v>100000</v>
      </c>
      <c r="O103" s="62">
        <f t="shared" si="62"/>
        <v>1311.2160000000001</v>
      </c>
      <c r="P103" s="62">
        <v>10000</v>
      </c>
      <c r="Q103" s="62"/>
      <c r="R103" s="36">
        <f t="shared" si="63"/>
        <v>230304.068</v>
      </c>
      <c r="S103" s="36">
        <f>10000</f>
        <v>10000</v>
      </c>
      <c r="T103" s="36"/>
      <c r="U103" s="36"/>
      <c r="V103" s="62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00000000000001" customHeight="1">
      <c r="A104" s="33">
        <v>11</v>
      </c>
      <c r="B104" s="97" t="s">
        <v>107</v>
      </c>
      <c r="C104" s="98"/>
      <c r="D104" s="61" t="s">
        <v>105</v>
      </c>
      <c r="E104" s="66" t="s">
        <v>500</v>
      </c>
      <c r="F104" s="67">
        <f>12732</f>
        <v>12732</v>
      </c>
      <c r="G104" s="62">
        <f>0</f>
        <v>0</v>
      </c>
      <c r="H104" s="62">
        <f t="shared" si="57"/>
        <v>38196</v>
      </c>
      <c r="I104" s="62">
        <f t="shared" si="58"/>
        <v>954.9</v>
      </c>
      <c r="J104" s="62"/>
      <c r="K104" s="62">
        <f t="shared" si="59"/>
        <v>6366</v>
      </c>
      <c r="L104" s="36">
        <f t="shared" si="60"/>
        <v>44562</v>
      </c>
      <c r="M104" s="62">
        <f>F104*100%</f>
        <v>12732</v>
      </c>
      <c r="N104" s="42">
        <f>100000</f>
        <v>100000</v>
      </c>
      <c r="O104" s="62">
        <f>F104*10%</f>
        <v>1273.2</v>
      </c>
      <c r="P104" s="62">
        <v>10000</v>
      </c>
      <c r="R104" s="62">
        <f t="shared" si="63"/>
        <v>226816.1</v>
      </c>
      <c r="S104" s="36">
        <f>20000</f>
        <v>20000</v>
      </c>
      <c r="T104" s="36"/>
      <c r="U104" s="36"/>
      <c r="V104" s="62">
        <f>(1484.37)</f>
        <v>1484.37</v>
      </c>
      <c r="W104" s="107">
        <f>S104+T104+U104+V104</f>
        <v>21484.37</v>
      </c>
      <c r="X104" s="36">
        <v>201844.6795</v>
      </c>
      <c r="Y104" s="36">
        <f>300000</f>
        <v>300000</v>
      </c>
    </row>
    <row r="105" spans="1:25" ht="20.100000000000001" customHeight="1">
      <c r="A105" s="33"/>
      <c r="B105" s="267" t="s">
        <v>34</v>
      </c>
      <c r="C105" s="267"/>
      <c r="D105" s="91" t="s">
        <v>553</v>
      </c>
      <c r="E105" s="66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63">
        <f t="shared" si="66"/>
        <v>1212113.7000000002</v>
      </c>
      <c r="M105" s="39">
        <f t="shared" si="66"/>
        <v>346318.2</v>
      </c>
      <c r="N105" s="95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63">
        <f t="shared" ref="R105:W105" si="67">SUM(R94:R104)</f>
        <v>5028202.6249999991</v>
      </c>
      <c r="S105" s="63">
        <f t="shared" si="67"/>
        <v>833000</v>
      </c>
      <c r="T105" s="63">
        <f t="shared" si="67"/>
        <v>853333.33999999985</v>
      </c>
      <c r="U105" s="63">
        <f t="shared" si="67"/>
        <v>4997.7085000000006</v>
      </c>
      <c r="V105" s="39">
        <f t="shared" si="67"/>
        <v>154847.49000000002</v>
      </c>
      <c r="W105" s="63">
        <f t="shared" si="67"/>
        <v>1846178.5385000003</v>
      </c>
      <c r="X105" s="63">
        <v>2901795.9227500004</v>
      </c>
      <c r="Y105" s="63">
        <f>SUM(Y94:Y104)</f>
        <v>6400000</v>
      </c>
    </row>
    <row r="106" spans="1:25" ht="20.100000000000001" customHeight="1">
      <c r="A106" s="33"/>
      <c r="B106" s="96"/>
      <c r="C106" s="96"/>
      <c r="D106" s="91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39"/>
      <c r="W106" s="63"/>
      <c r="X106" s="63"/>
      <c r="Y106" s="63"/>
    </row>
    <row r="107" spans="1:25" ht="20.100000000000001" customHeight="1">
      <c r="A107" s="33"/>
      <c r="B107" s="267" t="s">
        <v>242</v>
      </c>
      <c r="C107" s="267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62"/>
      <c r="W107" s="36"/>
      <c r="X107" s="36"/>
      <c r="Y107" s="36"/>
    </row>
    <row r="108" spans="1:25" ht="20.100000000000001" customHeight="1">
      <c r="A108" s="33">
        <v>1</v>
      </c>
      <c r="B108" s="264" t="s">
        <v>243</v>
      </c>
      <c r="C108" s="264"/>
      <c r="D108" s="61" t="s">
        <v>502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2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00000000000001" customHeight="1">
      <c r="A109" s="33">
        <v>2</v>
      </c>
      <c r="B109" s="264" t="s">
        <v>245</v>
      </c>
      <c r="C109" s="264"/>
      <c r="D109" s="61" t="s">
        <v>503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f>80244.38</f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f t="shared" ref="N109:N129" si="68">100000</f>
        <v>100000</v>
      </c>
      <c r="O109" s="62">
        <f>F109*10%</f>
        <v>8174.0020000000004</v>
      </c>
      <c r="P109" s="62">
        <v>20000</v>
      </c>
      <c r="Q109" s="62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2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00000000000001" customHeight="1">
      <c r="A110" s="33">
        <v>3</v>
      </c>
      <c r="B110" s="313" t="s">
        <v>247</v>
      </c>
      <c r="C110" s="313"/>
      <c r="D110" s="61" t="s">
        <v>504</v>
      </c>
      <c r="E110" s="66" t="s">
        <v>227</v>
      </c>
      <c r="F110" s="62">
        <f>42653.17</f>
        <v>42653.17</v>
      </c>
      <c r="G110" s="62"/>
      <c r="H110" s="62">
        <f t="shared" ref="H110:H157" si="70">F110*300%</f>
        <v>127959.51</v>
      </c>
      <c r="I110" s="62">
        <f t="shared" ref="I110:I157" si="71">F110*7.5%</f>
        <v>3198.9877499999998</v>
      </c>
      <c r="J110" s="62">
        <v>40122.19</v>
      </c>
      <c r="K110" s="62">
        <f t="shared" ref="K110:K157" si="72">F110*50%</f>
        <v>21326.584999999999</v>
      </c>
      <c r="L110" s="62">
        <f t="shared" ref="L110:L157" si="73">F110*350%</f>
        <v>149286.095</v>
      </c>
      <c r="M110" s="62">
        <f t="shared" ref="M110:M129" si="74">F110*100%</f>
        <v>42653.17</v>
      </c>
      <c r="N110" s="62">
        <f t="shared" si="68"/>
        <v>100000</v>
      </c>
      <c r="O110" s="62">
        <f t="shared" ref="O110:O129" si="75">F110*10%</f>
        <v>4265.317</v>
      </c>
      <c r="P110" s="62">
        <v>20000</v>
      </c>
      <c r="Q110" s="62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2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00000000000001" customHeight="1">
      <c r="A111" s="33">
        <v>4</v>
      </c>
      <c r="B111" s="265" t="s">
        <v>249</v>
      </c>
      <c r="C111" s="266"/>
      <c r="D111" s="20" t="s">
        <v>505</v>
      </c>
      <c r="E111" s="25" t="s">
        <v>54</v>
      </c>
      <c r="F111" s="62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62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00000000000001" customHeight="1">
      <c r="A112" s="33">
        <v>5</v>
      </c>
      <c r="B112" s="271" t="s">
        <v>157</v>
      </c>
      <c r="C112" s="272"/>
      <c r="D112" s="33" t="s">
        <v>518</v>
      </c>
      <c r="E112" s="66" t="s">
        <v>138</v>
      </c>
      <c r="F112" s="62">
        <f>25523.45</f>
        <v>25523.45</v>
      </c>
      <c r="G112" s="62"/>
      <c r="H112" s="62">
        <f t="shared" si="70"/>
        <v>76570.350000000006</v>
      </c>
      <c r="I112" s="62">
        <f t="shared" si="71"/>
        <v>1914.25875</v>
      </c>
      <c r="J112" s="62"/>
      <c r="K112" s="62">
        <f t="shared" si="72"/>
        <v>12761.725</v>
      </c>
      <c r="L112" s="36">
        <f t="shared" si="73"/>
        <v>89332.074999999997</v>
      </c>
      <c r="M112" s="62">
        <f t="shared" si="74"/>
        <v>25523.45</v>
      </c>
      <c r="N112" s="62">
        <f t="shared" si="68"/>
        <v>100000</v>
      </c>
      <c r="O112" s="62">
        <f t="shared" si="75"/>
        <v>2552.3450000000003</v>
      </c>
      <c r="P112" s="62">
        <v>15000</v>
      </c>
      <c r="Q112" s="62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00000000000001" customHeight="1">
      <c r="A113" s="33">
        <v>6</v>
      </c>
      <c r="B113" s="257" t="s">
        <v>259</v>
      </c>
      <c r="C113" s="258"/>
      <c r="D113" s="61" t="s">
        <v>447</v>
      </c>
      <c r="E113" s="66" t="s">
        <v>208</v>
      </c>
      <c r="F113" s="62">
        <f>19276.95</f>
        <v>19276.95</v>
      </c>
      <c r="G113" s="62"/>
      <c r="H113" s="62">
        <f t="shared" si="70"/>
        <v>57830.850000000006</v>
      </c>
      <c r="I113" s="62">
        <f t="shared" si="71"/>
        <v>1445.77125</v>
      </c>
      <c r="J113" s="62">
        <v>0</v>
      </c>
      <c r="K113" s="62">
        <f t="shared" si="72"/>
        <v>9638.4750000000004</v>
      </c>
      <c r="L113" s="36">
        <f t="shared" si="73"/>
        <v>67469.324999999997</v>
      </c>
      <c r="M113" s="62">
        <f t="shared" si="74"/>
        <v>19276.95</v>
      </c>
      <c r="N113" s="62">
        <f t="shared" si="68"/>
        <v>100000</v>
      </c>
      <c r="O113" s="62">
        <f t="shared" si="75"/>
        <v>1927.6950000000002</v>
      </c>
      <c r="P113" s="62">
        <v>10000</v>
      </c>
      <c r="Q113" s="62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2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00000000000001" customHeight="1">
      <c r="A114" s="33">
        <v>7</v>
      </c>
      <c r="B114" s="264" t="s">
        <v>253</v>
      </c>
      <c r="C114" s="264"/>
      <c r="D114" s="61" t="s">
        <v>446</v>
      </c>
      <c r="E114" s="66" t="s">
        <v>138</v>
      </c>
      <c r="F114" s="62">
        <f>25523.45</f>
        <v>25523.45</v>
      </c>
      <c r="G114" s="62"/>
      <c r="H114" s="62">
        <f t="shared" si="70"/>
        <v>76570.350000000006</v>
      </c>
      <c r="I114" s="62">
        <f t="shared" si="71"/>
        <v>1914.25875</v>
      </c>
      <c r="J114" s="62">
        <v>0</v>
      </c>
      <c r="K114" s="62">
        <f t="shared" si="72"/>
        <v>12761.725</v>
      </c>
      <c r="L114" s="36">
        <f t="shared" si="73"/>
        <v>89332.074999999997</v>
      </c>
      <c r="M114" s="62">
        <f t="shared" si="74"/>
        <v>25523.45</v>
      </c>
      <c r="N114" s="62">
        <f t="shared" si="68"/>
        <v>100000</v>
      </c>
      <c r="O114" s="62">
        <f t="shared" si="75"/>
        <v>2552.3450000000003</v>
      </c>
      <c r="P114" s="62">
        <v>15000</v>
      </c>
      <c r="Q114" s="62"/>
      <c r="R114" s="36">
        <f t="shared" si="76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2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00000000000001" customHeight="1">
      <c r="A115" s="33">
        <v>8</v>
      </c>
      <c r="B115" s="264" t="s">
        <v>255</v>
      </c>
      <c r="C115" s="264"/>
      <c r="D115" s="33" t="s">
        <v>258</v>
      </c>
      <c r="E115" s="66" t="s">
        <v>138</v>
      </c>
      <c r="F115" s="62">
        <f>25523.45</f>
        <v>25523.45</v>
      </c>
      <c r="G115" s="62"/>
      <c r="H115" s="62">
        <f t="shared" si="70"/>
        <v>76570.350000000006</v>
      </c>
      <c r="I115" s="62">
        <f t="shared" si="71"/>
        <v>1914.25875</v>
      </c>
      <c r="J115" s="62">
        <v>0</v>
      </c>
      <c r="K115" s="62">
        <f t="shared" si="72"/>
        <v>12761.725</v>
      </c>
      <c r="L115" s="36">
        <f t="shared" si="73"/>
        <v>89332.074999999997</v>
      </c>
      <c r="M115" s="62">
        <f t="shared" si="74"/>
        <v>25523.45</v>
      </c>
      <c r="N115" s="62">
        <f t="shared" si="68"/>
        <v>100000</v>
      </c>
      <c r="O115" s="62">
        <f t="shared" si="75"/>
        <v>2552.3450000000003</v>
      </c>
      <c r="P115" s="62">
        <v>15000</v>
      </c>
      <c r="Q115" s="62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2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00000000000001" customHeight="1">
      <c r="A116" s="33">
        <v>9</v>
      </c>
      <c r="B116" s="264" t="s">
        <v>257</v>
      </c>
      <c r="C116" s="264"/>
      <c r="D116" s="33" t="s">
        <v>258</v>
      </c>
      <c r="E116" s="66" t="s">
        <v>79</v>
      </c>
      <c r="F116" s="62">
        <f>23891.12</f>
        <v>23891.119999999999</v>
      </c>
      <c r="G116" s="62"/>
      <c r="H116" s="62">
        <f t="shared" si="70"/>
        <v>71673.36</v>
      </c>
      <c r="I116" s="62">
        <f t="shared" si="71"/>
        <v>1791.8339999999998</v>
      </c>
      <c r="J116" s="36">
        <v>0</v>
      </c>
      <c r="K116" s="62">
        <f t="shared" si="72"/>
        <v>11945.56</v>
      </c>
      <c r="L116" s="36">
        <f t="shared" si="73"/>
        <v>83618.92</v>
      </c>
      <c r="M116" s="62">
        <f t="shared" si="74"/>
        <v>23891.119999999999</v>
      </c>
      <c r="N116" s="62">
        <f t="shared" si="68"/>
        <v>100000</v>
      </c>
      <c r="O116" s="62">
        <f t="shared" si="75"/>
        <v>2389.1120000000001</v>
      </c>
      <c r="P116" s="62">
        <v>15000</v>
      </c>
      <c r="Q116" s="62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62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00000000000001" customHeight="1">
      <c r="A117" s="33">
        <v>10</v>
      </c>
      <c r="B117" s="264" t="s">
        <v>261</v>
      </c>
      <c r="C117" s="264"/>
      <c r="D117" s="33" t="s">
        <v>447</v>
      </c>
      <c r="E117" s="66" t="s">
        <v>82</v>
      </c>
      <c r="F117" s="36">
        <f>18779.3</f>
        <v>18779.3</v>
      </c>
      <c r="G117" s="62"/>
      <c r="H117" s="62">
        <f>F117*300%</f>
        <v>56337.899999999994</v>
      </c>
      <c r="I117" s="62">
        <f>F117*7.5%</f>
        <v>1408.4475</v>
      </c>
      <c r="J117" s="62">
        <v>0</v>
      </c>
      <c r="K117" s="62">
        <f>F117*50%</f>
        <v>9389.65</v>
      </c>
      <c r="L117" s="36">
        <f>F117*350%</f>
        <v>65727.55</v>
      </c>
      <c r="M117" s="26">
        <f t="shared" si="74"/>
        <v>18779.3</v>
      </c>
      <c r="N117" s="62">
        <f t="shared" si="68"/>
        <v>100000</v>
      </c>
      <c r="O117" s="62">
        <f t="shared" si="75"/>
        <v>1877.93</v>
      </c>
      <c r="P117" s="62">
        <v>10000</v>
      </c>
      <c r="Q117" s="62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62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00000000000001" customHeight="1">
      <c r="A118" s="33">
        <v>11</v>
      </c>
      <c r="B118" s="257" t="s">
        <v>263</v>
      </c>
      <c r="C118" s="258"/>
      <c r="D118" s="33" t="s">
        <v>264</v>
      </c>
      <c r="E118" s="66" t="s">
        <v>103</v>
      </c>
      <c r="F118" s="26">
        <f>18281.64</f>
        <v>18281.64</v>
      </c>
      <c r="G118" s="62"/>
      <c r="H118" s="62">
        <f>F118*300%</f>
        <v>54844.92</v>
      </c>
      <c r="I118" s="62">
        <f>F118*7.5%</f>
        <v>1371.1229999999998</v>
      </c>
      <c r="J118" s="62"/>
      <c r="K118" s="62">
        <f>F118*50%</f>
        <v>9140.82</v>
      </c>
      <c r="L118" s="36">
        <f>F118*350%</f>
        <v>63985.74</v>
      </c>
      <c r="M118" s="26">
        <f t="shared" si="74"/>
        <v>18281.64</v>
      </c>
      <c r="N118" s="62">
        <f t="shared" si="68"/>
        <v>100000</v>
      </c>
      <c r="O118" s="62">
        <f t="shared" si="75"/>
        <v>1828.164</v>
      </c>
      <c r="P118" s="62">
        <v>10000</v>
      </c>
      <c r="Q118" s="62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62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00000000000001" customHeight="1">
      <c r="A119" s="33">
        <v>12</v>
      </c>
      <c r="B119" s="257" t="s">
        <v>265</v>
      </c>
      <c r="C119" s="258"/>
      <c r="D119" s="61" t="s">
        <v>266</v>
      </c>
      <c r="E119" s="66" t="s">
        <v>95</v>
      </c>
      <c r="F119" s="67">
        <f>17784</f>
        <v>17784</v>
      </c>
      <c r="G119" s="62"/>
      <c r="H119" s="62">
        <f t="shared" si="70"/>
        <v>53352</v>
      </c>
      <c r="I119" s="62">
        <f t="shared" si="71"/>
        <v>1333.8</v>
      </c>
      <c r="J119" s="62"/>
      <c r="K119" s="62">
        <f t="shared" si="72"/>
        <v>8892</v>
      </c>
      <c r="L119" s="36">
        <f t="shared" si="73"/>
        <v>62244</v>
      </c>
      <c r="M119" s="62">
        <f t="shared" si="74"/>
        <v>17784</v>
      </c>
      <c r="N119" s="62">
        <f t="shared" si="68"/>
        <v>100000</v>
      </c>
      <c r="O119" s="62">
        <f t="shared" si="75"/>
        <v>1778.4</v>
      </c>
      <c r="P119" s="62">
        <v>10000</v>
      </c>
      <c r="Q119" s="62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2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00000000000001" customHeight="1">
      <c r="A120" s="33">
        <v>13</v>
      </c>
      <c r="B120" s="257" t="s">
        <v>269</v>
      </c>
      <c r="C120" s="258"/>
      <c r="D120" s="61" t="s">
        <v>268</v>
      </c>
      <c r="E120" s="66" t="s">
        <v>106</v>
      </c>
      <c r="F120" s="67">
        <f>13492.21</f>
        <v>13492.21</v>
      </c>
      <c r="G120" s="62"/>
      <c r="H120" s="62">
        <f t="shared" si="70"/>
        <v>40476.629999999997</v>
      </c>
      <c r="I120" s="62">
        <f t="shared" si="71"/>
        <v>1011.9157499999999</v>
      </c>
      <c r="J120" s="62"/>
      <c r="K120" s="62">
        <f t="shared" si="72"/>
        <v>6746.1049999999996</v>
      </c>
      <c r="L120" s="36">
        <f t="shared" si="73"/>
        <v>47222.735000000001</v>
      </c>
      <c r="M120" s="62">
        <f t="shared" si="74"/>
        <v>13492.21</v>
      </c>
      <c r="N120" s="62">
        <f t="shared" si="68"/>
        <v>100000</v>
      </c>
      <c r="O120" s="62">
        <f t="shared" si="75"/>
        <v>1349.221</v>
      </c>
      <c r="P120" s="62">
        <v>10000</v>
      </c>
      <c r="Q120" s="62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62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00000000000001" customHeight="1">
      <c r="A121" s="33">
        <v>14</v>
      </c>
      <c r="B121" s="257" t="s">
        <v>270</v>
      </c>
      <c r="C121" s="258"/>
      <c r="D121" s="61" t="s">
        <v>268</v>
      </c>
      <c r="E121" s="66" t="s">
        <v>106</v>
      </c>
      <c r="F121" s="67">
        <f>13492.21</f>
        <v>13492.21</v>
      </c>
      <c r="G121" s="62"/>
      <c r="H121" s="62">
        <f t="shared" si="70"/>
        <v>40476.629999999997</v>
      </c>
      <c r="I121" s="62">
        <f t="shared" si="71"/>
        <v>1011.9157499999999</v>
      </c>
      <c r="J121" s="62"/>
      <c r="K121" s="62">
        <f t="shared" si="72"/>
        <v>6746.1049999999996</v>
      </c>
      <c r="L121" s="36">
        <f t="shared" si="73"/>
        <v>47222.735000000001</v>
      </c>
      <c r="M121" s="62">
        <f t="shared" si="74"/>
        <v>13492.21</v>
      </c>
      <c r="N121" s="62">
        <f t="shared" si="68"/>
        <v>100000</v>
      </c>
      <c r="O121" s="62">
        <f t="shared" si="75"/>
        <v>1349.221</v>
      </c>
      <c r="P121" s="62">
        <v>10000</v>
      </c>
      <c r="Q121" s="62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2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00000000000001" customHeight="1">
      <c r="A122" s="33">
        <v>15</v>
      </c>
      <c r="B122" s="257" t="s">
        <v>271</v>
      </c>
      <c r="C122" s="258"/>
      <c r="D122" s="61" t="s">
        <v>268</v>
      </c>
      <c r="E122" s="66" t="s">
        <v>106</v>
      </c>
      <c r="F122" s="67">
        <f>13492.21</f>
        <v>13492.21</v>
      </c>
      <c r="G122" s="62"/>
      <c r="H122" s="62">
        <f t="shared" si="70"/>
        <v>40476.629999999997</v>
      </c>
      <c r="I122" s="62">
        <f t="shared" si="71"/>
        <v>1011.9157499999999</v>
      </c>
      <c r="J122" s="62"/>
      <c r="K122" s="62">
        <f t="shared" si="72"/>
        <v>6746.1049999999996</v>
      </c>
      <c r="L122" s="36">
        <f t="shared" si="73"/>
        <v>47222.735000000001</v>
      </c>
      <c r="M122" s="62">
        <f t="shared" si="74"/>
        <v>13492.21</v>
      </c>
      <c r="N122" s="62">
        <f t="shared" si="68"/>
        <v>100000</v>
      </c>
      <c r="O122" s="62">
        <f t="shared" si="75"/>
        <v>1349.221</v>
      </c>
      <c r="P122" s="62">
        <v>10000</v>
      </c>
      <c r="Q122" s="62"/>
      <c r="R122" s="36">
        <f t="shared" si="76"/>
        <v>233791.02674999999</v>
      </c>
      <c r="S122" s="36"/>
      <c r="T122" s="36"/>
      <c r="U122" s="36"/>
      <c r="V122" s="62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00000000000001" customHeight="1">
      <c r="A123" s="33">
        <v>16</v>
      </c>
      <c r="B123" s="257" t="s">
        <v>274</v>
      </c>
      <c r="C123" s="258"/>
      <c r="D123" s="61" t="s">
        <v>268</v>
      </c>
      <c r="E123" s="66" t="s">
        <v>111</v>
      </c>
      <c r="F123" s="67">
        <f>13112.16</f>
        <v>13112.16</v>
      </c>
      <c r="G123" s="62"/>
      <c r="H123" s="62">
        <f t="shared" si="70"/>
        <v>39336.479999999996</v>
      </c>
      <c r="I123" s="62">
        <f t="shared" si="71"/>
        <v>983.41199999999992</v>
      </c>
      <c r="J123" s="62"/>
      <c r="K123" s="62">
        <f t="shared" si="72"/>
        <v>6556.08</v>
      </c>
      <c r="L123" s="36">
        <f t="shared" si="73"/>
        <v>45892.56</v>
      </c>
      <c r="M123" s="62">
        <f t="shared" si="74"/>
        <v>13112.16</v>
      </c>
      <c r="N123" s="62">
        <f t="shared" si="68"/>
        <v>100000</v>
      </c>
      <c r="O123" s="62">
        <f t="shared" si="75"/>
        <v>1311.2160000000001</v>
      </c>
      <c r="P123" s="62">
        <v>10000</v>
      </c>
      <c r="Q123" s="62"/>
      <c r="R123" s="36">
        <f t="shared" si="76"/>
        <v>230304.068</v>
      </c>
      <c r="S123" s="36"/>
      <c r="T123" s="36"/>
      <c r="U123" s="36"/>
      <c r="V123" s="62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00000000000001" customHeight="1">
      <c r="A124" s="33">
        <v>17</v>
      </c>
      <c r="B124" s="257" t="s">
        <v>275</v>
      </c>
      <c r="C124" s="258"/>
      <c r="D124" s="61" t="s">
        <v>276</v>
      </c>
      <c r="E124" s="66" t="s">
        <v>111</v>
      </c>
      <c r="F124" s="67">
        <f>13112.16</f>
        <v>13112.16</v>
      </c>
      <c r="G124" s="62"/>
      <c r="H124" s="62">
        <f t="shared" si="70"/>
        <v>39336.479999999996</v>
      </c>
      <c r="I124" s="62">
        <f t="shared" si="71"/>
        <v>983.41199999999992</v>
      </c>
      <c r="J124" s="62"/>
      <c r="K124" s="62">
        <f t="shared" si="72"/>
        <v>6556.08</v>
      </c>
      <c r="L124" s="36">
        <f t="shared" si="73"/>
        <v>45892.56</v>
      </c>
      <c r="M124" s="62">
        <f t="shared" si="74"/>
        <v>13112.16</v>
      </c>
      <c r="N124" s="62">
        <f t="shared" si="68"/>
        <v>100000</v>
      </c>
      <c r="O124" s="62">
        <f t="shared" si="75"/>
        <v>1311.2160000000001</v>
      </c>
      <c r="P124" s="62">
        <v>10000</v>
      </c>
      <c r="Q124" s="62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62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00000000000001" customHeight="1">
      <c r="A125" s="33">
        <v>18</v>
      </c>
      <c r="B125" s="257" t="s">
        <v>217</v>
      </c>
      <c r="C125" s="258"/>
      <c r="D125" s="61" t="s">
        <v>494</v>
      </c>
      <c r="E125" s="66" t="s">
        <v>111</v>
      </c>
      <c r="F125" s="67">
        <f>13112.16</f>
        <v>13112.16</v>
      </c>
      <c r="G125" s="62"/>
      <c r="H125" s="62">
        <f t="shared" si="70"/>
        <v>39336.479999999996</v>
      </c>
      <c r="I125" s="62">
        <f t="shared" si="71"/>
        <v>983.41199999999992</v>
      </c>
      <c r="J125" s="62"/>
      <c r="K125" s="62">
        <f t="shared" si="72"/>
        <v>6556.08</v>
      </c>
      <c r="L125" s="36">
        <f t="shared" si="73"/>
        <v>45892.56</v>
      </c>
      <c r="M125" s="62">
        <f t="shared" si="74"/>
        <v>13112.16</v>
      </c>
      <c r="N125" s="62">
        <f t="shared" si="68"/>
        <v>100000</v>
      </c>
      <c r="O125" s="62">
        <f t="shared" si="75"/>
        <v>1311.2160000000001</v>
      </c>
      <c r="P125" s="62">
        <v>10000</v>
      </c>
      <c r="Q125" s="62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62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00000000000001" customHeight="1">
      <c r="A126" s="33">
        <v>19</v>
      </c>
      <c r="B126" s="257" t="s">
        <v>278</v>
      </c>
      <c r="C126" s="258"/>
      <c r="D126" s="61" t="s">
        <v>494</v>
      </c>
      <c r="E126" s="66" t="s">
        <v>111</v>
      </c>
      <c r="F126" s="67">
        <f>13112.16</f>
        <v>13112.16</v>
      </c>
      <c r="G126" s="62"/>
      <c r="H126" s="62">
        <f t="shared" si="70"/>
        <v>39336.479999999996</v>
      </c>
      <c r="I126" s="62">
        <f t="shared" si="71"/>
        <v>983.41199999999992</v>
      </c>
      <c r="J126" s="62"/>
      <c r="K126" s="62">
        <f t="shared" si="72"/>
        <v>6556.08</v>
      </c>
      <c r="L126" s="36">
        <f t="shared" si="73"/>
        <v>45892.56</v>
      </c>
      <c r="M126" s="62">
        <f t="shared" si="74"/>
        <v>13112.16</v>
      </c>
      <c r="N126" s="62">
        <f t="shared" si="68"/>
        <v>100000</v>
      </c>
      <c r="O126" s="62">
        <f t="shared" si="75"/>
        <v>1311.2160000000001</v>
      </c>
      <c r="P126" s="62">
        <v>10000</v>
      </c>
      <c r="Q126" s="62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62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00000000000001" customHeight="1">
      <c r="A127" s="33">
        <v>20</v>
      </c>
      <c r="B127" s="257" t="s">
        <v>277</v>
      </c>
      <c r="C127" s="258"/>
      <c r="D127" s="61" t="s">
        <v>268</v>
      </c>
      <c r="E127" s="66" t="s">
        <v>111</v>
      </c>
      <c r="F127" s="67">
        <f>13112.16</f>
        <v>13112.16</v>
      </c>
      <c r="G127" s="62"/>
      <c r="H127" s="62">
        <f t="shared" si="70"/>
        <v>39336.479999999996</v>
      </c>
      <c r="I127" s="62">
        <f t="shared" si="71"/>
        <v>983.41199999999992</v>
      </c>
      <c r="J127" s="62"/>
      <c r="K127" s="62">
        <f t="shared" si="72"/>
        <v>6556.08</v>
      </c>
      <c r="L127" s="36">
        <f t="shared" si="73"/>
        <v>45892.56</v>
      </c>
      <c r="M127" s="62">
        <f t="shared" si="74"/>
        <v>13112.16</v>
      </c>
      <c r="N127" s="62">
        <f t="shared" si="68"/>
        <v>100000</v>
      </c>
      <c r="O127" s="62">
        <f t="shared" si="75"/>
        <v>1311.2160000000001</v>
      </c>
      <c r="P127" s="62">
        <v>10000</v>
      </c>
      <c r="Q127" s="62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62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00000000000001" customHeight="1">
      <c r="A128" s="33">
        <v>21</v>
      </c>
      <c r="B128" s="257" t="s">
        <v>262</v>
      </c>
      <c r="C128" s="258"/>
      <c r="D128" s="61" t="s">
        <v>448</v>
      </c>
      <c r="E128" s="66" t="s">
        <v>208</v>
      </c>
      <c r="F128" s="62">
        <f>19276.95</f>
        <v>19276.95</v>
      </c>
      <c r="G128" s="62"/>
      <c r="H128" s="62">
        <f t="shared" si="70"/>
        <v>57830.850000000006</v>
      </c>
      <c r="I128" s="62">
        <f t="shared" si="71"/>
        <v>1445.77125</v>
      </c>
      <c r="J128" s="36"/>
      <c r="K128" s="62">
        <f t="shared" si="72"/>
        <v>9638.4750000000004</v>
      </c>
      <c r="L128" s="36">
        <f t="shared" si="73"/>
        <v>67469.324999999997</v>
      </c>
      <c r="M128" s="62">
        <f t="shared" si="74"/>
        <v>19276.95</v>
      </c>
      <c r="N128" s="62">
        <f t="shared" si="68"/>
        <v>100000</v>
      </c>
      <c r="O128" s="62">
        <f t="shared" si="75"/>
        <v>1927.6950000000002</v>
      </c>
      <c r="P128" s="62">
        <v>10000</v>
      </c>
      <c r="Q128" s="62"/>
      <c r="R128" s="36">
        <f t="shared" si="76"/>
        <v>286866.01625000004</v>
      </c>
      <c r="S128" s="36">
        <f>20000</f>
        <v>20000</v>
      </c>
      <c r="T128" s="36"/>
      <c r="U128" s="36"/>
      <c r="V128" s="62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00000000000001" customHeight="1">
      <c r="A129" s="33">
        <v>22</v>
      </c>
      <c r="B129" s="257" t="s">
        <v>267</v>
      </c>
      <c r="C129" s="258"/>
      <c r="D129" s="61" t="s">
        <v>268</v>
      </c>
      <c r="E129" s="66" t="s">
        <v>103</v>
      </c>
      <c r="F129" s="26">
        <f>18281.64</f>
        <v>18281.64</v>
      </c>
      <c r="G129" s="62"/>
      <c r="H129" s="62">
        <f t="shared" si="70"/>
        <v>54844.92</v>
      </c>
      <c r="I129" s="62">
        <f t="shared" si="71"/>
        <v>1371.1229999999998</v>
      </c>
      <c r="J129" s="36"/>
      <c r="K129" s="62">
        <f t="shared" si="72"/>
        <v>9140.82</v>
      </c>
      <c r="L129" s="36">
        <f t="shared" si="73"/>
        <v>63985.74</v>
      </c>
      <c r="M129" s="62">
        <f t="shared" si="74"/>
        <v>18281.64</v>
      </c>
      <c r="N129" s="62">
        <f t="shared" si="68"/>
        <v>100000</v>
      </c>
      <c r="O129" s="62">
        <f t="shared" si="75"/>
        <v>1828.164</v>
      </c>
      <c r="P129" s="62">
        <v>10000</v>
      </c>
      <c r="Q129" s="62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2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00000000000001" customHeight="1">
      <c r="A130" s="33">
        <v>23</v>
      </c>
      <c r="B130" s="97" t="s">
        <v>280</v>
      </c>
      <c r="C130" s="98"/>
      <c r="D130" s="61" t="s">
        <v>281</v>
      </c>
      <c r="E130" s="66" t="s">
        <v>500</v>
      </c>
      <c r="F130" s="67">
        <f>17784</f>
        <v>17784</v>
      </c>
      <c r="G130" s="62">
        <f>0</f>
        <v>0</v>
      </c>
      <c r="H130" s="62">
        <f t="shared" si="70"/>
        <v>53352</v>
      </c>
      <c r="I130" s="62">
        <f t="shared" si="71"/>
        <v>1333.8</v>
      </c>
      <c r="J130" s="62"/>
      <c r="K130" s="62">
        <f t="shared" si="72"/>
        <v>8892</v>
      </c>
      <c r="L130" s="36">
        <f t="shared" si="73"/>
        <v>62244</v>
      </c>
      <c r="M130" s="62">
        <f>F130*100%</f>
        <v>17784</v>
      </c>
      <c r="N130" s="42">
        <f>100000</f>
        <v>100000</v>
      </c>
      <c r="O130" s="62">
        <f>F130*10%</f>
        <v>1778.4</v>
      </c>
      <c r="P130" s="62">
        <v>10000</v>
      </c>
      <c r="R130" s="62">
        <f t="shared" si="76"/>
        <v>273168.2</v>
      </c>
      <c r="S130" s="36">
        <f>30000</f>
        <v>30000</v>
      </c>
      <c r="T130" s="36"/>
      <c r="U130" s="36"/>
      <c r="V130" s="62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00000000000001" customHeight="1">
      <c r="A131" s="33">
        <v>24</v>
      </c>
      <c r="B131" s="264" t="s">
        <v>286</v>
      </c>
      <c r="C131" s="264"/>
      <c r="D131" s="61" t="s">
        <v>287</v>
      </c>
      <c r="E131" s="111" t="s">
        <v>566</v>
      </c>
      <c r="F131" s="112">
        <f>5769.6</f>
        <v>5769.6</v>
      </c>
      <c r="G131" s="33"/>
      <c r="H131" s="62">
        <f t="shared" si="70"/>
        <v>17308.800000000003</v>
      </c>
      <c r="I131" s="62">
        <f t="shared" si="71"/>
        <v>432.72</v>
      </c>
      <c r="J131" s="67">
        <v>0</v>
      </c>
      <c r="K131" s="62">
        <f t="shared" si="72"/>
        <v>2884.8</v>
      </c>
      <c r="L131" s="36">
        <f t="shared" si="73"/>
        <v>20193.600000000002</v>
      </c>
      <c r="M131" s="62">
        <f t="shared" ref="M131:M140" si="78">F131*100%</f>
        <v>5769.6</v>
      </c>
      <c r="N131" s="36">
        <f>25000+4000</f>
        <v>29000</v>
      </c>
      <c r="O131" s="62">
        <f t="shared" ref="O131:O157" si="79">F131*10%</f>
        <v>576.96</v>
      </c>
      <c r="P131" s="67">
        <v>5000</v>
      </c>
      <c r="Q131" s="62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00000000000001" customHeight="1">
      <c r="A132" s="33">
        <v>25</v>
      </c>
      <c r="B132" s="264" t="s">
        <v>289</v>
      </c>
      <c r="C132" s="264"/>
      <c r="D132" s="61" t="s">
        <v>287</v>
      </c>
      <c r="E132" s="111" t="s">
        <v>566</v>
      </c>
      <c r="F132" s="112">
        <f t="shared" ref="F132:F137" si="82">5769.6</f>
        <v>5769.6</v>
      </c>
      <c r="G132" s="33"/>
      <c r="H132" s="62">
        <f t="shared" si="70"/>
        <v>17308.800000000003</v>
      </c>
      <c r="I132" s="62">
        <f t="shared" si="71"/>
        <v>432.72</v>
      </c>
      <c r="J132" s="67">
        <v>0</v>
      </c>
      <c r="K132" s="62">
        <f t="shared" si="72"/>
        <v>2884.8</v>
      </c>
      <c r="L132" s="36">
        <f t="shared" si="73"/>
        <v>20193.600000000002</v>
      </c>
      <c r="M132" s="62">
        <f t="shared" si="78"/>
        <v>5769.6</v>
      </c>
      <c r="N132" s="36">
        <f>25000+7000</f>
        <v>32000</v>
      </c>
      <c r="O132" s="62">
        <f t="shared" si="79"/>
        <v>576.96</v>
      </c>
      <c r="P132" s="67">
        <v>5000</v>
      </c>
      <c r="Q132" s="62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00000000000001" customHeight="1">
      <c r="A133" s="33">
        <v>26</v>
      </c>
      <c r="B133" s="264" t="s">
        <v>290</v>
      </c>
      <c r="C133" s="264"/>
      <c r="D133" s="61" t="s">
        <v>287</v>
      </c>
      <c r="E133" s="111" t="s">
        <v>566</v>
      </c>
      <c r="F133" s="112">
        <f t="shared" si="82"/>
        <v>5769.6</v>
      </c>
      <c r="G133" s="33"/>
      <c r="H133" s="62">
        <f t="shared" si="70"/>
        <v>17308.800000000003</v>
      </c>
      <c r="I133" s="62">
        <f t="shared" si="71"/>
        <v>432.72</v>
      </c>
      <c r="J133" s="62">
        <v>0</v>
      </c>
      <c r="K133" s="62">
        <f t="shared" si="72"/>
        <v>2884.8</v>
      </c>
      <c r="L133" s="36">
        <f t="shared" si="73"/>
        <v>20193.600000000002</v>
      </c>
      <c r="M133" s="62">
        <f t="shared" si="78"/>
        <v>5769.6</v>
      </c>
      <c r="N133" s="36">
        <f>25000+4000</f>
        <v>29000</v>
      </c>
      <c r="O133" s="62">
        <f t="shared" si="79"/>
        <v>576.96</v>
      </c>
      <c r="P133" s="62">
        <v>5000</v>
      </c>
      <c r="Q133" s="62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00000000000001" customHeight="1">
      <c r="A134" s="33">
        <v>27</v>
      </c>
      <c r="B134" s="264" t="s">
        <v>291</v>
      </c>
      <c r="C134" s="264"/>
      <c r="D134" s="61" t="s">
        <v>287</v>
      </c>
      <c r="E134" s="111" t="s">
        <v>566</v>
      </c>
      <c r="F134" s="112">
        <f t="shared" si="82"/>
        <v>5769.6</v>
      </c>
      <c r="G134" s="33"/>
      <c r="H134" s="62">
        <f t="shared" si="70"/>
        <v>17308.800000000003</v>
      </c>
      <c r="I134" s="62">
        <f t="shared" si="71"/>
        <v>432.72</v>
      </c>
      <c r="J134" s="62">
        <v>0</v>
      </c>
      <c r="K134" s="62">
        <f t="shared" si="72"/>
        <v>2884.8</v>
      </c>
      <c r="L134" s="36">
        <f t="shared" si="73"/>
        <v>20193.600000000002</v>
      </c>
      <c r="M134" s="62">
        <f t="shared" si="78"/>
        <v>5769.6</v>
      </c>
      <c r="N134" s="36">
        <f>25000+4000</f>
        <v>29000</v>
      </c>
      <c r="O134" s="62">
        <f t="shared" si="79"/>
        <v>576.96</v>
      </c>
      <c r="P134" s="62">
        <v>5000</v>
      </c>
      <c r="Q134" s="62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00000000000001" customHeight="1">
      <c r="A135" s="33">
        <v>28</v>
      </c>
      <c r="B135" s="264" t="s">
        <v>292</v>
      </c>
      <c r="C135" s="264"/>
      <c r="D135" s="61" t="s">
        <v>287</v>
      </c>
      <c r="E135" s="111" t="s">
        <v>566</v>
      </c>
      <c r="F135" s="112">
        <f t="shared" si="82"/>
        <v>5769.6</v>
      </c>
      <c r="G135" s="33"/>
      <c r="H135" s="62">
        <f t="shared" si="70"/>
        <v>17308.800000000003</v>
      </c>
      <c r="I135" s="62">
        <f t="shared" si="71"/>
        <v>432.72</v>
      </c>
      <c r="J135" s="62">
        <v>0</v>
      </c>
      <c r="K135" s="62">
        <f t="shared" si="72"/>
        <v>2884.8</v>
      </c>
      <c r="L135" s="36">
        <f t="shared" si="73"/>
        <v>20193.600000000002</v>
      </c>
      <c r="M135" s="62">
        <f t="shared" si="78"/>
        <v>5769.6</v>
      </c>
      <c r="N135" s="36">
        <f>25000+4000</f>
        <v>29000</v>
      </c>
      <c r="O135" s="62">
        <f t="shared" si="79"/>
        <v>576.96</v>
      </c>
      <c r="P135" s="62">
        <v>5000</v>
      </c>
      <c r="Q135" s="62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00000000000001" customHeight="1">
      <c r="A136" s="33">
        <v>29</v>
      </c>
      <c r="B136" s="264" t="s">
        <v>293</v>
      </c>
      <c r="C136" s="264"/>
      <c r="D136" s="61" t="s">
        <v>287</v>
      </c>
      <c r="E136" s="111" t="s">
        <v>566</v>
      </c>
      <c r="F136" s="112">
        <f t="shared" si="82"/>
        <v>5769.6</v>
      </c>
      <c r="G136" s="27">
        <f>0</f>
        <v>0</v>
      </c>
      <c r="H136" s="62">
        <f t="shared" si="70"/>
        <v>17308.800000000003</v>
      </c>
      <c r="I136" s="62">
        <f t="shared" si="71"/>
        <v>432.72</v>
      </c>
      <c r="J136" s="62">
        <v>0</v>
      </c>
      <c r="K136" s="62">
        <f t="shared" si="72"/>
        <v>2884.8</v>
      </c>
      <c r="L136" s="36">
        <f t="shared" si="73"/>
        <v>20193.600000000002</v>
      </c>
      <c r="M136" s="62">
        <f t="shared" si="78"/>
        <v>5769.6</v>
      </c>
      <c r="N136" s="36">
        <f>25000+3000</f>
        <v>28000</v>
      </c>
      <c r="O136" s="62">
        <f t="shared" si="79"/>
        <v>576.96</v>
      </c>
      <c r="P136" s="62">
        <v>5000</v>
      </c>
      <c r="Q136" s="62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00000000000001" customHeight="1">
      <c r="A137" s="33">
        <v>30</v>
      </c>
      <c r="B137" s="264" t="s">
        <v>294</v>
      </c>
      <c r="C137" s="264"/>
      <c r="D137" s="61" t="s">
        <v>287</v>
      </c>
      <c r="E137" s="111" t="s">
        <v>566</v>
      </c>
      <c r="F137" s="112">
        <f t="shared" si="82"/>
        <v>5769.6</v>
      </c>
      <c r="G137" s="33"/>
      <c r="H137" s="62">
        <f t="shared" si="70"/>
        <v>17308.800000000003</v>
      </c>
      <c r="I137" s="62">
        <f t="shared" si="71"/>
        <v>432.72</v>
      </c>
      <c r="J137" s="62">
        <v>0</v>
      </c>
      <c r="K137" s="62">
        <f t="shared" si="72"/>
        <v>2884.8</v>
      </c>
      <c r="L137" s="36">
        <f t="shared" si="73"/>
        <v>20193.600000000002</v>
      </c>
      <c r="M137" s="62">
        <f t="shared" si="78"/>
        <v>5769.6</v>
      </c>
      <c r="N137" s="36">
        <f>25000+7000</f>
        <v>32000</v>
      </c>
      <c r="O137" s="62">
        <f t="shared" si="79"/>
        <v>576.96</v>
      </c>
      <c r="P137" s="62">
        <v>5000</v>
      </c>
      <c r="Q137" s="62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00000000000001" customHeight="1">
      <c r="A138" s="33">
        <v>31</v>
      </c>
      <c r="B138" s="264" t="s">
        <v>295</v>
      </c>
      <c r="C138" s="264"/>
      <c r="D138" s="61" t="s">
        <v>296</v>
      </c>
      <c r="E138" s="66" t="s">
        <v>507</v>
      </c>
      <c r="F138" s="62">
        <f t="shared" ref="F138:F144" si="83">5598.92</f>
        <v>5598.92</v>
      </c>
      <c r="G138" s="33"/>
      <c r="H138" s="62">
        <f t="shared" si="70"/>
        <v>16796.760000000002</v>
      </c>
      <c r="I138" s="62">
        <f t="shared" si="71"/>
        <v>419.91899999999998</v>
      </c>
      <c r="J138" s="62">
        <v>0</v>
      </c>
      <c r="K138" s="62">
        <f t="shared" si="72"/>
        <v>2799.46</v>
      </c>
      <c r="L138" s="36">
        <f t="shared" si="73"/>
        <v>19596.22</v>
      </c>
      <c r="M138" s="62">
        <f t="shared" si="78"/>
        <v>5598.92</v>
      </c>
      <c r="N138" s="36">
        <f t="shared" ref="N138:N156" si="84">25000+7000</f>
        <v>32000</v>
      </c>
      <c r="O138" s="62">
        <f t="shared" si="79"/>
        <v>559.89200000000005</v>
      </c>
      <c r="P138" s="62">
        <v>5000</v>
      </c>
      <c r="Q138" s="62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00000000000001" customHeight="1">
      <c r="A139" s="33">
        <v>32</v>
      </c>
      <c r="B139" s="264" t="s">
        <v>298</v>
      </c>
      <c r="C139" s="264"/>
      <c r="D139" s="61" t="s">
        <v>296</v>
      </c>
      <c r="E139" s="66" t="s">
        <v>507</v>
      </c>
      <c r="F139" s="62">
        <f t="shared" si="83"/>
        <v>5598.92</v>
      </c>
      <c r="G139" s="33"/>
      <c r="H139" s="62">
        <f t="shared" si="70"/>
        <v>16796.760000000002</v>
      </c>
      <c r="I139" s="62">
        <f t="shared" si="71"/>
        <v>419.91899999999998</v>
      </c>
      <c r="J139" s="62">
        <v>0</v>
      </c>
      <c r="K139" s="62">
        <f t="shared" si="72"/>
        <v>2799.46</v>
      </c>
      <c r="L139" s="36">
        <f t="shared" si="73"/>
        <v>19596.22</v>
      </c>
      <c r="M139" s="62">
        <f t="shared" si="78"/>
        <v>5598.92</v>
      </c>
      <c r="N139" s="36">
        <f>25000+4000</f>
        <v>29000</v>
      </c>
      <c r="O139" s="62">
        <f t="shared" si="79"/>
        <v>559.89200000000005</v>
      </c>
      <c r="P139" s="62">
        <v>5000</v>
      </c>
      <c r="Q139" s="62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00000000000001" customHeight="1">
      <c r="A140" s="33">
        <v>33</v>
      </c>
      <c r="B140" s="264" t="s">
        <v>299</v>
      </c>
      <c r="C140" s="264"/>
      <c r="D140" s="61" t="s">
        <v>296</v>
      </c>
      <c r="E140" s="66" t="s">
        <v>507</v>
      </c>
      <c r="F140" s="62">
        <f t="shared" si="83"/>
        <v>5598.92</v>
      </c>
      <c r="G140" s="33"/>
      <c r="H140" s="62">
        <f t="shared" si="70"/>
        <v>16796.760000000002</v>
      </c>
      <c r="I140" s="62">
        <f t="shared" si="71"/>
        <v>419.91899999999998</v>
      </c>
      <c r="J140" s="62">
        <v>0</v>
      </c>
      <c r="K140" s="62">
        <f t="shared" si="72"/>
        <v>2799.46</v>
      </c>
      <c r="L140" s="36">
        <f t="shared" si="73"/>
        <v>19596.22</v>
      </c>
      <c r="M140" s="62">
        <f t="shared" si="78"/>
        <v>5598.92</v>
      </c>
      <c r="N140" s="36">
        <f>25000+4000</f>
        <v>29000</v>
      </c>
      <c r="O140" s="62">
        <f t="shared" si="79"/>
        <v>559.89200000000005</v>
      </c>
      <c r="P140" s="62">
        <v>5000</v>
      </c>
      <c r="Q140" s="62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00000000000001" customHeight="1">
      <c r="A141" s="33">
        <v>34</v>
      </c>
      <c r="B141" s="33" t="s">
        <v>300</v>
      </c>
      <c r="C141" s="33"/>
      <c r="D141" s="61" t="s">
        <v>296</v>
      </c>
      <c r="E141" s="66" t="s">
        <v>507</v>
      </c>
      <c r="F141" s="62">
        <f t="shared" si="83"/>
        <v>5598.92</v>
      </c>
      <c r="G141" s="33"/>
      <c r="H141" s="62">
        <f t="shared" si="70"/>
        <v>16796.760000000002</v>
      </c>
      <c r="I141" s="62">
        <f t="shared" si="71"/>
        <v>419.91899999999998</v>
      </c>
      <c r="J141" s="62">
        <v>0</v>
      </c>
      <c r="K141" s="62">
        <f t="shared" si="72"/>
        <v>2799.46</v>
      </c>
      <c r="L141" s="36">
        <f t="shared" si="73"/>
        <v>19596.22</v>
      </c>
      <c r="M141" s="62">
        <f>F140*100%</f>
        <v>5598.92</v>
      </c>
      <c r="N141" s="36">
        <f t="shared" si="84"/>
        <v>32000</v>
      </c>
      <c r="O141" s="62">
        <f t="shared" si="79"/>
        <v>559.89200000000005</v>
      </c>
      <c r="P141" s="62">
        <v>5000</v>
      </c>
      <c r="Q141" s="62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00000000000001" customHeight="1">
      <c r="A142" s="33">
        <v>35</v>
      </c>
      <c r="B142" s="257" t="s">
        <v>301</v>
      </c>
      <c r="C142" s="258"/>
      <c r="D142" s="61" t="s">
        <v>296</v>
      </c>
      <c r="E142" s="66" t="s">
        <v>507</v>
      </c>
      <c r="F142" s="62">
        <f t="shared" si="83"/>
        <v>5598.92</v>
      </c>
      <c r="G142" s="33"/>
      <c r="H142" s="62">
        <f t="shared" si="70"/>
        <v>16796.760000000002</v>
      </c>
      <c r="I142" s="62">
        <f t="shared" si="71"/>
        <v>419.91899999999998</v>
      </c>
      <c r="J142" s="62"/>
      <c r="K142" s="62">
        <f t="shared" si="72"/>
        <v>2799.46</v>
      </c>
      <c r="L142" s="36">
        <f t="shared" si="73"/>
        <v>19596.22</v>
      </c>
      <c r="M142" s="62">
        <f t="shared" ref="M142:M157" si="86">F142*100%</f>
        <v>5598.92</v>
      </c>
      <c r="N142" s="36">
        <f>25000+4000</f>
        <v>29000</v>
      </c>
      <c r="O142" s="62">
        <f t="shared" si="79"/>
        <v>559.89200000000005</v>
      </c>
      <c r="P142" s="62">
        <v>5000</v>
      </c>
      <c r="Q142" s="62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00000000000001" customHeight="1">
      <c r="A143" s="33">
        <v>36</v>
      </c>
      <c r="B143" s="61" t="s">
        <v>302</v>
      </c>
      <c r="C143" s="33"/>
      <c r="D143" s="61" t="s">
        <v>296</v>
      </c>
      <c r="E143" s="66" t="s">
        <v>507</v>
      </c>
      <c r="F143" s="62">
        <f t="shared" si="83"/>
        <v>5598.92</v>
      </c>
      <c r="G143" s="33"/>
      <c r="H143" s="62">
        <f t="shared" si="70"/>
        <v>16796.760000000002</v>
      </c>
      <c r="I143" s="62">
        <f t="shared" si="71"/>
        <v>419.91899999999998</v>
      </c>
      <c r="J143" s="62"/>
      <c r="K143" s="62">
        <f t="shared" si="72"/>
        <v>2799.46</v>
      </c>
      <c r="L143" s="36">
        <f t="shared" si="73"/>
        <v>19596.22</v>
      </c>
      <c r="M143" s="62">
        <f t="shared" si="86"/>
        <v>5598.92</v>
      </c>
      <c r="N143" s="36">
        <f>25000+4000</f>
        <v>29000</v>
      </c>
      <c r="O143" s="62">
        <f t="shared" si="79"/>
        <v>559.89200000000005</v>
      </c>
      <c r="P143" s="62">
        <v>5000</v>
      </c>
      <c r="Q143" s="62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00000000000001" customHeight="1">
      <c r="A144" s="33">
        <v>37</v>
      </c>
      <c r="B144" s="61" t="s">
        <v>303</v>
      </c>
      <c r="C144" s="33"/>
      <c r="D144" s="61" t="s">
        <v>296</v>
      </c>
      <c r="E144" s="66" t="s">
        <v>507</v>
      </c>
      <c r="F144" s="62">
        <f t="shared" si="83"/>
        <v>5598.92</v>
      </c>
      <c r="G144" s="33"/>
      <c r="H144" s="62">
        <f t="shared" si="70"/>
        <v>16796.760000000002</v>
      </c>
      <c r="I144" s="62">
        <f t="shared" si="71"/>
        <v>419.91899999999998</v>
      </c>
      <c r="J144" s="62"/>
      <c r="K144" s="62">
        <f t="shared" si="72"/>
        <v>2799.46</v>
      </c>
      <c r="L144" s="36">
        <f t="shared" si="73"/>
        <v>19596.22</v>
      </c>
      <c r="M144" s="62">
        <f t="shared" si="86"/>
        <v>5598.92</v>
      </c>
      <c r="N144" s="36">
        <f t="shared" si="84"/>
        <v>32000</v>
      </c>
      <c r="O144" s="62">
        <f t="shared" si="79"/>
        <v>559.89200000000005</v>
      </c>
      <c r="P144" s="62">
        <v>5000</v>
      </c>
      <c r="Q144" s="62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00000000000001" customHeight="1">
      <c r="A145" s="33">
        <v>38</v>
      </c>
      <c r="B145" s="257" t="s">
        <v>304</v>
      </c>
      <c r="C145" s="258"/>
      <c r="D145" s="61" t="s">
        <v>296</v>
      </c>
      <c r="E145" s="66" t="s">
        <v>310</v>
      </c>
      <c r="F145" s="62">
        <f>5086.76</f>
        <v>5086.76</v>
      </c>
      <c r="G145" s="33"/>
      <c r="H145" s="62">
        <f t="shared" si="70"/>
        <v>15260.28</v>
      </c>
      <c r="I145" s="62">
        <f t="shared" si="71"/>
        <v>381.50700000000001</v>
      </c>
      <c r="J145" s="62"/>
      <c r="K145" s="62">
        <f t="shared" si="72"/>
        <v>2543.38</v>
      </c>
      <c r="L145" s="36">
        <f t="shared" si="73"/>
        <v>17803.66</v>
      </c>
      <c r="M145" s="62">
        <f t="shared" si="86"/>
        <v>5086.76</v>
      </c>
      <c r="N145" s="36">
        <f t="shared" si="84"/>
        <v>32000</v>
      </c>
      <c r="O145" s="62">
        <f t="shared" si="79"/>
        <v>508.67600000000004</v>
      </c>
      <c r="P145" s="62">
        <v>5000</v>
      </c>
      <c r="Q145" s="62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00000000000001" customHeight="1">
      <c r="A146" s="33">
        <v>39</v>
      </c>
      <c r="B146" s="257" t="s">
        <v>306</v>
      </c>
      <c r="C146" s="258"/>
      <c r="D146" s="61" t="s">
        <v>296</v>
      </c>
      <c r="E146" s="66" t="s">
        <v>310</v>
      </c>
      <c r="F146" s="62">
        <f>5086.76</f>
        <v>5086.76</v>
      </c>
      <c r="G146" s="33"/>
      <c r="H146" s="62">
        <f t="shared" si="70"/>
        <v>15260.28</v>
      </c>
      <c r="I146" s="62">
        <f t="shared" si="71"/>
        <v>381.50700000000001</v>
      </c>
      <c r="J146" s="62"/>
      <c r="K146" s="62">
        <f t="shared" si="72"/>
        <v>2543.38</v>
      </c>
      <c r="L146" s="36">
        <f t="shared" si="73"/>
        <v>17803.66</v>
      </c>
      <c r="M146" s="62">
        <f t="shared" si="86"/>
        <v>5086.76</v>
      </c>
      <c r="N146" s="36">
        <f t="shared" si="84"/>
        <v>32000</v>
      </c>
      <c r="O146" s="62">
        <f t="shared" si="79"/>
        <v>508.67600000000004</v>
      </c>
      <c r="P146" s="62">
        <v>5000</v>
      </c>
      <c r="Q146" s="62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00000000000001" customHeight="1">
      <c r="A147" s="33">
        <v>40</v>
      </c>
      <c r="B147" s="61" t="s">
        <v>307</v>
      </c>
      <c r="C147" s="33"/>
      <c r="D147" s="61" t="s">
        <v>296</v>
      </c>
      <c r="E147" s="66" t="s">
        <v>305</v>
      </c>
      <c r="F147" s="62">
        <f>5257.44</f>
        <v>5257.44</v>
      </c>
      <c r="G147" s="33"/>
      <c r="H147" s="62">
        <f t="shared" si="70"/>
        <v>15772.32</v>
      </c>
      <c r="I147" s="62">
        <f t="shared" si="71"/>
        <v>394.30799999999994</v>
      </c>
      <c r="J147" s="62"/>
      <c r="K147" s="62">
        <f t="shared" si="72"/>
        <v>2628.72</v>
      </c>
      <c r="L147" s="36">
        <f t="shared" si="73"/>
        <v>18401.039999999997</v>
      </c>
      <c r="M147" s="62">
        <f t="shared" si="86"/>
        <v>5257.44</v>
      </c>
      <c r="N147" s="36">
        <f t="shared" si="84"/>
        <v>32000</v>
      </c>
      <c r="O147" s="62">
        <f t="shared" si="79"/>
        <v>525.74400000000003</v>
      </c>
      <c r="P147" s="62">
        <v>5000</v>
      </c>
      <c r="Q147" s="62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00000000000001" customHeight="1">
      <c r="A148" s="33">
        <v>41</v>
      </c>
      <c r="B148" s="257" t="s">
        <v>309</v>
      </c>
      <c r="C148" s="258"/>
      <c r="D148" s="61" t="s">
        <v>296</v>
      </c>
      <c r="E148" s="66" t="s">
        <v>323</v>
      </c>
      <c r="F148" s="62">
        <f>4915.97</f>
        <v>4915.97</v>
      </c>
      <c r="G148" s="33"/>
      <c r="H148" s="62">
        <f t="shared" si="70"/>
        <v>14747.91</v>
      </c>
      <c r="I148" s="62">
        <f t="shared" si="71"/>
        <v>368.69774999999998</v>
      </c>
      <c r="J148" s="62"/>
      <c r="K148" s="62">
        <f t="shared" si="72"/>
        <v>2457.9850000000001</v>
      </c>
      <c r="L148" s="36">
        <f t="shared" si="73"/>
        <v>17205.895</v>
      </c>
      <c r="M148" s="62">
        <f t="shared" si="86"/>
        <v>4915.97</v>
      </c>
      <c r="N148" s="36">
        <f t="shared" si="84"/>
        <v>32000</v>
      </c>
      <c r="O148" s="62">
        <f t="shared" si="79"/>
        <v>491.59700000000004</v>
      </c>
      <c r="P148" s="62">
        <v>5000</v>
      </c>
      <c r="Q148" s="62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00000000000001" customHeight="1">
      <c r="A149" s="33">
        <v>42</v>
      </c>
      <c r="B149" s="257" t="s">
        <v>311</v>
      </c>
      <c r="C149" s="258"/>
      <c r="D149" s="61" t="s">
        <v>312</v>
      </c>
      <c r="E149" s="66" t="s">
        <v>319</v>
      </c>
      <c r="F149" s="62">
        <f t="shared" ref="F149:F154" si="87">4836.3</f>
        <v>4836.3</v>
      </c>
      <c r="G149" s="33"/>
      <c r="H149" s="62">
        <f t="shared" si="70"/>
        <v>14508.900000000001</v>
      </c>
      <c r="I149" s="62">
        <f t="shared" si="71"/>
        <v>362.72250000000003</v>
      </c>
      <c r="J149" s="62"/>
      <c r="K149" s="62">
        <f t="shared" si="72"/>
        <v>2418.15</v>
      </c>
      <c r="L149" s="36">
        <f t="shared" si="73"/>
        <v>16927.05</v>
      </c>
      <c r="M149" s="62">
        <f t="shared" si="86"/>
        <v>4836.3</v>
      </c>
      <c r="N149" s="36">
        <f>25000+4000</f>
        <v>29000</v>
      </c>
      <c r="O149" s="62">
        <f t="shared" si="79"/>
        <v>483.63000000000005</v>
      </c>
      <c r="P149" s="62">
        <v>5000</v>
      </c>
      <c r="Q149" s="62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00000000000001" customHeight="1">
      <c r="A150" s="33">
        <v>43</v>
      </c>
      <c r="B150" s="257" t="s">
        <v>314</v>
      </c>
      <c r="C150" s="258"/>
      <c r="D150" s="61" t="s">
        <v>312</v>
      </c>
      <c r="E150" s="66" t="s">
        <v>319</v>
      </c>
      <c r="F150" s="62">
        <f t="shared" si="87"/>
        <v>4836.3</v>
      </c>
      <c r="G150" s="33"/>
      <c r="H150" s="62">
        <f t="shared" si="70"/>
        <v>14508.900000000001</v>
      </c>
      <c r="I150" s="62">
        <f t="shared" si="71"/>
        <v>362.72250000000003</v>
      </c>
      <c r="J150" s="62"/>
      <c r="K150" s="62">
        <f t="shared" si="72"/>
        <v>2418.15</v>
      </c>
      <c r="L150" s="36">
        <f t="shared" si="73"/>
        <v>16927.05</v>
      </c>
      <c r="M150" s="62">
        <f t="shared" si="86"/>
        <v>4836.3</v>
      </c>
      <c r="N150" s="36">
        <f>25000+4000</f>
        <v>29000</v>
      </c>
      <c r="O150" s="62">
        <f t="shared" si="79"/>
        <v>483.63000000000005</v>
      </c>
      <c r="P150" s="62">
        <v>5000</v>
      </c>
      <c r="Q150" s="62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00000000000001" customHeight="1">
      <c r="A151" s="33">
        <v>44</v>
      </c>
      <c r="B151" s="257" t="s">
        <v>315</v>
      </c>
      <c r="C151" s="258"/>
      <c r="D151" s="61" t="s">
        <v>312</v>
      </c>
      <c r="E151" s="66" t="s">
        <v>319</v>
      </c>
      <c r="F151" s="62">
        <f t="shared" si="87"/>
        <v>4836.3</v>
      </c>
      <c r="G151" s="27">
        <f>0</f>
        <v>0</v>
      </c>
      <c r="H151" s="62">
        <f t="shared" si="70"/>
        <v>14508.900000000001</v>
      </c>
      <c r="I151" s="62">
        <f t="shared" si="71"/>
        <v>362.72250000000003</v>
      </c>
      <c r="J151" s="62"/>
      <c r="K151" s="62">
        <f t="shared" si="72"/>
        <v>2418.15</v>
      </c>
      <c r="L151" s="36">
        <f t="shared" si="73"/>
        <v>16927.05</v>
      </c>
      <c r="M151" s="62">
        <f t="shared" si="86"/>
        <v>4836.3</v>
      </c>
      <c r="N151" s="36">
        <f t="shared" si="84"/>
        <v>32000</v>
      </c>
      <c r="O151" s="62">
        <f t="shared" si="79"/>
        <v>483.63000000000005</v>
      </c>
      <c r="P151" s="62">
        <v>5000</v>
      </c>
      <c r="Q151" s="62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00000000000001" customHeight="1">
      <c r="A152" s="33">
        <v>45</v>
      </c>
      <c r="B152" s="257" t="s">
        <v>316</v>
      </c>
      <c r="C152" s="258"/>
      <c r="D152" s="61" t="s">
        <v>312</v>
      </c>
      <c r="E152" s="66" t="s">
        <v>319</v>
      </c>
      <c r="F152" s="62">
        <f t="shared" si="87"/>
        <v>4836.3</v>
      </c>
      <c r="G152" s="33"/>
      <c r="H152" s="62">
        <f t="shared" si="70"/>
        <v>14508.900000000001</v>
      </c>
      <c r="I152" s="62">
        <f t="shared" si="71"/>
        <v>362.72250000000003</v>
      </c>
      <c r="J152" s="62"/>
      <c r="K152" s="62">
        <f t="shared" si="72"/>
        <v>2418.15</v>
      </c>
      <c r="L152" s="36">
        <f t="shared" si="73"/>
        <v>16927.05</v>
      </c>
      <c r="M152" s="62">
        <f t="shared" si="86"/>
        <v>4836.3</v>
      </c>
      <c r="N152" s="36">
        <f t="shared" si="84"/>
        <v>32000</v>
      </c>
      <c r="O152" s="62">
        <f t="shared" si="79"/>
        <v>483.63000000000005</v>
      </c>
      <c r="P152" s="62">
        <v>5000</v>
      </c>
      <c r="Q152" s="62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00000000000001" customHeight="1">
      <c r="A153" s="33">
        <v>46</v>
      </c>
      <c r="B153" s="257" t="s">
        <v>508</v>
      </c>
      <c r="C153" s="258"/>
      <c r="D153" s="61" t="s">
        <v>312</v>
      </c>
      <c r="E153" s="66" t="s">
        <v>319</v>
      </c>
      <c r="F153" s="62">
        <f t="shared" si="87"/>
        <v>4836.3</v>
      </c>
      <c r="G153" s="33"/>
      <c r="H153" s="62">
        <f t="shared" si="70"/>
        <v>14508.900000000001</v>
      </c>
      <c r="I153" s="62">
        <f t="shared" si="71"/>
        <v>362.72250000000003</v>
      </c>
      <c r="J153" s="62"/>
      <c r="K153" s="62">
        <f t="shared" si="72"/>
        <v>2418.15</v>
      </c>
      <c r="L153" s="36">
        <f t="shared" si="73"/>
        <v>16927.05</v>
      </c>
      <c r="M153" s="62">
        <f t="shared" si="86"/>
        <v>4836.3</v>
      </c>
      <c r="N153" s="36">
        <f t="shared" si="84"/>
        <v>32000</v>
      </c>
      <c r="O153" s="62">
        <f t="shared" si="79"/>
        <v>483.63000000000005</v>
      </c>
      <c r="P153" s="62">
        <v>5000</v>
      </c>
      <c r="Q153" s="62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00000000000001" customHeight="1">
      <c r="A154" s="33">
        <v>47</v>
      </c>
      <c r="B154" s="257" t="s">
        <v>317</v>
      </c>
      <c r="C154" s="258"/>
      <c r="D154" s="61" t="s">
        <v>312</v>
      </c>
      <c r="E154" s="66" t="s">
        <v>319</v>
      </c>
      <c r="F154" s="62">
        <f t="shared" si="87"/>
        <v>4836.3</v>
      </c>
      <c r="G154" s="33"/>
      <c r="H154" s="62">
        <f t="shared" si="70"/>
        <v>14508.900000000001</v>
      </c>
      <c r="I154" s="62">
        <f t="shared" si="71"/>
        <v>362.72250000000003</v>
      </c>
      <c r="J154" s="62"/>
      <c r="K154" s="62">
        <f t="shared" si="72"/>
        <v>2418.15</v>
      </c>
      <c r="L154" s="36">
        <f t="shared" si="73"/>
        <v>16927.05</v>
      </c>
      <c r="M154" s="62">
        <f t="shared" si="86"/>
        <v>4836.3</v>
      </c>
      <c r="N154" s="36">
        <f t="shared" si="84"/>
        <v>32000</v>
      </c>
      <c r="O154" s="62">
        <f t="shared" si="79"/>
        <v>483.63000000000005</v>
      </c>
      <c r="P154" s="62">
        <v>5000</v>
      </c>
      <c r="Q154" s="62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00000000000001" customHeight="1">
      <c r="A155" s="33">
        <v>48</v>
      </c>
      <c r="B155" s="264" t="s">
        <v>318</v>
      </c>
      <c r="C155" s="264"/>
      <c r="D155" s="61" t="s">
        <v>312</v>
      </c>
      <c r="E155" s="66" t="s">
        <v>509</v>
      </c>
      <c r="F155" s="62">
        <f>4395.43</f>
        <v>4395.43</v>
      </c>
      <c r="G155" s="33"/>
      <c r="H155" s="62">
        <f t="shared" si="70"/>
        <v>13186.29</v>
      </c>
      <c r="I155" s="62">
        <f t="shared" si="71"/>
        <v>329.65725000000003</v>
      </c>
      <c r="J155" s="62"/>
      <c r="K155" s="62">
        <f t="shared" si="72"/>
        <v>2197.7150000000001</v>
      </c>
      <c r="L155" s="36">
        <f t="shared" si="73"/>
        <v>15384.005000000001</v>
      </c>
      <c r="M155" s="62">
        <f t="shared" si="86"/>
        <v>4395.43</v>
      </c>
      <c r="N155" s="36">
        <f t="shared" si="84"/>
        <v>32000</v>
      </c>
      <c r="O155" s="62">
        <f t="shared" si="79"/>
        <v>439.54300000000006</v>
      </c>
      <c r="P155" s="62">
        <v>5000</v>
      </c>
      <c r="Q155" s="62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00000000000001" customHeight="1">
      <c r="A156" s="33">
        <v>49</v>
      </c>
      <c r="B156" s="264" t="s">
        <v>320</v>
      </c>
      <c r="C156" s="264"/>
      <c r="D156" s="61" t="s">
        <v>312</v>
      </c>
      <c r="E156" s="66" t="s">
        <v>509</v>
      </c>
      <c r="F156" s="62">
        <f>4395.43</f>
        <v>4395.43</v>
      </c>
      <c r="G156" s="33"/>
      <c r="H156" s="62">
        <f t="shared" si="70"/>
        <v>13186.29</v>
      </c>
      <c r="I156" s="62">
        <f t="shared" si="71"/>
        <v>329.65725000000003</v>
      </c>
      <c r="J156" s="62"/>
      <c r="K156" s="62">
        <f t="shared" si="72"/>
        <v>2197.7150000000001</v>
      </c>
      <c r="L156" s="36">
        <f t="shared" si="73"/>
        <v>15384.005000000001</v>
      </c>
      <c r="M156" s="62">
        <f t="shared" si="86"/>
        <v>4395.43</v>
      </c>
      <c r="N156" s="36">
        <f t="shared" si="84"/>
        <v>32000</v>
      </c>
      <c r="O156" s="62">
        <f t="shared" si="79"/>
        <v>439.54300000000006</v>
      </c>
      <c r="P156" s="62">
        <v>5000</v>
      </c>
      <c r="Q156" s="62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00000000000001" customHeight="1">
      <c r="A157" s="33">
        <v>50</v>
      </c>
      <c r="B157" s="61" t="s">
        <v>321</v>
      </c>
      <c r="C157" s="61"/>
      <c r="D157" s="61" t="s">
        <v>312</v>
      </c>
      <c r="E157" s="66" t="s">
        <v>509</v>
      </c>
      <c r="F157" s="62">
        <f>4395.43</f>
        <v>4395.43</v>
      </c>
      <c r="G157" s="27">
        <f>0</f>
        <v>0</v>
      </c>
      <c r="H157" s="62">
        <f t="shared" si="70"/>
        <v>13186.29</v>
      </c>
      <c r="I157" s="62">
        <f t="shared" si="71"/>
        <v>329.65725000000003</v>
      </c>
      <c r="J157" s="62"/>
      <c r="K157" s="62">
        <f t="shared" si="72"/>
        <v>2197.7150000000001</v>
      </c>
      <c r="L157" s="36">
        <f t="shared" si="73"/>
        <v>15384.005000000001</v>
      </c>
      <c r="M157" s="62">
        <f t="shared" si="86"/>
        <v>4395.43</v>
      </c>
      <c r="N157" s="36">
        <f>25000+4000</f>
        <v>29000</v>
      </c>
      <c r="O157" s="62">
        <f t="shared" si="79"/>
        <v>439.54300000000006</v>
      </c>
      <c r="P157" s="62">
        <v>5000</v>
      </c>
      <c r="Q157" s="62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00000000000001" customHeight="1">
      <c r="A158" s="33"/>
      <c r="B158" s="48" t="s">
        <v>34</v>
      </c>
      <c r="C158" s="33"/>
      <c r="D158" s="49" t="s">
        <v>511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00000000000001" customHeight="1">
      <c r="A159" s="33"/>
      <c r="B159" s="263" t="s">
        <v>328</v>
      </c>
      <c r="C159" s="263"/>
      <c r="D159" s="101"/>
      <c r="E159" s="40"/>
      <c r="F159" s="41">
        <f t="shared" ref="F159:W159" si="90">F28+F33+F47+F51+F58+F65+F77+F84+F91+F105+F158</f>
        <v>3083378.7100000004</v>
      </c>
      <c r="G159" s="41">
        <f t="shared" si="90"/>
        <v>0</v>
      </c>
      <c r="H159" s="41">
        <f t="shared" si="90"/>
        <v>9089647.379999999</v>
      </c>
      <c r="I159" s="41">
        <f t="shared" si="90"/>
        <v>267363.37699999998</v>
      </c>
      <c r="J159" s="41">
        <f t="shared" si="90"/>
        <v>1645009.79</v>
      </c>
      <c r="K159" s="41">
        <f t="shared" si="90"/>
        <v>1533664.9200000002</v>
      </c>
      <c r="L159" s="41">
        <f t="shared" si="90"/>
        <v>10230114.860000001</v>
      </c>
      <c r="M159" s="41">
        <f t="shared" si="90"/>
        <v>3043256.5300000003</v>
      </c>
      <c r="N159" s="41">
        <f t="shared" si="90"/>
        <v>11927000</v>
      </c>
      <c r="O159" s="41">
        <f t="shared" si="90"/>
        <v>308337.87600000005</v>
      </c>
      <c r="P159" s="41">
        <f t="shared" si="90"/>
        <v>1525000</v>
      </c>
      <c r="Q159" s="41">
        <f t="shared" si="90"/>
        <v>1055235</v>
      </c>
      <c r="R159" s="41">
        <f t="shared" si="90"/>
        <v>43425708.365500003</v>
      </c>
      <c r="S159" s="41">
        <f t="shared" si="90"/>
        <v>3851500</v>
      </c>
      <c r="T159" s="41">
        <f t="shared" si="90"/>
        <v>5889607.169999999</v>
      </c>
      <c r="U159" s="41">
        <f t="shared" si="90"/>
        <v>26538.076000000001</v>
      </c>
      <c r="V159" s="41">
        <f t="shared" si="90"/>
        <v>1278598.0200000003</v>
      </c>
      <c r="W159" s="41">
        <f t="shared" si="90"/>
        <v>13161076.420500001</v>
      </c>
      <c r="X159" s="41">
        <v>30608812.215500005</v>
      </c>
      <c r="Y159" s="41">
        <f>Y28+Y33+Y47+Y51+Y58+Y65+Y77+Y84+Y91+Y105+Y158</f>
        <v>49800000</v>
      </c>
    </row>
    <row r="160" spans="1:25" ht="20.100000000000001" customHeight="1">
      <c r="A160" s="33"/>
      <c r="B160" s="256"/>
      <c r="C160" s="256"/>
      <c r="D160" s="46"/>
      <c r="E160" s="70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</row>
    <row r="161" spans="1:25" ht="20.100000000000001" customHeight="1">
      <c r="A161" s="33"/>
      <c r="B161" s="256"/>
      <c r="C161" s="256"/>
      <c r="D161" s="242" t="s">
        <v>329</v>
      </c>
      <c r="E161" s="242"/>
      <c r="F161" s="242"/>
      <c r="G161" s="242"/>
      <c r="H161" s="242"/>
      <c r="I161" s="242"/>
      <c r="J161" s="242"/>
      <c r="K161" s="241" t="s">
        <v>330</v>
      </c>
      <c r="L161" s="241"/>
      <c r="M161" s="241"/>
      <c r="N161" s="40"/>
      <c r="O161" s="241" t="s">
        <v>331</v>
      </c>
      <c r="P161" s="241"/>
      <c r="Q161" s="241"/>
      <c r="R161" s="241"/>
      <c r="S161" s="40"/>
      <c r="T161" s="40"/>
      <c r="U161" s="40"/>
      <c r="V161" s="71"/>
      <c r="W161" s="71"/>
      <c r="X161" s="71"/>
      <c r="Y161" s="71"/>
    </row>
    <row r="162" spans="1:25" ht="20.100000000000001" customHeight="1">
      <c r="A162" s="3"/>
      <c r="B162" s="256"/>
      <c r="C162" s="256"/>
      <c r="D162" s="242"/>
      <c r="E162" s="242"/>
      <c r="F162" s="242"/>
      <c r="G162" s="242"/>
      <c r="H162" s="242"/>
      <c r="I162" s="242"/>
      <c r="J162" s="242"/>
      <c r="K162" s="241"/>
      <c r="L162" s="241"/>
      <c r="M162" s="241"/>
      <c r="N162" s="40"/>
      <c r="O162" s="241"/>
      <c r="P162" s="241"/>
      <c r="Q162" s="241"/>
      <c r="R162" s="241"/>
      <c r="S162" s="40"/>
      <c r="T162" s="40"/>
      <c r="U162" s="40"/>
      <c r="V162" s="71"/>
      <c r="W162" s="71"/>
      <c r="X162" s="71"/>
      <c r="Y162" s="71"/>
    </row>
    <row r="163" spans="1:25" ht="20.100000000000001" customHeight="1">
      <c r="A163" s="33"/>
    </row>
    <row r="164" spans="1:25" ht="20.100000000000001" customHeight="1">
      <c r="A164" s="33"/>
      <c r="Y164" s="34"/>
    </row>
    <row r="165" spans="1:25" ht="20.100000000000001" customHeight="1">
      <c r="A165" s="33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V164"/>
  <sheetViews>
    <sheetView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1"/>
      <c r="B2" s="240" t="s">
        <v>569</v>
      </c>
      <c r="C2" s="240"/>
      <c r="D2" s="240"/>
      <c r="E2" s="240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8.75">
      <c r="A3" s="1"/>
      <c r="B3" s="1"/>
      <c r="C3" s="1"/>
      <c r="D3" s="1"/>
      <c r="E3" s="1"/>
      <c r="F3" s="55" t="e">
        <f>'[1]FEB 08'!E7/'[1]FEB 08'!M7</f>
        <v>#REF!</v>
      </c>
      <c r="G3" s="55"/>
      <c r="H3" s="55"/>
      <c r="I3" s="55" t="e">
        <f>'[1]FEB 08'!F7/'[1]FEB 08'!Q7</f>
        <v>#REF!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ht="18.75">
      <c r="A4" s="1"/>
      <c r="B4" s="240" t="s">
        <v>2</v>
      </c>
      <c r="C4" s="240"/>
      <c r="D4" s="56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67.5" customHeight="1">
      <c r="A5" s="33"/>
      <c r="B5" s="286"/>
      <c r="C5" s="286"/>
      <c r="D5" s="58" t="s">
        <v>5</v>
      </c>
      <c r="E5" s="58" t="s">
        <v>17</v>
      </c>
      <c r="F5" s="2" t="s">
        <v>18</v>
      </c>
      <c r="G5" s="59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59" t="s">
        <v>570</v>
      </c>
      <c r="O5" s="2" t="s">
        <v>27</v>
      </c>
      <c r="P5" s="2" t="s">
        <v>27</v>
      </c>
      <c r="Q5" s="2" t="s">
        <v>28</v>
      </c>
      <c r="R5" s="2"/>
      <c r="S5" s="59" t="s">
        <v>571</v>
      </c>
      <c r="T5" s="59" t="s">
        <v>572</v>
      </c>
      <c r="U5" s="59" t="s">
        <v>573</v>
      </c>
      <c r="V5" s="59" t="s">
        <v>574</v>
      </c>
    </row>
    <row r="6" spans="1:22" ht="18.75">
      <c r="A6" s="21" t="s">
        <v>35</v>
      </c>
      <c r="B6" s="287" t="s">
        <v>36</v>
      </c>
      <c r="C6" s="287"/>
      <c r="D6" s="48"/>
      <c r="E6" s="48"/>
      <c r="F6" s="60" t="s">
        <v>37</v>
      </c>
      <c r="G6" s="7"/>
      <c r="H6" s="60"/>
      <c r="I6" s="60" t="s">
        <v>37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ht="18.75">
      <c r="A7" s="3">
        <v>1</v>
      </c>
      <c r="B7" s="257" t="s">
        <v>38</v>
      </c>
      <c r="C7" s="258"/>
      <c r="D7" s="61" t="s">
        <v>39</v>
      </c>
      <c r="E7" s="61" t="s">
        <v>40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.75">
      <c r="A8" s="3">
        <v>2</v>
      </c>
      <c r="B8" s="103" t="s">
        <v>575</v>
      </c>
      <c r="C8" s="104"/>
      <c r="D8" s="61" t="s">
        <v>576</v>
      </c>
      <c r="E8" s="38" t="s">
        <v>51</v>
      </c>
      <c r="F8" s="62">
        <f>41157.69</f>
        <v>41157.69</v>
      </c>
      <c r="G8" s="62"/>
      <c r="H8" s="62">
        <f>F8*300%</f>
        <v>123473.07</v>
      </c>
      <c r="I8" s="62">
        <f>F8*7.5%</f>
        <v>3086.8267500000002</v>
      </c>
      <c r="J8" s="62">
        <v>40122.19</v>
      </c>
      <c r="K8" s="62">
        <f t="shared" ref="K8:K16" si="1">F8*50%</f>
        <v>20578.845000000001</v>
      </c>
      <c r="L8" s="62">
        <f>F8*350%</f>
        <v>144051.91500000001</v>
      </c>
      <c r="M8" s="62">
        <f t="shared" ref="M8:M23" si="2">F8*100%</f>
        <v>41157.69</v>
      </c>
      <c r="N8" s="62">
        <f>0</f>
        <v>0</v>
      </c>
      <c r="O8" s="62">
        <f t="shared" ref="O8:O23" si="3">F8*10%</f>
        <v>4115.7690000000002</v>
      </c>
      <c r="P8" s="62">
        <v>20000</v>
      </c>
      <c r="Q8" s="62">
        <v>0</v>
      </c>
      <c r="R8" s="36">
        <f t="shared" ref="R8:R26" si="4">N8+Q8</f>
        <v>0</v>
      </c>
      <c r="S8" s="62">
        <f>0</f>
        <v>0</v>
      </c>
      <c r="T8" s="62"/>
      <c r="U8" s="62">
        <f>0</f>
        <v>0</v>
      </c>
      <c r="V8" s="36">
        <f t="shared" si="0"/>
        <v>0</v>
      </c>
    </row>
    <row r="9" spans="1:22" ht="18.75">
      <c r="A9" s="3">
        <v>3</v>
      </c>
      <c r="B9" s="271" t="s">
        <v>52</v>
      </c>
      <c r="C9" s="272"/>
      <c r="D9" s="33" t="s">
        <v>538</v>
      </c>
      <c r="E9" s="38" t="s">
        <v>54</v>
      </c>
      <c r="F9" s="62">
        <v>33507.5</v>
      </c>
      <c r="G9" s="62"/>
      <c r="H9" s="62">
        <f t="shared" ref="H9:H23" si="5">F9*300%</f>
        <v>100522.5</v>
      </c>
      <c r="I9" s="62">
        <f t="shared" ref="I9:I23" si="6">F9*7.5%</f>
        <v>2513.0625</v>
      </c>
      <c r="J9" s="62">
        <v>40122.19</v>
      </c>
      <c r="K9" s="62">
        <f t="shared" si="1"/>
        <v>16753.75</v>
      </c>
      <c r="L9" s="62">
        <f t="shared" ref="L9:L23" si="7">F9*350%</f>
        <v>117276.25</v>
      </c>
      <c r="M9" s="62">
        <f t="shared" si="2"/>
        <v>33507.5</v>
      </c>
      <c r="N9" s="42">
        <f>100000</f>
        <v>100000</v>
      </c>
      <c r="O9" s="62">
        <f t="shared" si="3"/>
        <v>3350.75</v>
      </c>
      <c r="P9" s="62">
        <v>20000</v>
      </c>
      <c r="Q9" s="62">
        <v>0</v>
      </c>
      <c r="R9" s="36">
        <f t="shared" si="4"/>
        <v>100000</v>
      </c>
      <c r="S9" s="62">
        <f>100000</f>
        <v>100000</v>
      </c>
      <c r="T9" s="62"/>
      <c r="U9" s="62">
        <f>0</f>
        <v>0</v>
      </c>
      <c r="V9" s="36">
        <f t="shared" si="0"/>
        <v>0</v>
      </c>
    </row>
    <row r="10" spans="1:22" ht="18.75">
      <c r="A10" s="3">
        <v>4</v>
      </c>
      <c r="B10" s="269" t="s">
        <v>55</v>
      </c>
      <c r="C10" s="270"/>
      <c r="D10" s="47" t="s">
        <v>56</v>
      </c>
      <c r="E10" s="29" t="s">
        <v>54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.75">
      <c r="A11" s="3">
        <v>5</v>
      </c>
      <c r="B11" s="271" t="s">
        <v>57</v>
      </c>
      <c r="C11" s="272"/>
      <c r="D11" s="33" t="s">
        <v>58</v>
      </c>
      <c r="E11" s="3" t="s">
        <v>54</v>
      </c>
      <c r="F11" s="36">
        <f>33507.5</f>
        <v>33507.5</v>
      </c>
      <c r="G11" s="62"/>
      <c r="H11" s="62">
        <f t="shared" si="5"/>
        <v>100522.5</v>
      </c>
      <c r="I11" s="62">
        <f t="shared" si="6"/>
        <v>2513.0625</v>
      </c>
      <c r="J11" s="62">
        <v>40122.19</v>
      </c>
      <c r="K11" s="62">
        <f t="shared" si="1"/>
        <v>16753.75</v>
      </c>
      <c r="L11" s="62">
        <f t="shared" si="7"/>
        <v>117276.25</v>
      </c>
      <c r="M11" s="62">
        <f t="shared" si="2"/>
        <v>33507.5</v>
      </c>
      <c r="N11" s="62">
        <f>0</f>
        <v>0</v>
      </c>
      <c r="O11" s="62">
        <f t="shared" si="3"/>
        <v>3350.75</v>
      </c>
      <c r="P11" s="62">
        <v>20000</v>
      </c>
      <c r="Q11" s="63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.75">
      <c r="A12" s="3">
        <v>6</v>
      </c>
      <c r="B12" s="271" t="s">
        <v>391</v>
      </c>
      <c r="C12" s="272"/>
      <c r="D12" s="43" t="s">
        <v>478</v>
      </c>
      <c r="E12" s="75" t="s">
        <v>46</v>
      </c>
      <c r="F12" s="65">
        <f>41157.69</f>
        <v>41157.69</v>
      </c>
      <c r="G12" s="64"/>
      <c r="H12" s="62">
        <f t="shared" si="5"/>
        <v>123473.07</v>
      </c>
      <c r="I12" s="62">
        <f t="shared" si="6"/>
        <v>3086.8267500000002</v>
      </c>
      <c r="J12" s="62">
        <v>40122.19</v>
      </c>
      <c r="K12" s="62">
        <f t="shared" si="1"/>
        <v>20578.845000000001</v>
      </c>
      <c r="L12" s="62">
        <f t="shared" si="7"/>
        <v>144051.91500000001</v>
      </c>
      <c r="M12" s="62">
        <f t="shared" si="2"/>
        <v>41157.69</v>
      </c>
      <c r="N12" s="62">
        <v>0</v>
      </c>
      <c r="O12" s="62">
        <f t="shared" si="3"/>
        <v>4115.7690000000002</v>
      </c>
      <c r="P12" s="62">
        <v>20000</v>
      </c>
      <c r="Q12" s="76"/>
      <c r="R12" s="36">
        <f t="shared" si="4"/>
        <v>0</v>
      </c>
      <c r="S12" s="62">
        <f>100000</f>
        <v>100000</v>
      </c>
      <c r="T12" s="62"/>
      <c r="U12" s="62">
        <f>S12</f>
        <v>100000</v>
      </c>
      <c r="V12" s="36">
        <f t="shared" si="0"/>
        <v>100000</v>
      </c>
    </row>
    <row r="13" spans="1:22" ht="18.75">
      <c r="A13" s="3">
        <v>7</v>
      </c>
      <c r="B13" s="271" t="s">
        <v>47</v>
      </c>
      <c r="C13" s="272"/>
      <c r="D13" s="43" t="s">
        <v>48</v>
      </c>
      <c r="E13" s="75" t="s">
        <v>129</v>
      </c>
      <c r="F13" s="65">
        <f>32263.2</f>
        <v>32263.200000000001</v>
      </c>
      <c r="G13" s="64"/>
      <c r="H13" s="62">
        <f t="shared" si="5"/>
        <v>96789.6</v>
      </c>
      <c r="I13" s="62">
        <f t="shared" si="6"/>
        <v>2419.7399999999998</v>
      </c>
      <c r="J13" s="62">
        <v>40122.19</v>
      </c>
      <c r="K13" s="62">
        <f t="shared" si="1"/>
        <v>16131.6</v>
      </c>
      <c r="L13" s="62">
        <f t="shared" si="7"/>
        <v>112921.2</v>
      </c>
      <c r="M13" s="62">
        <f t="shared" si="2"/>
        <v>32263.200000000001</v>
      </c>
      <c r="N13" s="74">
        <v>100000</v>
      </c>
      <c r="O13" s="62">
        <f t="shared" si="3"/>
        <v>3226.32</v>
      </c>
      <c r="P13" s="62">
        <v>20000</v>
      </c>
      <c r="Q13" s="76"/>
      <c r="R13" s="36">
        <f t="shared" si="4"/>
        <v>100000</v>
      </c>
      <c r="S13" s="65">
        <f>150000</f>
        <v>150000</v>
      </c>
      <c r="T13" s="65">
        <f>S13-N13</f>
        <v>50000</v>
      </c>
      <c r="U13" s="65">
        <f>0</f>
        <v>0</v>
      </c>
      <c r="V13" s="36">
        <f t="shared" si="0"/>
        <v>50000</v>
      </c>
    </row>
    <row r="14" spans="1:22" ht="18.75">
      <c r="A14" s="3">
        <v>8</v>
      </c>
      <c r="B14" s="271" t="s">
        <v>525</v>
      </c>
      <c r="C14" s="272"/>
      <c r="D14" s="43" t="s">
        <v>526</v>
      </c>
      <c r="E14" s="44" t="s">
        <v>98</v>
      </c>
      <c r="F14" s="64">
        <f>24741.26</f>
        <v>24741.26</v>
      </c>
      <c r="G14" s="64"/>
      <c r="H14" s="64">
        <f t="shared" si="5"/>
        <v>74223.78</v>
      </c>
      <c r="I14" s="64">
        <f t="shared" si="6"/>
        <v>1855.5944999999997</v>
      </c>
      <c r="J14" s="64"/>
      <c r="K14" s="64">
        <f t="shared" si="1"/>
        <v>12370.63</v>
      </c>
      <c r="L14" s="64">
        <f t="shared" si="7"/>
        <v>86594.409999999989</v>
      </c>
      <c r="M14" s="64">
        <f t="shared" si="2"/>
        <v>24741.26</v>
      </c>
      <c r="N14" s="42">
        <f>0</f>
        <v>0</v>
      </c>
      <c r="O14" s="64">
        <f t="shared" si="3"/>
        <v>2474.1260000000002</v>
      </c>
      <c r="P14" s="64">
        <v>15000</v>
      </c>
      <c r="Q14" s="64">
        <f>100000</f>
        <v>100000</v>
      </c>
      <c r="R14" s="36">
        <f t="shared" si="4"/>
        <v>100000</v>
      </c>
      <c r="S14" s="64">
        <f>100000</f>
        <v>100000</v>
      </c>
      <c r="T14" s="64"/>
      <c r="U14" s="64">
        <f>S14</f>
        <v>100000</v>
      </c>
      <c r="V14" s="36">
        <f t="shared" si="0"/>
        <v>100000</v>
      </c>
    </row>
    <row r="15" spans="1:22" ht="18.75">
      <c r="A15" s="3">
        <v>9</v>
      </c>
      <c r="B15" s="271" t="s">
        <v>64</v>
      </c>
      <c r="C15" s="272"/>
      <c r="D15" s="43" t="s">
        <v>442</v>
      </c>
      <c r="E15" s="44" t="s">
        <v>98</v>
      </c>
      <c r="F15" s="64">
        <f>24741.26</f>
        <v>24741.26</v>
      </c>
      <c r="G15" s="64"/>
      <c r="H15" s="64">
        <f t="shared" si="5"/>
        <v>74223.78</v>
      </c>
      <c r="I15" s="64">
        <f t="shared" si="6"/>
        <v>1855.5944999999997</v>
      </c>
      <c r="J15" s="64"/>
      <c r="K15" s="64">
        <f t="shared" si="1"/>
        <v>12370.63</v>
      </c>
      <c r="L15" s="64">
        <f t="shared" si="7"/>
        <v>86594.409999999989</v>
      </c>
      <c r="M15" s="64">
        <f t="shared" si="2"/>
        <v>24741.26</v>
      </c>
      <c r="N15" s="62">
        <f>0</f>
        <v>0</v>
      </c>
      <c r="O15" s="64">
        <f t="shared" si="3"/>
        <v>2474.1260000000002</v>
      </c>
      <c r="P15" s="64">
        <v>15000</v>
      </c>
      <c r="Q15" s="64">
        <v>50000</v>
      </c>
      <c r="R15" s="36">
        <f t="shared" si="4"/>
        <v>50000</v>
      </c>
      <c r="S15" s="64">
        <f>100000</f>
        <v>100000</v>
      </c>
      <c r="T15" s="64"/>
      <c r="U15" s="64">
        <f>S15</f>
        <v>100000</v>
      </c>
      <c r="V15" s="36">
        <f t="shared" si="0"/>
        <v>100000</v>
      </c>
    </row>
    <row r="16" spans="1:22" ht="18.75">
      <c r="A16" s="3">
        <v>10</v>
      </c>
      <c r="B16" s="271" t="s">
        <v>67</v>
      </c>
      <c r="C16" s="272"/>
      <c r="D16" s="33" t="s">
        <v>444</v>
      </c>
      <c r="E16" s="3" t="s">
        <v>73</v>
      </c>
      <c r="F16" s="62">
        <v>26339.3</v>
      </c>
      <c r="G16" s="62"/>
      <c r="H16" s="62">
        <f t="shared" si="5"/>
        <v>79017.899999999994</v>
      </c>
      <c r="I16" s="62">
        <f t="shared" si="6"/>
        <v>1975.4474999999998</v>
      </c>
      <c r="J16" s="62"/>
      <c r="K16" s="62">
        <f t="shared" si="1"/>
        <v>13169.65</v>
      </c>
      <c r="L16" s="36">
        <f t="shared" si="7"/>
        <v>92187.55</v>
      </c>
      <c r="M16" s="62">
        <f t="shared" si="2"/>
        <v>26339.3</v>
      </c>
      <c r="N16" s="62">
        <v>100000</v>
      </c>
      <c r="O16" s="62">
        <f t="shared" si="3"/>
        <v>2633.9300000000003</v>
      </c>
      <c r="P16" s="62">
        <v>15000</v>
      </c>
      <c r="Q16" s="62">
        <v>0</v>
      </c>
      <c r="R16" s="36">
        <f t="shared" si="4"/>
        <v>100000</v>
      </c>
      <c r="S16" s="64">
        <f t="shared" ref="S16:S25" si="8">100000</f>
        <v>100000</v>
      </c>
      <c r="T16" s="64"/>
      <c r="U16" s="64">
        <f>0</f>
        <v>0</v>
      </c>
      <c r="V16" s="36">
        <f t="shared" si="0"/>
        <v>0</v>
      </c>
    </row>
    <row r="17" spans="1:22" ht="18.75">
      <c r="A17" s="3">
        <v>11</v>
      </c>
      <c r="B17" s="257" t="s">
        <v>71</v>
      </c>
      <c r="C17" s="258"/>
      <c r="D17" s="61" t="s">
        <v>444</v>
      </c>
      <c r="E17" s="66" t="s">
        <v>73</v>
      </c>
      <c r="F17" s="62">
        <f>26339.3</f>
        <v>26339.3</v>
      </c>
      <c r="G17" s="62">
        <v>0</v>
      </c>
      <c r="H17" s="62">
        <f t="shared" si="5"/>
        <v>79017.899999999994</v>
      </c>
      <c r="I17" s="62">
        <f t="shared" si="6"/>
        <v>1975.4474999999998</v>
      </c>
      <c r="J17" s="36">
        <v>0</v>
      </c>
      <c r="K17" s="62">
        <f>F17*50%</f>
        <v>13169.65</v>
      </c>
      <c r="L17" s="36">
        <f t="shared" si="7"/>
        <v>92187.55</v>
      </c>
      <c r="M17" s="62">
        <f t="shared" si="2"/>
        <v>26339.3</v>
      </c>
      <c r="N17" s="62">
        <v>100000</v>
      </c>
      <c r="O17" s="62">
        <f t="shared" si="3"/>
        <v>2633.9300000000003</v>
      </c>
      <c r="P17" s="62">
        <v>15000</v>
      </c>
      <c r="Q17" s="62">
        <f>0</f>
        <v>0</v>
      </c>
      <c r="R17" s="36">
        <f t="shared" si="4"/>
        <v>100000</v>
      </c>
      <c r="S17" s="64">
        <f t="shared" si="8"/>
        <v>100000</v>
      </c>
      <c r="T17" s="64"/>
      <c r="U17" s="64">
        <f>0</f>
        <v>0</v>
      </c>
      <c r="V17" s="36">
        <f t="shared" si="0"/>
        <v>0</v>
      </c>
    </row>
    <row r="18" spans="1:22" ht="18.75">
      <c r="A18" s="3">
        <v>12</v>
      </c>
      <c r="B18" s="257" t="s">
        <v>80</v>
      </c>
      <c r="C18" s="258"/>
      <c r="D18" s="61" t="s">
        <v>81</v>
      </c>
      <c r="E18" s="66" t="s">
        <v>95</v>
      </c>
      <c r="F18" s="62">
        <f>17784</f>
        <v>17784</v>
      </c>
      <c r="G18" s="62"/>
      <c r="H18" s="62">
        <f t="shared" si="5"/>
        <v>53352</v>
      </c>
      <c r="I18" s="62">
        <f t="shared" si="6"/>
        <v>1333.8</v>
      </c>
      <c r="J18" s="36"/>
      <c r="K18" s="62">
        <f>F18*50%</f>
        <v>8892</v>
      </c>
      <c r="L18" s="36">
        <f t="shared" si="7"/>
        <v>62244</v>
      </c>
      <c r="M18" s="62">
        <f t="shared" si="2"/>
        <v>17784</v>
      </c>
      <c r="N18" s="62">
        <f>0</f>
        <v>0</v>
      </c>
      <c r="O18" s="62">
        <f t="shared" si="3"/>
        <v>1778.4</v>
      </c>
      <c r="P18" s="62">
        <v>10000</v>
      </c>
      <c r="Q18" s="62"/>
      <c r="R18" s="36">
        <f t="shared" si="4"/>
        <v>0</v>
      </c>
      <c r="S18" s="64">
        <f t="shared" si="8"/>
        <v>100000</v>
      </c>
      <c r="T18" s="64"/>
      <c r="U18" s="64">
        <f>S18</f>
        <v>100000</v>
      </c>
      <c r="V18" s="36">
        <f t="shared" si="0"/>
        <v>100000</v>
      </c>
    </row>
    <row r="19" spans="1:22" ht="18.75">
      <c r="A19" s="3">
        <v>13</v>
      </c>
      <c r="B19" s="257" t="s">
        <v>83</v>
      </c>
      <c r="C19" s="258"/>
      <c r="D19" s="61" t="s">
        <v>89</v>
      </c>
      <c r="E19" s="66" t="s">
        <v>82</v>
      </c>
      <c r="F19" s="62">
        <f>18779.3</f>
        <v>18779.3</v>
      </c>
      <c r="G19" s="62"/>
      <c r="H19" s="62">
        <f t="shared" si="5"/>
        <v>56337.899999999994</v>
      </c>
      <c r="I19" s="62">
        <f t="shared" si="6"/>
        <v>1408.4475</v>
      </c>
      <c r="J19" s="36"/>
      <c r="K19" s="62">
        <f>F19*50%</f>
        <v>9389.65</v>
      </c>
      <c r="L19" s="36">
        <f t="shared" si="7"/>
        <v>65727.55</v>
      </c>
      <c r="M19" s="62">
        <f t="shared" si="2"/>
        <v>18779.3</v>
      </c>
      <c r="N19" s="62">
        <v>100000</v>
      </c>
      <c r="O19" s="62">
        <f t="shared" si="3"/>
        <v>1877.93</v>
      </c>
      <c r="P19" s="62">
        <v>10000</v>
      </c>
      <c r="Q19" s="62"/>
      <c r="R19" s="36">
        <f t="shared" si="4"/>
        <v>100000</v>
      </c>
      <c r="S19" s="64">
        <f t="shared" si="8"/>
        <v>100000</v>
      </c>
      <c r="T19" s="64"/>
      <c r="U19" s="64">
        <f>0</f>
        <v>0</v>
      </c>
      <c r="V19" s="36">
        <f t="shared" si="0"/>
        <v>0</v>
      </c>
    </row>
    <row r="20" spans="1:22" ht="18.75">
      <c r="A20" s="3">
        <v>14</v>
      </c>
      <c r="B20" s="97" t="s">
        <v>88</v>
      </c>
      <c r="C20" s="98"/>
      <c r="D20" s="61" t="s">
        <v>89</v>
      </c>
      <c r="E20" s="66" t="s">
        <v>500</v>
      </c>
      <c r="F20" s="67">
        <f>12732</f>
        <v>12732</v>
      </c>
      <c r="G20" s="62"/>
      <c r="H20" s="62">
        <f t="shared" si="5"/>
        <v>38196</v>
      </c>
      <c r="I20" s="62">
        <f t="shared" si="6"/>
        <v>954.9</v>
      </c>
      <c r="J20" s="62"/>
      <c r="K20" s="62">
        <f t="shared" ref="K20:K23" si="9">F20*50%</f>
        <v>6366</v>
      </c>
      <c r="L20" s="36">
        <f t="shared" si="7"/>
        <v>44562</v>
      </c>
      <c r="M20" s="62">
        <f t="shared" si="2"/>
        <v>12732</v>
      </c>
      <c r="N20" s="62">
        <f>100000</f>
        <v>100000</v>
      </c>
      <c r="O20" s="62">
        <f t="shared" si="3"/>
        <v>1273.2</v>
      </c>
      <c r="P20" s="62">
        <v>10000</v>
      </c>
      <c r="Q20" s="62"/>
      <c r="R20" s="36">
        <f t="shared" si="4"/>
        <v>100000</v>
      </c>
      <c r="S20" s="64">
        <f t="shared" si="8"/>
        <v>100000</v>
      </c>
      <c r="T20" s="64"/>
      <c r="U20" s="64">
        <f>0</f>
        <v>0</v>
      </c>
      <c r="V20" s="36">
        <f t="shared" si="0"/>
        <v>0</v>
      </c>
    </row>
    <row r="21" spans="1:22" ht="18.75">
      <c r="A21" s="3">
        <v>15</v>
      </c>
      <c r="B21" s="97" t="s">
        <v>91</v>
      </c>
      <c r="C21" s="98"/>
      <c r="D21" s="61"/>
      <c r="E21" s="66" t="s">
        <v>93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62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64">
        <f t="shared" si="8"/>
        <v>100000</v>
      </c>
      <c r="T21" s="64"/>
      <c r="U21" s="64">
        <f>S21</f>
        <v>100000</v>
      </c>
      <c r="V21" s="36">
        <f t="shared" si="0"/>
        <v>100000</v>
      </c>
    </row>
    <row r="22" spans="1:22" ht="18.75">
      <c r="A22" s="3">
        <v>16</v>
      </c>
      <c r="B22" s="97" t="s">
        <v>577</v>
      </c>
      <c r="C22" s="98"/>
      <c r="D22" s="61"/>
      <c r="E22" s="66" t="s">
        <v>485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64">
        <f>0</f>
        <v>0</v>
      </c>
      <c r="T22" s="64"/>
      <c r="U22" s="64">
        <f>S22</f>
        <v>0</v>
      </c>
      <c r="V22" s="36">
        <f t="shared" si="0"/>
        <v>0</v>
      </c>
    </row>
    <row r="23" spans="1:22" ht="18.75">
      <c r="A23" s="3">
        <v>17</v>
      </c>
      <c r="B23" s="97" t="s">
        <v>94</v>
      </c>
      <c r="C23" s="98"/>
      <c r="D23" s="61"/>
      <c r="E23" s="66" t="s">
        <v>93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62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64">
        <f t="shared" si="8"/>
        <v>100000</v>
      </c>
      <c r="T23" s="64"/>
      <c r="U23" s="64">
        <f>S23</f>
        <v>100000</v>
      </c>
      <c r="V23" s="36">
        <f t="shared" si="0"/>
        <v>100000</v>
      </c>
    </row>
    <row r="24" spans="1:22" ht="18.75">
      <c r="A24" s="3">
        <v>18</v>
      </c>
      <c r="B24" s="264" t="s">
        <v>96</v>
      </c>
      <c r="C24" s="264"/>
      <c r="D24" s="33" t="s">
        <v>100</v>
      </c>
      <c r="E24" s="66" t="s">
        <v>539</v>
      </c>
      <c r="F24" s="62">
        <f>19774.62</f>
        <v>19774.62</v>
      </c>
      <c r="G24" s="62"/>
      <c r="H24" s="62">
        <f>F24*300%</f>
        <v>59323.86</v>
      </c>
      <c r="I24" s="62">
        <f>F24*7.5%</f>
        <v>1483.0964999999999</v>
      </c>
      <c r="J24" s="62">
        <v>0</v>
      </c>
      <c r="K24" s="62">
        <f>F24*50%</f>
        <v>9887.31</v>
      </c>
      <c r="L24" s="36">
        <f>F24*350%</f>
        <v>69211.17</v>
      </c>
      <c r="M24" s="62">
        <f>F24*100%</f>
        <v>19774.62</v>
      </c>
      <c r="N24" s="62">
        <v>100000</v>
      </c>
      <c r="O24" s="62">
        <f>F24*10%</f>
        <v>1977.462</v>
      </c>
      <c r="P24" s="62">
        <v>10000</v>
      </c>
      <c r="Q24" s="62">
        <v>0</v>
      </c>
      <c r="R24" s="36">
        <f t="shared" si="4"/>
        <v>100000</v>
      </c>
      <c r="S24" s="64">
        <f t="shared" si="8"/>
        <v>100000</v>
      </c>
      <c r="T24" s="64"/>
      <c r="U24" s="64">
        <f>0</f>
        <v>0</v>
      </c>
      <c r="V24" s="36">
        <f t="shared" si="0"/>
        <v>0</v>
      </c>
    </row>
    <row r="25" spans="1:22" ht="18.75">
      <c r="A25" s="3">
        <v>19</v>
      </c>
      <c r="B25" s="257" t="s">
        <v>99</v>
      </c>
      <c r="C25" s="258"/>
      <c r="D25" s="33" t="s">
        <v>100</v>
      </c>
      <c r="E25" s="66" t="s">
        <v>95</v>
      </c>
      <c r="F25" s="62">
        <f>17784</f>
        <v>17784</v>
      </c>
      <c r="G25" s="62"/>
      <c r="H25" s="62">
        <f>F25*300%</f>
        <v>53352</v>
      </c>
      <c r="I25" s="62">
        <f>F25*7.5%</f>
        <v>1333.8</v>
      </c>
      <c r="J25" s="62"/>
      <c r="K25" s="62">
        <f>F25*50%</f>
        <v>8892</v>
      </c>
      <c r="L25" s="36">
        <f>F25*350%</f>
        <v>62244</v>
      </c>
      <c r="M25" s="62">
        <f>F25*100%</f>
        <v>17784</v>
      </c>
      <c r="N25" s="62">
        <v>100000</v>
      </c>
      <c r="O25" s="62">
        <f>F25*10%</f>
        <v>1778.4</v>
      </c>
      <c r="P25" s="62">
        <v>10000</v>
      </c>
      <c r="Q25" s="62"/>
      <c r="R25" s="36">
        <f t="shared" si="4"/>
        <v>100000</v>
      </c>
      <c r="S25" s="64">
        <f t="shared" si="8"/>
        <v>100000</v>
      </c>
      <c r="T25" s="64"/>
      <c r="U25" s="64">
        <f>0</f>
        <v>0</v>
      </c>
      <c r="V25" s="36">
        <f t="shared" si="0"/>
        <v>0</v>
      </c>
    </row>
    <row r="26" spans="1:22" ht="23.25">
      <c r="A26" s="3"/>
      <c r="B26" s="267" t="s">
        <v>34</v>
      </c>
      <c r="C26" s="267"/>
      <c r="D26" s="33"/>
      <c r="E26" s="66"/>
      <c r="F26" s="68">
        <f t="shared" ref="F26:Q26" si="10">SUM(F7:F25)</f>
        <v>612383.73999999987</v>
      </c>
      <c r="G26" s="68">
        <f t="shared" si="10"/>
        <v>0</v>
      </c>
      <c r="H26" s="68">
        <f t="shared" si="10"/>
        <v>1676662.47</v>
      </c>
      <c r="I26" s="68">
        <f t="shared" si="10"/>
        <v>82038.754249999984</v>
      </c>
      <c r="J26" s="68">
        <f t="shared" si="10"/>
        <v>361099.71</v>
      </c>
      <c r="K26" s="68">
        <f t="shared" si="10"/>
        <v>298167.435</v>
      </c>
      <c r="L26" s="68">
        <f t="shared" si="10"/>
        <v>1581632.4650000003</v>
      </c>
      <c r="M26" s="68">
        <f t="shared" si="10"/>
        <v>572261.55999999994</v>
      </c>
      <c r="N26" s="68">
        <f t="shared" si="10"/>
        <v>1000000</v>
      </c>
      <c r="O26" s="68">
        <f t="shared" si="10"/>
        <v>61238.379000000015</v>
      </c>
      <c r="P26" s="68">
        <f t="shared" si="10"/>
        <v>290000</v>
      </c>
      <c r="Q26" s="68">
        <f t="shared" si="10"/>
        <v>275235</v>
      </c>
      <c r="R26" s="106">
        <f t="shared" si="4"/>
        <v>1275235</v>
      </c>
      <c r="S26" s="68">
        <f>SUM(S6:S25)</f>
        <v>1850000</v>
      </c>
      <c r="T26" s="68">
        <f>SUM(T7:T25)</f>
        <v>150000</v>
      </c>
      <c r="U26" s="68">
        <f>SUM(U7:U25)</f>
        <v>700000</v>
      </c>
      <c r="V26" s="106">
        <f t="shared" si="0"/>
        <v>850000</v>
      </c>
    </row>
    <row r="27" spans="1:22" ht="18.75">
      <c r="A27" s="3"/>
      <c r="B27" s="96"/>
      <c r="C27" s="96"/>
      <c r="D27" s="33"/>
      <c r="E27" s="66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36">
        <f t="shared" si="0"/>
        <v>0</v>
      </c>
    </row>
    <row r="28" spans="1:22" ht="18.75">
      <c r="A28" s="3"/>
      <c r="B28" s="267" t="s">
        <v>115</v>
      </c>
      <c r="C28" s="267"/>
      <c r="D28" s="33"/>
      <c r="E28" s="66"/>
      <c r="F28" s="62"/>
      <c r="G28" s="62"/>
      <c r="H28" s="62"/>
      <c r="I28" s="62"/>
      <c r="J28" s="62"/>
      <c r="K28" s="62"/>
      <c r="L28" s="36"/>
      <c r="M28" s="62"/>
      <c r="N28" s="62"/>
      <c r="O28" s="62"/>
      <c r="P28" s="62"/>
      <c r="Q28" s="62"/>
      <c r="R28" s="62"/>
      <c r="S28" s="62"/>
      <c r="T28" s="62"/>
      <c r="U28" s="62"/>
      <c r="V28" s="36">
        <f t="shared" si="0"/>
        <v>0</v>
      </c>
    </row>
    <row r="29" spans="1:22" ht="18.75">
      <c r="A29" s="3">
        <v>1</v>
      </c>
      <c r="B29" s="311" t="s">
        <v>482</v>
      </c>
      <c r="C29" s="312"/>
      <c r="D29" s="61" t="s">
        <v>483</v>
      </c>
      <c r="E29" s="66" t="s">
        <v>540</v>
      </c>
      <c r="F29" s="62">
        <f>76339.3</f>
        <v>76339.3</v>
      </c>
      <c r="G29" s="62"/>
      <c r="H29" s="62">
        <f t="shared" ref="H29" si="11">F29*300%</f>
        <v>229017.90000000002</v>
      </c>
      <c r="I29" s="62">
        <f t="shared" ref="I29" si="12">F29*7.5%</f>
        <v>5725.4475000000002</v>
      </c>
      <c r="J29" s="62">
        <f>80244.38</f>
        <v>80244.38</v>
      </c>
      <c r="K29" s="62">
        <f t="shared" ref="K29" si="13">F29*50%</f>
        <v>38169.65</v>
      </c>
      <c r="L29" s="62">
        <f t="shared" ref="L29" si="14">F29*350%</f>
        <v>267187.55</v>
      </c>
      <c r="M29" s="62">
        <f t="shared" ref="M29" si="15">F29*100%</f>
        <v>76339.3</v>
      </c>
      <c r="N29" s="62">
        <f>0</f>
        <v>0</v>
      </c>
      <c r="O29" s="62">
        <f t="shared" ref="O29" si="16">F29*10%</f>
        <v>7633.93</v>
      </c>
      <c r="P29" s="62">
        <v>20000</v>
      </c>
      <c r="Q29" s="62">
        <v>0</v>
      </c>
      <c r="R29" s="62">
        <f>N29+Q29</f>
        <v>0</v>
      </c>
      <c r="S29" s="64">
        <f t="shared" ref="S29:S30" si="17">100000</f>
        <v>100000</v>
      </c>
      <c r="T29" s="64">
        <f>0</f>
        <v>0</v>
      </c>
      <c r="U29" s="64">
        <f>S29</f>
        <v>100000</v>
      </c>
      <c r="V29" s="36">
        <f t="shared" si="0"/>
        <v>100000</v>
      </c>
    </row>
    <row r="30" spans="1:22" ht="18.75">
      <c r="A30" s="3">
        <v>2</v>
      </c>
      <c r="B30" s="311" t="s">
        <v>541</v>
      </c>
      <c r="C30" s="312"/>
      <c r="D30" s="61" t="s">
        <v>542</v>
      </c>
      <c r="E30" s="66" t="s">
        <v>82</v>
      </c>
      <c r="F30" s="62">
        <f>18779.3</f>
        <v>18779.3</v>
      </c>
      <c r="G30" s="62"/>
      <c r="H30" s="62">
        <f>F30*300%</f>
        <v>56337.899999999994</v>
      </c>
      <c r="I30" s="62">
        <f>F30*7.5%</f>
        <v>1408.4475</v>
      </c>
      <c r="J30" s="62">
        <v>0</v>
      </c>
      <c r="K30" s="62">
        <f>F30*50%</f>
        <v>9389.65</v>
      </c>
      <c r="L30" s="36">
        <f>F30*350%</f>
        <v>65727.55</v>
      </c>
      <c r="M30" s="62">
        <f>F30*100%</f>
        <v>18779.3</v>
      </c>
      <c r="N30" s="62">
        <f>0</f>
        <v>0</v>
      </c>
      <c r="O30" s="62">
        <f>F30*10%</f>
        <v>1877.93</v>
      </c>
      <c r="P30" s="62">
        <v>10000</v>
      </c>
      <c r="Q30" s="62">
        <v>0</v>
      </c>
      <c r="R30" s="62">
        <f t="shared" ref="R30:R93" si="18">N30+Q30</f>
        <v>0</v>
      </c>
      <c r="S30" s="64">
        <f t="shared" si="17"/>
        <v>100000</v>
      </c>
      <c r="T30" s="64">
        <f>0</f>
        <v>0</v>
      </c>
      <c r="U30" s="64">
        <f>S30</f>
        <v>100000</v>
      </c>
      <c r="V30" s="36">
        <f t="shared" si="0"/>
        <v>100000</v>
      </c>
    </row>
    <row r="31" spans="1:22" ht="23.25">
      <c r="A31" s="3"/>
      <c r="B31" s="33"/>
      <c r="C31" s="21" t="s">
        <v>34</v>
      </c>
      <c r="D31" s="7">
        <v>2</v>
      </c>
      <c r="E31" s="3"/>
      <c r="F31" s="68">
        <f>SUM(F29:F30)</f>
        <v>95118.6</v>
      </c>
      <c r="G31" s="68">
        <f t="shared" ref="G31:Q31" si="19">SUM(G29:G30)</f>
        <v>0</v>
      </c>
      <c r="H31" s="68">
        <f t="shared" si="19"/>
        <v>285355.80000000005</v>
      </c>
      <c r="I31" s="68">
        <f t="shared" si="19"/>
        <v>7133.8950000000004</v>
      </c>
      <c r="J31" s="68">
        <f t="shared" si="19"/>
        <v>80244.38</v>
      </c>
      <c r="K31" s="68">
        <f t="shared" si="19"/>
        <v>47559.3</v>
      </c>
      <c r="L31" s="68">
        <f t="shared" si="19"/>
        <v>332915.09999999998</v>
      </c>
      <c r="M31" s="68">
        <f t="shared" si="19"/>
        <v>95118.6</v>
      </c>
      <c r="N31" s="68">
        <f t="shared" si="19"/>
        <v>0</v>
      </c>
      <c r="O31" s="68">
        <f t="shared" si="19"/>
        <v>9511.86</v>
      </c>
      <c r="P31" s="68">
        <f t="shared" si="19"/>
        <v>30000</v>
      </c>
      <c r="Q31" s="68">
        <f t="shared" si="19"/>
        <v>0</v>
      </c>
      <c r="R31" s="39">
        <f t="shared" si="18"/>
        <v>0</v>
      </c>
      <c r="S31" s="68">
        <f>SUM(S29:S30)</f>
        <v>200000</v>
      </c>
      <c r="T31" s="68">
        <f>SUM(T29:T30)</f>
        <v>0</v>
      </c>
      <c r="U31" s="68">
        <f>SUM(U29:U30)</f>
        <v>200000</v>
      </c>
      <c r="V31" s="106">
        <f t="shared" si="0"/>
        <v>200000</v>
      </c>
    </row>
    <row r="32" spans="1:22" ht="18.75">
      <c r="A32" s="3"/>
      <c r="B32" s="281"/>
      <c r="C32" s="282"/>
      <c r="D32" s="33"/>
      <c r="E32" s="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2">
        <f t="shared" si="18"/>
        <v>0</v>
      </c>
      <c r="S32" s="68"/>
      <c r="T32" s="68"/>
      <c r="U32" s="68"/>
      <c r="V32" s="36">
        <f t="shared" si="0"/>
        <v>0</v>
      </c>
    </row>
    <row r="33" spans="1:22" ht="18.75">
      <c r="A33" s="3"/>
      <c r="B33" s="283" t="s">
        <v>121</v>
      </c>
      <c r="C33" s="284"/>
      <c r="D33" s="50"/>
      <c r="E33" s="2"/>
      <c r="F33" s="68"/>
      <c r="G33" s="68"/>
      <c r="H33" s="68"/>
      <c r="I33" s="36"/>
      <c r="J33" s="36"/>
      <c r="K33" s="36"/>
      <c r="L33" s="36"/>
      <c r="M33" s="36"/>
      <c r="N33" s="36"/>
      <c r="O33" s="36"/>
      <c r="P33" s="36"/>
      <c r="Q33" s="36"/>
      <c r="R33" s="62">
        <f t="shared" si="18"/>
        <v>0</v>
      </c>
      <c r="S33" s="36"/>
      <c r="T33" s="36"/>
      <c r="U33" s="36"/>
      <c r="V33" s="36">
        <f t="shared" si="0"/>
        <v>0</v>
      </c>
    </row>
    <row r="34" spans="1:22" ht="18.75">
      <c r="A34" s="3">
        <v>1</v>
      </c>
      <c r="B34" s="257" t="s">
        <v>122</v>
      </c>
      <c r="C34" s="258"/>
      <c r="D34" s="33" t="s">
        <v>123</v>
      </c>
      <c r="E34" s="3" t="s">
        <v>118</v>
      </c>
      <c r="F34" s="62">
        <f>79039.64</f>
        <v>79039.64</v>
      </c>
      <c r="G34" s="62"/>
      <c r="H34" s="62">
        <f>F34*300%</f>
        <v>237118.91999999998</v>
      </c>
      <c r="I34" s="62">
        <f>F34*7.5%</f>
        <v>5927.973</v>
      </c>
      <c r="J34" s="62">
        <v>80244.38</v>
      </c>
      <c r="K34" s="62">
        <f>F34*50%</f>
        <v>39519.82</v>
      </c>
      <c r="L34" s="62">
        <f>F34*350%</f>
        <v>276638.74</v>
      </c>
      <c r="M34" s="62">
        <f t="shared" ref="M34:M44" si="20">F34*100%</f>
        <v>79039.64</v>
      </c>
      <c r="N34" s="62">
        <v>100000</v>
      </c>
      <c r="O34" s="62">
        <f t="shared" ref="O34:O44" si="21">F34*10%</f>
        <v>7903.9639999999999</v>
      </c>
      <c r="P34" s="62">
        <v>20000</v>
      </c>
      <c r="Q34" s="62"/>
      <c r="R34" s="62">
        <f t="shared" si="18"/>
        <v>100000</v>
      </c>
      <c r="S34" s="62">
        <f>150000</f>
        <v>150000</v>
      </c>
      <c r="T34" s="62">
        <f>S34-N34</f>
        <v>50000</v>
      </c>
      <c r="U34" s="62">
        <f>0</f>
        <v>0</v>
      </c>
      <c r="V34" s="36">
        <f t="shared" si="0"/>
        <v>50000</v>
      </c>
    </row>
    <row r="35" spans="1:22" ht="18.75">
      <c r="A35" s="3">
        <v>2</v>
      </c>
      <c r="B35" s="257" t="s">
        <v>124</v>
      </c>
      <c r="C35" s="258"/>
      <c r="D35" s="33" t="s">
        <v>125</v>
      </c>
      <c r="E35" s="3" t="s">
        <v>54</v>
      </c>
      <c r="F35" s="62">
        <f>33507.5</f>
        <v>33507.5</v>
      </c>
      <c r="G35" s="62"/>
      <c r="H35" s="62">
        <f>F35*300%</f>
        <v>100522.5</v>
      </c>
      <c r="I35" s="62">
        <f>F35*7.5%</f>
        <v>2513.0625</v>
      </c>
      <c r="J35" s="62">
        <v>40122.19</v>
      </c>
      <c r="K35" s="62">
        <f>F35*50%</f>
        <v>16753.75</v>
      </c>
      <c r="L35" s="62">
        <f>F35*350%</f>
        <v>117276.25</v>
      </c>
      <c r="M35" s="62">
        <f>F35*100%</f>
        <v>33507.5</v>
      </c>
      <c r="N35" s="62">
        <v>100000</v>
      </c>
      <c r="O35" s="62">
        <f>F35*10%</f>
        <v>3350.75</v>
      </c>
      <c r="P35" s="62">
        <v>20000</v>
      </c>
      <c r="Q35" s="62">
        <v>0</v>
      </c>
      <c r="R35" s="62">
        <f t="shared" si="18"/>
        <v>100000</v>
      </c>
      <c r="S35" s="62">
        <f t="shared" ref="S35:S44" si="22">150000</f>
        <v>150000</v>
      </c>
      <c r="T35" s="62">
        <f t="shared" ref="T35:T45" si="23">S35-N35</f>
        <v>50000</v>
      </c>
      <c r="U35" s="62">
        <f>0</f>
        <v>0</v>
      </c>
      <c r="V35" s="36">
        <f t="shared" si="0"/>
        <v>50000</v>
      </c>
    </row>
    <row r="36" spans="1:22" ht="18.75">
      <c r="A36" s="3">
        <v>3</v>
      </c>
      <c r="B36" s="257" t="s">
        <v>126</v>
      </c>
      <c r="C36" s="258"/>
      <c r="D36" s="33" t="s">
        <v>127</v>
      </c>
      <c r="E36" s="3" t="s">
        <v>129</v>
      </c>
      <c r="F36" s="62">
        <f>32263.2</f>
        <v>32263.200000000001</v>
      </c>
      <c r="G36" s="62"/>
      <c r="H36" s="62">
        <f>F36*300%</f>
        <v>96789.6</v>
      </c>
      <c r="I36" s="62">
        <f>F36*7.5%</f>
        <v>2419.7399999999998</v>
      </c>
      <c r="J36" s="62">
        <v>40122.19</v>
      </c>
      <c r="K36" s="62">
        <f>F36*50%</f>
        <v>16131.6</v>
      </c>
      <c r="L36" s="62">
        <f>F36*350%</f>
        <v>112921.2</v>
      </c>
      <c r="M36" s="62">
        <f>F36*100%</f>
        <v>32263.200000000001</v>
      </c>
      <c r="N36" s="62">
        <v>100000</v>
      </c>
      <c r="O36" s="62">
        <f>F36*10%</f>
        <v>3226.32</v>
      </c>
      <c r="P36" s="62">
        <v>20000</v>
      </c>
      <c r="Q36" s="62"/>
      <c r="R36" s="62">
        <f t="shared" si="18"/>
        <v>100000</v>
      </c>
      <c r="S36" s="62">
        <f t="shared" si="22"/>
        <v>150000</v>
      </c>
      <c r="T36" s="62">
        <f t="shared" si="23"/>
        <v>50000</v>
      </c>
      <c r="U36" s="62">
        <f>0</f>
        <v>0</v>
      </c>
      <c r="V36" s="36">
        <f t="shared" si="0"/>
        <v>50000</v>
      </c>
    </row>
    <row r="37" spans="1:22" ht="18.75">
      <c r="A37" s="3">
        <v>4</v>
      </c>
      <c r="B37" s="257" t="s">
        <v>128</v>
      </c>
      <c r="C37" s="258"/>
      <c r="D37" s="33" t="s">
        <v>131</v>
      </c>
      <c r="E37" s="3" t="s">
        <v>132</v>
      </c>
      <c r="F37" s="62">
        <v>28489.81</v>
      </c>
      <c r="G37" s="62"/>
      <c r="H37" s="62">
        <f>F37*300%</f>
        <v>85469.430000000008</v>
      </c>
      <c r="I37" s="62">
        <f>F37*7.5%</f>
        <v>2136.7357499999998</v>
      </c>
      <c r="J37" s="62"/>
      <c r="K37" s="62">
        <f>F37*50%</f>
        <v>14244.905000000001</v>
      </c>
      <c r="L37" s="62">
        <f>F37*350%</f>
        <v>99714.335000000006</v>
      </c>
      <c r="M37" s="62">
        <f>F37*100%</f>
        <v>28489.81</v>
      </c>
      <c r="N37" s="62">
        <v>100000</v>
      </c>
      <c r="O37" s="62">
        <f>F37*10%</f>
        <v>2848.9810000000002</v>
      </c>
      <c r="P37" s="62">
        <v>20000</v>
      </c>
      <c r="Q37" s="62"/>
      <c r="R37" s="62">
        <f t="shared" si="18"/>
        <v>100000</v>
      </c>
      <c r="S37" s="62">
        <f t="shared" si="22"/>
        <v>150000</v>
      </c>
      <c r="T37" s="62">
        <f t="shared" si="23"/>
        <v>50000</v>
      </c>
      <c r="U37" s="62">
        <f>0</f>
        <v>0</v>
      </c>
      <c r="V37" s="36">
        <f t="shared" si="0"/>
        <v>50000</v>
      </c>
    </row>
    <row r="38" spans="1:22" ht="18.75">
      <c r="A38" s="3">
        <v>5</v>
      </c>
      <c r="B38" s="257" t="s">
        <v>130</v>
      </c>
      <c r="C38" s="258"/>
      <c r="D38" s="33" t="s">
        <v>131</v>
      </c>
      <c r="E38" s="3" t="s">
        <v>191</v>
      </c>
      <c r="F38" s="62">
        <f>27611.23</f>
        <v>27611.23</v>
      </c>
      <c r="G38" s="62"/>
      <c r="H38" s="62">
        <f t="shared" ref="H38:H44" si="24">F38*300%</f>
        <v>82833.69</v>
      </c>
      <c r="I38" s="62">
        <f t="shared" ref="I38:I44" si="25">F38*7.5%</f>
        <v>2070.8422499999997</v>
      </c>
      <c r="J38" s="62">
        <v>0</v>
      </c>
      <c r="K38" s="62">
        <f t="shared" ref="K38:K44" si="26">F38*50%</f>
        <v>13805.615</v>
      </c>
      <c r="L38" s="62">
        <f t="shared" ref="L38:L44" si="27">F38*350%</f>
        <v>96639.304999999993</v>
      </c>
      <c r="M38" s="62">
        <f t="shared" si="20"/>
        <v>27611.23</v>
      </c>
      <c r="N38" s="62">
        <v>100000</v>
      </c>
      <c r="O38" s="62">
        <f t="shared" si="21"/>
        <v>2761.123</v>
      </c>
      <c r="P38" s="62">
        <v>20000</v>
      </c>
      <c r="Q38" s="62">
        <v>0</v>
      </c>
      <c r="R38" s="62">
        <f t="shared" si="18"/>
        <v>100000</v>
      </c>
      <c r="S38" s="62">
        <f t="shared" si="22"/>
        <v>150000</v>
      </c>
      <c r="T38" s="62">
        <f t="shared" si="23"/>
        <v>50000</v>
      </c>
      <c r="U38" s="62">
        <f>0</f>
        <v>0</v>
      </c>
      <c r="V38" s="36">
        <f t="shared" si="0"/>
        <v>50000</v>
      </c>
    </row>
    <row r="39" spans="1:22" ht="18.75">
      <c r="A39" s="3">
        <v>6</v>
      </c>
      <c r="B39" s="257" t="s">
        <v>133</v>
      </c>
      <c r="C39" s="258"/>
      <c r="D39" s="33" t="s">
        <v>140</v>
      </c>
      <c r="E39" s="3" t="s">
        <v>98</v>
      </c>
      <c r="F39" s="62">
        <f>24741.26</f>
        <v>24741.26</v>
      </c>
      <c r="G39" s="62"/>
      <c r="H39" s="62">
        <f t="shared" si="24"/>
        <v>74223.78</v>
      </c>
      <c r="I39" s="62">
        <f t="shared" si="25"/>
        <v>1855.5944999999997</v>
      </c>
      <c r="J39" s="62"/>
      <c r="K39" s="62">
        <f t="shared" si="26"/>
        <v>12370.63</v>
      </c>
      <c r="L39" s="62">
        <f t="shared" si="27"/>
        <v>86594.409999999989</v>
      </c>
      <c r="M39" s="62">
        <f t="shared" si="20"/>
        <v>24741.26</v>
      </c>
      <c r="N39" s="62">
        <v>100000</v>
      </c>
      <c r="O39" s="62">
        <f t="shared" si="21"/>
        <v>2474.1260000000002</v>
      </c>
      <c r="P39" s="62">
        <v>15000</v>
      </c>
      <c r="Q39" s="62"/>
      <c r="R39" s="62">
        <f t="shared" si="18"/>
        <v>100000</v>
      </c>
      <c r="S39" s="62">
        <f t="shared" si="22"/>
        <v>150000</v>
      </c>
      <c r="T39" s="62">
        <f t="shared" si="23"/>
        <v>50000</v>
      </c>
      <c r="U39" s="62">
        <f>0</f>
        <v>0</v>
      </c>
      <c r="V39" s="36">
        <f t="shared" si="0"/>
        <v>50000</v>
      </c>
    </row>
    <row r="40" spans="1:22" ht="18.75">
      <c r="A40" s="3">
        <v>7</v>
      </c>
      <c r="B40" s="265" t="s">
        <v>134</v>
      </c>
      <c r="C40" s="266"/>
      <c r="D40" s="20" t="s">
        <v>517</v>
      </c>
      <c r="E40" s="25" t="s">
        <v>73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72">
        <v>100000</v>
      </c>
      <c r="O40" s="26">
        <f>F40*10%</f>
        <v>2633.9300000000003</v>
      </c>
      <c r="P40" s="26">
        <v>15000</v>
      </c>
      <c r="Q40" s="26"/>
      <c r="R40" s="62">
        <f t="shared" si="18"/>
        <v>100000</v>
      </c>
      <c r="S40" s="62">
        <f t="shared" si="22"/>
        <v>150000</v>
      </c>
      <c r="T40" s="62">
        <f t="shared" si="23"/>
        <v>50000</v>
      </c>
      <c r="U40" s="62">
        <f>0</f>
        <v>0</v>
      </c>
      <c r="V40" s="36">
        <f t="shared" si="0"/>
        <v>50000</v>
      </c>
    </row>
    <row r="41" spans="1:22" ht="18.75">
      <c r="A41" s="3">
        <v>8</v>
      </c>
      <c r="B41" s="257" t="s">
        <v>136</v>
      </c>
      <c r="C41" s="258"/>
      <c r="D41" s="33" t="s">
        <v>137</v>
      </c>
      <c r="E41" s="3" t="s">
        <v>79</v>
      </c>
      <c r="F41" s="62">
        <v>23891.119999999999</v>
      </c>
      <c r="G41" s="62"/>
      <c r="H41" s="62">
        <f t="shared" si="24"/>
        <v>71673.36</v>
      </c>
      <c r="I41" s="62">
        <f t="shared" si="25"/>
        <v>1791.8339999999998</v>
      </c>
      <c r="J41" s="62">
        <v>0</v>
      </c>
      <c r="K41" s="62">
        <f t="shared" si="26"/>
        <v>11945.56</v>
      </c>
      <c r="L41" s="62">
        <f t="shared" si="27"/>
        <v>83618.92</v>
      </c>
      <c r="M41" s="62">
        <f t="shared" si="20"/>
        <v>23891.119999999999</v>
      </c>
      <c r="N41" s="62">
        <v>100000</v>
      </c>
      <c r="O41" s="62">
        <f t="shared" si="21"/>
        <v>2389.1120000000001</v>
      </c>
      <c r="P41" s="62">
        <v>15000</v>
      </c>
      <c r="Q41" s="62">
        <v>0</v>
      </c>
      <c r="R41" s="62">
        <f t="shared" si="18"/>
        <v>100000</v>
      </c>
      <c r="S41" s="62">
        <f t="shared" si="22"/>
        <v>150000</v>
      </c>
      <c r="T41" s="62">
        <f t="shared" si="23"/>
        <v>50000</v>
      </c>
      <c r="U41" s="62">
        <f>0</f>
        <v>0</v>
      </c>
      <c r="V41" s="36">
        <f t="shared" si="0"/>
        <v>50000</v>
      </c>
    </row>
    <row r="42" spans="1:22" ht="18.75">
      <c r="A42" s="3">
        <v>9</v>
      </c>
      <c r="B42" s="257" t="s">
        <v>394</v>
      </c>
      <c r="C42" s="258"/>
      <c r="D42" s="33" t="s">
        <v>140</v>
      </c>
      <c r="E42" s="3" t="s">
        <v>98</v>
      </c>
      <c r="F42" s="62">
        <f>24741.26</f>
        <v>24741.26</v>
      </c>
      <c r="G42" s="62"/>
      <c r="H42" s="62">
        <f t="shared" si="24"/>
        <v>74223.78</v>
      </c>
      <c r="I42" s="62">
        <f t="shared" si="25"/>
        <v>1855.5944999999997</v>
      </c>
      <c r="J42" s="62">
        <v>0</v>
      </c>
      <c r="K42" s="62">
        <f t="shared" si="26"/>
        <v>12370.63</v>
      </c>
      <c r="L42" s="62">
        <f t="shared" si="27"/>
        <v>86594.409999999989</v>
      </c>
      <c r="M42" s="62">
        <f t="shared" si="20"/>
        <v>24741.26</v>
      </c>
      <c r="N42" s="62">
        <v>100000</v>
      </c>
      <c r="O42" s="62">
        <f t="shared" si="21"/>
        <v>2474.1260000000002</v>
      </c>
      <c r="P42" s="62">
        <v>15000</v>
      </c>
      <c r="Q42" s="62">
        <v>0</v>
      </c>
      <c r="R42" s="62">
        <f t="shared" si="18"/>
        <v>100000</v>
      </c>
      <c r="S42" s="62">
        <f t="shared" si="22"/>
        <v>150000</v>
      </c>
      <c r="T42" s="62">
        <f t="shared" si="23"/>
        <v>50000</v>
      </c>
      <c r="U42" s="62">
        <f>0</f>
        <v>0</v>
      </c>
      <c r="V42" s="36">
        <f t="shared" si="0"/>
        <v>50000</v>
      </c>
    </row>
    <row r="43" spans="1:22" ht="18.75">
      <c r="A43" s="3">
        <v>10</v>
      </c>
      <c r="B43" s="257" t="s">
        <v>484</v>
      </c>
      <c r="C43" s="258"/>
      <c r="D43" s="33" t="s">
        <v>140</v>
      </c>
      <c r="E43" s="3" t="s">
        <v>98</v>
      </c>
      <c r="F43" s="62">
        <f>24741.26</f>
        <v>24741.26</v>
      </c>
      <c r="G43" s="62"/>
      <c r="H43" s="62">
        <f t="shared" si="24"/>
        <v>74223.78</v>
      </c>
      <c r="I43" s="62">
        <f t="shared" si="25"/>
        <v>1855.5944999999997</v>
      </c>
      <c r="J43" s="62">
        <f>J17</f>
        <v>0</v>
      </c>
      <c r="K43" s="62">
        <f t="shared" si="26"/>
        <v>12370.63</v>
      </c>
      <c r="L43" s="62">
        <f t="shared" si="27"/>
        <v>86594.409999999989</v>
      </c>
      <c r="M43" s="62">
        <f t="shared" si="20"/>
        <v>24741.26</v>
      </c>
      <c r="N43" s="62">
        <v>100000</v>
      </c>
      <c r="O43" s="62">
        <f t="shared" si="21"/>
        <v>2474.1260000000002</v>
      </c>
      <c r="P43" s="62">
        <v>15000</v>
      </c>
      <c r="Q43" s="62">
        <v>0</v>
      </c>
      <c r="R43" s="62">
        <f t="shared" si="18"/>
        <v>100000</v>
      </c>
      <c r="S43" s="62">
        <f t="shared" si="22"/>
        <v>150000</v>
      </c>
      <c r="T43" s="62">
        <f t="shared" si="23"/>
        <v>50000</v>
      </c>
      <c r="U43" s="62">
        <f>0</f>
        <v>0</v>
      </c>
      <c r="V43" s="36">
        <f t="shared" si="0"/>
        <v>50000</v>
      </c>
    </row>
    <row r="44" spans="1:22" ht="18.75">
      <c r="A44" s="3">
        <v>11</v>
      </c>
      <c r="B44" s="269" t="s">
        <v>139</v>
      </c>
      <c r="C44" s="270"/>
      <c r="D44" s="20" t="s">
        <v>142</v>
      </c>
      <c r="E44" s="29" t="s">
        <v>103</v>
      </c>
      <c r="F44" s="26">
        <f>18281.64</f>
        <v>18281.64</v>
      </c>
      <c r="G44" s="62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62">
        <f t="shared" si="18"/>
        <v>100000</v>
      </c>
      <c r="S44" s="62">
        <f t="shared" si="22"/>
        <v>150000</v>
      </c>
      <c r="T44" s="62">
        <f t="shared" si="23"/>
        <v>50000</v>
      </c>
      <c r="U44" s="62">
        <f>0</f>
        <v>0</v>
      </c>
      <c r="V44" s="36">
        <f t="shared" si="0"/>
        <v>50000</v>
      </c>
    </row>
    <row r="45" spans="1:22" ht="23.25">
      <c r="A45" s="3"/>
      <c r="B45" s="273" t="s">
        <v>34</v>
      </c>
      <c r="C45" s="274"/>
      <c r="D45" s="30">
        <v>11</v>
      </c>
      <c r="E45" s="30"/>
      <c r="F45" s="92">
        <f>SUM(F34:F44)</f>
        <v>343647.22000000003</v>
      </c>
      <c r="G45" s="92"/>
      <c r="H45" s="92">
        <f t="shared" ref="H45:Q45" si="28">SUM(H34:H44)</f>
        <v>1030941.6600000001</v>
      </c>
      <c r="I45" s="92">
        <f t="shared" si="28"/>
        <v>25773.541499999996</v>
      </c>
      <c r="J45" s="92">
        <f t="shared" si="28"/>
        <v>160488.76</v>
      </c>
      <c r="K45" s="92">
        <f t="shared" si="28"/>
        <v>171823.61000000002</v>
      </c>
      <c r="L45" s="92">
        <f t="shared" si="28"/>
        <v>1202765.27</v>
      </c>
      <c r="M45" s="92">
        <f t="shared" si="28"/>
        <v>343647.22000000003</v>
      </c>
      <c r="N45" s="92">
        <f t="shared" si="28"/>
        <v>1100000</v>
      </c>
      <c r="O45" s="92">
        <f t="shared" si="28"/>
        <v>34364.722000000002</v>
      </c>
      <c r="P45" s="92">
        <f t="shared" si="28"/>
        <v>185000</v>
      </c>
      <c r="Q45" s="92">
        <f t="shared" si="28"/>
        <v>0</v>
      </c>
      <c r="R45" s="39">
        <f t="shared" si="18"/>
        <v>1100000</v>
      </c>
      <c r="S45" s="92">
        <f>SUM(S34:S44)</f>
        <v>1650000</v>
      </c>
      <c r="T45" s="95">
        <f t="shared" si="23"/>
        <v>550000</v>
      </c>
      <c r="U45" s="92">
        <f>SUM(U34:U44)</f>
        <v>0</v>
      </c>
      <c r="V45" s="106">
        <f t="shared" si="0"/>
        <v>550000</v>
      </c>
    </row>
    <row r="46" spans="1:22" ht="18.75">
      <c r="A46" s="3"/>
      <c r="B46" s="105"/>
      <c r="C46" s="105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2">
        <f t="shared" si="18"/>
        <v>0</v>
      </c>
      <c r="S46" s="31"/>
      <c r="T46" s="31"/>
      <c r="U46" s="31"/>
      <c r="V46" s="36">
        <f t="shared" si="0"/>
        <v>0</v>
      </c>
    </row>
    <row r="47" spans="1:22" ht="18.75">
      <c r="A47" s="3"/>
      <c r="B47" s="273" t="s">
        <v>144</v>
      </c>
      <c r="C47" s="274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62">
        <f t="shared" si="18"/>
        <v>0</v>
      </c>
      <c r="S47" s="31"/>
      <c r="T47" s="31"/>
      <c r="U47" s="31"/>
      <c r="V47" s="36">
        <f t="shared" si="0"/>
        <v>0</v>
      </c>
    </row>
    <row r="48" spans="1:22" ht="18.75">
      <c r="A48" s="3">
        <v>1</v>
      </c>
      <c r="B48" s="257" t="s">
        <v>145</v>
      </c>
      <c r="C48" s="258"/>
      <c r="D48" s="61" t="s">
        <v>146</v>
      </c>
      <c r="E48" s="66" t="s">
        <v>43</v>
      </c>
      <c r="F48" s="62">
        <f>81740.02</f>
        <v>81740.02</v>
      </c>
      <c r="G48" s="62"/>
      <c r="H48" s="62">
        <f>F48*300%</f>
        <v>245220.06</v>
      </c>
      <c r="I48" s="62">
        <f>F48*7.5%</f>
        <v>6130.5015000000003</v>
      </c>
      <c r="J48" s="62">
        <v>80244.38</v>
      </c>
      <c r="K48" s="62">
        <f>F48*50%</f>
        <v>40870.01</v>
      </c>
      <c r="L48" s="62">
        <f>F48*350%</f>
        <v>286090.07</v>
      </c>
      <c r="M48" s="62">
        <f>F48*100%</f>
        <v>81740.02</v>
      </c>
      <c r="N48" s="62">
        <v>100000</v>
      </c>
      <c r="O48" s="62">
        <f>F48*10%</f>
        <v>8174.0020000000004</v>
      </c>
      <c r="P48" s="62">
        <v>20000</v>
      </c>
      <c r="Q48" s="62">
        <v>0</v>
      </c>
      <c r="R48" s="62">
        <f t="shared" si="18"/>
        <v>100000</v>
      </c>
      <c r="S48" s="62">
        <f>150000</f>
        <v>150000</v>
      </c>
      <c r="T48" s="62">
        <f>S48-N48</f>
        <v>50000</v>
      </c>
      <c r="U48" s="62"/>
      <c r="V48" s="36">
        <f t="shared" si="0"/>
        <v>50000</v>
      </c>
    </row>
    <row r="49" spans="1:22" ht="18.75">
      <c r="A49" s="3">
        <v>2</v>
      </c>
      <c r="B49" s="97" t="s">
        <v>147</v>
      </c>
      <c r="C49" s="98"/>
      <c r="D49" s="61" t="s">
        <v>578</v>
      </c>
      <c r="E49" s="75" t="s">
        <v>485</v>
      </c>
      <c r="F49" s="26">
        <f>23074.99</f>
        <v>23074.99</v>
      </c>
      <c r="G49" s="62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62">
        <f>0</f>
        <v>0</v>
      </c>
      <c r="O49" s="26">
        <f t="shared" ref="O49" si="34">F49*10%</f>
        <v>2307.4990000000003</v>
      </c>
      <c r="P49" s="26">
        <v>15000</v>
      </c>
      <c r="Q49" s="26"/>
      <c r="R49" s="62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3.25">
      <c r="A50" s="3"/>
      <c r="B50" s="273" t="s">
        <v>34</v>
      </c>
      <c r="C50" s="274"/>
      <c r="D50" s="30">
        <v>2</v>
      </c>
      <c r="E50" s="30"/>
      <c r="F50" s="92">
        <f>SUM(F48:F49)</f>
        <v>104815.01000000001</v>
      </c>
      <c r="G50" s="92">
        <f t="shared" ref="G50" si="35">SUM(G48:G48)</f>
        <v>0</v>
      </c>
      <c r="H50" s="92">
        <f t="shared" ref="H50:P50" si="36">SUM(H48:H49)</f>
        <v>314445.03000000003</v>
      </c>
      <c r="I50" s="92">
        <f t="shared" si="36"/>
        <v>7861.1257500000002</v>
      </c>
      <c r="J50" s="92">
        <f t="shared" si="36"/>
        <v>80244.38</v>
      </c>
      <c r="K50" s="92">
        <f t="shared" si="36"/>
        <v>52407.505000000005</v>
      </c>
      <c r="L50" s="92">
        <f t="shared" si="36"/>
        <v>366852.53500000003</v>
      </c>
      <c r="M50" s="92">
        <f t="shared" si="36"/>
        <v>104815.01000000001</v>
      </c>
      <c r="N50" s="92">
        <f t="shared" si="36"/>
        <v>100000</v>
      </c>
      <c r="O50" s="92">
        <f t="shared" si="36"/>
        <v>10481.501</v>
      </c>
      <c r="P50" s="92">
        <f t="shared" si="36"/>
        <v>35000</v>
      </c>
      <c r="Q50" s="92">
        <f t="shared" ref="Q50" si="37">SUM(Q48:Q48)</f>
        <v>0</v>
      </c>
      <c r="R50" s="39">
        <f t="shared" si="18"/>
        <v>100000</v>
      </c>
      <c r="S50" s="92">
        <f>SUM(S48:S49)</f>
        <v>250000</v>
      </c>
      <c r="T50" s="92">
        <f>SUM(T48:T49)</f>
        <v>50000</v>
      </c>
      <c r="U50" s="92">
        <f>SUM(U48:U49)</f>
        <v>100000</v>
      </c>
      <c r="V50" s="106">
        <f t="shared" si="0"/>
        <v>150000</v>
      </c>
    </row>
    <row r="51" spans="1:22" ht="18.75">
      <c r="A51" s="3"/>
      <c r="B51" s="273"/>
      <c r="C51" s="274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2">
        <f t="shared" si="18"/>
        <v>0</v>
      </c>
      <c r="S51" s="31"/>
      <c r="T51" s="31"/>
      <c r="U51" s="31"/>
      <c r="V51" s="36">
        <f t="shared" si="0"/>
        <v>0</v>
      </c>
    </row>
    <row r="52" spans="1:22" ht="18.75">
      <c r="A52" s="3"/>
      <c r="B52" s="273" t="s">
        <v>467</v>
      </c>
      <c r="C52" s="274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2">
        <f t="shared" si="18"/>
        <v>0</v>
      </c>
      <c r="S52" s="31"/>
      <c r="T52" s="31"/>
      <c r="U52" s="31"/>
      <c r="V52" s="36">
        <f t="shared" si="0"/>
        <v>0</v>
      </c>
    </row>
    <row r="53" spans="1:22" ht="18.75">
      <c r="A53" s="3">
        <v>1</v>
      </c>
      <c r="B53" s="269" t="s">
        <v>151</v>
      </c>
      <c r="C53" s="270"/>
      <c r="D53" s="47" t="s">
        <v>152</v>
      </c>
      <c r="E53" s="29" t="s">
        <v>540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62">
        <f t="shared" si="18"/>
        <v>100000</v>
      </c>
      <c r="S53" s="62">
        <f t="shared" ref="S53:S57" si="38">150000</f>
        <v>150000</v>
      </c>
      <c r="T53" s="107">
        <f>S53-N53</f>
        <v>50000</v>
      </c>
      <c r="U53" s="62">
        <f>0</f>
        <v>0</v>
      </c>
      <c r="V53" s="36">
        <f t="shared" si="0"/>
        <v>50000</v>
      </c>
    </row>
    <row r="54" spans="1:22" ht="18.75">
      <c r="A54" s="3">
        <v>2</v>
      </c>
      <c r="B54" s="269" t="s">
        <v>579</v>
      </c>
      <c r="C54" s="270"/>
      <c r="D54" s="20" t="s">
        <v>131</v>
      </c>
      <c r="E54" s="29" t="s">
        <v>66</v>
      </c>
      <c r="F54" s="26">
        <f>27611.23</f>
        <v>27611.23</v>
      </c>
      <c r="G54" s="62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62">
        <f t="shared" si="18"/>
        <v>100000</v>
      </c>
      <c r="S54" s="62">
        <f t="shared" si="38"/>
        <v>150000</v>
      </c>
      <c r="T54" s="107">
        <f>0</f>
        <v>0</v>
      </c>
      <c r="U54" s="62">
        <f>0</f>
        <v>0</v>
      </c>
      <c r="V54" s="36">
        <f>0</f>
        <v>0</v>
      </c>
    </row>
    <row r="55" spans="1:22" ht="18.75">
      <c r="A55" s="3">
        <v>3</v>
      </c>
      <c r="B55" s="271" t="s">
        <v>190</v>
      </c>
      <c r="C55" s="272"/>
      <c r="D55" s="33" t="s">
        <v>137</v>
      </c>
      <c r="E55" s="3" t="s">
        <v>138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v>100000</v>
      </c>
      <c r="O55" s="62">
        <f>F55*10%</f>
        <v>2552.3450000000003</v>
      </c>
      <c r="P55" s="62">
        <v>15000</v>
      </c>
      <c r="Q55" s="62">
        <v>0</v>
      </c>
      <c r="R55" s="62">
        <f t="shared" si="18"/>
        <v>100000</v>
      </c>
      <c r="S55" s="62">
        <f t="shared" si="38"/>
        <v>150000</v>
      </c>
      <c r="T55" s="107">
        <f t="shared" ref="T55:T58" si="39">S55-N55</f>
        <v>50000</v>
      </c>
      <c r="U55" s="62">
        <f>0</f>
        <v>0</v>
      </c>
      <c r="V55" s="36">
        <f t="shared" si="0"/>
        <v>50000</v>
      </c>
    </row>
    <row r="56" spans="1:22" ht="18.75">
      <c r="A56" s="3">
        <v>4</v>
      </c>
      <c r="B56" s="269" t="s">
        <v>155</v>
      </c>
      <c r="C56" s="270"/>
      <c r="D56" s="47" t="s">
        <v>142</v>
      </c>
      <c r="E56" s="29" t="s">
        <v>103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62">
        <f t="shared" si="18"/>
        <v>100000</v>
      </c>
      <c r="S56" s="62">
        <f t="shared" si="38"/>
        <v>150000</v>
      </c>
      <c r="T56" s="107">
        <f t="shared" si="39"/>
        <v>50000</v>
      </c>
      <c r="U56" s="62">
        <f>0</f>
        <v>0</v>
      </c>
      <c r="V56" s="36">
        <f t="shared" si="0"/>
        <v>50000</v>
      </c>
    </row>
    <row r="57" spans="1:22" ht="18.75">
      <c r="A57" s="3">
        <v>5</v>
      </c>
      <c r="B57" s="264" t="s">
        <v>160</v>
      </c>
      <c r="C57" s="264"/>
      <c r="D57" s="61" t="s">
        <v>447</v>
      </c>
      <c r="E57" s="66" t="s">
        <v>82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>100000</f>
        <v>100000</v>
      </c>
      <c r="O57" s="62">
        <f>F57*10%</f>
        <v>1877.93</v>
      </c>
      <c r="P57" s="62">
        <v>10000</v>
      </c>
      <c r="Q57" s="62">
        <v>0</v>
      </c>
      <c r="R57" s="62">
        <f t="shared" si="18"/>
        <v>100000</v>
      </c>
      <c r="S57" s="62">
        <f t="shared" si="38"/>
        <v>150000</v>
      </c>
      <c r="T57" s="107">
        <f t="shared" si="39"/>
        <v>50000</v>
      </c>
      <c r="U57" s="62">
        <f>0</f>
        <v>0</v>
      </c>
      <c r="V57" s="36">
        <f t="shared" si="0"/>
        <v>50000</v>
      </c>
    </row>
    <row r="58" spans="1:22" ht="23.25">
      <c r="A58" s="3"/>
      <c r="B58" s="273" t="s">
        <v>34</v>
      </c>
      <c r="C58" s="274"/>
      <c r="D58" s="30">
        <v>5</v>
      </c>
      <c r="E58" s="30"/>
      <c r="F58" s="92">
        <f t="shared" ref="F58:Q58" si="40">SUM(F53:F57)</f>
        <v>166534.91999999998</v>
      </c>
      <c r="G58" s="92">
        <f t="shared" si="40"/>
        <v>0</v>
      </c>
      <c r="H58" s="92">
        <f t="shared" si="40"/>
        <v>499604.76</v>
      </c>
      <c r="I58" s="92">
        <f t="shared" si="40"/>
        <v>12490.119000000001</v>
      </c>
      <c r="J58" s="92">
        <f t="shared" si="40"/>
        <v>80244.38</v>
      </c>
      <c r="K58" s="92">
        <f t="shared" si="40"/>
        <v>83267.459999999992</v>
      </c>
      <c r="L58" s="92">
        <f t="shared" si="40"/>
        <v>582872.22</v>
      </c>
      <c r="M58" s="92">
        <f t="shared" si="40"/>
        <v>166534.91999999998</v>
      </c>
      <c r="N58" s="92">
        <f t="shared" si="40"/>
        <v>500000</v>
      </c>
      <c r="O58" s="92">
        <f t="shared" si="40"/>
        <v>16653.492000000002</v>
      </c>
      <c r="P58" s="92">
        <f t="shared" si="40"/>
        <v>75000</v>
      </c>
      <c r="Q58" s="92">
        <f t="shared" si="40"/>
        <v>0</v>
      </c>
      <c r="R58" s="39">
        <f t="shared" si="18"/>
        <v>500000</v>
      </c>
      <c r="S58" s="92">
        <f>SUM(S53:S57)</f>
        <v>750000</v>
      </c>
      <c r="T58" s="108">
        <f t="shared" si="39"/>
        <v>250000</v>
      </c>
      <c r="U58" s="92">
        <f>SUM(U53:U57)</f>
        <v>0</v>
      </c>
      <c r="V58" s="106">
        <f>SUM(V53:V57)</f>
        <v>200000</v>
      </c>
    </row>
    <row r="59" spans="1:22" ht="18.75">
      <c r="A59" s="3"/>
      <c r="B59" s="99"/>
      <c r="C59" s="10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2">
        <f t="shared" si="18"/>
        <v>0</v>
      </c>
      <c r="S59" s="31"/>
      <c r="T59" s="31"/>
      <c r="U59" s="31"/>
      <c r="V59" s="36">
        <f t="shared" si="0"/>
        <v>0</v>
      </c>
    </row>
    <row r="60" spans="1:22" ht="18.75">
      <c r="A60" s="3"/>
      <c r="B60" s="273" t="s">
        <v>486</v>
      </c>
      <c r="C60" s="274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62">
        <f t="shared" si="18"/>
        <v>0</v>
      </c>
      <c r="S60" s="31"/>
      <c r="T60" s="31"/>
      <c r="U60" s="31"/>
      <c r="V60" s="36">
        <f t="shared" si="0"/>
        <v>0</v>
      </c>
    </row>
    <row r="61" spans="1:22" ht="18.75">
      <c r="A61" s="3">
        <v>1</v>
      </c>
      <c r="B61" s="257" t="s">
        <v>173</v>
      </c>
      <c r="C61" s="258"/>
      <c r="D61" s="33" t="s">
        <v>174</v>
      </c>
      <c r="E61" s="3" t="s">
        <v>43</v>
      </c>
      <c r="F61" s="62">
        <f>81740.02</f>
        <v>81740.02</v>
      </c>
      <c r="G61" s="62"/>
      <c r="H61" s="62">
        <f t="shared" ref="H61:H64" si="41">F61*300%</f>
        <v>245220.06</v>
      </c>
      <c r="I61" s="62">
        <f t="shared" ref="I61:I64" si="42">F61*7.5%</f>
        <v>6130.5015000000003</v>
      </c>
      <c r="J61" s="62">
        <v>80244.38</v>
      </c>
      <c r="K61" s="62">
        <f>F61*50%</f>
        <v>40870.01</v>
      </c>
      <c r="L61" s="62">
        <f t="shared" ref="L61:L64" si="43">F61*350%</f>
        <v>286090.07</v>
      </c>
      <c r="M61" s="62">
        <f>F61*100%</f>
        <v>81740.02</v>
      </c>
      <c r="N61" s="62">
        <v>100000</v>
      </c>
      <c r="O61" s="62">
        <f>F61*10%</f>
        <v>8174.0020000000004</v>
      </c>
      <c r="P61" s="62">
        <v>20000</v>
      </c>
      <c r="Q61" s="62">
        <v>0</v>
      </c>
      <c r="R61" s="62">
        <f t="shared" si="18"/>
        <v>100000</v>
      </c>
      <c r="S61" s="62">
        <f t="shared" ref="S61:S64" si="44">150000</f>
        <v>150000</v>
      </c>
      <c r="T61" s="62">
        <f>S61-N61</f>
        <v>50000</v>
      </c>
      <c r="U61" s="62">
        <f>0</f>
        <v>0</v>
      </c>
      <c r="V61" s="36">
        <f t="shared" si="0"/>
        <v>50000</v>
      </c>
    </row>
    <row r="62" spans="1:22" ht="18.75">
      <c r="A62" s="3">
        <v>2</v>
      </c>
      <c r="B62" s="257" t="s">
        <v>189</v>
      </c>
      <c r="C62" s="258"/>
      <c r="D62" s="33" t="s">
        <v>131</v>
      </c>
      <c r="E62" s="3" t="s">
        <v>66</v>
      </c>
      <c r="F62" s="62">
        <f>27611.23</f>
        <v>27611.23</v>
      </c>
      <c r="G62" s="62"/>
      <c r="H62" s="62">
        <f t="shared" si="41"/>
        <v>82833.69</v>
      </c>
      <c r="I62" s="62">
        <f t="shared" si="42"/>
        <v>2070.8422499999997</v>
      </c>
      <c r="J62" s="62"/>
      <c r="K62" s="62">
        <f>F62*50%</f>
        <v>13805.615</v>
      </c>
      <c r="L62" s="62">
        <f t="shared" si="43"/>
        <v>96639.304999999993</v>
      </c>
      <c r="M62" s="62">
        <f>F62*100%</f>
        <v>27611.23</v>
      </c>
      <c r="N62" s="62">
        <v>100000</v>
      </c>
      <c r="O62" s="62">
        <f>F62*10%</f>
        <v>2761.123</v>
      </c>
      <c r="P62" s="62">
        <v>20000</v>
      </c>
      <c r="Q62" s="62"/>
      <c r="R62" s="62">
        <f t="shared" si="18"/>
        <v>100000</v>
      </c>
      <c r="S62" s="62">
        <f t="shared" si="44"/>
        <v>150000</v>
      </c>
      <c r="T62" s="62">
        <f t="shared" ref="T62:T65" si="45">S62-N62</f>
        <v>50000</v>
      </c>
      <c r="U62" s="62">
        <f>0</f>
        <v>0</v>
      </c>
      <c r="V62" s="36">
        <f t="shared" si="0"/>
        <v>50000</v>
      </c>
    </row>
    <row r="63" spans="1:22" ht="18.75">
      <c r="A63" s="3">
        <v>3</v>
      </c>
      <c r="B63" s="257" t="s">
        <v>165</v>
      </c>
      <c r="C63" s="258"/>
      <c r="D63" s="33" t="s">
        <v>166</v>
      </c>
      <c r="E63" s="3" t="s">
        <v>95</v>
      </c>
      <c r="F63" s="62">
        <f>17784</f>
        <v>17784</v>
      </c>
      <c r="G63" s="62"/>
      <c r="H63" s="62">
        <f t="shared" si="41"/>
        <v>53352</v>
      </c>
      <c r="I63" s="62">
        <f t="shared" si="42"/>
        <v>1333.8</v>
      </c>
      <c r="J63" s="62"/>
      <c r="K63" s="62">
        <f>F63*50%</f>
        <v>8892</v>
      </c>
      <c r="L63" s="62">
        <f t="shared" si="43"/>
        <v>62244</v>
      </c>
      <c r="M63" s="62">
        <f>F63*100%</f>
        <v>17784</v>
      </c>
      <c r="N63" s="62">
        <v>100000</v>
      </c>
      <c r="O63" s="62">
        <f>F63*10%</f>
        <v>1778.4</v>
      </c>
      <c r="P63" s="62">
        <v>10000</v>
      </c>
      <c r="Q63" s="62"/>
      <c r="R63" s="62">
        <f t="shared" si="18"/>
        <v>100000</v>
      </c>
      <c r="S63" s="62">
        <f t="shared" si="44"/>
        <v>150000</v>
      </c>
      <c r="T63" s="62">
        <f t="shared" si="45"/>
        <v>50000</v>
      </c>
      <c r="U63" s="62">
        <f>0</f>
        <v>0</v>
      </c>
      <c r="V63" s="36">
        <f t="shared" si="0"/>
        <v>50000</v>
      </c>
    </row>
    <row r="64" spans="1:22" ht="18.75">
      <c r="A64" s="3">
        <v>4</v>
      </c>
      <c r="B64" s="257" t="s">
        <v>179</v>
      </c>
      <c r="C64" s="258"/>
      <c r="D64" s="61" t="s">
        <v>166</v>
      </c>
      <c r="E64" s="66" t="s">
        <v>82</v>
      </c>
      <c r="F64" s="62">
        <f>18779.3</f>
        <v>18779.3</v>
      </c>
      <c r="G64" s="62"/>
      <c r="H64" s="62">
        <f t="shared" si="41"/>
        <v>56337.899999999994</v>
      </c>
      <c r="I64" s="62">
        <f t="shared" si="42"/>
        <v>1408.4475</v>
      </c>
      <c r="J64" s="36">
        <v>0</v>
      </c>
      <c r="K64" s="62">
        <f>F64*50%</f>
        <v>9389.65</v>
      </c>
      <c r="L64" s="36">
        <f t="shared" si="43"/>
        <v>65727.55</v>
      </c>
      <c r="M64" s="62">
        <f>F64*100%</f>
        <v>18779.3</v>
      </c>
      <c r="N64" s="62">
        <f>100000</f>
        <v>100000</v>
      </c>
      <c r="O64" s="62">
        <f>F64*10%</f>
        <v>1877.93</v>
      </c>
      <c r="P64" s="62">
        <v>10000</v>
      </c>
      <c r="Q64" s="62">
        <v>0</v>
      </c>
      <c r="R64" s="62">
        <f t="shared" si="18"/>
        <v>100000</v>
      </c>
      <c r="S64" s="62">
        <f t="shared" si="44"/>
        <v>150000</v>
      </c>
      <c r="T64" s="62">
        <f t="shared" si="45"/>
        <v>50000</v>
      </c>
      <c r="U64" s="62">
        <f>0</f>
        <v>0</v>
      </c>
      <c r="V64" s="36">
        <f t="shared" si="0"/>
        <v>50000</v>
      </c>
    </row>
    <row r="65" spans="1:22" ht="23.25">
      <c r="A65" s="3"/>
      <c r="B65" s="273" t="s">
        <v>34</v>
      </c>
      <c r="C65" s="274"/>
      <c r="D65" s="30">
        <v>4</v>
      </c>
      <c r="E65" s="30"/>
      <c r="F65" s="92">
        <f>SUM(F61:F64)</f>
        <v>145914.54999999999</v>
      </c>
      <c r="G65" s="92"/>
      <c r="H65" s="92">
        <f t="shared" ref="H65:Q65" si="46">SUM(H61:H64)</f>
        <v>437743.65</v>
      </c>
      <c r="I65" s="92">
        <f t="shared" si="46"/>
        <v>10943.591249999999</v>
      </c>
      <c r="J65" s="92">
        <f t="shared" si="46"/>
        <v>80244.38</v>
      </c>
      <c r="K65" s="92">
        <f t="shared" si="46"/>
        <v>72957.274999999994</v>
      </c>
      <c r="L65" s="92">
        <f t="shared" si="46"/>
        <v>510700.92499999999</v>
      </c>
      <c r="M65" s="92">
        <f t="shared" si="46"/>
        <v>145914.54999999999</v>
      </c>
      <c r="N65" s="92">
        <f t="shared" si="46"/>
        <v>400000</v>
      </c>
      <c r="O65" s="92">
        <f t="shared" si="46"/>
        <v>14591.455</v>
      </c>
      <c r="P65" s="92">
        <f t="shared" si="46"/>
        <v>60000</v>
      </c>
      <c r="Q65" s="92">
        <f t="shared" si="46"/>
        <v>0</v>
      </c>
      <c r="R65" s="39">
        <f t="shared" si="18"/>
        <v>400000</v>
      </c>
      <c r="S65" s="95">
        <f>SUM(S61:S64)</f>
        <v>600000</v>
      </c>
      <c r="T65" s="95">
        <f t="shared" si="45"/>
        <v>200000</v>
      </c>
      <c r="U65" s="95">
        <f>SUM(U61:U64)</f>
        <v>0</v>
      </c>
      <c r="V65" s="106">
        <f t="shared" si="0"/>
        <v>200000</v>
      </c>
    </row>
    <row r="66" spans="1:22" ht="18.75">
      <c r="A66" s="3"/>
      <c r="B66" s="275"/>
      <c r="C66" s="276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2">
        <f t="shared" si="18"/>
        <v>0</v>
      </c>
      <c r="S66" s="39"/>
      <c r="T66" s="39"/>
      <c r="U66" s="39"/>
      <c r="V66" s="36">
        <f t="shared" si="0"/>
        <v>0</v>
      </c>
    </row>
    <row r="67" spans="1:22" ht="18.75">
      <c r="A67" s="3"/>
      <c r="B67" s="277" t="s">
        <v>469</v>
      </c>
      <c r="C67" s="278"/>
      <c r="D67" s="69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2">
        <f t="shared" si="18"/>
        <v>0</v>
      </c>
      <c r="S67" s="39"/>
      <c r="T67" s="39"/>
      <c r="U67" s="39"/>
      <c r="V67" s="36">
        <f t="shared" si="0"/>
        <v>0</v>
      </c>
    </row>
    <row r="68" spans="1:22" ht="18.75">
      <c r="A68" s="3">
        <v>1</v>
      </c>
      <c r="B68" s="257" t="s">
        <v>41</v>
      </c>
      <c r="C68" s="258"/>
      <c r="D68" s="61" t="s">
        <v>543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7">F68*100%</f>
        <v>81740.02</v>
      </c>
      <c r="N68" s="62">
        <v>100000</v>
      </c>
      <c r="O68" s="62">
        <f t="shared" ref="O68:O76" si="48">F68*10%</f>
        <v>8174.0020000000004</v>
      </c>
      <c r="P68" s="62">
        <v>20000</v>
      </c>
      <c r="Q68" s="62">
        <v>0</v>
      </c>
      <c r="R68" s="62">
        <f t="shared" si="18"/>
        <v>100000</v>
      </c>
      <c r="S68" s="62">
        <f t="shared" ref="S68:S76" si="49">150000</f>
        <v>150000</v>
      </c>
      <c r="T68" s="62">
        <f>S68-N68</f>
        <v>50000</v>
      </c>
      <c r="U68" s="62">
        <f>0</f>
        <v>0</v>
      </c>
      <c r="V68" s="36">
        <f t="shared" si="0"/>
        <v>50000</v>
      </c>
    </row>
    <row r="69" spans="1:22" ht="18.75">
      <c r="A69" s="3">
        <v>2</v>
      </c>
      <c r="B69" s="257" t="s">
        <v>186</v>
      </c>
      <c r="C69" s="258"/>
      <c r="D69" s="33" t="s">
        <v>176</v>
      </c>
      <c r="E69" s="3" t="s">
        <v>54</v>
      </c>
      <c r="F69" s="62">
        <f>33507.5</f>
        <v>33507.5</v>
      </c>
      <c r="G69" s="62"/>
      <c r="H69" s="62">
        <f t="shared" ref="H69:H76" si="50">F69*300%</f>
        <v>100522.5</v>
      </c>
      <c r="I69" s="62">
        <f t="shared" ref="I69:I76" si="51">F69*7.5%</f>
        <v>2513.0625</v>
      </c>
      <c r="J69" s="62">
        <v>40122.19</v>
      </c>
      <c r="K69" s="62">
        <f t="shared" ref="K69:K76" si="52">F69*50%</f>
        <v>16753.75</v>
      </c>
      <c r="L69" s="62">
        <f t="shared" ref="L69:L76" si="53">F69*350%</f>
        <v>117276.25</v>
      </c>
      <c r="M69" s="62">
        <f t="shared" si="47"/>
        <v>33507.5</v>
      </c>
      <c r="N69" s="62">
        <v>100000</v>
      </c>
      <c r="O69" s="62">
        <f t="shared" si="48"/>
        <v>3350.75</v>
      </c>
      <c r="P69" s="62">
        <v>20000</v>
      </c>
      <c r="Q69" s="62"/>
      <c r="R69" s="62">
        <f t="shared" si="18"/>
        <v>100000</v>
      </c>
      <c r="S69" s="62">
        <f t="shared" si="49"/>
        <v>150000</v>
      </c>
      <c r="T69" s="62">
        <f t="shared" ref="T69:T77" si="54">S69-N69</f>
        <v>50000</v>
      </c>
      <c r="U69" s="62">
        <f>0</f>
        <v>0</v>
      </c>
      <c r="V69" s="36">
        <f t="shared" si="0"/>
        <v>50000</v>
      </c>
    </row>
    <row r="70" spans="1:22" ht="18.75">
      <c r="A70" s="3">
        <v>3</v>
      </c>
      <c r="B70" s="257" t="s">
        <v>188</v>
      </c>
      <c r="C70" s="258"/>
      <c r="D70" s="33" t="s">
        <v>131</v>
      </c>
      <c r="E70" s="3" t="s">
        <v>132</v>
      </c>
      <c r="F70" s="62">
        <v>28489.81</v>
      </c>
      <c r="G70" s="62"/>
      <c r="H70" s="62">
        <f t="shared" si="50"/>
        <v>85469.430000000008</v>
      </c>
      <c r="I70" s="62">
        <f t="shared" si="51"/>
        <v>2136.7357499999998</v>
      </c>
      <c r="J70" s="62"/>
      <c r="K70" s="62">
        <f t="shared" si="52"/>
        <v>14244.905000000001</v>
      </c>
      <c r="L70" s="62">
        <f t="shared" si="53"/>
        <v>99714.335000000006</v>
      </c>
      <c r="M70" s="62">
        <f t="shared" si="47"/>
        <v>28489.81</v>
      </c>
      <c r="N70" s="62">
        <v>100000</v>
      </c>
      <c r="O70" s="62">
        <f t="shared" si="48"/>
        <v>2848.9810000000002</v>
      </c>
      <c r="P70" s="62">
        <v>20000</v>
      </c>
      <c r="Q70" s="62"/>
      <c r="R70" s="62">
        <f t="shared" si="18"/>
        <v>100000</v>
      </c>
      <c r="S70" s="62">
        <f t="shared" si="49"/>
        <v>150000</v>
      </c>
      <c r="T70" s="62">
        <f t="shared" si="54"/>
        <v>50000</v>
      </c>
      <c r="U70" s="62">
        <f>0</f>
        <v>0</v>
      </c>
      <c r="V70" s="36">
        <f t="shared" si="0"/>
        <v>50000</v>
      </c>
    </row>
    <row r="71" spans="1:22" ht="18.75">
      <c r="A71" s="3">
        <v>4</v>
      </c>
      <c r="B71" s="257" t="s">
        <v>396</v>
      </c>
      <c r="C71" s="258"/>
      <c r="D71" s="33" t="s">
        <v>140</v>
      </c>
      <c r="E71" s="3" t="s">
        <v>138</v>
      </c>
      <c r="F71" s="62">
        <f>25523.45</f>
        <v>25523.45</v>
      </c>
      <c r="G71" s="62"/>
      <c r="H71" s="62">
        <f t="shared" si="50"/>
        <v>76570.350000000006</v>
      </c>
      <c r="I71" s="62">
        <f t="shared" si="51"/>
        <v>1914.25875</v>
      </c>
      <c r="J71" s="62">
        <v>0</v>
      </c>
      <c r="K71" s="62">
        <f t="shared" si="52"/>
        <v>12761.725</v>
      </c>
      <c r="L71" s="62">
        <f t="shared" si="53"/>
        <v>89332.074999999997</v>
      </c>
      <c r="M71" s="62">
        <f t="shared" si="47"/>
        <v>25523.45</v>
      </c>
      <c r="N71" s="62">
        <v>100000</v>
      </c>
      <c r="O71" s="62">
        <f t="shared" si="48"/>
        <v>2552.3450000000003</v>
      </c>
      <c r="P71" s="62">
        <v>15000</v>
      </c>
      <c r="Q71" s="62">
        <v>0</v>
      </c>
      <c r="R71" s="62">
        <f t="shared" si="18"/>
        <v>100000</v>
      </c>
      <c r="S71" s="62">
        <f t="shared" si="49"/>
        <v>150000</v>
      </c>
      <c r="T71" s="62">
        <f t="shared" si="54"/>
        <v>50000</v>
      </c>
      <c r="U71" s="62">
        <f>0</f>
        <v>0</v>
      </c>
      <c r="V71" s="36">
        <f t="shared" ref="V71:V134" si="55">S71-N71</f>
        <v>50000</v>
      </c>
    </row>
    <row r="72" spans="1:22" ht="18.75">
      <c r="A72" s="3">
        <v>5</v>
      </c>
      <c r="B72" s="269" t="s">
        <v>192</v>
      </c>
      <c r="C72" s="270"/>
      <c r="D72" s="20" t="s">
        <v>140</v>
      </c>
      <c r="E72" s="29" t="s">
        <v>98</v>
      </c>
      <c r="F72" s="26">
        <f>24741.26</f>
        <v>24741.26</v>
      </c>
      <c r="G72" s="62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62">
        <f t="shared" si="18"/>
        <v>100000</v>
      </c>
      <c r="S72" s="62">
        <f t="shared" si="49"/>
        <v>150000</v>
      </c>
      <c r="T72" s="62">
        <f t="shared" si="54"/>
        <v>50000</v>
      </c>
      <c r="U72" s="62">
        <f>0</f>
        <v>0</v>
      </c>
      <c r="V72" s="36">
        <f t="shared" si="55"/>
        <v>50000</v>
      </c>
    </row>
    <row r="73" spans="1:22" ht="18.75">
      <c r="A73" s="3">
        <v>6</v>
      </c>
      <c r="B73" s="269" t="s">
        <v>158</v>
      </c>
      <c r="C73" s="270"/>
      <c r="D73" s="20" t="s">
        <v>142</v>
      </c>
      <c r="E73" s="29" t="s">
        <v>539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62">
        <f t="shared" si="18"/>
        <v>100000</v>
      </c>
      <c r="S73" s="62">
        <f t="shared" si="49"/>
        <v>150000</v>
      </c>
      <c r="T73" s="62">
        <f t="shared" si="54"/>
        <v>50000</v>
      </c>
      <c r="U73" s="62">
        <f>0</f>
        <v>0</v>
      </c>
      <c r="V73" s="36">
        <f t="shared" si="55"/>
        <v>50000</v>
      </c>
    </row>
    <row r="74" spans="1:22" ht="18.75">
      <c r="A74" s="3">
        <v>7</v>
      </c>
      <c r="B74" s="269" t="s">
        <v>154</v>
      </c>
      <c r="C74" s="270"/>
      <c r="D74" s="20" t="s">
        <v>140</v>
      </c>
      <c r="E74" s="29" t="s">
        <v>98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62">
        <f t="shared" si="18"/>
        <v>100000</v>
      </c>
      <c r="S74" s="62">
        <f t="shared" si="49"/>
        <v>150000</v>
      </c>
      <c r="T74" s="62">
        <f t="shared" si="54"/>
        <v>50000</v>
      </c>
      <c r="U74" s="62">
        <f>0</f>
        <v>0</v>
      </c>
      <c r="V74" s="36">
        <f t="shared" si="55"/>
        <v>50000</v>
      </c>
    </row>
    <row r="75" spans="1:22" ht="18.75">
      <c r="A75" s="3">
        <v>8</v>
      </c>
      <c r="B75" s="269" t="s">
        <v>491</v>
      </c>
      <c r="C75" s="270"/>
      <c r="D75" s="20" t="s">
        <v>544</v>
      </c>
      <c r="E75" s="29" t="s">
        <v>98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62">
        <f t="shared" si="18"/>
        <v>100000</v>
      </c>
      <c r="S75" s="62">
        <f t="shared" si="49"/>
        <v>150000</v>
      </c>
      <c r="T75" s="62">
        <f t="shared" si="54"/>
        <v>50000</v>
      </c>
      <c r="U75" s="62">
        <f>0</f>
        <v>0</v>
      </c>
      <c r="V75" s="36">
        <f t="shared" si="55"/>
        <v>50000</v>
      </c>
    </row>
    <row r="76" spans="1:22" ht="18.75">
      <c r="A76" s="3">
        <v>9</v>
      </c>
      <c r="B76" s="264" t="s">
        <v>195</v>
      </c>
      <c r="C76" s="264"/>
      <c r="D76" s="33" t="s">
        <v>142</v>
      </c>
      <c r="E76" s="66" t="s">
        <v>103</v>
      </c>
      <c r="F76" s="62">
        <f>18281.64</f>
        <v>18281.64</v>
      </c>
      <c r="G76" s="62"/>
      <c r="H76" s="62">
        <f t="shared" si="50"/>
        <v>54844.92</v>
      </c>
      <c r="I76" s="62">
        <f t="shared" si="51"/>
        <v>1371.1229999999998</v>
      </c>
      <c r="J76" s="62">
        <v>0</v>
      </c>
      <c r="K76" s="62">
        <f t="shared" si="52"/>
        <v>9140.82</v>
      </c>
      <c r="L76" s="36">
        <f t="shared" si="53"/>
        <v>63985.74</v>
      </c>
      <c r="M76" s="62">
        <f t="shared" si="47"/>
        <v>18281.64</v>
      </c>
      <c r="N76" s="62">
        <v>100000</v>
      </c>
      <c r="O76" s="62">
        <f t="shared" si="48"/>
        <v>1828.164</v>
      </c>
      <c r="P76" s="62">
        <v>10000</v>
      </c>
      <c r="Q76" s="62">
        <v>0</v>
      </c>
      <c r="R76" s="62">
        <f t="shared" si="18"/>
        <v>100000</v>
      </c>
      <c r="S76" s="62">
        <f t="shared" si="49"/>
        <v>150000</v>
      </c>
      <c r="T76" s="62">
        <f t="shared" si="54"/>
        <v>50000</v>
      </c>
      <c r="U76" s="62">
        <f>0</f>
        <v>0</v>
      </c>
      <c r="V76" s="36">
        <f t="shared" si="55"/>
        <v>50000</v>
      </c>
    </row>
    <row r="77" spans="1:22" ht="23.25">
      <c r="A77" s="33"/>
      <c r="B77" s="267" t="s">
        <v>34</v>
      </c>
      <c r="C77" s="267"/>
      <c r="D77" s="7">
        <v>9</v>
      </c>
      <c r="E77" s="7"/>
      <c r="F77" s="95">
        <f>SUM(F68:F76)</f>
        <v>281540.82000000007</v>
      </c>
      <c r="G77" s="95"/>
      <c r="H77" s="95">
        <f t="shared" ref="H77:Q77" si="56">SUM(H68:H76)</f>
        <v>844622.46000000008</v>
      </c>
      <c r="I77" s="95">
        <f t="shared" si="56"/>
        <v>21115.561499999996</v>
      </c>
      <c r="J77" s="95">
        <f t="shared" si="56"/>
        <v>120366.57</v>
      </c>
      <c r="K77" s="95">
        <f t="shared" si="56"/>
        <v>140770.41000000003</v>
      </c>
      <c r="L77" s="95">
        <f t="shared" si="56"/>
        <v>985392.87000000011</v>
      </c>
      <c r="M77" s="95">
        <f t="shared" si="56"/>
        <v>281540.82000000007</v>
      </c>
      <c r="N77" s="95">
        <f t="shared" si="56"/>
        <v>900000</v>
      </c>
      <c r="O77" s="95">
        <f t="shared" si="56"/>
        <v>28154.082000000002</v>
      </c>
      <c r="P77" s="95">
        <f t="shared" si="56"/>
        <v>140000</v>
      </c>
      <c r="Q77" s="95">
        <f t="shared" si="56"/>
        <v>0</v>
      </c>
      <c r="R77" s="39">
        <f t="shared" si="18"/>
        <v>900000</v>
      </c>
      <c r="S77" s="95">
        <f>SUM(S68:S76)</f>
        <v>1350000</v>
      </c>
      <c r="T77" s="95">
        <f t="shared" si="54"/>
        <v>450000</v>
      </c>
      <c r="U77" s="95">
        <f>SUM(U68:U76)</f>
        <v>0</v>
      </c>
      <c r="V77" s="106">
        <f t="shared" si="55"/>
        <v>450000</v>
      </c>
    </row>
    <row r="78" spans="1:22" ht="18.75">
      <c r="A78" s="33"/>
      <c r="B78" s="96"/>
      <c r="C78" s="9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62">
        <f t="shared" si="18"/>
        <v>0</v>
      </c>
      <c r="S78" s="39"/>
      <c r="T78" s="39"/>
      <c r="U78" s="39"/>
      <c r="V78" s="36">
        <f t="shared" si="55"/>
        <v>0</v>
      </c>
    </row>
    <row r="79" spans="1:22" ht="18.75">
      <c r="A79" s="33"/>
      <c r="B79" s="267" t="s">
        <v>199</v>
      </c>
      <c r="C79" s="267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62">
        <f t="shared" si="18"/>
        <v>0</v>
      </c>
      <c r="S79" s="39"/>
      <c r="T79" s="39"/>
      <c r="U79" s="39"/>
      <c r="V79" s="36">
        <f t="shared" si="55"/>
        <v>0</v>
      </c>
    </row>
    <row r="80" spans="1:22" ht="18.75">
      <c r="A80" s="33">
        <v>1</v>
      </c>
      <c r="B80" s="257" t="s">
        <v>580</v>
      </c>
      <c r="C80" s="258"/>
      <c r="D80" s="33" t="s">
        <v>581</v>
      </c>
      <c r="E80" s="3" t="s">
        <v>479</v>
      </c>
      <c r="F80" s="62">
        <f>39662.25</f>
        <v>39662.25</v>
      </c>
      <c r="G80" s="62">
        <v>0</v>
      </c>
      <c r="H80" s="62">
        <f t="shared" ref="H80" si="57">F80*300%</f>
        <v>118986.75</v>
      </c>
      <c r="I80" s="62">
        <f t="shared" ref="I80" si="58">F80*7.5%</f>
        <v>2974.6687499999998</v>
      </c>
      <c r="J80" s="62">
        <v>40122.19</v>
      </c>
      <c r="K80" s="62">
        <f t="shared" ref="K80" si="59">F80*50%</f>
        <v>19831.125</v>
      </c>
      <c r="L80" s="62">
        <f t="shared" ref="L80" si="60">F80*350%</f>
        <v>138817.875</v>
      </c>
      <c r="M80" s="62">
        <f t="shared" ref="M80" si="61">F80*100%</f>
        <v>39662.25</v>
      </c>
      <c r="N80" s="62">
        <v>100000</v>
      </c>
      <c r="O80" s="62">
        <f t="shared" ref="O80" si="62">F80*10%</f>
        <v>3966.2250000000004</v>
      </c>
      <c r="P80" s="62">
        <v>20000</v>
      </c>
      <c r="Q80" s="62">
        <v>0</v>
      </c>
      <c r="R80" s="62">
        <f t="shared" si="18"/>
        <v>100000</v>
      </c>
      <c r="S80" s="62">
        <v>100000</v>
      </c>
      <c r="T80" s="62"/>
      <c r="U80" s="62">
        <f>0</f>
        <v>0</v>
      </c>
      <c r="V80" s="36">
        <f t="shared" si="55"/>
        <v>0</v>
      </c>
    </row>
    <row r="81" spans="1:22" ht="18.75">
      <c r="A81" s="33">
        <v>2</v>
      </c>
      <c r="B81" s="257" t="s">
        <v>44</v>
      </c>
      <c r="C81" s="258"/>
      <c r="D81" s="33" t="s">
        <v>545</v>
      </c>
      <c r="E81" s="3" t="s">
        <v>54</v>
      </c>
      <c r="F81" s="62">
        <f>33507.5</f>
        <v>33507.5</v>
      </c>
      <c r="G81" s="62"/>
      <c r="H81" s="62">
        <f>F81*300%</f>
        <v>100522.5</v>
      </c>
      <c r="I81" s="62">
        <f>F81*7.5%</f>
        <v>2513.0625</v>
      </c>
      <c r="J81" s="62">
        <v>40122.19</v>
      </c>
      <c r="K81" s="62">
        <f>F81*50%</f>
        <v>16753.75</v>
      </c>
      <c r="L81" s="62">
        <f>F81*350%</f>
        <v>117276.25</v>
      </c>
      <c r="M81" s="62">
        <f>F81*100%</f>
        <v>33507.5</v>
      </c>
      <c r="N81" s="62">
        <v>100000</v>
      </c>
      <c r="O81" s="62">
        <f>F81*10%</f>
        <v>3350.75</v>
      </c>
      <c r="P81" s="62">
        <v>20000</v>
      </c>
      <c r="Q81" s="62">
        <v>150000</v>
      </c>
      <c r="R81" s="62">
        <f t="shared" si="18"/>
        <v>250000</v>
      </c>
      <c r="S81" s="62">
        <v>150000</v>
      </c>
      <c r="T81" s="62">
        <f>S81-N81</f>
        <v>50000</v>
      </c>
      <c r="U81" s="62">
        <f>0</f>
        <v>0</v>
      </c>
      <c r="V81" s="36">
        <f t="shared" si="55"/>
        <v>50000</v>
      </c>
    </row>
    <row r="82" spans="1:22" ht="18.75">
      <c r="A82" s="33">
        <v>3</v>
      </c>
      <c r="B82" s="269" t="s">
        <v>202</v>
      </c>
      <c r="C82" s="270"/>
      <c r="D82" s="20" t="s">
        <v>493</v>
      </c>
      <c r="E82" s="29" t="s">
        <v>98</v>
      </c>
      <c r="F82" s="26">
        <f>24741.26</f>
        <v>24741.26</v>
      </c>
      <c r="G82" s="62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62">
        <f t="shared" si="18"/>
        <v>100000</v>
      </c>
      <c r="S82" s="26">
        <v>100000</v>
      </c>
      <c r="T82" s="26"/>
      <c r="U82" s="62">
        <f>0</f>
        <v>0</v>
      </c>
      <c r="V82" s="36">
        <f t="shared" si="55"/>
        <v>0</v>
      </c>
    </row>
    <row r="83" spans="1:22" ht="18.75">
      <c r="A83" s="33">
        <v>4</v>
      </c>
      <c r="B83" s="271" t="s">
        <v>69</v>
      </c>
      <c r="C83" s="272"/>
      <c r="D83" s="33" t="s">
        <v>445</v>
      </c>
      <c r="E83" s="3" t="s">
        <v>98</v>
      </c>
      <c r="F83" s="26">
        <f>24741.26</f>
        <v>24741.26</v>
      </c>
      <c r="G83" s="62"/>
      <c r="H83" s="62">
        <f>F83*300%</f>
        <v>74223.78</v>
      </c>
      <c r="I83" s="62">
        <f>F83*7.5%</f>
        <v>1855.5944999999997</v>
      </c>
      <c r="J83" s="62"/>
      <c r="K83" s="62">
        <f>F83*50%</f>
        <v>12370.63</v>
      </c>
      <c r="L83" s="36">
        <f>F83*350%</f>
        <v>86594.409999999989</v>
      </c>
      <c r="M83" s="62">
        <f>F83*100%</f>
        <v>24741.26</v>
      </c>
      <c r="N83" s="26">
        <v>100000</v>
      </c>
      <c r="O83" s="62">
        <f>F83*10%</f>
        <v>2474.1260000000002</v>
      </c>
      <c r="P83" s="62">
        <v>15000</v>
      </c>
      <c r="Q83" s="62">
        <v>50000</v>
      </c>
      <c r="R83" s="62">
        <f t="shared" si="18"/>
        <v>150000</v>
      </c>
      <c r="S83" s="26">
        <v>150000</v>
      </c>
      <c r="T83" s="26">
        <f>S83-N83</f>
        <v>50000</v>
      </c>
      <c r="U83" s="62">
        <f>0</f>
        <v>0</v>
      </c>
      <c r="V83" s="36">
        <f t="shared" si="55"/>
        <v>50000</v>
      </c>
    </row>
    <row r="84" spans="1:22" ht="18.75">
      <c r="A84" s="33">
        <v>5</v>
      </c>
      <c r="B84" s="257" t="s">
        <v>206</v>
      </c>
      <c r="C84" s="258"/>
      <c r="D84" s="33" t="s">
        <v>546</v>
      </c>
      <c r="E84" s="66" t="s">
        <v>95</v>
      </c>
      <c r="F84" s="26">
        <f>17784</f>
        <v>17784</v>
      </c>
      <c r="G84" s="62"/>
      <c r="H84" s="62">
        <f>F84*300%</f>
        <v>53352</v>
      </c>
      <c r="I84" s="62">
        <f>F84*7.5%</f>
        <v>1333.8</v>
      </c>
      <c r="J84" s="62"/>
      <c r="K84" s="62">
        <f>F84*50%</f>
        <v>8892</v>
      </c>
      <c r="L84" s="36">
        <f>F84*350%</f>
        <v>62244</v>
      </c>
      <c r="M84" s="26">
        <f>F84*100%</f>
        <v>17784</v>
      </c>
      <c r="N84" s="62">
        <f t="shared" ref="N84:N115" si="63">100000</f>
        <v>100000</v>
      </c>
      <c r="O84" s="62">
        <f>F84*10%</f>
        <v>1778.4</v>
      </c>
      <c r="P84" s="62">
        <v>10000</v>
      </c>
      <c r="Q84" s="62"/>
      <c r="R84" s="62">
        <f t="shared" si="18"/>
        <v>100000</v>
      </c>
      <c r="S84" s="62">
        <f t="shared" ref="S84" si="64">100000</f>
        <v>100000</v>
      </c>
      <c r="T84" s="62"/>
      <c r="U84" s="62">
        <f>0</f>
        <v>0</v>
      </c>
      <c r="V84" s="36">
        <f t="shared" si="55"/>
        <v>0</v>
      </c>
    </row>
    <row r="85" spans="1:22" ht="18.75">
      <c r="A85" s="33">
        <v>6</v>
      </c>
      <c r="B85" s="97" t="s">
        <v>582</v>
      </c>
      <c r="C85" s="98"/>
      <c r="D85" s="33"/>
      <c r="E85" s="66" t="s">
        <v>168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62">
        <f t="shared" si="18"/>
        <v>100000</v>
      </c>
      <c r="S85" s="26">
        <v>100000</v>
      </c>
      <c r="T85" s="26"/>
      <c r="U85" s="62">
        <f>0</f>
        <v>0</v>
      </c>
      <c r="V85" s="36">
        <f t="shared" si="55"/>
        <v>0</v>
      </c>
    </row>
    <row r="86" spans="1:22" ht="23.25">
      <c r="A86" s="33"/>
      <c r="B86" s="267" t="s">
        <v>34</v>
      </c>
      <c r="C86" s="267"/>
      <c r="D86" s="7">
        <v>6</v>
      </c>
      <c r="E86" s="91"/>
      <c r="F86" s="92">
        <f t="shared" ref="F86:Q86" si="65">SUM(F80:F85)</f>
        <v>157722.59999999998</v>
      </c>
      <c r="G86" s="92">
        <f t="shared" si="65"/>
        <v>0</v>
      </c>
      <c r="H86" s="92">
        <f t="shared" si="65"/>
        <v>473167.80000000005</v>
      </c>
      <c r="I86" s="92">
        <f t="shared" si="65"/>
        <v>11829.194999999998</v>
      </c>
      <c r="J86" s="92">
        <f t="shared" si="65"/>
        <v>80244.38</v>
      </c>
      <c r="K86" s="92">
        <f t="shared" si="65"/>
        <v>78861.299999999988</v>
      </c>
      <c r="L86" s="92">
        <f t="shared" si="65"/>
        <v>552029.1</v>
      </c>
      <c r="M86" s="92">
        <f t="shared" si="65"/>
        <v>157722.59999999998</v>
      </c>
      <c r="N86" s="92">
        <f t="shared" si="65"/>
        <v>600000</v>
      </c>
      <c r="O86" s="92">
        <f t="shared" si="65"/>
        <v>15772.26</v>
      </c>
      <c r="P86" s="92">
        <f t="shared" si="65"/>
        <v>90000</v>
      </c>
      <c r="Q86" s="92">
        <f t="shared" si="65"/>
        <v>200000</v>
      </c>
      <c r="R86" s="39">
        <f t="shared" si="18"/>
        <v>800000</v>
      </c>
      <c r="S86" s="92">
        <f t="shared" ref="S86" si="66">SUM(S80:S85)</f>
        <v>700000</v>
      </c>
      <c r="T86" s="92">
        <f>SUM(T80:T85)</f>
        <v>100000</v>
      </c>
      <c r="U86" s="92">
        <f>SUM(U80:U85)</f>
        <v>0</v>
      </c>
      <c r="V86" s="106">
        <f t="shared" si="55"/>
        <v>100000</v>
      </c>
    </row>
    <row r="87" spans="1:22" ht="18.75">
      <c r="A87" s="33"/>
      <c r="B87" s="96"/>
      <c r="C87" s="96"/>
      <c r="D87" s="7"/>
      <c r="E87" s="9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62">
        <f t="shared" si="18"/>
        <v>0</v>
      </c>
      <c r="S87" s="31"/>
      <c r="T87" s="31"/>
      <c r="U87" s="31"/>
      <c r="V87" s="36">
        <f t="shared" si="55"/>
        <v>0</v>
      </c>
    </row>
    <row r="88" spans="1:22" ht="18.75">
      <c r="A88" s="33"/>
      <c r="B88" s="267" t="s">
        <v>209</v>
      </c>
      <c r="C88" s="267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62">
        <f t="shared" si="18"/>
        <v>0</v>
      </c>
      <c r="S88" s="33"/>
      <c r="T88" s="33"/>
      <c r="U88" s="33"/>
      <c r="V88" s="36">
        <f t="shared" si="55"/>
        <v>0</v>
      </c>
    </row>
    <row r="89" spans="1:22" ht="18.75">
      <c r="A89" s="1">
        <v>1</v>
      </c>
      <c r="B89" s="257" t="s">
        <v>210</v>
      </c>
      <c r="C89" s="258"/>
      <c r="D89" s="61" t="s">
        <v>211</v>
      </c>
      <c r="E89" s="66" t="s">
        <v>540</v>
      </c>
      <c r="F89" s="62">
        <f>76339.3</f>
        <v>76339.3</v>
      </c>
      <c r="G89" s="62"/>
      <c r="H89" s="62">
        <f>F89*300%</f>
        <v>229017.90000000002</v>
      </c>
      <c r="I89" s="62">
        <f>F89*7.5%</f>
        <v>5725.4475000000002</v>
      </c>
      <c r="J89" s="62">
        <v>80244.38</v>
      </c>
      <c r="K89" s="62">
        <f>F89*50%</f>
        <v>38169.65</v>
      </c>
      <c r="L89" s="62">
        <f>F89*350%</f>
        <v>267187.55</v>
      </c>
      <c r="M89" s="62">
        <f>F89*100%</f>
        <v>76339.3</v>
      </c>
      <c r="N89" s="62">
        <v>100000</v>
      </c>
      <c r="O89" s="62">
        <f>F89*10%</f>
        <v>7633.93</v>
      </c>
      <c r="P89" s="62">
        <v>20000</v>
      </c>
      <c r="Q89" s="62">
        <v>0</v>
      </c>
      <c r="R89" s="62">
        <f t="shared" si="18"/>
        <v>100000</v>
      </c>
      <c r="S89" s="62">
        <v>150000</v>
      </c>
      <c r="T89" s="62">
        <f>S89-N89</f>
        <v>50000</v>
      </c>
      <c r="U89" s="62">
        <f>0</f>
        <v>0</v>
      </c>
      <c r="V89" s="36">
        <f t="shared" si="55"/>
        <v>50000</v>
      </c>
    </row>
    <row r="90" spans="1:22" ht="18.75">
      <c r="A90" s="1">
        <v>2</v>
      </c>
      <c r="B90" s="311" t="s">
        <v>212</v>
      </c>
      <c r="C90" s="312"/>
      <c r="D90" s="33" t="s">
        <v>213</v>
      </c>
      <c r="E90" s="3" t="s">
        <v>54</v>
      </c>
      <c r="F90" s="62">
        <f>33507.5</f>
        <v>33507.5</v>
      </c>
      <c r="G90" s="62"/>
      <c r="H90" s="62">
        <f>F90*300%</f>
        <v>100522.5</v>
      </c>
      <c r="I90" s="62">
        <f>F90*7.5%</f>
        <v>2513.0625</v>
      </c>
      <c r="J90" s="62">
        <v>40122.19</v>
      </c>
      <c r="K90" s="62">
        <f>F90*50%</f>
        <v>16753.75</v>
      </c>
      <c r="L90" s="62">
        <f>F90*350%</f>
        <v>117276.25</v>
      </c>
      <c r="M90" s="62">
        <f>F90*100%</f>
        <v>33507.5</v>
      </c>
      <c r="N90" s="62">
        <v>100000</v>
      </c>
      <c r="O90" s="62">
        <f>F90*10%</f>
        <v>3350.75</v>
      </c>
      <c r="P90" s="62">
        <v>20000</v>
      </c>
      <c r="Q90" s="62">
        <v>0</v>
      </c>
      <c r="R90" s="62">
        <f t="shared" si="18"/>
        <v>100000</v>
      </c>
      <c r="S90" s="62">
        <v>150000</v>
      </c>
      <c r="T90" s="62">
        <f t="shared" ref="T90:T93" si="67">S90-N90</f>
        <v>50000</v>
      </c>
      <c r="U90" s="62">
        <f>0</f>
        <v>0</v>
      </c>
      <c r="V90" s="36">
        <f t="shared" si="55"/>
        <v>50000</v>
      </c>
    </row>
    <row r="91" spans="1:22" ht="18.75">
      <c r="A91" s="1">
        <v>3</v>
      </c>
      <c r="B91" s="257" t="s">
        <v>214</v>
      </c>
      <c r="C91" s="258"/>
      <c r="D91" s="33" t="s">
        <v>547</v>
      </c>
      <c r="E91" s="3" t="s">
        <v>138</v>
      </c>
      <c r="F91" s="62">
        <f>25523.45</f>
        <v>25523.45</v>
      </c>
      <c r="G91" s="62"/>
      <c r="H91" s="62">
        <f>F91*300%</f>
        <v>76570.350000000006</v>
      </c>
      <c r="I91" s="62">
        <f>F91*7.5%</f>
        <v>1914.25875</v>
      </c>
      <c r="J91" s="62">
        <v>0</v>
      </c>
      <c r="K91" s="62">
        <f>F91*50%</f>
        <v>12761.725</v>
      </c>
      <c r="L91" s="62">
        <f>F91*350%</f>
        <v>89332.074999999997</v>
      </c>
      <c r="M91" s="62">
        <f>F91*100%</f>
        <v>25523.45</v>
      </c>
      <c r="N91" s="62">
        <v>100000</v>
      </c>
      <c r="O91" s="62">
        <f>F91*10%</f>
        <v>2552.3450000000003</v>
      </c>
      <c r="P91" s="62">
        <v>15000</v>
      </c>
      <c r="Q91" s="62">
        <v>0</v>
      </c>
      <c r="R91" s="62">
        <f t="shared" si="18"/>
        <v>100000</v>
      </c>
      <c r="S91" s="62">
        <v>150000</v>
      </c>
      <c r="T91" s="62">
        <f t="shared" si="67"/>
        <v>50000</v>
      </c>
      <c r="U91" s="62">
        <f>0</f>
        <v>0</v>
      </c>
      <c r="V91" s="36">
        <f t="shared" si="55"/>
        <v>50000</v>
      </c>
    </row>
    <row r="92" spans="1:22" ht="18.75">
      <c r="A92" s="1">
        <v>4</v>
      </c>
      <c r="B92" s="269" t="s">
        <v>216</v>
      </c>
      <c r="C92" s="270"/>
      <c r="D92" s="20" t="s">
        <v>548</v>
      </c>
      <c r="E92" s="29" t="s">
        <v>549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62">
        <f t="shared" si="18"/>
        <v>100000</v>
      </c>
      <c r="S92" s="62">
        <v>150000</v>
      </c>
      <c r="T92" s="62">
        <f t="shared" si="67"/>
        <v>50000</v>
      </c>
      <c r="U92" s="62">
        <f>0</f>
        <v>0</v>
      </c>
      <c r="V92" s="36">
        <f t="shared" si="55"/>
        <v>50000</v>
      </c>
    </row>
    <row r="93" spans="1:22" ht="23.25">
      <c r="A93" s="1"/>
      <c r="B93" s="267" t="s">
        <v>34</v>
      </c>
      <c r="C93" s="267"/>
      <c r="D93" s="3">
        <v>4</v>
      </c>
      <c r="E93" s="33"/>
      <c r="F93" s="93">
        <f>SUM(F89:F92)</f>
        <v>156140.25</v>
      </c>
      <c r="G93" s="94"/>
      <c r="H93" s="93">
        <f t="shared" ref="H93:Q93" si="68">SUM(H89:H92)</f>
        <v>468420.75</v>
      </c>
      <c r="I93" s="93">
        <f t="shared" si="68"/>
        <v>11710.518749999999</v>
      </c>
      <c r="J93" s="93">
        <f t="shared" si="68"/>
        <v>120366.57</v>
      </c>
      <c r="K93" s="93">
        <f t="shared" si="68"/>
        <v>78070.125</v>
      </c>
      <c r="L93" s="93">
        <f t="shared" si="68"/>
        <v>546490.875</v>
      </c>
      <c r="M93" s="93">
        <f t="shared" si="68"/>
        <v>156140.25</v>
      </c>
      <c r="N93" s="93">
        <f t="shared" si="68"/>
        <v>400000</v>
      </c>
      <c r="O93" s="93">
        <f t="shared" si="68"/>
        <v>15614.025000000001</v>
      </c>
      <c r="P93" s="93">
        <f t="shared" si="68"/>
        <v>65000</v>
      </c>
      <c r="Q93" s="93">
        <f t="shared" si="68"/>
        <v>0</v>
      </c>
      <c r="R93" s="39">
        <f t="shared" si="18"/>
        <v>400000</v>
      </c>
      <c r="S93" s="93">
        <f t="shared" ref="S93" si="69">SUM(S89:S92)</f>
        <v>600000</v>
      </c>
      <c r="T93" s="39">
        <f t="shared" si="67"/>
        <v>200000</v>
      </c>
      <c r="U93" s="93">
        <f>SUM(U89:U92)</f>
        <v>0</v>
      </c>
      <c r="V93" s="106">
        <f t="shared" si="55"/>
        <v>200000</v>
      </c>
    </row>
    <row r="94" spans="1:22" ht="18.75">
      <c r="A94" s="1"/>
      <c r="B94" s="96"/>
      <c r="C94" s="96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2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.75">
      <c r="A95" s="1"/>
      <c r="B95" s="267" t="s">
        <v>222</v>
      </c>
      <c r="C95" s="267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62">
        <f t="shared" si="70"/>
        <v>0</v>
      </c>
      <c r="S95" s="39"/>
      <c r="T95" s="39"/>
      <c r="U95" s="39"/>
      <c r="V95" s="36">
        <f t="shared" si="55"/>
        <v>0</v>
      </c>
    </row>
    <row r="96" spans="1:22" ht="18.75">
      <c r="A96" s="1">
        <v>1</v>
      </c>
      <c r="B96" s="264" t="s">
        <v>223</v>
      </c>
      <c r="C96" s="264"/>
      <c r="D96" s="61" t="s">
        <v>224</v>
      </c>
      <c r="E96" s="66" t="s">
        <v>118</v>
      </c>
      <c r="F96" s="62">
        <f>79039.64</f>
        <v>79039.64</v>
      </c>
      <c r="G96" s="62"/>
      <c r="H96" s="62">
        <f t="shared" ref="H96:H105" si="71">F96*300%</f>
        <v>237118.91999999998</v>
      </c>
      <c r="I96" s="62">
        <f t="shared" ref="I96:I105" si="72">F96*7.5%</f>
        <v>5927.973</v>
      </c>
      <c r="J96" s="62">
        <f>80244.38</f>
        <v>80244.38</v>
      </c>
      <c r="K96" s="62">
        <f t="shared" ref="K96:K105" si="73">F96*50%</f>
        <v>39519.82</v>
      </c>
      <c r="L96" s="62">
        <f t="shared" ref="L96:L105" si="74">F96*350%</f>
        <v>276638.74</v>
      </c>
      <c r="M96" s="62">
        <f t="shared" ref="M96:M105" si="75">F96*100%</f>
        <v>79039.64</v>
      </c>
      <c r="N96" s="62">
        <f>0</f>
        <v>0</v>
      </c>
      <c r="O96" s="62">
        <f t="shared" ref="O96:O105" si="76">F96*10%</f>
        <v>7903.9639999999999</v>
      </c>
      <c r="P96" s="62">
        <v>20000</v>
      </c>
      <c r="Q96" s="62">
        <v>100000</v>
      </c>
      <c r="R96" s="62">
        <f t="shared" si="70"/>
        <v>100000</v>
      </c>
      <c r="S96" s="62">
        <f>100000</f>
        <v>100000</v>
      </c>
      <c r="T96" s="62">
        <f>0</f>
        <v>0</v>
      </c>
      <c r="U96" s="36">
        <v>100000</v>
      </c>
      <c r="V96" s="36">
        <f t="shared" si="55"/>
        <v>100000</v>
      </c>
    </row>
    <row r="97" spans="1:22" ht="18.75">
      <c r="A97" s="1">
        <v>2</v>
      </c>
      <c r="B97" s="264" t="s">
        <v>225</v>
      </c>
      <c r="C97" s="264"/>
      <c r="D97" s="61" t="s">
        <v>226</v>
      </c>
      <c r="E97" s="66" t="s">
        <v>46</v>
      </c>
      <c r="F97" s="62">
        <f>41157.69</f>
        <v>41157.69</v>
      </c>
      <c r="G97" s="62"/>
      <c r="H97" s="62">
        <f t="shared" si="71"/>
        <v>123473.07</v>
      </c>
      <c r="I97" s="62">
        <f t="shared" si="72"/>
        <v>3086.8267500000002</v>
      </c>
      <c r="J97" s="62">
        <v>40122.19</v>
      </c>
      <c r="K97" s="62">
        <f t="shared" si="73"/>
        <v>20578.845000000001</v>
      </c>
      <c r="L97" s="62">
        <f t="shared" si="74"/>
        <v>144051.91500000001</v>
      </c>
      <c r="M97" s="62">
        <f t="shared" si="75"/>
        <v>41157.69</v>
      </c>
      <c r="N97" s="62">
        <v>0</v>
      </c>
      <c r="O97" s="62">
        <f t="shared" si="76"/>
        <v>4115.7690000000002</v>
      </c>
      <c r="P97" s="62">
        <v>20000</v>
      </c>
      <c r="Q97" s="62">
        <f>50000</f>
        <v>50000</v>
      </c>
      <c r="R97" s="62">
        <f t="shared" si="70"/>
        <v>50000</v>
      </c>
      <c r="S97" s="62">
        <f t="shared" ref="S97:S105" si="77">100000</f>
        <v>100000</v>
      </c>
      <c r="T97" s="62">
        <f>0</f>
        <v>0</v>
      </c>
      <c r="U97" s="36">
        <v>100000</v>
      </c>
      <c r="V97" s="36">
        <f t="shared" si="55"/>
        <v>100000</v>
      </c>
    </row>
    <row r="98" spans="1:22" ht="18.75">
      <c r="A98" s="1">
        <v>3</v>
      </c>
      <c r="B98" s="264" t="s">
        <v>228</v>
      </c>
      <c r="C98" s="264"/>
      <c r="D98" s="61" t="s">
        <v>495</v>
      </c>
      <c r="E98" s="66" t="s">
        <v>129</v>
      </c>
      <c r="F98" s="26">
        <v>32263.200000000001</v>
      </c>
      <c r="G98" s="62"/>
      <c r="H98" s="62">
        <f t="shared" si="71"/>
        <v>96789.6</v>
      </c>
      <c r="I98" s="62">
        <f t="shared" si="72"/>
        <v>2419.7399999999998</v>
      </c>
      <c r="J98" s="62">
        <v>40122.19</v>
      </c>
      <c r="K98" s="62">
        <f t="shared" si="73"/>
        <v>16131.6</v>
      </c>
      <c r="L98" s="36">
        <f t="shared" si="74"/>
        <v>112921.2</v>
      </c>
      <c r="M98" s="62">
        <f t="shared" si="75"/>
        <v>32263.200000000001</v>
      </c>
      <c r="N98" s="62">
        <v>0</v>
      </c>
      <c r="O98" s="62">
        <f t="shared" si="76"/>
        <v>3226.32</v>
      </c>
      <c r="P98" s="62">
        <v>20000</v>
      </c>
      <c r="Q98" s="62">
        <v>0</v>
      </c>
      <c r="R98" s="62">
        <f t="shared" si="70"/>
        <v>0</v>
      </c>
      <c r="S98" s="62">
        <f t="shared" si="77"/>
        <v>100000</v>
      </c>
      <c r="T98" s="62">
        <f>0</f>
        <v>0</v>
      </c>
      <c r="U98" s="36">
        <v>100000</v>
      </c>
      <c r="V98" s="36">
        <f t="shared" si="55"/>
        <v>100000</v>
      </c>
    </row>
    <row r="99" spans="1:22" ht="18.75">
      <c r="A99" s="1">
        <v>4</v>
      </c>
      <c r="B99" s="264" t="s">
        <v>59</v>
      </c>
      <c r="C99" s="264"/>
      <c r="D99" s="61" t="s">
        <v>550</v>
      </c>
      <c r="E99" s="66" t="s">
        <v>138</v>
      </c>
      <c r="F99" s="62">
        <f t="shared" ref="F99:F100" si="78">25523.45</f>
        <v>25523.45</v>
      </c>
      <c r="G99" s="62"/>
      <c r="H99" s="62">
        <f t="shared" si="71"/>
        <v>76570.350000000006</v>
      </c>
      <c r="I99" s="62">
        <f t="shared" si="72"/>
        <v>1914.25875</v>
      </c>
      <c r="J99" s="62">
        <v>0</v>
      </c>
      <c r="K99" s="62">
        <f t="shared" si="73"/>
        <v>12761.725</v>
      </c>
      <c r="L99" s="36">
        <f t="shared" si="74"/>
        <v>89332.074999999997</v>
      </c>
      <c r="M99" s="62">
        <f t="shared" si="75"/>
        <v>25523.45</v>
      </c>
      <c r="N99" s="62">
        <v>0</v>
      </c>
      <c r="O99" s="62">
        <f t="shared" si="76"/>
        <v>2552.3450000000003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  <c r="U99" s="36">
        <v>100000</v>
      </c>
      <c r="V99" s="36">
        <f t="shared" si="55"/>
        <v>100000</v>
      </c>
    </row>
    <row r="100" spans="1:22" ht="18.75">
      <c r="A100" s="1">
        <v>5</v>
      </c>
      <c r="B100" s="268" t="s">
        <v>230</v>
      </c>
      <c r="C100" s="268"/>
      <c r="D100" s="33" t="s">
        <v>551</v>
      </c>
      <c r="E100" s="66" t="s">
        <v>138</v>
      </c>
      <c r="F100" s="62">
        <f t="shared" si="78"/>
        <v>25523.45</v>
      </c>
      <c r="G100" s="62"/>
      <c r="H100" s="62">
        <f t="shared" si="71"/>
        <v>76570.350000000006</v>
      </c>
      <c r="I100" s="62">
        <f t="shared" si="72"/>
        <v>1914.25875</v>
      </c>
      <c r="J100" s="62">
        <v>0</v>
      </c>
      <c r="K100" s="62">
        <f t="shared" si="73"/>
        <v>12761.725</v>
      </c>
      <c r="L100" s="36">
        <f t="shared" si="74"/>
        <v>89332.074999999997</v>
      </c>
      <c r="M100" s="62">
        <f t="shared" si="75"/>
        <v>25523.45</v>
      </c>
      <c r="N100" s="62">
        <f>50000</f>
        <v>50000</v>
      </c>
      <c r="O100" s="62">
        <f t="shared" si="76"/>
        <v>2552.3450000000003</v>
      </c>
      <c r="P100" s="62">
        <v>15000</v>
      </c>
      <c r="Q100" s="62">
        <f>100000</f>
        <v>100000</v>
      </c>
      <c r="R100" s="62">
        <f t="shared" si="70"/>
        <v>150000</v>
      </c>
      <c r="S100" s="62">
        <f t="shared" si="77"/>
        <v>100000</v>
      </c>
      <c r="T100" s="62">
        <f>0</f>
        <v>0</v>
      </c>
      <c r="U100" s="36">
        <v>50000</v>
      </c>
      <c r="V100" s="36">
        <f>U100</f>
        <v>50000</v>
      </c>
    </row>
    <row r="101" spans="1:22" ht="18.75">
      <c r="A101" s="1">
        <v>6</v>
      </c>
      <c r="B101" s="313" t="s">
        <v>233</v>
      </c>
      <c r="C101" s="313"/>
      <c r="D101" s="61" t="s">
        <v>498</v>
      </c>
      <c r="E101" s="66" t="s">
        <v>79</v>
      </c>
      <c r="F101" s="62">
        <v>23891.119999999999</v>
      </c>
      <c r="G101" s="62">
        <v>0</v>
      </c>
      <c r="H101" s="62">
        <f t="shared" si="71"/>
        <v>71673.36</v>
      </c>
      <c r="I101" s="62">
        <f t="shared" si="72"/>
        <v>1791.8339999999998</v>
      </c>
      <c r="J101" s="62">
        <v>0</v>
      </c>
      <c r="K101" s="62">
        <f t="shared" si="73"/>
        <v>11945.56</v>
      </c>
      <c r="L101" s="36">
        <f t="shared" si="74"/>
        <v>83618.92</v>
      </c>
      <c r="M101" s="62">
        <f t="shared" si="75"/>
        <v>23891.119999999999</v>
      </c>
      <c r="N101" s="62">
        <v>0</v>
      </c>
      <c r="O101" s="62">
        <f t="shared" si="76"/>
        <v>2389.1120000000001</v>
      </c>
      <c r="P101" s="62">
        <v>15000</v>
      </c>
      <c r="Q101" s="62">
        <v>0</v>
      </c>
      <c r="R101" s="62">
        <f t="shared" si="70"/>
        <v>0</v>
      </c>
      <c r="S101" s="62">
        <f t="shared" si="77"/>
        <v>100000</v>
      </c>
      <c r="T101" s="62">
        <f>0</f>
        <v>0</v>
      </c>
      <c r="U101" s="36">
        <v>100000</v>
      </c>
      <c r="V101" s="36">
        <f t="shared" si="55"/>
        <v>100000</v>
      </c>
    </row>
    <row r="102" spans="1:22" ht="18.75">
      <c r="A102" s="1">
        <v>7</v>
      </c>
      <c r="B102" s="264" t="s">
        <v>235</v>
      </c>
      <c r="C102" s="264"/>
      <c r="D102" s="61" t="s">
        <v>552</v>
      </c>
      <c r="E102" s="66" t="s">
        <v>82</v>
      </c>
      <c r="F102" s="62">
        <f>18779.3</f>
        <v>18779.3</v>
      </c>
      <c r="G102" s="62"/>
      <c r="H102" s="62">
        <f t="shared" si="71"/>
        <v>56337.899999999994</v>
      </c>
      <c r="I102" s="62">
        <f t="shared" si="72"/>
        <v>1408.4475</v>
      </c>
      <c r="J102" s="62"/>
      <c r="K102" s="62">
        <f t="shared" si="73"/>
        <v>9389.65</v>
      </c>
      <c r="L102" s="36">
        <f t="shared" si="74"/>
        <v>65727.55</v>
      </c>
      <c r="M102" s="62">
        <f t="shared" si="75"/>
        <v>18779.3</v>
      </c>
      <c r="N102" s="62">
        <v>0</v>
      </c>
      <c r="O102" s="62">
        <f t="shared" si="76"/>
        <v>1877.93</v>
      </c>
      <c r="P102" s="62">
        <v>10000</v>
      </c>
      <c r="Q102" s="62">
        <f>30000</f>
        <v>30000</v>
      </c>
      <c r="R102" s="62">
        <f t="shared" si="70"/>
        <v>30000</v>
      </c>
      <c r="S102" s="62">
        <f t="shared" si="77"/>
        <v>100000</v>
      </c>
      <c r="T102" s="62">
        <f>0</f>
        <v>0</v>
      </c>
      <c r="U102" s="36">
        <v>100000</v>
      </c>
      <c r="V102" s="36">
        <f t="shared" si="55"/>
        <v>100000</v>
      </c>
    </row>
    <row r="103" spans="1:22" ht="18.75">
      <c r="A103" s="1">
        <v>8</v>
      </c>
      <c r="B103" s="264" t="s">
        <v>237</v>
      </c>
      <c r="C103" s="264"/>
      <c r="D103" s="61" t="s">
        <v>552</v>
      </c>
      <c r="E103" s="66" t="s">
        <v>82</v>
      </c>
      <c r="F103" s="62">
        <f>18779.3</f>
        <v>18779.3</v>
      </c>
      <c r="G103" s="62"/>
      <c r="H103" s="62">
        <f t="shared" si="71"/>
        <v>56337.899999999994</v>
      </c>
      <c r="I103" s="62">
        <f t="shared" si="72"/>
        <v>1408.4475</v>
      </c>
      <c r="J103" s="62"/>
      <c r="K103" s="62">
        <f t="shared" si="73"/>
        <v>9389.65</v>
      </c>
      <c r="L103" s="36">
        <f t="shared" si="74"/>
        <v>65727.55</v>
      </c>
      <c r="M103" s="62">
        <f t="shared" si="75"/>
        <v>18779.3</v>
      </c>
      <c r="N103" s="62">
        <v>0</v>
      </c>
      <c r="O103" s="62">
        <f t="shared" si="76"/>
        <v>1877.93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  <c r="U103" s="36">
        <v>100000</v>
      </c>
      <c r="V103" s="36">
        <f t="shared" si="55"/>
        <v>100000</v>
      </c>
    </row>
    <row r="104" spans="1:22" ht="18.75">
      <c r="A104" s="1">
        <v>9</v>
      </c>
      <c r="B104" s="264" t="s">
        <v>399</v>
      </c>
      <c r="C104" s="264"/>
      <c r="D104" s="33" t="s">
        <v>258</v>
      </c>
      <c r="E104" s="66" t="s">
        <v>98</v>
      </c>
      <c r="F104" s="62">
        <v>24741.26</v>
      </c>
      <c r="G104" s="62"/>
      <c r="H104" s="62">
        <f t="shared" si="71"/>
        <v>74223.78</v>
      </c>
      <c r="I104" s="62">
        <f t="shared" si="72"/>
        <v>1855.5944999999997</v>
      </c>
      <c r="J104" s="62">
        <v>0</v>
      </c>
      <c r="K104" s="62">
        <f t="shared" si="73"/>
        <v>12370.63</v>
      </c>
      <c r="L104" s="36">
        <f t="shared" si="74"/>
        <v>86594.409999999989</v>
      </c>
      <c r="M104" s="62">
        <f t="shared" si="75"/>
        <v>24741.26</v>
      </c>
      <c r="N104" s="62">
        <v>0</v>
      </c>
      <c r="O104" s="62">
        <f t="shared" si="76"/>
        <v>2474.1260000000002</v>
      </c>
      <c r="P104" s="62">
        <v>15000</v>
      </c>
      <c r="Q104" s="62">
        <v>0</v>
      </c>
      <c r="R104" s="62">
        <f t="shared" si="70"/>
        <v>0</v>
      </c>
      <c r="S104" s="62">
        <f t="shared" si="77"/>
        <v>100000</v>
      </c>
      <c r="T104" s="62">
        <f>0</f>
        <v>0</v>
      </c>
      <c r="U104" s="36">
        <v>100000</v>
      </c>
      <c r="V104" s="36">
        <f t="shared" si="55"/>
        <v>100000</v>
      </c>
    </row>
    <row r="105" spans="1:22" ht="18.75">
      <c r="A105" s="1">
        <v>10</v>
      </c>
      <c r="B105" s="257" t="s">
        <v>104</v>
      </c>
      <c r="C105" s="258"/>
      <c r="D105" s="61" t="s">
        <v>105</v>
      </c>
      <c r="E105" s="66" t="s">
        <v>455</v>
      </c>
      <c r="F105" s="67">
        <v>12732</v>
      </c>
      <c r="G105" s="62"/>
      <c r="H105" s="62">
        <f t="shared" si="71"/>
        <v>38196</v>
      </c>
      <c r="I105" s="62">
        <f t="shared" si="72"/>
        <v>954.9</v>
      </c>
      <c r="J105" s="62"/>
      <c r="K105" s="62">
        <f t="shared" si="73"/>
        <v>6366</v>
      </c>
      <c r="L105" s="36">
        <f t="shared" si="74"/>
        <v>44562</v>
      </c>
      <c r="M105" s="62">
        <f t="shared" si="75"/>
        <v>12732</v>
      </c>
      <c r="N105" s="62">
        <v>0</v>
      </c>
      <c r="O105" s="62">
        <f t="shared" si="76"/>
        <v>1273.2</v>
      </c>
      <c r="P105" s="62">
        <v>10000</v>
      </c>
      <c r="Q105" s="62"/>
      <c r="R105" s="62">
        <f t="shared" si="70"/>
        <v>0</v>
      </c>
      <c r="S105" s="62">
        <f t="shared" si="77"/>
        <v>100000</v>
      </c>
      <c r="T105" s="62">
        <f>0</f>
        <v>0</v>
      </c>
      <c r="U105" s="36">
        <v>100000</v>
      </c>
      <c r="V105" s="36">
        <f t="shared" si="55"/>
        <v>100000</v>
      </c>
    </row>
    <row r="106" spans="1:22" ht="23.25">
      <c r="A106" s="1"/>
      <c r="B106" s="267" t="s">
        <v>34</v>
      </c>
      <c r="C106" s="267"/>
      <c r="D106" s="91" t="s">
        <v>501</v>
      </c>
      <c r="E106" s="66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63">
        <f t="shared" si="79"/>
        <v>1058506.4350000001</v>
      </c>
      <c r="M106" s="39">
        <f t="shared" si="79"/>
        <v>302430.41000000003</v>
      </c>
      <c r="N106" s="95">
        <f t="shared" si="79"/>
        <v>50000</v>
      </c>
      <c r="O106" s="95">
        <f t="shared" si="79"/>
        <v>30243.041000000005</v>
      </c>
      <c r="P106" s="95">
        <f t="shared" si="79"/>
        <v>150000</v>
      </c>
      <c r="Q106" s="95">
        <f t="shared" si="79"/>
        <v>280000</v>
      </c>
      <c r="R106" s="95">
        <f t="shared" si="70"/>
        <v>330000</v>
      </c>
      <c r="S106" s="95">
        <f>SUM(S96:S105)</f>
        <v>1000000</v>
      </c>
      <c r="T106" s="62">
        <f>0</f>
        <v>0</v>
      </c>
      <c r="U106" s="95">
        <f>SUM(U96:U105)</f>
        <v>950000</v>
      </c>
      <c r="V106" s="106">
        <f>SUM(V96:V105)</f>
        <v>950000</v>
      </c>
    </row>
    <row r="107" spans="1:22" ht="18.75">
      <c r="A107" s="1"/>
      <c r="B107" s="96"/>
      <c r="C107" s="96"/>
      <c r="D107" s="91"/>
      <c r="E107" s="66"/>
      <c r="F107" s="39"/>
      <c r="G107" s="39"/>
      <c r="H107" s="39"/>
      <c r="I107" s="39"/>
      <c r="J107" s="39"/>
      <c r="K107" s="39"/>
      <c r="L107" s="63"/>
      <c r="M107" s="39"/>
      <c r="N107" s="39"/>
      <c r="O107" s="39"/>
      <c r="P107" s="39"/>
      <c r="Q107" s="39"/>
      <c r="R107" s="62">
        <f t="shared" si="70"/>
        <v>0</v>
      </c>
      <c r="S107" s="39"/>
      <c r="T107" s="62"/>
      <c r="U107" s="39"/>
      <c r="V107" s="36">
        <f t="shared" si="55"/>
        <v>0</v>
      </c>
    </row>
    <row r="108" spans="1:22" ht="18.75">
      <c r="A108" s="1"/>
      <c r="B108" s="267" t="s">
        <v>242</v>
      </c>
      <c r="C108" s="267"/>
      <c r="D108" s="61"/>
      <c r="E108" s="66"/>
      <c r="F108" s="62"/>
      <c r="G108" s="62"/>
      <c r="H108" s="62"/>
      <c r="I108" s="62"/>
      <c r="J108" s="62"/>
      <c r="K108" s="62"/>
      <c r="L108" s="36"/>
      <c r="M108" s="62"/>
      <c r="N108" s="62"/>
      <c r="O108" s="62"/>
      <c r="P108" s="62"/>
      <c r="Q108" s="62"/>
      <c r="R108" s="62">
        <f t="shared" si="70"/>
        <v>0</v>
      </c>
      <c r="S108" s="62"/>
      <c r="T108" s="62"/>
      <c r="U108" s="62"/>
      <c r="V108" s="36">
        <f t="shared" si="55"/>
        <v>0</v>
      </c>
    </row>
    <row r="109" spans="1:22" ht="18.75">
      <c r="A109" s="1">
        <v>1</v>
      </c>
      <c r="B109" s="264" t="s">
        <v>243</v>
      </c>
      <c r="C109" s="264"/>
      <c r="D109" s="61" t="s">
        <v>502</v>
      </c>
      <c r="E109" s="66" t="s">
        <v>43</v>
      </c>
      <c r="F109" s="62">
        <v>81740.02</v>
      </c>
      <c r="G109" s="62">
        <v>0</v>
      </c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v>0</v>
      </c>
      <c r="O109" s="62">
        <f>F109*10%</f>
        <v>8174.0020000000004</v>
      </c>
      <c r="P109" s="62">
        <v>20000</v>
      </c>
      <c r="Q109" s="62">
        <v>0</v>
      </c>
      <c r="R109" s="62">
        <f t="shared" si="70"/>
        <v>0</v>
      </c>
      <c r="S109" s="62">
        <f>100000</f>
        <v>100000</v>
      </c>
      <c r="T109" s="62">
        <f>0</f>
        <v>0</v>
      </c>
      <c r="U109" s="62">
        <v>100000</v>
      </c>
      <c r="V109" s="36">
        <f t="shared" si="55"/>
        <v>100000</v>
      </c>
    </row>
    <row r="110" spans="1:22" ht="18.75">
      <c r="A110" s="1">
        <v>2</v>
      </c>
      <c r="B110" s="264" t="s">
        <v>245</v>
      </c>
      <c r="C110" s="264"/>
      <c r="D110" s="61" t="s">
        <v>503</v>
      </c>
      <c r="E110" s="66" t="s">
        <v>118</v>
      </c>
      <c r="F110" s="62">
        <f>79039.64</f>
        <v>79039.64</v>
      </c>
      <c r="G110" s="62"/>
      <c r="H110" s="62">
        <f>F110*300%</f>
        <v>237118.91999999998</v>
      </c>
      <c r="I110" s="62">
        <f>F110*7.5%</f>
        <v>5927.973</v>
      </c>
      <c r="J110" s="62">
        <f>80244.38</f>
        <v>80244.38</v>
      </c>
      <c r="K110" s="62">
        <f>F110*50%</f>
        <v>39519.82</v>
      </c>
      <c r="L110" s="62">
        <f>F110*350%</f>
        <v>276638.74</v>
      </c>
      <c r="M110" s="62">
        <f>F110*100%</f>
        <v>79039.64</v>
      </c>
      <c r="N110" s="62">
        <v>0</v>
      </c>
      <c r="O110" s="62">
        <f>F110*10%</f>
        <v>7903.9639999999999</v>
      </c>
      <c r="P110" s="62">
        <v>20000</v>
      </c>
      <c r="Q110" s="62">
        <v>0</v>
      </c>
      <c r="R110" s="62">
        <f t="shared" si="70"/>
        <v>0</v>
      </c>
      <c r="S110" s="62">
        <f t="shared" ref="S110:S130" si="80">100000</f>
        <v>100000</v>
      </c>
      <c r="T110" s="62">
        <f>0</f>
        <v>0</v>
      </c>
      <c r="U110" s="62">
        <v>100000</v>
      </c>
      <c r="V110" s="36">
        <f t="shared" si="55"/>
        <v>100000</v>
      </c>
    </row>
    <row r="111" spans="1:22" ht="18.75">
      <c r="A111" s="1">
        <v>3</v>
      </c>
      <c r="B111" s="313" t="s">
        <v>247</v>
      </c>
      <c r="C111" s="313"/>
      <c r="D111" s="61" t="s">
        <v>504</v>
      </c>
      <c r="E111" s="66" t="s">
        <v>46</v>
      </c>
      <c r="F111" s="62">
        <f>41157.69</f>
        <v>41157.69</v>
      </c>
      <c r="G111" s="62"/>
      <c r="H111" s="62">
        <f t="shared" ref="H111:H157" si="81">F111*300%</f>
        <v>123473.07</v>
      </c>
      <c r="I111" s="62">
        <f t="shared" ref="I111:I157" si="82">F111*7.5%</f>
        <v>3086.8267500000002</v>
      </c>
      <c r="J111" s="62">
        <v>40122.19</v>
      </c>
      <c r="K111" s="62">
        <f t="shared" ref="K111:K157" si="83">F111*50%</f>
        <v>20578.845000000001</v>
      </c>
      <c r="L111" s="62">
        <f t="shared" ref="L111:L157" si="84">F111*350%</f>
        <v>144051.91500000001</v>
      </c>
      <c r="M111" s="62">
        <f t="shared" ref="M111:M140" si="85">F111*100%</f>
        <v>41157.69</v>
      </c>
      <c r="N111" s="62">
        <v>0</v>
      </c>
      <c r="O111" s="62">
        <f t="shared" ref="O111:O157" si="86">F111*10%</f>
        <v>4115.7690000000002</v>
      </c>
      <c r="P111" s="62">
        <v>20000</v>
      </c>
      <c r="Q111" s="62">
        <v>0</v>
      </c>
      <c r="R111" s="62">
        <f t="shared" si="70"/>
        <v>0</v>
      </c>
      <c r="S111" s="62">
        <f t="shared" si="80"/>
        <v>100000</v>
      </c>
      <c r="T111" s="62">
        <f>0</f>
        <v>0</v>
      </c>
      <c r="U111" s="62">
        <v>100000</v>
      </c>
      <c r="V111" s="36">
        <f t="shared" si="55"/>
        <v>100000</v>
      </c>
    </row>
    <row r="112" spans="1:22" ht="18.75">
      <c r="A112" s="1">
        <v>4</v>
      </c>
      <c r="B112" s="265" t="s">
        <v>249</v>
      </c>
      <c r="C112" s="266"/>
      <c r="D112" s="20" t="s">
        <v>505</v>
      </c>
      <c r="E112" s="25" t="s">
        <v>54</v>
      </c>
      <c r="F112" s="62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72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62">
        <f t="shared" si="70"/>
        <v>150000</v>
      </c>
      <c r="S112" s="62">
        <f t="shared" si="80"/>
        <v>100000</v>
      </c>
      <c r="T112" s="62">
        <f>0</f>
        <v>0</v>
      </c>
      <c r="U112" s="62">
        <v>0</v>
      </c>
      <c r="V112" s="36">
        <f t="shared" si="55"/>
        <v>0</v>
      </c>
    </row>
    <row r="113" spans="1:22" ht="18.75">
      <c r="A113" s="1">
        <v>5</v>
      </c>
      <c r="B113" s="271" t="s">
        <v>157</v>
      </c>
      <c r="C113" s="272"/>
      <c r="D113" s="33" t="s">
        <v>518</v>
      </c>
      <c r="E113" s="66" t="s">
        <v>98</v>
      </c>
      <c r="F113" s="62">
        <v>24741.26</v>
      </c>
      <c r="G113" s="62"/>
      <c r="H113" s="62">
        <f t="shared" si="81"/>
        <v>74223.78</v>
      </c>
      <c r="I113" s="62">
        <f t="shared" si="82"/>
        <v>1855.5944999999997</v>
      </c>
      <c r="J113" s="62"/>
      <c r="K113" s="62">
        <f t="shared" si="83"/>
        <v>12370.63</v>
      </c>
      <c r="L113" s="36">
        <f t="shared" si="84"/>
        <v>86594.409999999989</v>
      </c>
      <c r="M113" s="62">
        <f t="shared" si="85"/>
        <v>24741.26</v>
      </c>
      <c r="N113" s="62">
        <v>0</v>
      </c>
      <c r="O113" s="62">
        <f t="shared" si="86"/>
        <v>2474.1260000000002</v>
      </c>
      <c r="P113" s="62">
        <v>15000</v>
      </c>
      <c r="Q113" s="62"/>
      <c r="R113" s="62">
        <f t="shared" si="70"/>
        <v>0</v>
      </c>
      <c r="S113" s="62">
        <f t="shared" si="80"/>
        <v>100000</v>
      </c>
      <c r="T113" s="62">
        <f>0</f>
        <v>0</v>
      </c>
      <c r="U113" s="62">
        <v>100000</v>
      </c>
      <c r="V113" s="36">
        <f t="shared" si="55"/>
        <v>100000</v>
      </c>
    </row>
    <row r="114" spans="1:22" ht="18.75">
      <c r="A114" s="1">
        <v>6</v>
      </c>
      <c r="B114" s="257" t="s">
        <v>259</v>
      </c>
      <c r="C114" s="258"/>
      <c r="D114" s="61" t="s">
        <v>447</v>
      </c>
      <c r="E114" s="66" t="s">
        <v>82</v>
      </c>
      <c r="F114" s="62">
        <f>18779.3</f>
        <v>18779.3</v>
      </c>
      <c r="G114" s="62"/>
      <c r="H114" s="62">
        <f t="shared" si="81"/>
        <v>56337.899999999994</v>
      </c>
      <c r="I114" s="62">
        <f t="shared" si="82"/>
        <v>1408.4475</v>
      </c>
      <c r="J114" s="62">
        <v>0</v>
      </c>
      <c r="K114" s="62">
        <f t="shared" si="83"/>
        <v>9389.65</v>
      </c>
      <c r="L114" s="36">
        <f t="shared" si="84"/>
        <v>65727.55</v>
      </c>
      <c r="M114" s="62">
        <f t="shared" si="85"/>
        <v>18779.3</v>
      </c>
      <c r="N114" s="62">
        <v>0</v>
      </c>
      <c r="O114" s="62">
        <f t="shared" si="86"/>
        <v>1877.93</v>
      </c>
      <c r="P114" s="62">
        <v>10000</v>
      </c>
      <c r="Q114" s="62">
        <v>0</v>
      </c>
      <c r="R114" s="62">
        <f t="shared" si="70"/>
        <v>0</v>
      </c>
      <c r="S114" s="62">
        <f t="shared" si="80"/>
        <v>100000</v>
      </c>
      <c r="T114" s="62">
        <f>0</f>
        <v>0</v>
      </c>
      <c r="U114" s="62">
        <v>100000</v>
      </c>
      <c r="V114" s="36">
        <f t="shared" si="55"/>
        <v>100000</v>
      </c>
    </row>
    <row r="115" spans="1:22" ht="18.75">
      <c r="A115" s="1">
        <v>7</v>
      </c>
      <c r="B115" s="264" t="s">
        <v>253</v>
      </c>
      <c r="C115" s="264"/>
      <c r="D115" s="61" t="s">
        <v>446</v>
      </c>
      <c r="E115" s="66" t="s">
        <v>98</v>
      </c>
      <c r="F115" s="62">
        <v>24741.26</v>
      </c>
      <c r="G115" s="62"/>
      <c r="H115" s="62">
        <f t="shared" si="81"/>
        <v>74223.78</v>
      </c>
      <c r="I115" s="62">
        <f t="shared" si="82"/>
        <v>1855.5944999999997</v>
      </c>
      <c r="J115" s="62">
        <v>0</v>
      </c>
      <c r="K115" s="62">
        <f t="shared" si="83"/>
        <v>12370.63</v>
      </c>
      <c r="L115" s="36">
        <f t="shared" si="84"/>
        <v>86594.409999999989</v>
      </c>
      <c r="M115" s="62">
        <f t="shared" si="85"/>
        <v>24741.26</v>
      </c>
      <c r="N115" s="62">
        <f t="shared" si="63"/>
        <v>100000</v>
      </c>
      <c r="O115" s="62">
        <f t="shared" si="86"/>
        <v>2474.1260000000002</v>
      </c>
      <c r="P115" s="62">
        <v>15000</v>
      </c>
      <c r="Q115" s="62"/>
      <c r="R115" s="62">
        <f t="shared" si="70"/>
        <v>100000</v>
      </c>
      <c r="S115" s="62">
        <f t="shared" si="80"/>
        <v>100000</v>
      </c>
      <c r="T115" s="62">
        <f>0</f>
        <v>0</v>
      </c>
      <c r="U115" s="62">
        <v>0</v>
      </c>
      <c r="V115" s="36">
        <f t="shared" si="55"/>
        <v>0</v>
      </c>
    </row>
    <row r="116" spans="1:22" ht="18.75">
      <c r="A116" s="1">
        <v>8</v>
      </c>
      <c r="B116" s="264" t="s">
        <v>255</v>
      </c>
      <c r="C116" s="264"/>
      <c r="D116" s="33" t="s">
        <v>258</v>
      </c>
      <c r="E116" s="66" t="s">
        <v>98</v>
      </c>
      <c r="F116" s="62">
        <v>24741.26</v>
      </c>
      <c r="G116" s="62"/>
      <c r="H116" s="62">
        <f t="shared" si="81"/>
        <v>74223.78</v>
      </c>
      <c r="I116" s="62">
        <f t="shared" si="82"/>
        <v>1855.5944999999997</v>
      </c>
      <c r="J116" s="62">
        <v>0</v>
      </c>
      <c r="K116" s="62">
        <f t="shared" si="83"/>
        <v>12370.63</v>
      </c>
      <c r="L116" s="36">
        <f t="shared" si="84"/>
        <v>86594.409999999989</v>
      </c>
      <c r="M116" s="62">
        <f t="shared" si="85"/>
        <v>24741.26</v>
      </c>
      <c r="N116" s="62">
        <v>0</v>
      </c>
      <c r="O116" s="62">
        <f t="shared" si="86"/>
        <v>2474.1260000000002</v>
      </c>
      <c r="P116" s="62">
        <v>15000</v>
      </c>
      <c r="Q116" s="62">
        <v>0</v>
      </c>
      <c r="R116" s="62">
        <f t="shared" si="70"/>
        <v>0</v>
      </c>
      <c r="S116" s="62">
        <f t="shared" si="80"/>
        <v>100000</v>
      </c>
      <c r="T116" s="62">
        <f>0</f>
        <v>0</v>
      </c>
      <c r="U116" s="62">
        <v>100000</v>
      </c>
      <c r="V116" s="36">
        <f t="shared" si="55"/>
        <v>100000</v>
      </c>
    </row>
    <row r="117" spans="1:22" ht="18.75">
      <c r="A117" s="1">
        <v>9</v>
      </c>
      <c r="B117" s="264" t="s">
        <v>257</v>
      </c>
      <c r="C117" s="264"/>
      <c r="D117" s="33" t="s">
        <v>264</v>
      </c>
      <c r="E117" s="66" t="s">
        <v>82</v>
      </c>
      <c r="F117" s="62">
        <f>18779.3</f>
        <v>18779.3</v>
      </c>
      <c r="G117" s="62"/>
      <c r="H117" s="62">
        <f t="shared" si="81"/>
        <v>56337.899999999994</v>
      </c>
      <c r="I117" s="62">
        <f t="shared" si="82"/>
        <v>1408.4475</v>
      </c>
      <c r="J117" s="36">
        <v>0</v>
      </c>
      <c r="K117" s="62">
        <f t="shared" si="83"/>
        <v>9389.65</v>
      </c>
      <c r="L117" s="36">
        <f t="shared" si="84"/>
        <v>65727.55</v>
      </c>
      <c r="M117" s="62">
        <f t="shared" si="85"/>
        <v>18779.3</v>
      </c>
      <c r="N117" s="62">
        <v>0</v>
      </c>
      <c r="O117" s="62">
        <f t="shared" si="86"/>
        <v>1877.93</v>
      </c>
      <c r="P117" s="62">
        <v>10000</v>
      </c>
      <c r="Q117" s="62">
        <v>0</v>
      </c>
      <c r="R117" s="62">
        <f t="shared" si="70"/>
        <v>0</v>
      </c>
      <c r="S117" s="62">
        <f t="shared" si="80"/>
        <v>100000</v>
      </c>
      <c r="T117" s="62">
        <f>0</f>
        <v>0</v>
      </c>
      <c r="U117" s="62">
        <v>100000</v>
      </c>
      <c r="V117" s="36">
        <f t="shared" si="55"/>
        <v>100000</v>
      </c>
    </row>
    <row r="118" spans="1:22" ht="18.75">
      <c r="A118" s="1">
        <v>10</v>
      </c>
      <c r="B118" s="264" t="s">
        <v>261</v>
      </c>
      <c r="C118" s="264"/>
      <c r="D118" s="33" t="s">
        <v>447</v>
      </c>
      <c r="E118" s="66" t="s">
        <v>103</v>
      </c>
      <c r="F118" s="36">
        <v>18281.64</v>
      </c>
      <c r="G118" s="62"/>
      <c r="H118" s="62">
        <f>F118*300%</f>
        <v>54844.92</v>
      </c>
      <c r="I118" s="62">
        <f>F118*7.5%</f>
        <v>1371.1229999999998</v>
      </c>
      <c r="J118" s="62">
        <v>0</v>
      </c>
      <c r="K118" s="62">
        <f>F118*50%</f>
        <v>9140.82</v>
      </c>
      <c r="L118" s="36">
        <f>F118*350%</f>
        <v>63985.74</v>
      </c>
      <c r="M118" s="26">
        <f t="shared" si="85"/>
        <v>18281.64</v>
      </c>
      <c r="N118" s="62">
        <v>0</v>
      </c>
      <c r="O118" s="62">
        <f t="shared" si="86"/>
        <v>1828.164</v>
      </c>
      <c r="P118" s="62">
        <v>10000</v>
      </c>
      <c r="Q118" s="62">
        <v>0</v>
      </c>
      <c r="R118" s="62">
        <f t="shared" si="70"/>
        <v>0</v>
      </c>
      <c r="S118" s="62">
        <f t="shared" si="80"/>
        <v>100000</v>
      </c>
      <c r="T118" s="62">
        <f>0</f>
        <v>0</v>
      </c>
      <c r="U118" s="62">
        <v>100000</v>
      </c>
      <c r="V118" s="36">
        <f t="shared" si="55"/>
        <v>100000</v>
      </c>
    </row>
    <row r="119" spans="1:22" ht="18.75">
      <c r="A119" s="1">
        <v>11</v>
      </c>
      <c r="B119" s="257" t="s">
        <v>263</v>
      </c>
      <c r="C119" s="258"/>
      <c r="D119" s="33" t="s">
        <v>264</v>
      </c>
      <c r="E119" s="66" t="s">
        <v>95</v>
      </c>
      <c r="F119" s="26">
        <f>17784</f>
        <v>17784</v>
      </c>
      <c r="G119" s="62"/>
      <c r="H119" s="62">
        <f>F119*300%</f>
        <v>53352</v>
      </c>
      <c r="I119" s="62">
        <f>F119*7.5%</f>
        <v>1333.8</v>
      </c>
      <c r="J119" s="62"/>
      <c r="K119" s="62">
        <f>F119*50%</f>
        <v>8892</v>
      </c>
      <c r="L119" s="36">
        <f>F119*350%</f>
        <v>62244</v>
      </c>
      <c r="M119" s="26">
        <f t="shared" si="85"/>
        <v>17784</v>
      </c>
      <c r="N119" s="62">
        <v>0</v>
      </c>
      <c r="O119" s="62">
        <f t="shared" si="86"/>
        <v>1778.4</v>
      </c>
      <c r="P119" s="62">
        <v>10000</v>
      </c>
      <c r="Q119" s="62"/>
      <c r="R119" s="62">
        <f t="shared" si="70"/>
        <v>0</v>
      </c>
      <c r="S119" s="62">
        <f t="shared" si="80"/>
        <v>100000</v>
      </c>
      <c r="T119" s="62">
        <f>0</f>
        <v>0</v>
      </c>
      <c r="U119" s="62">
        <v>100000</v>
      </c>
      <c r="V119" s="36">
        <f t="shared" si="55"/>
        <v>100000</v>
      </c>
    </row>
    <row r="120" spans="1:22" ht="18.75">
      <c r="A120" s="1">
        <v>12</v>
      </c>
      <c r="B120" s="257" t="s">
        <v>265</v>
      </c>
      <c r="C120" s="258"/>
      <c r="D120" s="61" t="s">
        <v>554</v>
      </c>
      <c r="E120" s="66" t="s">
        <v>106</v>
      </c>
      <c r="F120" s="67">
        <v>13492.21</v>
      </c>
      <c r="G120" s="62"/>
      <c r="H120" s="62">
        <f t="shared" si="81"/>
        <v>40476.629999999997</v>
      </c>
      <c r="I120" s="62">
        <f t="shared" si="82"/>
        <v>1011.9157499999999</v>
      </c>
      <c r="J120" s="62"/>
      <c r="K120" s="62">
        <f t="shared" si="83"/>
        <v>6746.1049999999996</v>
      </c>
      <c r="L120" s="36">
        <f t="shared" si="84"/>
        <v>47222.735000000001</v>
      </c>
      <c r="M120" s="62">
        <f t="shared" si="85"/>
        <v>13492.21</v>
      </c>
      <c r="N120" s="62">
        <v>0</v>
      </c>
      <c r="O120" s="62">
        <f t="shared" si="86"/>
        <v>1349.221</v>
      </c>
      <c r="P120" s="62">
        <v>10000</v>
      </c>
      <c r="Q120" s="62"/>
      <c r="R120" s="62">
        <f t="shared" si="70"/>
        <v>0</v>
      </c>
      <c r="S120" s="62">
        <f t="shared" si="80"/>
        <v>100000</v>
      </c>
      <c r="T120" s="62">
        <f>0</f>
        <v>0</v>
      </c>
      <c r="U120" s="62">
        <v>100000</v>
      </c>
      <c r="V120" s="36">
        <f t="shared" si="55"/>
        <v>100000</v>
      </c>
    </row>
    <row r="121" spans="1:22" ht="18.75">
      <c r="A121" s="1">
        <v>13</v>
      </c>
      <c r="B121" s="257" t="s">
        <v>269</v>
      </c>
      <c r="C121" s="258"/>
      <c r="D121" s="61" t="s">
        <v>268</v>
      </c>
      <c r="E121" s="66" t="s">
        <v>111</v>
      </c>
      <c r="F121" s="67">
        <v>13112.16</v>
      </c>
      <c r="G121" s="62"/>
      <c r="H121" s="62">
        <f t="shared" si="81"/>
        <v>39336.479999999996</v>
      </c>
      <c r="I121" s="62">
        <f t="shared" si="82"/>
        <v>983.41199999999992</v>
      </c>
      <c r="J121" s="62"/>
      <c r="K121" s="62">
        <f t="shared" si="83"/>
        <v>6556.08</v>
      </c>
      <c r="L121" s="36">
        <f t="shared" si="84"/>
        <v>45892.56</v>
      </c>
      <c r="M121" s="62">
        <f t="shared" si="85"/>
        <v>13112.16</v>
      </c>
      <c r="N121" s="62">
        <v>0</v>
      </c>
      <c r="O121" s="62">
        <f t="shared" si="86"/>
        <v>1311.2160000000001</v>
      </c>
      <c r="P121" s="62">
        <v>10000</v>
      </c>
      <c r="Q121" s="62"/>
      <c r="R121" s="62">
        <f t="shared" si="70"/>
        <v>0</v>
      </c>
      <c r="S121" s="62">
        <f t="shared" si="80"/>
        <v>100000</v>
      </c>
      <c r="T121" s="62">
        <f>0</f>
        <v>0</v>
      </c>
      <c r="U121" s="62">
        <v>100000</v>
      </c>
      <c r="V121" s="36">
        <f t="shared" si="55"/>
        <v>100000</v>
      </c>
    </row>
    <row r="122" spans="1:22" ht="18.75">
      <c r="A122" s="1">
        <v>14</v>
      </c>
      <c r="B122" s="257" t="s">
        <v>270</v>
      </c>
      <c r="C122" s="258"/>
      <c r="D122" s="61" t="s">
        <v>268</v>
      </c>
      <c r="E122" s="66" t="s">
        <v>111</v>
      </c>
      <c r="F122" s="67">
        <v>13112.16</v>
      </c>
      <c r="G122" s="62"/>
      <c r="H122" s="62">
        <f t="shared" si="81"/>
        <v>39336.479999999996</v>
      </c>
      <c r="I122" s="62">
        <f t="shared" si="82"/>
        <v>983.41199999999992</v>
      </c>
      <c r="J122" s="62"/>
      <c r="K122" s="62">
        <f t="shared" si="83"/>
        <v>6556.08</v>
      </c>
      <c r="L122" s="36">
        <f t="shared" si="84"/>
        <v>45892.56</v>
      </c>
      <c r="M122" s="62">
        <f t="shared" si="85"/>
        <v>13112.16</v>
      </c>
      <c r="N122" s="62">
        <v>0</v>
      </c>
      <c r="O122" s="62">
        <f t="shared" si="86"/>
        <v>1311.2160000000001</v>
      </c>
      <c r="P122" s="62">
        <v>10000</v>
      </c>
      <c r="Q122" s="62"/>
      <c r="R122" s="62">
        <f t="shared" si="70"/>
        <v>0</v>
      </c>
      <c r="S122" s="62">
        <f t="shared" si="80"/>
        <v>100000</v>
      </c>
      <c r="T122" s="62">
        <f>0</f>
        <v>0</v>
      </c>
      <c r="U122" s="62">
        <v>100000</v>
      </c>
      <c r="V122" s="36">
        <f t="shared" si="55"/>
        <v>100000</v>
      </c>
    </row>
    <row r="123" spans="1:22" ht="18.75">
      <c r="A123" s="1">
        <v>15</v>
      </c>
      <c r="B123" s="257" t="s">
        <v>271</v>
      </c>
      <c r="C123" s="258"/>
      <c r="D123" s="61" t="s">
        <v>268</v>
      </c>
      <c r="E123" s="66" t="s">
        <v>111</v>
      </c>
      <c r="F123" s="67">
        <v>13112.16</v>
      </c>
      <c r="G123" s="62"/>
      <c r="H123" s="62">
        <f t="shared" si="81"/>
        <v>39336.479999999996</v>
      </c>
      <c r="I123" s="62">
        <f t="shared" si="82"/>
        <v>983.41199999999992</v>
      </c>
      <c r="J123" s="62"/>
      <c r="K123" s="62">
        <f t="shared" si="83"/>
        <v>6556.08</v>
      </c>
      <c r="L123" s="36">
        <f t="shared" si="84"/>
        <v>45892.56</v>
      </c>
      <c r="M123" s="62">
        <f t="shared" si="85"/>
        <v>13112.16</v>
      </c>
      <c r="N123" s="62">
        <v>0</v>
      </c>
      <c r="O123" s="62">
        <f t="shared" si="86"/>
        <v>1311.2160000000001</v>
      </c>
      <c r="P123" s="62">
        <v>10000</v>
      </c>
      <c r="Q123" s="62"/>
      <c r="R123" s="62">
        <f t="shared" si="70"/>
        <v>0</v>
      </c>
      <c r="S123" s="62">
        <f t="shared" si="80"/>
        <v>100000</v>
      </c>
      <c r="T123" s="62">
        <f>0</f>
        <v>0</v>
      </c>
      <c r="U123" s="62">
        <v>100000</v>
      </c>
      <c r="V123" s="36">
        <f t="shared" si="55"/>
        <v>100000</v>
      </c>
    </row>
    <row r="124" spans="1:22" ht="18.75">
      <c r="A124" s="1">
        <v>16</v>
      </c>
      <c r="B124" s="257" t="s">
        <v>274</v>
      </c>
      <c r="C124" s="258"/>
      <c r="D124" s="61" t="s">
        <v>268</v>
      </c>
      <c r="E124" s="66" t="s">
        <v>455</v>
      </c>
      <c r="F124" s="67">
        <v>12732</v>
      </c>
      <c r="G124" s="62"/>
      <c r="H124" s="62">
        <f t="shared" si="81"/>
        <v>38196</v>
      </c>
      <c r="I124" s="62">
        <f t="shared" si="82"/>
        <v>954.9</v>
      </c>
      <c r="J124" s="62"/>
      <c r="K124" s="62">
        <f t="shared" si="83"/>
        <v>6366</v>
      </c>
      <c r="L124" s="36">
        <f t="shared" si="84"/>
        <v>44562</v>
      </c>
      <c r="M124" s="62">
        <f t="shared" si="85"/>
        <v>12732</v>
      </c>
      <c r="N124" s="62">
        <v>0</v>
      </c>
      <c r="O124" s="62">
        <f t="shared" si="86"/>
        <v>1273.2</v>
      </c>
      <c r="P124" s="62">
        <v>10000</v>
      </c>
      <c r="Q124" s="62"/>
      <c r="R124" s="62">
        <f t="shared" si="70"/>
        <v>0</v>
      </c>
      <c r="S124" s="62">
        <f t="shared" si="80"/>
        <v>100000</v>
      </c>
      <c r="T124" s="62">
        <f>0</f>
        <v>0</v>
      </c>
      <c r="U124" s="62">
        <v>100000</v>
      </c>
      <c r="V124" s="36">
        <f t="shared" si="55"/>
        <v>100000</v>
      </c>
    </row>
    <row r="125" spans="1:22" ht="18.75">
      <c r="A125" s="1">
        <v>17</v>
      </c>
      <c r="B125" s="257" t="s">
        <v>275</v>
      </c>
      <c r="C125" s="258"/>
      <c r="D125" s="61" t="s">
        <v>276</v>
      </c>
      <c r="E125" s="66" t="s">
        <v>455</v>
      </c>
      <c r="F125" s="67">
        <v>12732</v>
      </c>
      <c r="G125" s="62"/>
      <c r="H125" s="62">
        <f t="shared" si="81"/>
        <v>38196</v>
      </c>
      <c r="I125" s="62">
        <f t="shared" si="82"/>
        <v>954.9</v>
      </c>
      <c r="J125" s="62"/>
      <c r="K125" s="62">
        <f t="shared" si="83"/>
        <v>6366</v>
      </c>
      <c r="L125" s="36">
        <f t="shared" si="84"/>
        <v>44562</v>
      </c>
      <c r="M125" s="62">
        <f t="shared" si="85"/>
        <v>12732</v>
      </c>
      <c r="N125" s="62">
        <v>0</v>
      </c>
      <c r="O125" s="62">
        <f t="shared" si="86"/>
        <v>1273.2</v>
      </c>
      <c r="P125" s="62">
        <v>10000</v>
      </c>
      <c r="Q125" s="62"/>
      <c r="R125" s="62">
        <f t="shared" si="70"/>
        <v>0</v>
      </c>
      <c r="S125" s="62">
        <f t="shared" si="80"/>
        <v>100000</v>
      </c>
      <c r="T125" s="62">
        <f>0</f>
        <v>0</v>
      </c>
      <c r="U125" s="62">
        <v>100000</v>
      </c>
      <c r="V125" s="36">
        <f t="shared" si="55"/>
        <v>100000</v>
      </c>
    </row>
    <row r="126" spans="1:22" ht="18.75">
      <c r="A126" s="1">
        <v>18</v>
      </c>
      <c r="B126" s="257" t="s">
        <v>217</v>
      </c>
      <c r="C126" s="258"/>
      <c r="D126" s="61" t="s">
        <v>494</v>
      </c>
      <c r="E126" s="66" t="s">
        <v>455</v>
      </c>
      <c r="F126" s="67">
        <v>12732</v>
      </c>
      <c r="G126" s="62"/>
      <c r="H126" s="62">
        <f t="shared" si="81"/>
        <v>38196</v>
      </c>
      <c r="I126" s="62">
        <f t="shared" si="82"/>
        <v>954.9</v>
      </c>
      <c r="J126" s="62"/>
      <c r="K126" s="62">
        <f t="shared" si="83"/>
        <v>6366</v>
      </c>
      <c r="L126" s="36">
        <f t="shared" si="84"/>
        <v>44562</v>
      </c>
      <c r="M126" s="62">
        <f t="shared" si="85"/>
        <v>12732</v>
      </c>
      <c r="N126" s="62">
        <v>0</v>
      </c>
      <c r="O126" s="62">
        <f t="shared" si="86"/>
        <v>1273.2</v>
      </c>
      <c r="P126" s="62">
        <v>10000</v>
      </c>
      <c r="Q126" s="62"/>
      <c r="R126" s="62">
        <f t="shared" si="70"/>
        <v>0</v>
      </c>
      <c r="S126" s="62">
        <f t="shared" si="80"/>
        <v>100000</v>
      </c>
      <c r="T126" s="62">
        <f>0</f>
        <v>0</v>
      </c>
      <c r="U126" s="62">
        <v>100000</v>
      </c>
      <c r="V126" s="36">
        <f t="shared" si="55"/>
        <v>100000</v>
      </c>
    </row>
    <row r="127" spans="1:22" ht="18.75">
      <c r="A127" s="1">
        <v>19</v>
      </c>
      <c r="B127" s="257" t="s">
        <v>278</v>
      </c>
      <c r="C127" s="258"/>
      <c r="D127" s="61" t="s">
        <v>494</v>
      </c>
      <c r="E127" s="66" t="s">
        <v>455</v>
      </c>
      <c r="F127" s="67">
        <v>12732</v>
      </c>
      <c r="G127" s="62"/>
      <c r="H127" s="62">
        <f t="shared" si="81"/>
        <v>38196</v>
      </c>
      <c r="I127" s="62">
        <f t="shared" si="82"/>
        <v>954.9</v>
      </c>
      <c r="J127" s="62"/>
      <c r="K127" s="62">
        <f t="shared" si="83"/>
        <v>6366</v>
      </c>
      <c r="L127" s="36">
        <f t="shared" si="84"/>
        <v>44562</v>
      </c>
      <c r="M127" s="62">
        <f t="shared" si="85"/>
        <v>12732</v>
      </c>
      <c r="N127" s="62">
        <v>0</v>
      </c>
      <c r="O127" s="62">
        <f t="shared" si="86"/>
        <v>1273.2</v>
      </c>
      <c r="P127" s="62">
        <v>10000</v>
      </c>
      <c r="Q127" s="62"/>
      <c r="R127" s="62">
        <f t="shared" si="70"/>
        <v>0</v>
      </c>
      <c r="S127" s="62">
        <f t="shared" si="80"/>
        <v>100000</v>
      </c>
      <c r="T127" s="62">
        <f>0</f>
        <v>0</v>
      </c>
      <c r="U127" s="62">
        <v>100000</v>
      </c>
      <c r="V127" s="36">
        <f t="shared" si="55"/>
        <v>100000</v>
      </c>
    </row>
    <row r="128" spans="1:22" ht="18.75">
      <c r="A128" s="1">
        <v>20</v>
      </c>
      <c r="B128" s="257" t="s">
        <v>277</v>
      </c>
      <c r="C128" s="258"/>
      <c r="D128" s="61" t="s">
        <v>268</v>
      </c>
      <c r="E128" s="66" t="s">
        <v>455</v>
      </c>
      <c r="F128" s="67">
        <v>12732</v>
      </c>
      <c r="G128" s="62"/>
      <c r="H128" s="62">
        <f t="shared" si="81"/>
        <v>38196</v>
      </c>
      <c r="I128" s="62">
        <f t="shared" si="82"/>
        <v>954.9</v>
      </c>
      <c r="J128" s="62"/>
      <c r="K128" s="62">
        <f t="shared" si="83"/>
        <v>6366</v>
      </c>
      <c r="L128" s="36">
        <f t="shared" si="84"/>
        <v>44562</v>
      </c>
      <c r="M128" s="62">
        <f t="shared" si="85"/>
        <v>12732</v>
      </c>
      <c r="N128" s="62">
        <v>0</v>
      </c>
      <c r="O128" s="62">
        <f t="shared" si="86"/>
        <v>1273.2</v>
      </c>
      <c r="P128" s="62">
        <v>10000</v>
      </c>
      <c r="Q128" s="62"/>
      <c r="R128" s="62">
        <f t="shared" si="70"/>
        <v>0</v>
      </c>
      <c r="S128" s="62">
        <f t="shared" si="80"/>
        <v>100000</v>
      </c>
      <c r="T128" s="62">
        <f>0</f>
        <v>0</v>
      </c>
      <c r="U128" s="62">
        <v>100000</v>
      </c>
      <c r="V128" s="36">
        <f t="shared" si="55"/>
        <v>100000</v>
      </c>
    </row>
    <row r="129" spans="1:22" ht="18.75">
      <c r="A129" s="1">
        <v>21</v>
      </c>
      <c r="B129" s="257" t="s">
        <v>262</v>
      </c>
      <c r="C129" s="258"/>
      <c r="D129" s="61" t="s">
        <v>448</v>
      </c>
      <c r="E129" s="66" t="s">
        <v>82</v>
      </c>
      <c r="F129" s="62">
        <f>18779.3</f>
        <v>18779.3</v>
      </c>
      <c r="G129" s="62"/>
      <c r="H129" s="62">
        <f t="shared" si="81"/>
        <v>56337.899999999994</v>
      </c>
      <c r="I129" s="62">
        <f t="shared" si="82"/>
        <v>1408.4475</v>
      </c>
      <c r="J129" s="36"/>
      <c r="K129" s="62">
        <f t="shared" si="83"/>
        <v>9389.65</v>
      </c>
      <c r="L129" s="36">
        <f t="shared" si="84"/>
        <v>65727.55</v>
      </c>
      <c r="M129" s="62">
        <f t="shared" si="85"/>
        <v>18779.3</v>
      </c>
      <c r="N129" s="62">
        <v>0</v>
      </c>
      <c r="O129" s="62">
        <f t="shared" si="86"/>
        <v>1877.93</v>
      </c>
      <c r="P129" s="62">
        <v>10000</v>
      </c>
      <c r="Q129" s="62"/>
      <c r="R129" s="62">
        <f t="shared" si="70"/>
        <v>0</v>
      </c>
      <c r="S129" s="62">
        <f t="shared" si="80"/>
        <v>100000</v>
      </c>
      <c r="T129" s="62">
        <f>0</f>
        <v>0</v>
      </c>
      <c r="U129" s="62">
        <v>100000</v>
      </c>
      <c r="V129" s="36">
        <f t="shared" si="55"/>
        <v>100000</v>
      </c>
    </row>
    <row r="130" spans="1:22" ht="18.75">
      <c r="A130" s="1">
        <v>22</v>
      </c>
      <c r="B130" s="257" t="s">
        <v>267</v>
      </c>
      <c r="C130" s="258"/>
      <c r="D130" s="61" t="s">
        <v>268</v>
      </c>
      <c r="E130" s="66" t="s">
        <v>95</v>
      </c>
      <c r="F130" s="26">
        <f>17784</f>
        <v>17784</v>
      </c>
      <c r="G130" s="62"/>
      <c r="H130" s="62">
        <f t="shared" si="81"/>
        <v>53352</v>
      </c>
      <c r="I130" s="62">
        <f t="shared" si="82"/>
        <v>1333.8</v>
      </c>
      <c r="J130" s="36"/>
      <c r="K130" s="62">
        <f t="shared" si="83"/>
        <v>8892</v>
      </c>
      <c r="L130" s="36">
        <f t="shared" si="84"/>
        <v>62244</v>
      </c>
      <c r="M130" s="62">
        <f t="shared" si="85"/>
        <v>17784</v>
      </c>
      <c r="N130" s="62">
        <v>0</v>
      </c>
      <c r="O130" s="62">
        <f t="shared" si="86"/>
        <v>1778.4</v>
      </c>
      <c r="P130" s="62">
        <v>10000</v>
      </c>
      <c r="Q130" s="62"/>
      <c r="R130" s="62">
        <f t="shared" si="70"/>
        <v>0</v>
      </c>
      <c r="S130" s="62">
        <f t="shared" si="80"/>
        <v>100000</v>
      </c>
      <c r="T130" s="62">
        <f>0</f>
        <v>0</v>
      </c>
      <c r="U130" s="62">
        <v>100000</v>
      </c>
      <c r="V130" s="36">
        <f t="shared" si="55"/>
        <v>100000</v>
      </c>
    </row>
    <row r="131" spans="1:22" ht="18.75">
      <c r="A131" s="1">
        <v>23</v>
      </c>
      <c r="B131" s="264" t="s">
        <v>286</v>
      </c>
      <c r="C131" s="264"/>
      <c r="D131" s="61" t="s">
        <v>296</v>
      </c>
      <c r="E131" s="66" t="s">
        <v>297</v>
      </c>
      <c r="F131" s="67">
        <f>5769.6</f>
        <v>5769.6</v>
      </c>
      <c r="G131" s="33"/>
      <c r="H131" s="62">
        <f t="shared" si="81"/>
        <v>17308.800000000003</v>
      </c>
      <c r="I131" s="62">
        <f t="shared" si="82"/>
        <v>432.72</v>
      </c>
      <c r="J131" s="67">
        <v>0</v>
      </c>
      <c r="K131" s="62">
        <f t="shared" si="83"/>
        <v>2884.8</v>
      </c>
      <c r="L131" s="36">
        <f t="shared" si="84"/>
        <v>20193.600000000002</v>
      </c>
      <c r="M131" s="62">
        <f t="shared" si="85"/>
        <v>5769.6</v>
      </c>
      <c r="N131" s="36">
        <v>4000</v>
      </c>
      <c r="O131" s="62">
        <f t="shared" si="86"/>
        <v>576.96</v>
      </c>
      <c r="P131" s="67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  <c r="U131" s="36">
        <v>25000</v>
      </c>
      <c r="V131" s="36">
        <f t="shared" si="55"/>
        <v>25000</v>
      </c>
    </row>
    <row r="132" spans="1:22" ht="18.75">
      <c r="A132" s="1">
        <v>24</v>
      </c>
      <c r="B132" s="264" t="s">
        <v>289</v>
      </c>
      <c r="C132" s="264"/>
      <c r="D132" s="61" t="s">
        <v>296</v>
      </c>
      <c r="E132" s="66" t="s">
        <v>297</v>
      </c>
      <c r="F132" s="67">
        <f t="shared" ref="F132:F137" si="87">5769.6</f>
        <v>5769.6</v>
      </c>
      <c r="G132" s="33"/>
      <c r="H132" s="62">
        <f t="shared" si="81"/>
        <v>17308.800000000003</v>
      </c>
      <c r="I132" s="62">
        <f t="shared" si="82"/>
        <v>432.72</v>
      </c>
      <c r="J132" s="67">
        <v>0</v>
      </c>
      <c r="K132" s="62">
        <f t="shared" si="83"/>
        <v>2884.8</v>
      </c>
      <c r="L132" s="36">
        <f t="shared" si="84"/>
        <v>20193.600000000002</v>
      </c>
      <c r="M132" s="62">
        <f t="shared" si="85"/>
        <v>5769.6</v>
      </c>
      <c r="N132" s="36">
        <v>7000</v>
      </c>
      <c r="O132" s="62">
        <f t="shared" si="86"/>
        <v>576.96</v>
      </c>
      <c r="P132" s="67">
        <v>5000</v>
      </c>
      <c r="Q132" s="62">
        <v>0</v>
      </c>
      <c r="R132" s="62">
        <f t="shared" si="70"/>
        <v>7000</v>
      </c>
      <c r="S132" s="36">
        <f>25000+7000</f>
        <v>32000</v>
      </c>
      <c r="T132" s="62">
        <f>0</f>
        <v>0</v>
      </c>
      <c r="U132" s="36">
        <v>25000</v>
      </c>
      <c r="V132" s="36">
        <f t="shared" si="55"/>
        <v>25000</v>
      </c>
    </row>
    <row r="133" spans="1:22" ht="18.75">
      <c r="A133" s="1">
        <v>25</v>
      </c>
      <c r="B133" s="264" t="s">
        <v>290</v>
      </c>
      <c r="C133" s="264"/>
      <c r="D133" s="61" t="s">
        <v>296</v>
      </c>
      <c r="E133" s="66" t="s">
        <v>297</v>
      </c>
      <c r="F133" s="67">
        <f t="shared" si="87"/>
        <v>5769.6</v>
      </c>
      <c r="G133" s="33"/>
      <c r="H133" s="62">
        <f t="shared" si="81"/>
        <v>17308.800000000003</v>
      </c>
      <c r="I133" s="62">
        <f t="shared" si="82"/>
        <v>432.72</v>
      </c>
      <c r="J133" s="62">
        <v>0</v>
      </c>
      <c r="K133" s="62">
        <f t="shared" si="83"/>
        <v>2884.8</v>
      </c>
      <c r="L133" s="36">
        <f t="shared" si="84"/>
        <v>20193.600000000002</v>
      </c>
      <c r="M133" s="62">
        <f t="shared" si="85"/>
        <v>5769.6</v>
      </c>
      <c r="N133" s="36">
        <v>4000</v>
      </c>
      <c r="O133" s="62">
        <f t="shared" si="86"/>
        <v>576.96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  <c r="U133" s="36">
        <v>25000</v>
      </c>
      <c r="V133" s="36">
        <f t="shared" si="55"/>
        <v>25000</v>
      </c>
    </row>
    <row r="134" spans="1:22" ht="18.75">
      <c r="A134" s="1">
        <v>26</v>
      </c>
      <c r="B134" s="264" t="s">
        <v>291</v>
      </c>
      <c r="C134" s="264"/>
      <c r="D134" s="61" t="s">
        <v>296</v>
      </c>
      <c r="E134" s="66" t="s">
        <v>297</v>
      </c>
      <c r="F134" s="67">
        <f t="shared" si="87"/>
        <v>5769.6</v>
      </c>
      <c r="G134" s="33"/>
      <c r="H134" s="62">
        <f t="shared" si="81"/>
        <v>17308.800000000003</v>
      </c>
      <c r="I134" s="62">
        <f t="shared" si="82"/>
        <v>432.72</v>
      </c>
      <c r="J134" s="62">
        <v>0</v>
      </c>
      <c r="K134" s="62">
        <f t="shared" si="83"/>
        <v>2884.8</v>
      </c>
      <c r="L134" s="36">
        <f t="shared" si="84"/>
        <v>20193.600000000002</v>
      </c>
      <c r="M134" s="62">
        <f t="shared" si="85"/>
        <v>5769.6</v>
      </c>
      <c r="N134" s="36">
        <v>4000</v>
      </c>
      <c r="O134" s="62">
        <f t="shared" si="86"/>
        <v>576.96</v>
      </c>
      <c r="P134" s="62">
        <v>5000</v>
      </c>
      <c r="Q134" s="62">
        <v>0</v>
      </c>
      <c r="R134" s="62">
        <f t="shared" si="70"/>
        <v>4000</v>
      </c>
      <c r="S134" s="36">
        <f>25000+4000</f>
        <v>29000</v>
      </c>
      <c r="T134" s="62">
        <f>0</f>
        <v>0</v>
      </c>
      <c r="U134" s="36">
        <v>25000</v>
      </c>
      <c r="V134" s="36">
        <f t="shared" si="55"/>
        <v>25000</v>
      </c>
    </row>
    <row r="135" spans="1:22" ht="18.75">
      <c r="A135" s="1">
        <v>27</v>
      </c>
      <c r="B135" s="264" t="s">
        <v>292</v>
      </c>
      <c r="C135" s="264"/>
      <c r="D135" s="61" t="s">
        <v>296</v>
      </c>
      <c r="E135" s="66" t="s">
        <v>297</v>
      </c>
      <c r="F135" s="67">
        <f t="shared" si="87"/>
        <v>5769.6</v>
      </c>
      <c r="G135" s="33"/>
      <c r="H135" s="62">
        <f t="shared" si="81"/>
        <v>17308.800000000003</v>
      </c>
      <c r="I135" s="62">
        <f t="shared" si="82"/>
        <v>432.72</v>
      </c>
      <c r="J135" s="62">
        <v>0</v>
      </c>
      <c r="K135" s="62">
        <f t="shared" si="83"/>
        <v>2884.8</v>
      </c>
      <c r="L135" s="36">
        <f t="shared" si="84"/>
        <v>20193.600000000002</v>
      </c>
      <c r="M135" s="62">
        <f t="shared" si="85"/>
        <v>5769.6</v>
      </c>
      <c r="N135" s="36">
        <v>4000</v>
      </c>
      <c r="O135" s="62">
        <f t="shared" si="86"/>
        <v>576.96</v>
      </c>
      <c r="P135" s="62">
        <v>5000</v>
      </c>
      <c r="Q135" s="62">
        <v>0</v>
      </c>
      <c r="R135" s="62">
        <f t="shared" si="70"/>
        <v>4000</v>
      </c>
      <c r="S135" s="36">
        <f>25000+4000</f>
        <v>29000</v>
      </c>
      <c r="T135" s="62">
        <f>0</f>
        <v>0</v>
      </c>
      <c r="U135" s="36">
        <v>25000</v>
      </c>
      <c r="V135" s="36">
        <f t="shared" ref="V135:V158" si="88">S135-N135</f>
        <v>25000</v>
      </c>
    </row>
    <row r="136" spans="1:22" ht="18.75">
      <c r="A136" s="1">
        <v>28</v>
      </c>
      <c r="B136" s="264" t="s">
        <v>293</v>
      </c>
      <c r="C136" s="264"/>
      <c r="D136" s="61" t="s">
        <v>296</v>
      </c>
      <c r="E136" s="66" t="s">
        <v>297</v>
      </c>
      <c r="F136" s="67">
        <f t="shared" si="87"/>
        <v>5769.6</v>
      </c>
      <c r="G136" s="27">
        <f>0</f>
        <v>0</v>
      </c>
      <c r="H136" s="62">
        <f t="shared" si="81"/>
        <v>17308.800000000003</v>
      </c>
      <c r="I136" s="62">
        <f t="shared" si="82"/>
        <v>432.72</v>
      </c>
      <c r="J136" s="62">
        <v>0</v>
      </c>
      <c r="K136" s="62">
        <f t="shared" si="83"/>
        <v>2884.8</v>
      </c>
      <c r="L136" s="36">
        <f t="shared" si="84"/>
        <v>20193.600000000002</v>
      </c>
      <c r="M136" s="62">
        <f t="shared" si="85"/>
        <v>5769.6</v>
      </c>
      <c r="N136" s="36">
        <v>3000</v>
      </c>
      <c r="O136" s="62">
        <f t="shared" si="86"/>
        <v>576.96</v>
      </c>
      <c r="P136" s="62">
        <v>5000</v>
      </c>
      <c r="Q136" s="62">
        <v>0</v>
      </c>
      <c r="R136" s="62">
        <f t="shared" si="70"/>
        <v>3000</v>
      </c>
      <c r="S136" s="36">
        <f>25000+3000</f>
        <v>28000</v>
      </c>
      <c r="T136" s="62">
        <f>0</f>
        <v>0</v>
      </c>
      <c r="U136" s="36">
        <v>25000</v>
      </c>
      <c r="V136" s="36">
        <f t="shared" si="88"/>
        <v>25000</v>
      </c>
    </row>
    <row r="137" spans="1:22" ht="18.75">
      <c r="A137" s="1">
        <v>29</v>
      </c>
      <c r="B137" s="264" t="s">
        <v>294</v>
      </c>
      <c r="C137" s="264"/>
      <c r="D137" s="61" t="s">
        <v>296</v>
      </c>
      <c r="E137" s="66" t="s">
        <v>297</v>
      </c>
      <c r="F137" s="67">
        <f t="shared" si="87"/>
        <v>5769.6</v>
      </c>
      <c r="G137" s="33"/>
      <c r="H137" s="62">
        <f t="shared" si="81"/>
        <v>17308.800000000003</v>
      </c>
      <c r="I137" s="62">
        <f t="shared" si="82"/>
        <v>432.72</v>
      </c>
      <c r="J137" s="62">
        <v>0</v>
      </c>
      <c r="K137" s="62">
        <f t="shared" si="83"/>
        <v>2884.8</v>
      </c>
      <c r="L137" s="36">
        <f t="shared" si="84"/>
        <v>20193.600000000002</v>
      </c>
      <c r="M137" s="62">
        <f t="shared" si="85"/>
        <v>5769.6</v>
      </c>
      <c r="N137" s="36">
        <v>7000</v>
      </c>
      <c r="O137" s="62">
        <f t="shared" si="86"/>
        <v>576.96</v>
      </c>
      <c r="P137" s="62">
        <v>5000</v>
      </c>
      <c r="Q137" s="62">
        <v>0</v>
      </c>
      <c r="R137" s="62">
        <f t="shared" si="70"/>
        <v>7000</v>
      </c>
      <c r="S137" s="36">
        <f>25000+7000</f>
        <v>32000</v>
      </c>
      <c r="T137" s="62">
        <f>0</f>
        <v>0</v>
      </c>
      <c r="U137" s="36">
        <v>25000</v>
      </c>
      <c r="V137" s="36">
        <f t="shared" si="88"/>
        <v>25000</v>
      </c>
    </row>
    <row r="138" spans="1:22" ht="18.75">
      <c r="A138" s="1">
        <v>30</v>
      </c>
      <c r="B138" s="264" t="s">
        <v>295</v>
      </c>
      <c r="C138" s="264"/>
      <c r="D138" s="61" t="s">
        <v>312</v>
      </c>
      <c r="E138" s="66" t="s">
        <v>308</v>
      </c>
      <c r="F138" s="62">
        <f>5428.12</f>
        <v>5428.12</v>
      </c>
      <c r="G138" s="33"/>
      <c r="H138" s="62">
        <f t="shared" si="81"/>
        <v>16284.36</v>
      </c>
      <c r="I138" s="62">
        <f t="shared" si="82"/>
        <v>407.10899999999998</v>
      </c>
      <c r="J138" s="62">
        <v>0</v>
      </c>
      <c r="K138" s="62">
        <f t="shared" si="83"/>
        <v>2714.06</v>
      </c>
      <c r="L138" s="36">
        <f t="shared" si="84"/>
        <v>18998.419999999998</v>
      </c>
      <c r="M138" s="62">
        <f t="shared" si="85"/>
        <v>5428.12</v>
      </c>
      <c r="N138" s="36">
        <v>7000</v>
      </c>
      <c r="O138" s="62">
        <f t="shared" si="86"/>
        <v>542.81200000000001</v>
      </c>
      <c r="P138" s="62">
        <v>5000</v>
      </c>
      <c r="Q138" s="62">
        <v>0</v>
      </c>
      <c r="R138" s="62">
        <f t="shared" si="70"/>
        <v>7000</v>
      </c>
      <c r="S138" s="36">
        <f t="shared" ref="S138:S156" si="89">25000+7000</f>
        <v>32000</v>
      </c>
      <c r="T138" s="62">
        <f>0</f>
        <v>0</v>
      </c>
      <c r="U138" s="36">
        <v>25000</v>
      </c>
      <c r="V138" s="36">
        <f t="shared" si="88"/>
        <v>25000</v>
      </c>
    </row>
    <row r="139" spans="1:22" ht="18.75">
      <c r="A139" s="1">
        <v>31</v>
      </c>
      <c r="B139" s="264" t="s">
        <v>298</v>
      </c>
      <c r="C139" s="264"/>
      <c r="D139" s="61" t="s">
        <v>312</v>
      </c>
      <c r="E139" s="66" t="s">
        <v>308</v>
      </c>
      <c r="F139" s="62">
        <f t="shared" ref="F139:F144" si="90">5428.12</f>
        <v>5428.12</v>
      </c>
      <c r="G139" s="33"/>
      <c r="H139" s="62">
        <f t="shared" si="81"/>
        <v>16284.36</v>
      </c>
      <c r="I139" s="62">
        <f t="shared" si="82"/>
        <v>407.10899999999998</v>
      </c>
      <c r="J139" s="62">
        <v>0</v>
      </c>
      <c r="K139" s="62">
        <f t="shared" si="83"/>
        <v>2714.06</v>
      </c>
      <c r="L139" s="36">
        <f t="shared" si="84"/>
        <v>18998.419999999998</v>
      </c>
      <c r="M139" s="62">
        <f t="shared" si="85"/>
        <v>5428.12</v>
      </c>
      <c r="N139" s="36">
        <v>4000</v>
      </c>
      <c r="O139" s="62">
        <f t="shared" si="86"/>
        <v>542.81200000000001</v>
      </c>
      <c r="P139" s="62">
        <v>5000</v>
      </c>
      <c r="Q139" s="62">
        <v>0</v>
      </c>
      <c r="R139" s="62">
        <f t="shared" si="70"/>
        <v>4000</v>
      </c>
      <c r="S139" s="36">
        <f>25000+4000</f>
        <v>29000</v>
      </c>
      <c r="T139" s="62">
        <f>0</f>
        <v>0</v>
      </c>
      <c r="U139" s="36">
        <v>25000</v>
      </c>
      <c r="V139" s="36">
        <f t="shared" si="88"/>
        <v>25000</v>
      </c>
    </row>
    <row r="140" spans="1:22" ht="18.75">
      <c r="A140" s="1">
        <v>32</v>
      </c>
      <c r="B140" s="264" t="s">
        <v>299</v>
      </c>
      <c r="C140" s="264"/>
      <c r="D140" s="61" t="s">
        <v>312</v>
      </c>
      <c r="E140" s="66" t="s">
        <v>308</v>
      </c>
      <c r="F140" s="62">
        <f t="shared" si="90"/>
        <v>5428.12</v>
      </c>
      <c r="G140" s="33"/>
      <c r="H140" s="62">
        <f t="shared" si="81"/>
        <v>16284.36</v>
      </c>
      <c r="I140" s="62">
        <f t="shared" si="82"/>
        <v>407.10899999999998</v>
      </c>
      <c r="J140" s="62">
        <v>0</v>
      </c>
      <c r="K140" s="62">
        <f t="shared" si="83"/>
        <v>2714.06</v>
      </c>
      <c r="L140" s="36">
        <f t="shared" si="84"/>
        <v>18998.419999999998</v>
      </c>
      <c r="M140" s="62">
        <f t="shared" si="85"/>
        <v>5428.12</v>
      </c>
      <c r="N140" s="36">
        <v>4000</v>
      </c>
      <c r="O140" s="62">
        <f t="shared" si="86"/>
        <v>542.81200000000001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  <c r="U140" s="36">
        <v>25000</v>
      </c>
      <c r="V140" s="36">
        <f t="shared" si="88"/>
        <v>25000</v>
      </c>
    </row>
    <row r="141" spans="1:22" ht="18.75">
      <c r="A141" s="1">
        <v>33</v>
      </c>
      <c r="B141" s="33" t="s">
        <v>300</v>
      </c>
      <c r="C141" s="33"/>
      <c r="D141" s="61" t="s">
        <v>312</v>
      </c>
      <c r="E141" s="66" t="s">
        <v>308</v>
      </c>
      <c r="F141" s="62">
        <f t="shared" si="90"/>
        <v>5428.12</v>
      </c>
      <c r="G141" s="33"/>
      <c r="H141" s="62">
        <f t="shared" si="81"/>
        <v>16284.36</v>
      </c>
      <c r="I141" s="62">
        <f t="shared" si="82"/>
        <v>407.10899999999998</v>
      </c>
      <c r="J141" s="62">
        <v>0</v>
      </c>
      <c r="K141" s="62">
        <f t="shared" si="83"/>
        <v>2714.06</v>
      </c>
      <c r="L141" s="36">
        <f t="shared" si="84"/>
        <v>18998.419999999998</v>
      </c>
      <c r="M141" s="62">
        <f>F140*100%</f>
        <v>5428.12</v>
      </c>
      <c r="N141" s="36">
        <v>7000</v>
      </c>
      <c r="O141" s="62">
        <f t="shared" si="86"/>
        <v>542.81200000000001</v>
      </c>
      <c r="P141" s="62">
        <v>5000</v>
      </c>
      <c r="Q141" s="62">
        <v>0</v>
      </c>
      <c r="R141" s="62">
        <f t="shared" si="70"/>
        <v>7000</v>
      </c>
      <c r="S141" s="36">
        <f t="shared" si="89"/>
        <v>32000</v>
      </c>
      <c r="T141" s="62">
        <f>0</f>
        <v>0</v>
      </c>
      <c r="U141" s="36">
        <v>25000</v>
      </c>
      <c r="V141" s="36">
        <f t="shared" si="88"/>
        <v>25000</v>
      </c>
    </row>
    <row r="142" spans="1:22" ht="18.75">
      <c r="A142" s="1">
        <v>34</v>
      </c>
      <c r="B142" s="257" t="s">
        <v>301</v>
      </c>
      <c r="C142" s="258"/>
      <c r="D142" s="61" t="s">
        <v>312</v>
      </c>
      <c r="E142" s="66" t="s">
        <v>308</v>
      </c>
      <c r="F142" s="62">
        <f t="shared" si="90"/>
        <v>5428.12</v>
      </c>
      <c r="G142" s="33"/>
      <c r="H142" s="62">
        <f t="shared" si="81"/>
        <v>16284.36</v>
      </c>
      <c r="I142" s="62">
        <f t="shared" si="82"/>
        <v>407.10899999999998</v>
      </c>
      <c r="J142" s="62"/>
      <c r="K142" s="62">
        <f t="shared" si="83"/>
        <v>2714.06</v>
      </c>
      <c r="L142" s="36">
        <f t="shared" si="84"/>
        <v>18998.419999999998</v>
      </c>
      <c r="M142" s="62">
        <f t="shared" ref="M142:M157" si="91">F142*100%</f>
        <v>5428.12</v>
      </c>
      <c r="N142" s="36">
        <v>4000</v>
      </c>
      <c r="O142" s="62">
        <f t="shared" si="86"/>
        <v>542.81200000000001</v>
      </c>
      <c r="P142" s="62">
        <v>5000</v>
      </c>
      <c r="Q142" s="62">
        <v>0</v>
      </c>
      <c r="R142" s="62">
        <f t="shared" si="70"/>
        <v>4000</v>
      </c>
      <c r="S142" s="36">
        <f>25000+4000</f>
        <v>29000</v>
      </c>
      <c r="T142" s="62">
        <f>0</f>
        <v>0</v>
      </c>
      <c r="U142" s="36">
        <v>25000</v>
      </c>
      <c r="V142" s="36">
        <f t="shared" si="88"/>
        <v>25000</v>
      </c>
    </row>
    <row r="143" spans="1:22" ht="18.75">
      <c r="A143" s="1">
        <v>35</v>
      </c>
      <c r="B143" s="61" t="s">
        <v>302</v>
      </c>
      <c r="C143" s="33"/>
      <c r="D143" s="61" t="s">
        <v>312</v>
      </c>
      <c r="E143" s="66" t="s">
        <v>308</v>
      </c>
      <c r="F143" s="62">
        <f t="shared" si="90"/>
        <v>5428.12</v>
      </c>
      <c r="G143" s="33"/>
      <c r="H143" s="62">
        <f t="shared" si="81"/>
        <v>16284.36</v>
      </c>
      <c r="I143" s="62">
        <f t="shared" si="82"/>
        <v>407.10899999999998</v>
      </c>
      <c r="J143" s="62"/>
      <c r="K143" s="62">
        <f t="shared" si="83"/>
        <v>2714.06</v>
      </c>
      <c r="L143" s="36">
        <f t="shared" si="84"/>
        <v>18998.419999999998</v>
      </c>
      <c r="M143" s="62">
        <f t="shared" si="91"/>
        <v>5428.12</v>
      </c>
      <c r="N143" s="36">
        <v>4000</v>
      </c>
      <c r="O143" s="62">
        <f t="shared" si="86"/>
        <v>542.81200000000001</v>
      </c>
      <c r="P143" s="62">
        <v>5000</v>
      </c>
      <c r="Q143" s="62">
        <v>0</v>
      </c>
      <c r="R143" s="62">
        <f t="shared" si="70"/>
        <v>4000</v>
      </c>
      <c r="S143" s="36">
        <f>25000+4000</f>
        <v>29000</v>
      </c>
      <c r="T143" s="62">
        <f>0</f>
        <v>0</v>
      </c>
      <c r="U143" s="36">
        <v>25000</v>
      </c>
      <c r="V143" s="36">
        <f t="shared" si="88"/>
        <v>25000</v>
      </c>
    </row>
    <row r="144" spans="1:22" ht="18.75">
      <c r="A144" s="1">
        <v>36</v>
      </c>
      <c r="B144" s="61" t="s">
        <v>303</v>
      </c>
      <c r="C144" s="33"/>
      <c r="D144" s="61" t="s">
        <v>312</v>
      </c>
      <c r="E144" s="66" t="s">
        <v>308</v>
      </c>
      <c r="F144" s="62">
        <f t="shared" si="90"/>
        <v>5428.12</v>
      </c>
      <c r="G144" s="33"/>
      <c r="H144" s="62">
        <f t="shared" si="81"/>
        <v>16284.36</v>
      </c>
      <c r="I144" s="62">
        <f t="shared" si="82"/>
        <v>407.10899999999998</v>
      </c>
      <c r="J144" s="62"/>
      <c r="K144" s="62">
        <f t="shared" si="83"/>
        <v>2714.06</v>
      </c>
      <c r="L144" s="36">
        <f t="shared" si="84"/>
        <v>18998.419999999998</v>
      </c>
      <c r="M144" s="62">
        <f t="shared" si="91"/>
        <v>5428.12</v>
      </c>
      <c r="N144" s="36">
        <v>7000</v>
      </c>
      <c r="O144" s="62">
        <f t="shared" si="86"/>
        <v>542.81200000000001</v>
      </c>
      <c r="P144" s="62">
        <v>5000</v>
      </c>
      <c r="Q144" s="62">
        <v>0</v>
      </c>
      <c r="R144" s="62">
        <f t="shared" si="70"/>
        <v>7000</v>
      </c>
      <c r="S144" s="36">
        <f t="shared" si="89"/>
        <v>32000</v>
      </c>
      <c r="T144" s="62">
        <f>0</f>
        <v>0</v>
      </c>
      <c r="U144" s="36">
        <v>25000</v>
      </c>
      <c r="V144" s="36">
        <f t="shared" si="88"/>
        <v>25000</v>
      </c>
    </row>
    <row r="145" spans="1:22" ht="18.75">
      <c r="A145" s="1">
        <v>37</v>
      </c>
      <c r="B145" s="257" t="s">
        <v>304</v>
      </c>
      <c r="C145" s="258"/>
      <c r="D145" s="61" t="s">
        <v>312</v>
      </c>
      <c r="E145" s="66" t="s">
        <v>323</v>
      </c>
      <c r="F145" s="62">
        <f>4915.97</f>
        <v>4915.97</v>
      </c>
      <c r="G145" s="33"/>
      <c r="H145" s="62">
        <f t="shared" si="81"/>
        <v>14747.91</v>
      </c>
      <c r="I145" s="62">
        <f t="shared" si="82"/>
        <v>368.69774999999998</v>
      </c>
      <c r="J145" s="62"/>
      <c r="K145" s="62">
        <f t="shared" si="83"/>
        <v>2457.9850000000001</v>
      </c>
      <c r="L145" s="36">
        <f t="shared" si="84"/>
        <v>17205.895</v>
      </c>
      <c r="M145" s="62">
        <f t="shared" si="91"/>
        <v>4915.97</v>
      </c>
      <c r="N145" s="36">
        <v>7000</v>
      </c>
      <c r="O145" s="62">
        <f t="shared" si="86"/>
        <v>491.59700000000004</v>
      </c>
      <c r="P145" s="62">
        <v>5000</v>
      </c>
      <c r="Q145" s="62">
        <v>0</v>
      </c>
      <c r="R145" s="62">
        <f t="shared" si="70"/>
        <v>7000</v>
      </c>
      <c r="S145" s="36">
        <f t="shared" si="89"/>
        <v>32000</v>
      </c>
      <c r="T145" s="62">
        <f>0</f>
        <v>0</v>
      </c>
      <c r="U145" s="36">
        <v>25000</v>
      </c>
      <c r="V145" s="36">
        <f t="shared" si="88"/>
        <v>25000</v>
      </c>
    </row>
    <row r="146" spans="1:22" ht="18.75">
      <c r="A146" s="1">
        <v>38</v>
      </c>
      <c r="B146" s="257" t="s">
        <v>306</v>
      </c>
      <c r="C146" s="258"/>
      <c r="D146" s="61" t="s">
        <v>312</v>
      </c>
      <c r="E146" s="66" t="s">
        <v>323</v>
      </c>
      <c r="F146" s="62">
        <f>4915.97</f>
        <v>4915.97</v>
      </c>
      <c r="G146" s="33"/>
      <c r="H146" s="62">
        <f t="shared" si="81"/>
        <v>14747.91</v>
      </c>
      <c r="I146" s="62">
        <f t="shared" si="82"/>
        <v>368.69774999999998</v>
      </c>
      <c r="J146" s="62"/>
      <c r="K146" s="62">
        <f t="shared" si="83"/>
        <v>2457.9850000000001</v>
      </c>
      <c r="L146" s="36">
        <f t="shared" si="84"/>
        <v>17205.895</v>
      </c>
      <c r="M146" s="62">
        <f t="shared" si="91"/>
        <v>4915.97</v>
      </c>
      <c r="N146" s="36">
        <v>7000</v>
      </c>
      <c r="O146" s="62">
        <f t="shared" si="86"/>
        <v>491.59700000000004</v>
      </c>
      <c r="P146" s="62">
        <v>5000</v>
      </c>
      <c r="Q146" s="62">
        <v>0</v>
      </c>
      <c r="R146" s="62">
        <f t="shared" si="70"/>
        <v>7000</v>
      </c>
      <c r="S146" s="36">
        <f t="shared" si="89"/>
        <v>32000</v>
      </c>
      <c r="T146" s="62">
        <f>0</f>
        <v>0</v>
      </c>
      <c r="U146" s="36">
        <v>25000</v>
      </c>
      <c r="V146" s="36">
        <f t="shared" si="88"/>
        <v>25000</v>
      </c>
    </row>
    <row r="147" spans="1:22" ht="18.75">
      <c r="A147" s="1">
        <v>39</v>
      </c>
      <c r="B147" s="61" t="s">
        <v>307</v>
      </c>
      <c r="C147" s="33"/>
      <c r="D147" s="61" t="s">
        <v>312</v>
      </c>
      <c r="E147" s="66" t="s">
        <v>555</v>
      </c>
      <c r="F147" s="62">
        <f>4836.3</f>
        <v>4836.3</v>
      </c>
      <c r="G147" s="33"/>
      <c r="H147" s="62">
        <f t="shared" si="81"/>
        <v>14508.900000000001</v>
      </c>
      <c r="I147" s="62">
        <f t="shared" si="82"/>
        <v>362.72250000000003</v>
      </c>
      <c r="J147" s="62"/>
      <c r="K147" s="62">
        <f t="shared" si="83"/>
        <v>2418.15</v>
      </c>
      <c r="L147" s="36">
        <f t="shared" si="84"/>
        <v>16927.05</v>
      </c>
      <c r="M147" s="62">
        <f t="shared" si="91"/>
        <v>4836.3</v>
      </c>
      <c r="N147" s="36">
        <v>7000</v>
      </c>
      <c r="O147" s="62">
        <f t="shared" si="86"/>
        <v>483.63000000000005</v>
      </c>
      <c r="P147" s="62">
        <v>5000</v>
      </c>
      <c r="Q147" s="62">
        <v>0</v>
      </c>
      <c r="R147" s="62">
        <f t="shared" si="70"/>
        <v>7000</v>
      </c>
      <c r="S147" s="36">
        <f t="shared" si="89"/>
        <v>32000</v>
      </c>
      <c r="T147" s="62">
        <f>0</f>
        <v>0</v>
      </c>
      <c r="U147" s="36">
        <v>25000</v>
      </c>
      <c r="V147" s="36">
        <f t="shared" si="88"/>
        <v>25000</v>
      </c>
    </row>
    <row r="148" spans="1:22" ht="18.75">
      <c r="A148" s="1">
        <v>40</v>
      </c>
      <c r="B148" s="257" t="s">
        <v>309</v>
      </c>
      <c r="C148" s="258"/>
      <c r="D148" s="61" t="s">
        <v>312</v>
      </c>
      <c r="E148" s="66" t="s">
        <v>509</v>
      </c>
      <c r="F148" s="62">
        <f>4395.43</f>
        <v>4395.43</v>
      </c>
      <c r="G148" s="33"/>
      <c r="H148" s="62">
        <f t="shared" si="81"/>
        <v>13186.29</v>
      </c>
      <c r="I148" s="62">
        <f t="shared" si="82"/>
        <v>329.65725000000003</v>
      </c>
      <c r="J148" s="62"/>
      <c r="K148" s="62">
        <f t="shared" si="83"/>
        <v>2197.7150000000001</v>
      </c>
      <c r="L148" s="36">
        <f t="shared" si="84"/>
        <v>15384.005000000001</v>
      </c>
      <c r="M148" s="62">
        <f t="shared" si="91"/>
        <v>4395.43</v>
      </c>
      <c r="N148" s="36">
        <v>7000</v>
      </c>
      <c r="O148" s="62">
        <f t="shared" si="86"/>
        <v>439.54300000000006</v>
      </c>
      <c r="P148" s="62">
        <v>5000</v>
      </c>
      <c r="Q148" s="62">
        <v>0</v>
      </c>
      <c r="R148" s="62">
        <f t="shared" si="70"/>
        <v>7000</v>
      </c>
      <c r="S148" s="36">
        <f t="shared" si="89"/>
        <v>32000</v>
      </c>
      <c r="T148" s="62">
        <f>0</f>
        <v>0</v>
      </c>
      <c r="U148" s="36">
        <v>25000</v>
      </c>
      <c r="V148" s="36">
        <f t="shared" si="88"/>
        <v>25000</v>
      </c>
    </row>
    <row r="149" spans="1:22" ht="18.75">
      <c r="A149" s="1">
        <v>41</v>
      </c>
      <c r="B149" s="257" t="s">
        <v>311</v>
      </c>
      <c r="C149" s="258"/>
      <c r="D149" s="61" t="s">
        <v>312</v>
      </c>
      <c r="E149" s="66" t="s">
        <v>509</v>
      </c>
      <c r="F149" s="62">
        <f t="shared" ref="F149:F154" si="92">4395.43</f>
        <v>4395.43</v>
      </c>
      <c r="G149" s="33"/>
      <c r="H149" s="62">
        <f t="shared" si="81"/>
        <v>13186.29</v>
      </c>
      <c r="I149" s="62">
        <f t="shared" si="82"/>
        <v>329.65725000000003</v>
      </c>
      <c r="J149" s="62"/>
      <c r="K149" s="62">
        <f t="shared" si="83"/>
        <v>2197.7150000000001</v>
      </c>
      <c r="L149" s="36">
        <f t="shared" si="84"/>
        <v>15384.005000000001</v>
      </c>
      <c r="M149" s="62">
        <f t="shared" si="91"/>
        <v>4395.43</v>
      </c>
      <c r="N149" s="36">
        <v>4000</v>
      </c>
      <c r="O149" s="62">
        <f t="shared" si="86"/>
        <v>439.54300000000006</v>
      </c>
      <c r="P149" s="62">
        <v>5000</v>
      </c>
      <c r="Q149" s="62">
        <v>0</v>
      </c>
      <c r="R149" s="62">
        <f t="shared" si="70"/>
        <v>4000</v>
      </c>
      <c r="S149" s="36">
        <f>25000+4000</f>
        <v>29000</v>
      </c>
      <c r="T149" s="62">
        <f>0</f>
        <v>0</v>
      </c>
      <c r="U149" s="36">
        <v>25000</v>
      </c>
      <c r="V149" s="36">
        <f t="shared" si="88"/>
        <v>25000</v>
      </c>
    </row>
    <row r="150" spans="1:22" ht="18.75">
      <c r="A150" s="1">
        <v>42</v>
      </c>
      <c r="B150" s="257" t="s">
        <v>314</v>
      </c>
      <c r="C150" s="258"/>
      <c r="D150" s="61" t="s">
        <v>312</v>
      </c>
      <c r="E150" s="66" t="s">
        <v>509</v>
      </c>
      <c r="F150" s="62">
        <f t="shared" si="92"/>
        <v>4395.43</v>
      </c>
      <c r="G150" s="33"/>
      <c r="H150" s="62">
        <f t="shared" si="81"/>
        <v>13186.29</v>
      </c>
      <c r="I150" s="62">
        <f t="shared" si="82"/>
        <v>329.65725000000003</v>
      </c>
      <c r="J150" s="62"/>
      <c r="K150" s="62">
        <f t="shared" si="83"/>
        <v>2197.7150000000001</v>
      </c>
      <c r="L150" s="36">
        <f t="shared" si="84"/>
        <v>15384.005000000001</v>
      </c>
      <c r="M150" s="62">
        <f t="shared" si="91"/>
        <v>4395.43</v>
      </c>
      <c r="N150" s="36">
        <v>4000</v>
      </c>
      <c r="O150" s="62">
        <f t="shared" si="86"/>
        <v>439.54300000000006</v>
      </c>
      <c r="P150" s="62">
        <v>5000</v>
      </c>
      <c r="Q150" s="62">
        <v>0</v>
      </c>
      <c r="R150" s="62">
        <f t="shared" si="70"/>
        <v>4000</v>
      </c>
      <c r="S150" s="36">
        <f>25000+4000</f>
        <v>29000</v>
      </c>
      <c r="T150" s="62">
        <f>0</f>
        <v>0</v>
      </c>
      <c r="U150" s="36">
        <v>25000</v>
      </c>
      <c r="V150" s="36">
        <f t="shared" si="88"/>
        <v>25000</v>
      </c>
    </row>
    <row r="151" spans="1:22" ht="18.75">
      <c r="A151" s="1">
        <v>43</v>
      </c>
      <c r="B151" s="257" t="s">
        <v>315</v>
      </c>
      <c r="C151" s="258"/>
      <c r="D151" s="61" t="s">
        <v>312</v>
      </c>
      <c r="E151" s="66" t="s">
        <v>509</v>
      </c>
      <c r="F151" s="62">
        <f t="shared" si="92"/>
        <v>4395.43</v>
      </c>
      <c r="G151" s="27">
        <f>6000</f>
        <v>6000</v>
      </c>
      <c r="H151" s="62">
        <f t="shared" si="81"/>
        <v>13186.29</v>
      </c>
      <c r="I151" s="62">
        <f t="shared" si="82"/>
        <v>329.65725000000003</v>
      </c>
      <c r="J151" s="62"/>
      <c r="K151" s="62">
        <f t="shared" si="83"/>
        <v>2197.7150000000001</v>
      </c>
      <c r="L151" s="36">
        <f t="shared" si="84"/>
        <v>15384.005000000001</v>
      </c>
      <c r="M151" s="62">
        <f t="shared" si="91"/>
        <v>4395.43</v>
      </c>
      <c r="N151" s="36">
        <v>7000</v>
      </c>
      <c r="O151" s="62">
        <f t="shared" si="86"/>
        <v>439.54300000000006</v>
      </c>
      <c r="P151" s="62">
        <v>5000</v>
      </c>
      <c r="Q151" s="62">
        <v>0</v>
      </c>
      <c r="R151" s="62">
        <f t="shared" si="70"/>
        <v>7000</v>
      </c>
      <c r="S151" s="36">
        <f t="shared" si="89"/>
        <v>32000</v>
      </c>
      <c r="T151" s="62">
        <f>0</f>
        <v>0</v>
      </c>
      <c r="U151" s="36">
        <v>25000</v>
      </c>
      <c r="V151" s="36">
        <f t="shared" si="88"/>
        <v>25000</v>
      </c>
    </row>
    <row r="152" spans="1:22" ht="18.75">
      <c r="A152" s="1">
        <v>44</v>
      </c>
      <c r="B152" s="257" t="s">
        <v>316</v>
      </c>
      <c r="C152" s="258"/>
      <c r="D152" s="61" t="s">
        <v>312</v>
      </c>
      <c r="E152" s="66" t="s">
        <v>509</v>
      </c>
      <c r="F152" s="62">
        <f t="shared" si="92"/>
        <v>4395.43</v>
      </c>
      <c r="G152" s="33"/>
      <c r="H152" s="62">
        <f t="shared" si="81"/>
        <v>13186.29</v>
      </c>
      <c r="I152" s="62">
        <f t="shared" si="82"/>
        <v>329.65725000000003</v>
      </c>
      <c r="J152" s="62"/>
      <c r="K152" s="62">
        <f t="shared" si="83"/>
        <v>2197.7150000000001</v>
      </c>
      <c r="L152" s="36">
        <f t="shared" si="84"/>
        <v>15384.005000000001</v>
      </c>
      <c r="M152" s="62">
        <f t="shared" si="91"/>
        <v>4395.43</v>
      </c>
      <c r="N152" s="36">
        <v>7000</v>
      </c>
      <c r="O152" s="62">
        <f t="shared" si="86"/>
        <v>439.54300000000006</v>
      </c>
      <c r="P152" s="62">
        <v>5000</v>
      </c>
      <c r="Q152" s="62">
        <v>0</v>
      </c>
      <c r="R152" s="62">
        <f t="shared" si="70"/>
        <v>7000</v>
      </c>
      <c r="S152" s="36">
        <f t="shared" si="89"/>
        <v>32000</v>
      </c>
      <c r="T152" s="62">
        <f>0</f>
        <v>0</v>
      </c>
      <c r="U152" s="36">
        <v>25000</v>
      </c>
      <c r="V152" s="36">
        <f t="shared" si="88"/>
        <v>25000</v>
      </c>
    </row>
    <row r="153" spans="1:22" ht="18.75">
      <c r="A153" s="1">
        <v>45</v>
      </c>
      <c r="B153" s="257" t="s">
        <v>508</v>
      </c>
      <c r="C153" s="258"/>
      <c r="D153" s="61" t="s">
        <v>312</v>
      </c>
      <c r="E153" s="66" t="s">
        <v>509</v>
      </c>
      <c r="F153" s="62">
        <f t="shared" si="92"/>
        <v>4395.43</v>
      </c>
      <c r="G153" s="33"/>
      <c r="H153" s="62">
        <f t="shared" si="81"/>
        <v>13186.29</v>
      </c>
      <c r="I153" s="62">
        <f t="shared" si="82"/>
        <v>329.65725000000003</v>
      </c>
      <c r="J153" s="62"/>
      <c r="K153" s="62">
        <f t="shared" si="83"/>
        <v>2197.7150000000001</v>
      </c>
      <c r="L153" s="36">
        <f t="shared" si="84"/>
        <v>15384.005000000001</v>
      </c>
      <c r="M153" s="62">
        <f t="shared" si="91"/>
        <v>4395.43</v>
      </c>
      <c r="N153" s="36">
        <v>7000</v>
      </c>
      <c r="O153" s="62">
        <f t="shared" si="86"/>
        <v>439.54300000000006</v>
      </c>
      <c r="P153" s="62">
        <v>5000</v>
      </c>
      <c r="Q153" s="62">
        <v>0</v>
      </c>
      <c r="R153" s="62">
        <f t="shared" si="70"/>
        <v>7000</v>
      </c>
      <c r="S153" s="36">
        <f t="shared" si="89"/>
        <v>32000</v>
      </c>
      <c r="T153" s="62">
        <f>0</f>
        <v>0</v>
      </c>
      <c r="U153" s="36">
        <v>25000</v>
      </c>
      <c r="V153" s="36">
        <f t="shared" si="88"/>
        <v>25000</v>
      </c>
    </row>
    <row r="154" spans="1:22" ht="18.75">
      <c r="A154" s="1">
        <v>46</v>
      </c>
      <c r="B154" s="257" t="s">
        <v>317</v>
      </c>
      <c r="C154" s="258"/>
      <c r="D154" s="61" t="s">
        <v>312</v>
      </c>
      <c r="E154" s="66" t="s">
        <v>509</v>
      </c>
      <c r="F154" s="62">
        <f t="shared" si="92"/>
        <v>4395.43</v>
      </c>
      <c r="G154" s="33"/>
      <c r="H154" s="62">
        <f t="shared" si="81"/>
        <v>13186.29</v>
      </c>
      <c r="I154" s="62">
        <f t="shared" si="82"/>
        <v>329.65725000000003</v>
      </c>
      <c r="J154" s="62"/>
      <c r="K154" s="62">
        <f t="shared" si="83"/>
        <v>2197.7150000000001</v>
      </c>
      <c r="L154" s="36">
        <f t="shared" si="84"/>
        <v>15384.005000000001</v>
      </c>
      <c r="M154" s="62">
        <f t="shared" si="91"/>
        <v>4395.43</v>
      </c>
      <c r="N154" s="36">
        <v>7000</v>
      </c>
      <c r="O154" s="62">
        <f t="shared" si="86"/>
        <v>439.54300000000006</v>
      </c>
      <c r="P154" s="62">
        <v>5000</v>
      </c>
      <c r="Q154" s="62">
        <v>0</v>
      </c>
      <c r="R154" s="62">
        <f t="shared" si="70"/>
        <v>7000</v>
      </c>
      <c r="S154" s="36">
        <f t="shared" si="89"/>
        <v>32000</v>
      </c>
      <c r="T154" s="62">
        <f>0</f>
        <v>0</v>
      </c>
      <c r="U154" s="36">
        <v>25000</v>
      </c>
      <c r="V154" s="36">
        <f t="shared" si="88"/>
        <v>25000</v>
      </c>
    </row>
    <row r="155" spans="1:22" ht="18.75">
      <c r="A155" s="1">
        <v>47</v>
      </c>
      <c r="B155" s="259" t="s">
        <v>318</v>
      </c>
      <c r="C155" s="260"/>
      <c r="D155" s="61" t="s">
        <v>312</v>
      </c>
      <c r="E155" s="66" t="s">
        <v>325</v>
      </c>
      <c r="F155" s="62">
        <f>4248.51</f>
        <v>4248.51</v>
      </c>
      <c r="G155" s="33"/>
      <c r="H155" s="62">
        <f t="shared" si="81"/>
        <v>12745.53</v>
      </c>
      <c r="I155" s="62">
        <f t="shared" si="82"/>
        <v>318.63825000000003</v>
      </c>
      <c r="J155" s="62"/>
      <c r="K155" s="62">
        <f t="shared" si="83"/>
        <v>2124.2550000000001</v>
      </c>
      <c r="L155" s="36">
        <f t="shared" si="84"/>
        <v>14869.785</v>
      </c>
      <c r="M155" s="62">
        <f t="shared" si="91"/>
        <v>4248.51</v>
      </c>
      <c r="N155" s="36">
        <v>7000</v>
      </c>
      <c r="O155" s="62">
        <f t="shared" si="86"/>
        <v>424.85100000000006</v>
      </c>
      <c r="P155" s="62">
        <v>5000</v>
      </c>
      <c r="Q155" s="62">
        <v>0</v>
      </c>
      <c r="R155" s="62">
        <f t="shared" si="70"/>
        <v>7000</v>
      </c>
      <c r="S155" s="36">
        <f t="shared" si="89"/>
        <v>32000</v>
      </c>
      <c r="T155" s="62">
        <f>0</f>
        <v>0</v>
      </c>
      <c r="U155" s="36">
        <v>25000</v>
      </c>
      <c r="V155" s="36">
        <f t="shared" si="88"/>
        <v>25000</v>
      </c>
    </row>
    <row r="156" spans="1:22" ht="18.75">
      <c r="A156" s="1">
        <v>48</v>
      </c>
      <c r="B156" s="261" t="s">
        <v>320</v>
      </c>
      <c r="C156" s="262"/>
      <c r="D156" s="61" t="s">
        <v>312</v>
      </c>
      <c r="E156" s="66" t="s">
        <v>325</v>
      </c>
      <c r="F156" s="62">
        <f>4248.51</f>
        <v>4248.51</v>
      </c>
      <c r="G156" s="33"/>
      <c r="H156" s="62">
        <f t="shared" si="81"/>
        <v>12745.53</v>
      </c>
      <c r="I156" s="62">
        <f t="shared" si="82"/>
        <v>318.63825000000003</v>
      </c>
      <c r="J156" s="62"/>
      <c r="K156" s="62">
        <f t="shared" si="83"/>
        <v>2124.2550000000001</v>
      </c>
      <c r="L156" s="36">
        <f t="shared" si="84"/>
        <v>14869.785</v>
      </c>
      <c r="M156" s="62">
        <f t="shared" si="91"/>
        <v>4248.51</v>
      </c>
      <c r="N156" s="36">
        <v>7000</v>
      </c>
      <c r="O156" s="62">
        <f t="shared" si="86"/>
        <v>424.85100000000006</v>
      </c>
      <c r="P156" s="62">
        <v>5000</v>
      </c>
      <c r="Q156" s="62">
        <v>0</v>
      </c>
      <c r="R156" s="62">
        <f t="shared" si="70"/>
        <v>7000</v>
      </c>
      <c r="S156" s="36">
        <f t="shared" si="89"/>
        <v>32000</v>
      </c>
      <c r="T156" s="62">
        <f>0</f>
        <v>0</v>
      </c>
      <c r="U156" s="36">
        <v>25000</v>
      </c>
      <c r="V156" s="36">
        <f t="shared" si="88"/>
        <v>25000</v>
      </c>
    </row>
    <row r="157" spans="1:22" ht="18.75">
      <c r="A157" s="1">
        <v>49</v>
      </c>
      <c r="B157" s="102" t="s">
        <v>321</v>
      </c>
      <c r="C157" s="90"/>
      <c r="D157" s="61" t="s">
        <v>312</v>
      </c>
      <c r="E157" s="66" t="s">
        <v>325</v>
      </c>
      <c r="F157" s="62">
        <f>4101.58</f>
        <v>4101.58</v>
      </c>
      <c r="G157" s="27">
        <f>0</f>
        <v>0</v>
      </c>
      <c r="H157" s="62">
        <f t="shared" si="81"/>
        <v>12304.74</v>
      </c>
      <c r="I157" s="62">
        <f t="shared" si="82"/>
        <v>307.61849999999998</v>
      </c>
      <c r="J157" s="62"/>
      <c r="K157" s="62">
        <f t="shared" si="83"/>
        <v>2050.79</v>
      </c>
      <c r="L157" s="36">
        <f t="shared" si="84"/>
        <v>14355.529999999999</v>
      </c>
      <c r="M157" s="62">
        <f t="shared" si="91"/>
        <v>4101.58</v>
      </c>
      <c r="N157" s="36">
        <v>4000</v>
      </c>
      <c r="O157" s="62">
        <f t="shared" si="86"/>
        <v>410.15800000000002</v>
      </c>
      <c r="P157" s="62">
        <v>5000</v>
      </c>
      <c r="Q157" s="62">
        <v>0</v>
      </c>
      <c r="R157" s="62">
        <f t="shared" si="70"/>
        <v>4000</v>
      </c>
      <c r="S157" s="36">
        <f>25000+4000</f>
        <v>29000</v>
      </c>
      <c r="T157" s="62">
        <f>0</f>
        <v>0</v>
      </c>
      <c r="U157" s="36">
        <v>25000</v>
      </c>
      <c r="V157" s="36">
        <f t="shared" si="88"/>
        <v>25000</v>
      </c>
    </row>
    <row r="158" spans="1:22" ht="23.25">
      <c r="A158" s="11"/>
      <c r="B158" s="48" t="s">
        <v>34</v>
      </c>
      <c r="C158" s="1"/>
      <c r="D158" s="49" t="s">
        <v>583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62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6">
        <f t="shared" si="88"/>
        <v>2675000</v>
      </c>
    </row>
    <row r="159" spans="1:22" ht="21">
      <c r="A159" s="33"/>
      <c r="B159" s="263" t="s">
        <v>328</v>
      </c>
      <c r="C159" s="263"/>
      <c r="D159" s="101"/>
      <c r="E159" s="40"/>
      <c r="F159" s="41">
        <f>F26+F31+F45+F50+F58+F65+F77+F86+F93+F106+F158</f>
        <v>3039011.87</v>
      </c>
      <c r="G159" s="41">
        <f t="shared" ref="G159:U159" si="95">G26+G31+G45+G50+G58+G65+G77+G86+G93+G106+G158</f>
        <v>6000</v>
      </c>
      <c r="H159" s="41">
        <f t="shared" si="95"/>
        <v>8956546.8599999994</v>
      </c>
      <c r="I159" s="41">
        <f t="shared" si="95"/>
        <v>264035.86399999994</v>
      </c>
      <c r="J159" s="41">
        <f t="shared" si="95"/>
        <v>1564765.4100000001</v>
      </c>
      <c r="K159" s="41">
        <f t="shared" si="95"/>
        <v>1511481.5</v>
      </c>
      <c r="L159" s="41">
        <f t="shared" si="95"/>
        <v>10074830.92</v>
      </c>
      <c r="M159" s="41">
        <f t="shared" si="95"/>
        <v>2998889.69</v>
      </c>
      <c r="N159" s="41">
        <f t="shared" si="95"/>
        <v>5402000</v>
      </c>
      <c r="O159" s="41">
        <f t="shared" si="95"/>
        <v>303901.19199999998</v>
      </c>
      <c r="P159" s="41">
        <f t="shared" si="95"/>
        <v>1530000</v>
      </c>
      <c r="Q159" s="41">
        <f t="shared" si="95"/>
        <v>805235</v>
      </c>
      <c r="R159" s="41">
        <f t="shared" si="95"/>
        <v>6207235</v>
      </c>
      <c r="S159" s="41">
        <f t="shared" si="95"/>
        <v>11977000</v>
      </c>
      <c r="T159" s="41">
        <f t="shared" si="95"/>
        <v>1950000</v>
      </c>
      <c r="U159" s="41">
        <f t="shared" si="95"/>
        <v>4625000</v>
      </c>
      <c r="V159" s="109">
        <f>V26+V31+V45+V50+V58+V65+V77+V86+V93+V106+V158</f>
        <v>6525000</v>
      </c>
    </row>
    <row r="162" spans="3:22">
      <c r="C162" t="s">
        <v>584</v>
      </c>
      <c r="S162" s="110">
        <v>43952</v>
      </c>
      <c r="T162" s="88">
        <f>223329.05</f>
        <v>223329.05</v>
      </c>
      <c r="U162" s="88">
        <f>115000</f>
        <v>115000</v>
      </c>
      <c r="V162" s="88">
        <f>T162-U162</f>
        <v>108329.04999999999</v>
      </c>
    </row>
    <row r="163" spans="3:22">
      <c r="S163" s="110">
        <v>43983</v>
      </c>
      <c r="T163" s="88">
        <f>223329.05</f>
        <v>223329.05</v>
      </c>
      <c r="U163" s="88">
        <f>115000</f>
        <v>115000</v>
      </c>
      <c r="V163" s="88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T157"/>
  <sheetViews>
    <sheetView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8.570312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1"/>
      <c r="B2" s="240" t="s">
        <v>569</v>
      </c>
      <c r="C2" s="240"/>
      <c r="D2" s="240"/>
      <c r="E2" s="240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36.950000000000003" customHeight="1">
      <c r="A3" s="33"/>
      <c r="B3" s="240" t="s">
        <v>2</v>
      </c>
      <c r="C3" s="240"/>
      <c r="D3" s="58" t="s">
        <v>5</v>
      </c>
      <c r="E3" s="58" t="s">
        <v>17</v>
      </c>
      <c r="F3" s="2" t="s">
        <v>585</v>
      </c>
      <c r="G3" s="59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59" t="s">
        <v>570</v>
      </c>
      <c r="O3" s="2" t="s">
        <v>27</v>
      </c>
      <c r="P3" s="2" t="s">
        <v>27</v>
      </c>
      <c r="Q3" s="2" t="s">
        <v>28</v>
      </c>
      <c r="R3" s="2"/>
      <c r="S3" s="59" t="s">
        <v>571</v>
      </c>
      <c r="T3" s="59" t="s">
        <v>572</v>
      </c>
    </row>
    <row r="4" spans="1:20" ht="18.75">
      <c r="A4" s="21" t="s">
        <v>35</v>
      </c>
      <c r="B4" s="287" t="s">
        <v>36</v>
      </c>
      <c r="C4" s="287"/>
      <c r="D4" s="48"/>
      <c r="E4" s="48"/>
      <c r="F4" s="60" t="s">
        <v>37</v>
      </c>
      <c r="G4" s="7"/>
      <c r="H4" s="60"/>
      <c r="I4" s="60" t="s">
        <v>37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ht="18.75">
      <c r="A5" s="3">
        <v>1</v>
      </c>
      <c r="B5" s="257" t="s">
        <v>38</v>
      </c>
      <c r="C5" s="258"/>
      <c r="D5" s="61" t="s">
        <v>39</v>
      </c>
      <c r="E5" s="61" t="s">
        <v>40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.75">
      <c r="A6" s="3">
        <v>2</v>
      </c>
      <c r="B6" s="103" t="s">
        <v>575</v>
      </c>
      <c r="C6" s="104"/>
      <c r="D6" s="61" t="s">
        <v>576</v>
      </c>
      <c r="E6" s="38" t="s">
        <v>51</v>
      </c>
      <c r="F6" s="62">
        <f>0</f>
        <v>0</v>
      </c>
      <c r="G6" s="62"/>
      <c r="H6" s="62">
        <f>F6*300%</f>
        <v>0</v>
      </c>
      <c r="I6" s="62">
        <f>F6*7.5%</f>
        <v>0</v>
      </c>
      <c r="J6" s="62">
        <v>40122.19</v>
      </c>
      <c r="K6" s="62">
        <f t="shared" ref="K6:K14" si="0">F6*50%</f>
        <v>0</v>
      </c>
      <c r="L6" s="62">
        <f>F6*350%</f>
        <v>0</v>
      </c>
      <c r="M6" s="62">
        <f t="shared" ref="M6:M21" si="1">F6*100%</f>
        <v>0</v>
      </c>
      <c r="N6" s="62">
        <f>0</f>
        <v>0</v>
      </c>
      <c r="O6" s="62">
        <f t="shared" ref="O6:O21" si="2">F6*10%</f>
        <v>0</v>
      </c>
      <c r="P6" s="62">
        <v>20000</v>
      </c>
      <c r="Q6" s="62">
        <v>0</v>
      </c>
      <c r="R6" s="36">
        <f t="shared" ref="R6:R24" si="3">N6+Q6</f>
        <v>0</v>
      </c>
      <c r="S6" s="62">
        <f>0</f>
        <v>0</v>
      </c>
      <c r="T6" s="62"/>
    </row>
    <row r="7" spans="1:20" ht="18.75">
      <c r="A7" s="3">
        <v>3</v>
      </c>
      <c r="B7" s="271" t="s">
        <v>52</v>
      </c>
      <c r="C7" s="272"/>
      <c r="D7" s="33" t="s">
        <v>538</v>
      </c>
      <c r="E7" s="38" t="s">
        <v>54</v>
      </c>
      <c r="F7" s="62">
        <f>70000</f>
        <v>70000</v>
      </c>
      <c r="G7" s="62"/>
      <c r="H7" s="62">
        <f t="shared" ref="H7:H21" si="4">F7*300%</f>
        <v>210000</v>
      </c>
      <c r="I7" s="62">
        <f t="shared" ref="I7:I21" si="5">F7*7.5%</f>
        <v>5250</v>
      </c>
      <c r="J7" s="62">
        <v>40122.19</v>
      </c>
      <c r="K7" s="62">
        <f t="shared" si="0"/>
        <v>35000</v>
      </c>
      <c r="L7" s="62">
        <f t="shared" ref="L7:L21" si="6">F7*350%</f>
        <v>245000</v>
      </c>
      <c r="M7" s="62">
        <f t="shared" si="1"/>
        <v>70000</v>
      </c>
      <c r="N7" s="42">
        <f>100000</f>
        <v>100000</v>
      </c>
      <c r="O7" s="62">
        <f t="shared" si="2"/>
        <v>7000</v>
      </c>
      <c r="P7" s="62">
        <v>20000</v>
      </c>
      <c r="Q7" s="62">
        <v>0</v>
      </c>
      <c r="R7" s="36">
        <f t="shared" si="3"/>
        <v>100000</v>
      </c>
      <c r="S7" s="62">
        <f>100000</f>
        <v>100000</v>
      </c>
      <c r="T7" s="62"/>
    </row>
    <row r="8" spans="1:20" ht="18.75">
      <c r="A8" s="3">
        <v>4</v>
      </c>
      <c r="B8" s="269" t="s">
        <v>55</v>
      </c>
      <c r="C8" s="270"/>
      <c r="D8" s="47" t="s">
        <v>56</v>
      </c>
      <c r="E8" s="29" t="s">
        <v>54</v>
      </c>
      <c r="F8" s="62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.75">
      <c r="A9" s="3">
        <v>5</v>
      </c>
      <c r="B9" s="271" t="s">
        <v>57</v>
      </c>
      <c r="C9" s="272"/>
      <c r="D9" s="33" t="s">
        <v>58</v>
      </c>
      <c r="E9" s="3" t="s">
        <v>54</v>
      </c>
      <c r="F9" s="62">
        <f t="shared" si="7"/>
        <v>70000</v>
      </c>
      <c r="G9" s="62"/>
      <c r="H9" s="62">
        <f t="shared" si="4"/>
        <v>210000</v>
      </c>
      <c r="I9" s="62">
        <f t="shared" si="5"/>
        <v>5250</v>
      </c>
      <c r="J9" s="62">
        <v>40122.19</v>
      </c>
      <c r="K9" s="62">
        <f t="shared" si="0"/>
        <v>35000</v>
      </c>
      <c r="L9" s="62">
        <f t="shared" si="6"/>
        <v>245000</v>
      </c>
      <c r="M9" s="62">
        <f t="shared" si="1"/>
        <v>70000</v>
      </c>
      <c r="N9" s="62">
        <f>0</f>
        <v>0</v>
      </c>
      <c r="O9" s="62">
        <f t="shared" si="2"/>
        <v>7000</v>
      </c>
      <c r="P9" s="62">
        <v>20000</v>
      </c>
      <c r="Q9" s="63">
        <v>0</v>
      </c>
      <c r="R9" s="36">
        <f t="shared" si="3"/>
        <v>0</v>
      </c>
      <c r="S9" s="36">
        <f>100000</f>
        <v>100000</v>
      </c>
      <c r="T9" s="36"/>
    </row>
    <row r="10" spans="1:20" ht="18.75">
      <c r="A10" s="3">
        <v>6</v>
      </c>
      <c r="B10" s="271" t="s">
        <v>391</v>
      </c>
      <c r="C10" s="272"/>
      <c r="D10" s="43" t="s">
        <v>478</v>
      </c>
      <c r="E10" s="75" t="s">
        <v>46</v>
      </c>
      <c r="F10" s="65">
        <f>100000</f>
        <v>100000</v>
      </c>
      <c r="G10" s="64"/>
      <c r="H10" s="62">
        <f t="shared" si="4"/>
        <v>300000</v>
      </c>
      <c r="I10" s="62">
        <f t="shared" si="5"/>
        <v>7500</v>
      </c>
      <c r="J10" s="62">
        <v>40122.19</v>
      </c>
      <c r="K10" s="62">
        <f t="shared" si="0"/>
        <v>50000</v>
      </c>
      <c r="L10" s="62">
        <f t="shared" si="6"/>
        <v>350000</v>
      </c>
      <c r="M10" s="62">
        <f t="shared" si="1"/>
        <v>100000</v>
      </c>
      <c r="N10" s="62">
        <v>0</v>
      </c>
      <c r="O10" s="62">
        <f t="shared" si="2"/>
        <v>10000</v>
      </c>
      <c r="P10" s="62">
        <v>20000</v>
      </c>
      <c r="Q10" s="76"/>
      <c r="R10" s="36">
        <f t="shared" si="3"/>
        <v>0</v>
      </c>
      <c r="S10" s="62">
        <f>100000</f>
        <v>100000</v>
      </c>
      <c r="T10" s="62"/>
    </row>
    <row r="11" spans="1:20" ht="18.75">
      <c r="A11" s="3">
        <v>7</v>
      </c>
      <c r="B11" s="271" t="s">
        <v>47</v>
      </c>
      <c r="C11" s="272"/>
      <c r="D11" s="43" t="s">
        <v>48</v>
      </c>
      <c r="E11" s="75" t="s">
        <v>129</v>
      </c>
      <c r="F11" s="65">
        <f>70000</f>
        <v>70000</v>
      </c>
      <c r="G11" s="64"/>
      <c r="H11" s="62">
        <f t="shared" si="4"/>
        <v>210000</v>
      </c>
      <c r="I11" s="62">
        <f t="shared" si="5"/>
        <v>5250</v>
      </c>
      <c r="J11" s="62">
        <v>40122.19</v>
      </c>
      <c r="K11" s="62">
        <f t="shared" si="0"/>
        <v>35000</v>
      </c>
      <c r="L11" s="62">
        <f t="shared" si="6"/>
        <v>245000</v>
      </c>
      <c r="M11" s="62">
        <f t="shared" si="1"/>
        <v>70000</v>
      </c>
      <c r="N11" s="74">
        <v>100000</v>
      </c>
      <c r="O11" s="62">
        <f t="shared" si="2"/>
        <v>7000</v>
      </c>
      <c r="P11" s="62">
        <v>20000</v>
      </c>
      <c r="Q11" s="76"/>
      <c r="R11" s="36">
        <f t="shared" si="3"/>
        <v>100000</v>
      </c>
      <c r="S11" s="65">
        <f>150000</f>
        <v>150000</v>
      </c>
      <c r="T11" s="65">
        <f>S11-N11</f>
        <v>50000</v>
      </c>
    </row>
    <row r="12" spans="1:20" ht="18.75">
      <c r="A12" s="3">
        <v>8</v>
      </c>
      <c r="B12" s="271" t="s">
        <v>525</v>
      </c>
      <c r="C12" s="272"/>
      <c r="D12" s="43" t="s">
        <v>526</v>
      </c>
      <c r="E12" s="44" t="s">
        <v>98</v>
      </c>
      <c r="F12" s="64">
        <f>50000</f>
        <v>50000</v>
      </c>
      <c r="G12" s="64"/>
      <c r="H12" s="64">
        <f t="shared" si="4"/>
        <v>150000</v>
      </c>
      <c r="I12" s="64">
        <f t="shared" si="5"/>
        <v>3750</v>
      </c>
      <c r="J12" s="64"/>
      <c r="K12" s="64">
        <f t="shared" si="0"/>
        <v>25000</v>
      </c>
      <c r="L12" s="64">
        <f t="shared" si="6"/>
        <v>175000</v>
      </c>
      <c r="M12" s="64">
        <f t="shared" si="1"/>
        <v>50000</v>
      </c>
      <c r="N12" s="42">
        <f>0</f>
        <v>0</v>
      </c>
      <c r="O12" s="64">
        <f t="shared" si="2"/>
        <v>5000</v>
      </c>
      <c r="P12" s="64">
        <v>15000</v>
      </c>
      <c r="Q12" s="64">
        <f>100000</f>
        <v>100000</v>
      </c>
      <c r="R12" s="36">
        <f t="shared" si="3"/>
        <v>100000</v>
      </c>
      <c r="S12" s="64">
        <f>100000</f>
        <v>100000</v>
      </c>
      <c r="T12" s="64"/>
    </row>
    <row r="13" spans="1:20" ht="18.75">
      <c r="A13" s="3">
        <v>9</v>
      </c>
      <c r="B13" s="271" t="s">
        <v>64</v>
      </c>
      <c r="C13" s="272"/>
      <c r="D13" s="43" t="s">
        <v>442</v>
      </c>
      <c r="E13" s="44" t="s">
        <v>98</v>
      </c>
      <c r="F13" s="64">
        <f>50000</f>
        <v>50000</v>
      </c>
      <c r="G13" s="64"/>
      <c r="H13" s="64">
        <f t="shared" si="4"/>
        <v>150000</v>
      </c>
      <c r="I13" s="64">
        <f t="shared" si="5"/>
        <v>3750</v>
      </c>
      <c r="J13" s="64"/>
      <c r="K13" s="64">
        <f t="shared" si="0"/>
        <v>25000</v>
      </c>
      <c r="L13" s="64">
        <f t="shared" si="6"/>
        <v>175000</v>
      </c>
      <c r="M13" s="64">
        <f t="shared" si="1"/>
        <v>50000</v>
      </c>
      <c r="N13" s="62">
        <f>0</f>
        <v>0</v>
      </c>
      <c r="O13" s="64">
        <f t="shared" si="2"/>
        <v>5000</v>
      </c>
      <c r="P13" s="64">
        <v>15000</v>
      </c>
      <c r="Q13" s="64">
        <v>50000</v>
      </c>
      <c r="R13" s="36">
        <f t="shared" si="3"/>
        <v>50000</v>
      </c>
      <c r="S13" s="64">
        <f>100000</f>
        <v>100000</v>
      </c>
      <c r="T13" s="64"/>
    </row>
    <row r="14" spans="1:20" ht="18.75">
      <c r="A14" s="3">
        <v>10</v>
      </c>
      <c r="B14" s="271" t="s">
        <v>67</v>
      </c>
      <c r="C14" s="272"/>
      <c r="D14" s="33" t="s">
        <v>444</v>
      </c>
      <c r="E14" s="3" t="s">
        <v>73</v>
      </c>
      <c r="F14" s="64">
        <f>50000</f>
        <v>50000</v>
      </c>
      <c r="G14" s="62"/>
      <c r="H14" s="62">
        <f t="shared" si="4"/>
        <v>150000</v>
      </c>
      <c r="I14" s="62">
        <f t="shared" si="5"/>
        <v>3750</v>
      </c>
      <c r="J14" s="62"/>
      <c r="K14" s="62">
        <f t="shared" si="0"/>
        <v>25000</v>
      </c>
      <c r="L14" s="36">
        <f t="shared" si="6"/>
        <v>175000</v>
      </c>
      <c r="M14" s="62">
        <f t="shared" si="1"/>
        <v>50000</v>
      </c>
      <c r="N14" s="62">
        <v>100000</v>
      </c>
      <c r="O14" s="62">
        <f t="shared" si="2"/>
        <v>5000</v>
      </c>
      <c r="P14" s="62">
        <v>15000</v>
      </c>
      <c r="Q14" s="62">
        <v>0</v>
      </c>
      <c r="R14" s="36">
        <f t="shared" si="3"/>
        <v>100000</v>
      </c>
      <c r="S14" s="64">
        <f t="shared" ref="S14:S23" si="8">100000</f>
        <v>100000</v>
      </c>
      <c r="T14" s="64"/>
    </row>
    <row r="15" spans="1:20" ht="18.75">
      <c r="A15" s="3">
        <v>11</v>
      </c>
      <c r="B15" s="257" t="s">
        <v>71</v>
      </c>
      <c r="C15" s="258"/>
      <c r="D15" s="61" t="s">
        <v>444</v>
      </c>
      <c r="E15" s="66" t="s">
        <v>73</v>
      </c>
      <c r="F15" s="64">
        <f>50000</f>
        <v>50000</v>
      </c>
      <c r="G15" s="62">
        <v>0</v>
      </c>
      <c r="H15" s="62">
        <f t="shared" si="4"/>
        <v>150000</v>
      </c>
      <c r="I15" s="62">
        <f t="shared" si="5"/>
        <v>3750</v>
      </c>
      <c r="J15" s="36">
        <v>0</v>
      </c>
      <c r="K15" s="62">
        <f>F15*50%</f>
        <v>25000</v>
      </c>
      <c r="L15" s="36">
        <f t="shared" si="6"/>
        <v>175000</v>
      </c>
      <c r="M15" s="62">
        <f t="shared" si="1"/>
        <v>50000</v>
      </c>
      <c r="N15" s="62">
        <v>100000</v>
      </c>
      <c r="O15" s="62">
        <f t="shared" si="2"/>
        <v>5000</v>
      </c>
      <c r="P15" s="62">
        <v>15000</v>
      </c>
      <c r="Q15" s="62">
        <f>0</f>
        <v>0</v>
      </c>
      <c r="R15" s="36">
        <f t="shared" si="3"/>
        <v>100000</v>
      </c>
      <c r="S15" s="64">
        <f t="shared" si="8"/>
        <v>100000</v>
      </c>
      <c r="T15" s="64"/>
    </row>
    <row r="16" spans="1:20" ht="18.75">
      <c r="A16" s="3">
        <v>12</v>
      </c>
      <c r="B16" s="257" t="s">
        <v>80</v>
      </c>
      <c r="C16" s="258"/>
      <c r="D16" s="61" t="s">
        <v>81</v>
      </c>
      <c r="E16" s="66" t="s">
        <v>95</v>
      </c>
      <c r="F16" s="62">
        <f>30000</f>
        <v>30000</v>
      </c>
      <c r="G16" s="62"/>
      <c r="H16" s="62">
        <f t="shared" si="4"/>
        <v>90000</v>
      </c>
      <c r="I16" s="62">
        <f t="shared" si="5"/>
        <v>2250</v>
      </c>
      <c r="J16" s="36"/>
      <c r="K16" s="62">
        <f>F16*50%</f>
        <v>15000</v>
      </c>
      <c r="L16" s="36">
        <f t="shared" si="6"/>
        <v>105000</v>
      </c>
      <c r="M16" s="62">
        <f t="shared" si="1"/>
        <v>30000</v>
      </c>
      <c r="N16" s="62">
        <f>0</f>
        <v>0</v>
      </c>
      <c r="O16" s="62">
        <f t="shared" si="2"/>
        <v>3000</v>
      </c>
      <c r="P16" s="62">
        <v>10000</v>
      </c>
      <c r="Q16" s="62"/>
      <c r="R16" s="36">
        <f t="shared" si="3"/>
        <v>0</v>
      </c>
      <c r="S16" s="64">
        <f t="shared" si="8"/>
        <v>100000</v>
      </c>
      <c r="T16" s="64"/>
    </row>
    <row r="17" spans="1:20" ht="18.75">
      <c r="A17" s="3">
        <v>13</v>
      </c>
      <c r="B17" s="257" t="s">
        <v>83</v>
      </c>
      <c r="C17" s="258"/>
      <c r="D17" s="61" t="s">
        <v>89</v>
      </c>
      <c r="E17" s="66" t="s">
        <v>82</v>
      </c>
      <c r="F17" s="62">
        <f>30000</f>
        <v>30000</v>
      </c>
      <c r="G17" s="62"/>
      <c r="H17" s="62">
        <f t="shared" si="4"/>
        <v>90000</v>
      </c>
      <c r="I17" s="62">
        <f t="shared" si="5"/>
        <v>2250</v>
      </c>
      <c r="J17" s="36"/>
      <c r="K17" s="62">
        <f>F17*50%</f>
        <v>15000</v>
      </c>
      <c r="L17" s="36">
        <f t="shared" si="6"/>
        <v>105000</v>
      </c>
      <c r="M17" s="62">
        <f t="shared" si="1"/>
        <v>30000</v>
      </c>
      <c r="N17" s="62">
        <v>100000</v>
      </c>
      <c r="O17" s="62">
        <f t="shared" si="2"/>
        <v>3000</v>
      </c>
      <c r="P17" s="62">
        <v>10000</v>
      </c>
      <c r="Q17" s="62"/>
      <c r="R17" s="36">
        <f t="shared" si="3"/>
        <v>100000</v>
      </c>
      <c r="S17" s="64">
        <f t="shared" si="8"/>
        <v>100000</v>
      </c>
      <c r="T17" s="64"/>
    </row>
    <row r="18" spans="1:20" ht="18.75">
      <c r="A18" s="3">
        <v>14</v>
      </c>
      <c r="B18" s="97" t="s">
        <v>88</v>
      </c>
      <c r="C18" s="98"/>
      <c r="D18" s="61" t="s">
        <v>89</v>
      </c>
      <c r="E18" s="66" t="s">
        <v>500</v>
      </c>
      <c r="F18" s="62">
        <f>30000</f>
        <v>30000</v>
      </c>
      <c r="G18" s="62"/>
      <c r="H18" s="62">
        <f t="shared" si="4"/>
        <v>90000</v>
      </c>
      <c r="I18" s="62">
        <f t="shared" si="5"/>
        <v>2250</v>
      </c>
      <c r="J18" s="62"/>
      <c r="K18" s="62">
        <f t="shared" ref="K18:K21" si="9">F18*50%</f>
        <v>15000</v>
      </c>
      <c r="L18" s="36">
        <f t="shared" si="6"/>
        <v>105000</v>
      </c>
      <c r="M18" s="62">
        <f t="shared" si="1"/>
        <v>30000</v>
      </c>
      <c r="N18" s="62">
        <f>100000</f>
        <v>100000</v>
      </c>
      <c r="O18" s="62">
        <f t="shared" si="2"/>
        <v>3000</v>
      </c>
      <c r="P18" s="62">
        <v>10000</v>
      </c>
      <c r="Q18" s="62"/>
      <c r="R18" s="36">
        <f t="shared" si="3"/>
        <v>100000</v>
      </c>
      <c r="S18" s="64">
        <f t="shared" si="8"/>
        <v>100000</v>
      </c>
      <c r="T18" s="64"/>
    </row>
    <row r="19" spans="1:20" ht="18.75">
      <c r="A19" s="3">
        <v>15</v>
      </c>
      <c r="B19" s="97" t="s">
        <v>91</v>
      </c>
      <c r="C19" s="98"/>
      <c r="D19" s="61"/>
      <c r="E19" s="66" t="s">
        <v>93</v>
      </c>
      <c r="F19" s="62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62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64">
        <f t="shared" si="8"/>
        <v>100000</v>
      </c>
      <c r="T19" s="64"/>
    </row>
    <row r="20" spans="1:20" ht="18.75">
      <c r="A20" s="3">
        <v>16</v>
      </c>
      <c r="B20" s="97" t="s">
        <v>577</v>
      </c>
      <c r="C20" s="98"/>
      <c r="D20" s="61"/>
      <c r="E20" s="66" t="s">
        <v>485</v>
      </c>
      <c r="F20" s="62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64">
        <f>0</f>
        <v>0</v>
      </c>
      <c r="T20" s="64"/>
    </row>
    <row r="21" spans="1:20" ht="18.75">
      <c r="A21" s="3">
        <v>17</v>
      </c>
      <c r="B21" s="97" t="s">
        <v>94</v>
      </c>
      <c r="C21" s="98"/>
      <c r="D21" s="61"/>
      <c r="E21" s="66" t="s">
        <v>93</v>
      </c>
      <c r="F21" s="62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62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64">
        <f t="shared" si="8"/>
        <v>100000</v>
      </c>
      <c r="T21" s="64"/>
    </row>
    <row r="22" spans="1:20" ht="18.75">
      <c r="A22" s="3">
        <v>18</v>
      </c>
      <c r="B22" s="264" t="s">
        <v>96</v>
      </c>
      <c r="C22" s="264"/>
      <c r="D22" s="33" t="s">
        <v>100</v>
      </c>
      <c r="E22" s="66" t="s">
        <v>539</v>
      </c>
      <c r="F22" s="62">
        <f>30000</f>
        <v>30000</v>
      </c>
      <c r="G22" s="62"/>
      <c r="H22" s="62">
        <f>F22*300%</f>
        <v>90000</v>
      </c>
      <c r="I22" s="62">
        <f>F22*7.5%</f>
        <v>2250</v>
      </c>
      <c r="J22" s="62">
        <v>0</v>
      </c>
      <c r="K22" s="62">
        <f>F22*50%</f>
        <v>15000</v>
      </c>
      <c r="L22" s="36">
        <f>F22*350%</f>
        <v>105000</v>
      </c>
      <c r="M22" s="62">
        <f>F22*100%</f>
        <v>30000</v>
      </c>
      <c r="N22" s="62">
        <v>100000</v>
      </c>
      <c r="O22" s="62">
        <f>F22*10%</f>
        <v>3000</v>
      </c>
      <c r="P22" s="62">
        <v>10000</v>
      </c>
      <c r="Q22" s="62">
        <v>0</v>
      </c>
      <c r="R22" s="36">
        <f t="shared" si="3"/>
        <v>100000</v>
      </c>
      <c r="S22" s="64">
        <f t="shared" si="8"/>
        <v>100000</v>
      </c>
      <c r="T22" s="64"/>
    </row>
    <row r="23" spans="1:20" ht="18.75">
      <c r="A23" s="3">
        <v>19</v>
      </c>
      <c r="B23" s="257" t="s">
        <v>99</v>
      </c>
      <c r="C23" s="258"/>
      <c r="D23" s="33" t="s">
        <v>100</v>
      </c>
      <c r="E23" s="66" t="s">
        <v>95</v>
      </c>
      <c r="F23" s="62">
        <f>30000</f>
        <v>30000</v>
      </c>
      <c r="G23" s="62"/>
      <c r="H23" s="62">
        <f>F23*300%</f>
        <v>90000</v>
      </c>
      <c r="I23" s="62">
        <f>F23*7.5%</f>
        <v>2250</v>
      </c>
      <c r="J23" s="62"/>
      <c r="K23" s="62">
        <f>F23*50%</f>
        <v>15000</v>
      </c>
      <c r="L23" s="36">
        <f>F23*350%</f>
        <v>105000</v>
      </c>
      <c r="M23" s="62">
        <f>F23*100%</f>
        <v>30000</v>
      </c>
      <c r="N23" s="62">
        <v>100000</v>
      </c>
      <c r="O23" s="62">
        <f>F23*10%</f>
        <v>3000</v>
      </c>
      <c r="P23" s="62">
        <v>10000</v>
      </c>
      <c r="Q23" s="62"/>
      <c r="R23" s="36">
        <f t="shared" si="3"/>
        <v>100000</v>
      </c>
      <c r="S23" s="64">
        <f t="shared" si="8"/>
        <v>100000</v>
      </c>
      <c r="T23" s="64"/>
    </row>
    <row r="24" spans="1:20" ht="23.25">
      <c r="A24" s="3"/>
      <c r="B24" s="267" t="s">
        <v>34</v>
      </c>
      <c r="C24" s="267"/>
      <c r="D24" s="33"/>
      <c r="E24" s="66"/>
      <c r="F24" s="68">
        <f t="shared" ref="F24:Q24" si="10">SUM(F5:F23)</f>
        <v>1140000</v>
      </c>
      <c r="G24" s="68">
        <f t="shared" si="10"/>
        <v>0</v>
      </c>
      <c r="H24" s="68">
        <f t="shared" si="10"/>
        <v>2840977.5</v>
      </c>
      <c r="I24" s="68">
        <f t="shared" si="10"/>
        <v>111146.63</v>
      </c>
      <c r="J24" s="68">
        <f t="shared" si="10"/>
        <v>361099.71</v>
      </c>
      <c r="K24" s="68">
        <f t="shared" si="10"/>
        <v>492219.94</v>
      </c>
      <c r="L24" s="68">
        <f t="shared" si="10"/>
        <v>2940000</v>
      </c>
      <c r="M24" s="68">
        <f t="shared" si="10"/>
        <v>960366.57000000007</v>
      </c>
      <c r="N24" s="68">
        <f t="shared" si="10"/>
        <v>1000000</v>
      </c>
      <c r="O24" s="68">
        <f t="shared" si="10"/>
        <v>100048.88</v>
      </c>
      <c r="P24" s="68">
        <f t="shared" si="10"/>
        <v>290000</v>
      </c>
      <c r="Q24" s="68">
        <f t="shared" si="10"/>
        <v>275235</v>
      </c>
      <c r="R24" s="106">
        <f t="shared" si="3"/>
        <v>1275235</v>
      </c>
      <c r="S24" s="68">
        <f>SUM(S4:S23)</f>
        <v>1850000</v>
      </c>
      <c r="T24" s="68">
        <f>SUM(T5:T23)</f>
        <v>150000</v>
      </c>
    </row>
    <row r="25" spans="1:20" ht="18.75">
      <c r="A25" s="3"/>
      <c r="B25" s="96"/>
      <c r="C25" s="96"/>
      <c r="D25" s="33"/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8.75">
      <c r="A26" s="3"/>
      <c r="B26" s="267" t="s">
        <v>115</v>
      </c>
      <c r="C26" s="267"/>
      <c r="D26" s="33"/>
      <c r="E26" s="66"/>
      <c r="F26" s="62"/>
      <c r="G26" s="62"/>
      <c r="H26" s="62"/>
      <c r="I26" s="62"/>
      <c r="J26" s="62"/>
      <c r="K26" s="62"/>
      <c r="L26" s="36"/>
      <c r="M26" s="62"/>
      <c r="N26" s="62"/>
      <c r="O26" s="62"/>
      <c r="P26" s="62"/>
      <c r="Q26" s="62"/>
      <c r="R26" s="62"/>
      <c r="S26" s="62"/>
      <c r="T26" s="62"/>
    </row>
    <row r="27" spans="1:20" ht="18.75">
      <c r="A27" s="3">
        <v>1</v>
      </c>
      <c r="B27" s="311" t="s">
        <v>482</v>
      </c>
      <c r="C27" s="312"/>
      <c r="D27" s="61" t="s">
        <v>483</v>
      </c>
      <c r="E27" s="66" t="s">
        <v>540</v>
      </c>
      <c r="F27" s="62">
        <f>150000</f>
        <v>150000</v>
      </c>
      <c r="G27" s="62"/>
      <c r="H27" s="62">
        <f t="shared" ref="H27" si="11">F27*300%</f>
        <v>450000</v>
      </c>
      <c r="I27" s="62">
        <f t="shared" ref="I27" si="12">F27*7.5%</f>
        <v>11250</v>
      </c>
      <c r="J27" s="62">
        <f>80244.38</f>
        <v>80244.38</v>
      </c>
      <c r="K27" s="62">
        <f t="shared" ref="K27" si="13">F27*50%</f>
        <v>75000</v>
      </c>
      <c r="L27" s="62">
        <f t="shared" ref="L27" si="14">F27*350%</f>
        <v>525000</v>
      </c>
      <c r="M27" s="62">
        <f t="shared" ref="M27" si="15">F27*100%</f>
        <v>150000</v>
      </c>
      <c r="N27" s="62">
        <f>0</f>
        <v>0</v>
      </c>
      <c r="O27" s="62">
        <f t="shared" ref="O27" si="16">F27*10%</f>
        <v>15000</v>
      </c>
      <c r="P27" s="62">
        <v>20000</v>
      </c>
      <c r="Q27" s="62">
        <v>0</v>
      </c>
      <c r="R27" s="62">
        <f>N27+Q27</f>
        <v>0</v>
      </c>
      <c r="S27" s="64">
        <f t="shared" ref="S27:S28" si="17">100000</f>
        <v>100000</v>
      </c>
      <c r="T27" s="64">
        <f>0</f>
        <v>0</v>
      </c>
    </row>
    <row r="28" spans="1:20" ht="18.75">
      <c r="A28" s="3">
        <v>2</v>
      </c>
      <c r="B28" s="311" t="s">
        <v>541</v>
      </c>
      <c r="C28" s="312"/>
      <c r="D28" s="61" t="s">
        <v>542</v>
      </c>
      <c r="E28" s="66" t="s">
        <v>82</v>
      </c>
      <c r="F28" s="62">
        <f>30000</f>
        <v>30000</v>
      </c>
      <c r="G28" s="62"/>
      <c r="H28" s="62">
        <f>F28*300%</f>
        <v>90000</v>
      </c>
      <c r="I28" s="62">
        <f>F28*7.5%</f>
        <v>2250</v>
      </c>
      <c r="J28" s="62">
        <v>0</v>
      </c>
      <c r="K28" s="62">
        <f>F28*50%</f>
        <v>15000</v>
      </c>
      <c r="L28" s="36">
        <f>F28*350%</f>
        <v>105000</v>
      </c>
      <c r="M28" s="62">
        <f>F28*100%</f>
        <v>30000</v>
      </c>
      <c r="N28" s="62">
        <f>0</f>
        <v>0</v>
      </c>
      <c r="O28" s="62">
        <f>F28*10%</f>
        <v>3000</v>
      </c>
      <c r="P28" s="62">
        <v>10000</v>
      </c>
      <c r="Q28" s="62">
        <v>0</v>
      </c>
      <c r="R28" s="62">
        <f t="shared" ref="R28:R91" si="18">N28+Q28</f>
        <v>0</v>
      </c>
      <c r="S28" s="64">
        <f t="shared" si="17"/>
        <v>100000</v>
      </c>
      <c r="T28" s="64">
        <f>0</f>
        <v>0</v>
      </c>
    </row>
    <row r="29" spans="1:20" ht="18.75">
      <c r="A29" s="3"/>
      <c r="B29" s="33"/>
      <c r="C29" s="21" t="s">
        <v>34</v>
      </c>
      <c r="D29" s="7">
        <v>2</v>
      </c>
      <c r="E29" s="3"/>
      <c r="F29" s="68">
        <f>SUM(F27:F28)</f>
        <v>180000</v>
      </c>
      <c r="G29" s="68">
        <f t="shared" ref="G29:Q29" si="19">SUM(G27:G28)</f>
        <v>0</v>
      </c>
      <c r="H29" s="68">
        <f t="shared" si="19"/>
        <v>540000</v>
      </c>
      <c r="I29" s="68">
        <f t="shared" si="19"/>
        <v>13500</v>
      </c>
      <c r="J29" s="68">
        <f t="shared" si="19"/>
        <v>80244.38</v>
      </c>
      <c r="K29" s="68">
        <f t="shared" si="19"/>
        <v>90000</v>
      </c>
      <c r="L29" s="68">
        <f t="shared" si="19"/>
        <v>630000</v>
      </c>
      <c r="M29" s="68">
        <f t="shared" si="19"/>
        <v>180000</v>
      </c>
      <c r="N29" s="68">
        <f t="shared" si="19"/>
        <v>0</v>
      </c>
      <c r="O29" s="68">
        <f t="shared" si="19"/>
        <v>18000</v>
      </c>
      <c r="P29" s="68">
        <f t="shared" si="19"/>
        <v>30000</v>
      </c>
      <c r="Q29" s="68">
        <f t="shared" si="19"/>
        <v>0</v>
      </c>
      <c r="R29" s="39">
        <f t="shared" si="18"/>
        <v>0</v>
      </c>
      <c r="S29" s="68">
        <f>SUM(S27:S28)</f>
        <v>200000</v>
      </c>
      <c r="T29" s="68">
        <f>SUM(T27:T28)</f>
        <v>0</v>
      </c>
    </row>
    <row r="30" spans="1:20" ht="18.75">
      <c r="A30" s="3"/>
      <c r="B30" s="281"/>
      <c r="C30" s="282"/>
      <c r="D30" s="33"/>
      <c r="E30" s="3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2">
        <f t="shared" si="18"/>
        <v>0</v>
      </c>
      <c r="S30" s="68"/>
      <c r="T30" s="68"/>
    </row>
    <row r="31" spans="1:20" ht="18.75">
      <c r="A31" s="3"/>
      <c r="B31" s="283" t="s">
        <v>121</v>
      </c>
      <c r="C31" s="284"/>
      <c r="D31" s="50"/>
      <c r="E31" s="2"/>
      <c r="F31" s="68"/>
      <c r="G31" s="68"/>
      <c r="H31" s="68"/>
      <c r="I31" s="36"/>
      <c r="J31" s="36"/>
      <c r="K31" s="36"/>
      <c r="L31" s="36"/>
      <c r="M31" s="36"/>
      <c r="N31" s="36"/>
      <c r="O31" s="36"/>
      <c r="P31" s="36"/>
      <c r="Q31" s="36"/>
      <c r="R31" s="62">
        <f t="shared" si="18"/>
        <v>0</v>
      </c>
      <c r="S31" s="36"/>
      <c r="T31" s="36"/>
    </row>
    <row r="32" spans="1:20" ht="18.75">
      <c r="A32" s="3">
        <v>1</v>
      </c>
      <c r="B32" s="257" t="s">
        <v>122</v>
      </c>
      <c r="C32" s="258"/>
      <c r="D32" s="33" t="s">
        <v>123</v>
      </c>
      <c r="E32" s="3" t="s">
        <v>118</v>
      </c>
      <c r="F32" s="62">
        <f>150000</f>
        <v>150000</v>
      </c>
      <c r="G32" s="62"/>
      <c r="H32" s="62">
        <f>F32*300%</f>
        <v>450000</v>
      </c>
      <c r="I32" s="62">
        <f>F32*7.5%</f>
        <v>11250</v>
      </c>
      <c r="J32" s="62">
        <v>80244.38</v>
      </c>
      <c r="K32" s="62">
        <f>F32*50%</f>
        <v>75000</v>
      </c>
      <c r="L32" s="62">
        <f>F32*350%</f>
        <v>525000</v>
      </c>
      <c r="M32" s="62">
        <f t="shared" ref="M32:M42" si="20">F32*100%</f>
        <v>150000</v>
      </c>
      <c r="N32" s="62">
        <v>100000</v>
      </c>
      <c r="O32" s="62">
        <f t="shared" ref="O32:O42" si="21">F32*10%</f>
        <v>15000</v>
      </c>
      <c r="P32" s="62">
        <v>20000</v>
      </c>
      <c r="Q32" s="62"/>
      <c r="R32" s="62">
        <f t="shared" si="18"/>
        <v>100000</v>
      </c>
      <c r="S32" s="62">
        <f>150000</f>
        <v>150000</v>
      </c>
      <c r="T32" s="62">
        <f>S32-N32</f>
        <v>50000</v>
      </c>
    </row>
    <row r="33" spans="1:20" ht="18.75">
      <c r="A33" s="3">
        <v>2</v>
      </c>
      <c r="B33" s="257" t="s">
        <v>124</v>
      </c>
      <c r="C33" s="258"/>
      <c r="D33" s="33" t="s">
        <v>125</v>
      </c>
      <c r="E33" s="3" t="s">
        <v>54</v>
      </c>
      <c r="F33" s="62">
        <f t="shared" ref="F33:F34" si="22">70000</f>
        <v>70000</v>
      </c>
      <c r="G33" s="62"/>
      <c r="H33" s="62">
        <f>F33*300%</f>
        <v>210000</v>
      </c>
      <c r="I33" s="62">
        <f>F33*7.5%</f>
        <v>5250</v>
      </c>
      <c r="J33" s="62">
        <v>40122.19</v>
      </c>
      <c r="K33" s="62">
        <f>F33*50%</f>
        <v>35000</v>
      </c>
      <c r="L33" s="62">
        <f>F33*350%</f>
        <v>245000</v>
      </c>
      <c r="M33" s="62">
        <f>F33*100%</f>
        <v>70000</v>
      </c>
      <c r="N33" s="62">
        <v>100000</v>
      </c>
      <c r="O33" s="62">
        <f>F33*10%</f>
        <v>7000</v>
      </c>
      <c r="P33" s="62">
        <v>20000</v>
      </c>
      <c r="Q33" s="62">
        <v>0</v>
      </c>
      <c r="R33" s="62">
        <f t="shared" si="18"/>
        <v>100000</v>
      </c>
      <c r="S33" s="62">
        <f t="shared" ref="S33:S42" si="23">150000</f>
        <v>150000</v>
      </c>
      <c r="T33" s="62">
        <f t="shared" ref="T33:T43" si="24">S33-N33</f>
        <v>50000</v>
      </c>
    </row>
    <row r="34" spans="1:20" ht="18.75">
      <c r="A34" s="3">
        <v>3</v>
      </c>
      <c r="B34" s="257" t="s">
        <v>126</v>
      </c>
      <c r="C34" s="258"/>
      <c r="D34" s="33" t="s">
        <v>127</v>
      </c>
      <c r="E34" s="3" t="s">
        <v>129</v>
      </c>
      <c r="F34" s="62">
        <f t="shared" si="22"/>
        <v>70000</v>
      </c>
      <c r="G34" s="62"/>
      <c r="H34" s="62">
        <f>F34*300%</f>
        <v>210000</v>
      </c>
      <c r="I34" s="62">
        <f>F34*7.5%</f>
        <v>5250</v>
      </c>
      <c r="J34" s="62">
        <v>40122.19</v>
      </c>
      <c r="K34" s="62">
        <f>F34*50%</f>
        <v>35000</v>
      </c>
      <c r="L34" s="62">
        <f>F34*350%</f>
        <v>245000</v>
      </c>
      <c r="M34" s="62">
        <f>F34*100%</f>
        <v>70000</v>
      </c>
      <c r="N34" s="62">
        <v>100000</v>
      </c>
      <c r="O34" s="62">
        <f>F34*10%</f>
        <v>7000</v>
      </c>
      <c r="P34" s="62">
        <v>20000</v>
      </c>
      <c r="Q34" s="62"/>
      <c r="R34" s="62">
        <f t="shared" si="18"/>
        <v>100000</v>
      </c>
      <c r="S34" s="62">
        <f t="shared" si="23"/>
        <v>150000</v>
      </c>
      <c r="T34" s="62">
        <f t="shared" si="24"/>
        <v>50000</v>
      </c>
    </row>
    <row r="35" spans="1:20" ht="18.75">
      <c r="A35" s="3">
        <v>4</v>
      </c>
      <c r="B35" s="257" t="s">
        <v>128</v>
      </c>
      <c r="C35" s="258"/>
      <c r="D35" s="33" t="s">
        <v>131</v>
      </c>
      <c r="E35" s="3" t="s">
        <v>132</v>
      </c>
      <c r="F35" s="62">
        <f>50000</f>
        <v>50000</v>
      </c>
      <c r="G35" s="62"/>
      <c r="H35" s="62">
        <f>F35*300%</f>
        <v>150000</v>
      </c>
      <c r="I35" s="62">
        <f>F35*7.5%</f>
        <v>3750</v>
      </c>
      <c r="J35" s="62"/>
      <c r="K35" s="62">
        <f>F35*50%</f>
        <v>25000</v>
      </c>
      <c r="L35" s="62">
        <f>F35*350%</f>
        <v>175000</v>
      </c>
      <c r="M35" s="62">
        <f>F35*100%</f>
        <v>50000</v>
      </c>
      <c r="N35" s="62">
        <v>100000</v>
      </c>
      <c r="O35" s="62">
        <f>F35*10%</f>
        <v>5000</v>
      </c>
      <c r="P35" s="62">
        <v>20000</v>
      </c>
      <c r="Q35" s="62"/>
      <c r="R35" s="62">
        <f t="shared" si="18"/>
        <v>100000</v>
      </c>
      <c r="S35" s="62">
        <f t="shared" si="23"/>
        <v>150000</v>
      </c>
      <c r="T35" s="62">
        <f t="shared" si="24"/>
        <v>50000</v>
      </c>
    </row>
    <row r="36" spans="1:20" ht="18.75">
      <c r="A36" s="3">
        <v>5</v>
      </c>
      <c r="B36" s="257" t="s">
        <v>130</v>
      </c>
      <c r="C36" s="258"/>
      <c r="D36" s="33" t="s">
        <v>131</v>
      </c>
      <c r="E36" s="3" t="s">
        <v>191</v>
      </c>
      <c r="F36" s="62">
        <f>50000</f>
        <v>50000</v>
      </c>
      <c r="G36" s="62"/>
      <c r="H36" s="62">
        <f t="shared" ref="H36:H42" si="25">F36*300%</f>
        <v>150000</v>
      </c>
      <c r="I36" s="62">
        <f t="shared" ref="I36:I42" si="26">F36*7.5%</f>
        <v>3750</v>
      </c>
      <c r="J36" s="62">
        <v>0</v>
      </c>
      <c r="K36" s="62">
        <f t="shared" ref="K36:K42" si="27">F36*50%</f>
        <v>25000</v>
      </c>
      <c r="L36" s="62">
        <f t="shared" ref="L36:L42" si="28">F36*350%</f>
        <v>175000</v>
      </c>
      <c r="M36" s="62">
        <f t="shared" si="20"/>
        <v>50000</v>
      </c>
      <c r="N36" s="62">
        <v>100000</v>
      </c>
      <c r="O36" s="62">
        <f t="shared" si="21"/>
        <v>5000</v>
      </c>
      <c r="P36" s="62">
        <v>20000</v>
      </c>
      <c r="Q36" s="62">
        <v>0</v>
      </c>
      <c r="R36" s="62">
        <f t="shared" si="18"/>
        <v>100000</v>
      </c>
      <c r="S36" s="62">
        <f t="shared" si="23"/>
        <v>150000</v>
      </c>
      <c r="T36" s="62">
        <f t="shared" si="24"/>
        <v>50000</v>
      </c>
    </row>
    <row r="37" spans="1:20" ht="18.75">
      <c r="A37" s="3">
        <v>6</v>
      </c>
      <c r="B37" s="257" t="s">
        <v>133</v>
      </c>
      <c r="C37" s="258"/>
      <c r="D37" s="33" t="s">
        <v>140</v>
      </c>
      <c r="E37" s="3" t="s">
        <v>98</v>
      </c>
      <c r="F37" s="62">
        <f>50000</f>
        <v>50000</v>
      </c>
      <c r="G37" s="62"/>
      <c r="H37" s="62">
        <f t="shared" si="25"/>
        <v>150000</v>
      </c>
      <c r="I37" s="62">
        <f t="shared" si="26"/>
        <v>3750</v>
      </c>
      <c r="J37" s="62"/>
      <c r="K37" s="62">
        <f t="shared" si="27"/>
        <v>25000</v>
      </c>
      <c r="L37" s="62">
        <f t="shared" si="28"/>
        <v>175000</v>
      </c>
      <c r="M37" s="62">
        <f t="shared" si="20"/>
        <v>50000</v>
      </c>
      <c r="N37" s="62">
        <v>100000</v>
      </c>
      <c r="O37" s="62">
        <f t="shared" si="21"/>
        <v>5000</v>
      </c>
      <c r="P37" s="62">
        <v>15000</v>
      </c>
      <c r="Q37" s="62"/>
      <c r="R37" s="62">
        <f t="shared" si="18"/>
        <v>100000</v>
      </c>
      <c r="S37" s="62">
        <f t="shared" si="23"/>
        <v>150000</v>
      </c>
      <c r="T37" s="62">
        <f t="shared" si="24"/>
        <v>50000</v>
      </c>
    </row>
    <row r="38" spans="1:20" ht="18.75">
      <c r="A38" s="3">
        <v>7</v>
      </c>
      <c r="B38" s="265" t="s">
        <v>134</v>
      </c>
      <c r="C38" s="266"/>
      <c r="D38" s="20" t="s">
        <v>517</v>
      </c>
      <c r="E38" s="25" t="s">
        <v>73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72">
        <v>100000</v>
      </c>
      <c r="O38" s="26">
        <f>F38*10%</f>
        <v>5000</v>
      </c>
      <c r="P38" s="26">
        <v>15000</v>
      </c>
      <c r="Q38" s="26"/>
      <c r="R38" s="62">
        <f t="shared" si="18"/>
        <v>100000</v>
      </c>
      <c r="S38" s="62">
        <f t="shared" si="23"/>
        <v>150000</v>
      </c>
      <c r="T38" s="62">
        <f t="shared" si="24"/>
        <v>50000</v>
      </c>
    </row>
    <row r="39" spans="1:20" ht="18.75">
      <c r="A39" s="3">
        <v>8</v>
      </c>
      <c r="B39" s="257" t="s">
        <v>136</v>
      </c>
      <c r="C39" s="258"/>
      <c r="D39" s="33" t="s">
        <v>137</v>
      </c>
      <c r="E39" s="3" t="s">
        <v>79</v>
      </c>
      <c r="F39" s="62">
        <f>50000</f>
        <v>50000</v>
      </c>
      <c r="G39" s="62"/>
      <c r="H39" s="62">
        <f t="shared" si="25"/>
        <v>150000</v>
      </c>
      <c r="I39" s="62">
        <f t="shared" si="26"/>
        <v>3750</v>
      </c>
      <c r="J39" s="62">
        <v>0</v>
      </c>
      <c r="K39" s="62">
        <f t="shared" si="27"/>
        <v>25000</v>
      </c>
      <c r="L39" s="62">
        <f t="shared" si="28"/>
        <v>175000</v>
      </c>
      <c r="M39" s="62">
        <f t="shared" si="20"/>
        <v>50000</v>
      </c>
      <c r="N39" s="62">
        <v>100000</v>
      </c>
      <c r="O39" s="62">
        <f t="shared" si="21"/>
        <v>5000</v>
      </c>
      <c r="P39" s="62">
        <v>15000</v>
      </c>
      <c r="Q39" s="62">
        <v>0</v>
      </c>
      <c r="R39" s="62">
        <f t="shared" si="18"/>
        <v>100000</v>
      </c>
      <c r="S39" s="62">
        <f t="shared" si="23"/>
        <v>150000</v>
      </c>
      <c r="T39" s="62">
        <f t="shared" si="24"/>
        <v>50000</v>
      </c>
    </row>
    <row r="40" spans="1:20" ht="18.75">
      <c r="A40" s="3">
        <v>9</v>
      </c>
      <c r="B40" s="257" t="s">
        <v>394</v>
      </c>
      <c r="C40" s="258"/>
      <c r="D40" s="33" t="s">
        <v>140</v>
      </c>
      <c r="E40" s="3" t="s">
        <v>98</v>
      </c>
      <c r="F40" s="62">
        <f>50000</f>
        <v>50000</v>
      </c>
      <c r="G40" s="62"/>
      <c r="H40" s="62">
        <f t="shared" si="25"/>
        <v>150000</v>
      </c>
      <c r="I40" s="62">
        <f t="shared" si="26"/>
        <v>3750</v>
      </c>
      <c r="J40" s="62">
        <v>0</v>
      </c>
      <c r="K40" s="62">
        <f t="shared" si="27"/>
        <v>25000</v>
      </c>
      <c r="L40" s="62">
        <f t="shared" si="28"/>
        <v>175000</v>
      </c>
      <c r="M40" s="62">
        <f t="shared" si="20"/>
        <v>50000</v>
      </c>
      <c r="N40" s="62">
        <v>100000</v>
      </c>
      <c r="O40" s="62">
        <f t="shared" si="21"/>
        <v>5000</v>
      </c>
      <c r="P40" s="62">
        <v>15000</v>
      </c>
      <c r="Q40" s="62">
        <v>0</v>
      </c>
      <c r="R40" s="62">
        <f t="shared" si="18"/>
        <v>100000</v>
      </c>
      <c r="S40" s="62">
        <f t="shared" si="23"/>
        <v>150000</v>
      </c>
      <c r="T40" s="62">
        <f t="shared" si="24"/>
        <v>50000</v>
      </c>
    </row>
    <row r="41" spans="1:20" ht="18.75">
      <c r="A41" s="3">
        <v>10</v>
      </c>
      <c r="B41" s="257" t="s">
        <v>484</v>
      </c>
      <c r="C41" s="258"/>
      <c r="D41" s="33" t="s">
        <v>140</v>
      </c>
      <c r="E41" s="3" t="s">
        <v>98</v>
      </c>
      <c r="F41" s="62">
        <f>50000</f>
        <v>50000</v>
      </c>
      <c r="G41" s="62"/>
      <c r="H41" s="62">
        <f t="shared" si="25"/>
        <v>150000</v>
      </c>
      <c r="I41" s="62">
        <f t="shared" si="26"/>
        <v>3750</v>
      </c>
      <c r="J41" s="62">
        <f>J15</f>
        <v>0</v>
      </c>
      <c r="K41" s="62">
        <f t="shared" si="27"/>
        <v>25000</v>
      </c>
      <c r="L41" s="62">
        <f t="shared" si="28"/>
        <v>175000</v>
      </c>
      <c r="M41" s="62">
        <f t="shared" si="20"/>
        <v>50000</v>
      </c>
      <c r="N41" s="62">
        <v>100000</v>
      </c>
      <c r="O41" s="62">
        <f t="shared" si="21"/>
        <v>5000</v>
      </c>
      <c r="P41" s="62">
        <v>15000</v>
      </c>
      <c r="Q41" s="62">
        <v>0</v>
      </c>
      <c r="R41" s="62">
        <f t="shared" si="18"/>
        <v>100000</v>
      </c>
      <c r="S41" s="62">
        <f t="shared" si="23"/>
        <v>150000</v>
      </c>
      <c r="T41" s="62">
        <f t="shared" si="24"/>
        <v>50000</v>
      </c>
    </row>
    <row r="42" spans="1:20" ht="18.75">
      <c r="A42" s="3">
        <v>11</v>
      </c>
      <c r="B42" s="269" t="s">
        <v>139</v>
      </c>
      <c r="C42" s="270"/>
      <c r="D42" s="20" t="s">
        <v>142</v>
      </c>
      <c r="E42" s="29" t="s">
        <v>103</v>
      </c>
      <c r="F42" s="26">
        <f>30000</f>
        <v>30000</v>
      </c>
      <c r="G42" s="62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62">
        <f t="shared" si="18"/>
        <v>100000</v>
      </c>
      <c r="S42" s="62">
        <f t="shared" si="23"/>
        <v>150000</v>
      </c>
      <c r="T42" s="62">
        <f t="shared" si="24"/>
        <v>50000</v>
      </c>
    </row>
    <row r="43" spans="1:20" ht="23.25">
      <c r="A43" s="3"/>
      <c r="B43" s="273" t="s">
        <v>34</v>
      </c>
      <c r="C43" s="274"/>
      <c r="D43" s="30">
        <v>11</v>
      </c>
      <c r="E43" s="30"/>
      <c r="F43" s="92">
        <f>SUM(F32:F42)</f>
        <v>670000</v>
      </c>
      <c r="G43" s="92"/>
      <c r="H43" s="92">
        <f t="shared" ref="H43:Q43" si="29">SUM(H32:H42)</f>
        <v>2010000</v>
      </c>
      <c r="I43" s="92">
        <f t="shared" si="29"/>
        <v>50250</v>
      </c>
      <c r="J43" s="92">
        <f t="shared" si="29"/>
        <v>160488.76</v>
      </c>
      <c r="K43" s="92">
        <f t="shared" si="29"/>
        <v>335000</v>
      </c>
      <c r="L43" s="92">
        <f t="shared" si="29"/>
        <v>2345000</v>
      </c>
      <c r="M43" s="92">
        <f t="shared" si="29"/>
        <v>670000</v>
      </c>
      <c r="N43" s="92">
        <f t="shared" si="29"/>
        <v>1100000</v>
      </c>
      <c r="O43" s="92">
        <f t="shared" si="29"/>
        <v>67000</v>
      </c>
      <c r="P43" s="92">
        <f t="shared" si="29"/>
        <v>185000</v>
      </c>
      <c r="Q43" s="92">
        <f t="shared" si="29"/>
        <v>0</v>
      </c>
      <c r="R43" s="39">
        <f t="shared" si="18"/>
        <v>1100000</v>
      </c>
      <c r="S43" s="92">
        <f>SUM(S32:S42)</f>
        <v>1650000</v>
      </c>
      <c r="T43" s="95">
        <f t="shared" si="24"/>
        <v>550000</v>
      </c>
    </row>
    <row r="44" spans="1:20" ht="18.75">
      <c r="A44" s="3"/>
      <c r="B44" s="105"/>
      <c r="C44" s="105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62">
        <f t="shared" si="18"/>
        <v>0</v>
      </c>
      <c r="S44" s="31"/>
      <c r="T44" s="31"/>
    </row>
    <row r="45" spans="1:20" ht="18.75">
      <c r="A45" s="3"/>
      <c r="B45" s="273" t="s">
        <v>144</v>
      </c>
      <c r="C45" s="274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62">
        <f t="shared" si="18"/>
        <v>0</v>
      </c>
      <c r="S45" s="31"/>
      <c r="T45" s="31"/>
    </row>
    <row r="46" spans="1:20" ht="18.75">
      <c r="A46" s="3">
        <v>1</v>
      </c>
      <c r="B46" s="257" t="s">
        <v>145</v>
      </c>
      <c r="C46" s="258"/>
      <c r="D46" s="61" t="s">
        <v>146</v>
      </c>
      <c r="E46" s="66" t="s">
        <v>43</v>
      </c>
      <c r="F46" s="62">
        <f>150000</f>
        <v>150000</v>
      </c>
      <c r="G46" s="62"/>
      <c r="H46" s="62">
        <f>F46*300%</f>
        <v>450000</v>
      </c>
      <c r="I46" s="62">
        <f>F46*7.5%</f>
        <v>11250</v>
      </c>
      <c r="J46" s="62">
        <v>80244.38</v>
      </c>
      <c r="K46" s="62">
        <f>F46*50%</f>
        <v>75000</v>
      </c>
      <c r="L46" s="62">
        <f>F46*350%</f>
        <v>525000</v>
      </c>
      <c r="M46" s="62">
        <f>F46*100%</f>
        <v>150000</v>
      </c>
      <c r="N46" s="62">
        <v>100000</v>
      </c>
      <c r="O46" s="62">
        <f>F46*10%</f>
        <v>15000</v>
      </c>
      <c r="P46" s="62">
        <v>20000</v>
      </c>
      <c r="Q46" s="62">
        <v>0</v>
      </c>
      <c r="R46" s="62">
        <f t="shared" si="18"/>
        <v>100000</v>
      </c>
      <c r="S46" s="62">
        <f>150000</f>
        <v>150000</v>
      </c>
      <c r="T46" s="62">
        <f>S46-N46</f>
        <v>50000</v>
      </c>
    </row>
    <row r="47" spans="1:20" ht="18.75">
      <c r="A47" s="3">
        <v>2</v>
      </c>
      <c r="B47" s="97" t="s">
        <v>147</v>
      </c>
      <c r="C47" s="98"/>
      <c r="D47" s="61" t="s">
        <v>578</v>
      </c>
      <c r="E47" s="75" t="s">
        <v>485</v>
      </c>
      <c r="F47" s="26">
        <f>50000</f>
        <v>50000</v>
      </c>
      <c r="G47" s="62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62">
        <f>0</f>
        <v>0</v>
      </c>
      <c r="O47" s="26">
        <f t="shared" ref="O47" si="35">F47*10%</f>
        <v>5000</v>
      </c>
      <c r="P47" s="26">
        <v>15000</v>
      </c>
      <c r="Q47" s="26"/>
      <c r="R47" s="62">
        <f t="shared" si="18"/>
        <v>0</v>
      </c>
      <c r="S47" s="26">
        <f>100000</f>
        <v>100000</v>
      </c>
      <c r="T47" s="26">
        <f>0</f>
        <v>0</v>
      </c>
    </row>
    <row r="48" spans="1:20" ht="23.25">
      <c r="A48" s="3"/>
      <c r="B48" s="273" t="s">
        <v>34</v>
      </c>
      <c r="C48" s="274"/>
      <c r="D48" s="30">
        <v>2</v>
      </c>
      <c r="E48" s="30"/>
      <c r="F48" s="92">
        <f>SUM(F46:F47)</f>
        <v>200000</v>
      </c>
      <c r="G48" s="92">
        <f t="shared" ref="G48" si="36">SUM(G46:G46)</f>
        <v>0</v>
      </c>
      <c r="H48" s="92">
        <f t="shared" ref="H48:P48" si="37">SUM(H46:H47)</f>
        <v>600000</v>
      </c>
      <c r="I48" s="92">
        <f t="shared" si="37"/>
        <v>15000</v>
      </c>
      <c r="J48" s="92">
        <f t="shared" si="37"/>
        <v>80244.38</v>
      </c>
      <c r="K48" s="92">
        <f t="shared" si="37"/>
        <v>100000</v>
      </c>
      <c r="L48" s="92">
        <f t="shared" si="37"/>
        <v>700000</v>
      </c>
      <c r="M48" s="92">
        <f t="shared" si="37"/>
        <v>200000</v>
      </c>
      <c r="N48" s="92">
        <f t="shared" si="37"/>
        <v>100000</v>
      </c>
      <c r="O48" s="92">
        <f t="shared" si="37"/>
        <v>20000</v>
      </c>
      <c r="P48" s="92">
        <f t="shared" si="37"/>
        <v>35000</v>
      </c>
      <c r="Q48" s="92">
        <f t="shared" ref="Q48" si="38">SUM(Q46:Q46)</f>
        <v>0</v>
      </c>
      <c r="R48" s="39">
        <f t="shared" si="18"/>
        <v>100000</v>
      </c>
      <c r="S48" s="92">
        <f>SUM(S46:S47)</f>
        <v>250000</v>
      </c>
      <c r="T48" s="92">
        <f>SUM(T46:T47)</f>
        <v>50000</v>
      </c>
    </row>
    <row r="49" spans="1:20" ht="18.75">
      <c r="A49" s="3"/>
      <c r="B49" s="273"/>
      <c r="C49" s="274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62">
        <f t="shared" si="18"/>
        <v>0</v>
      </c>
      <c r="S49" s="31"/>
      <c r="T49" s="31"/>
    </row>
    <row r="50" spans="1:20" ht="18.75">
      <c r="A50" s="3"/>
      <c r="B50" s="273" t="s">
        <v>467</v>
      </c>
      <c r="C50" s="274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62">
        <f t="shared" si="18"/>
        <v>0</v>
      </c>
      <c r="S50" s="31"/>
      <c r="T50" s="31"/>
    </row>
    <row r="51" spans="1:20" ht="18.75">
      <c r="A51" s="3">
        <v>1</v>
      </c>
      <c r="B51" s="269" t="s">
        <v>151</v>
      </c>
      <c r="C51" s="270"/>
      <c r="D51" s="47" t="s">
        <v>152</v>
      </c>
      <c r="E51" s="29" t="s">
        <v>540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62">
        <f t="shared" si="18"/>
        <v>100000</v>
      </c>
      <c r="S51" s="62">
        <f t="shared" ref="S51:S55" si="39">150000</f>
        <v>150000</v>
      </c>
      <c r="T51" s="107">
        <f>S51-N51</f>
        <v>50000</v>
      </c>
    </row>
    <row r="52" spans="1:20" ht="18.75">
      <c r="A52" s="3">
        <v>2</v>
      </c>
      <c r="B52" s="269" t="s">
        <v>579</v>
      </c>
      <c r="C52" s="270"/>
      <c r="D52" s="20" t="s">
        <v>131</v>
      </c>
      <c r="E52" s="29" t="s">
        <v>66</v>
      </c>
      <c r="F52" s="26">
        <f>0</f>
        <v>0</v>
      </c>
      <c r="G52" s="62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62">
        <f t="shared" si="18"/>
        <v>100000</v>
      </c>
      <c r="S52" s="62">
        <f t="shared" si="39"/>
        <v>150000</v>
      </c>
      <c r="T52" s="107">
        <f>0</f>
        <v>0</v>
      </c>
    </row>
    <row r="53" spans="1:20" ht="18.75">
      <c r="A53" s="3">
        <v>3</v>
      </c>
      <c r="B53" s="271" t="s">
        <v>190</v>
      </c>
      <c r="C53" s="272"/>
      <c r="D53" s="33" t="s">
        <v>137</v>
      </c>
      <c r="E53" s="3" t="s">
        <v>138</v>
      </c>
      <c r="F53" s="62">
        <f>50000</f>
        <v>50000</v>
      </c>
      <c r="G53" s="62"/>
      <c r="H53" s="62">
        <f>F53*300%</f>
        <v>150000</v>
      </c>
      <c r="I53" s="62">
        <f>F53*7.5%</f>
        <v>3750</v>
      </c>
      <c r="J53" s="62"/>
      <c r="K53" s="62">
        <f>F53*50%</f>
        <v>25000</v>
      </c>
      <c r="L53" s="36">
        <f>F53*350%</f>
        <v>175000</v>
      </c>
      <c r="M53" s="62">
        <f>F53*100%</f>
        <v>50000</v>
      </c>
      <c r="N53" s="62">
        <v>100000</v>
      </c>
      <c r="O53" s="62">
        <f>F53*10%</f>
        <v>5000</v>
      </c>
      <c r="P53" s="62">
        <v>15000</v>
      </c>
      <c r="Q53" s="62">
        <v>0</v>
      </c>
      <c r="R53" s="62">
        <f t="shared" si="18"/>
        <v>100000</v>
      </c>
      <c r="S53" s="62">
        <f t="shared" si="39"/>
        <v>150000</v>
      </c>
      <c r="T53" s="107">
        <f t="shared" ref="T53:T56" si="40">S53-N53</f>
        <v>50000</v>
      </c>
    </row>
    <row r="54" spans="1:20" ht="18.75">
      <c r="A54" s="3">
        <v>4</v>
      </c>
      <c r="B54" s="269" t="s">
        <v>155</v>
      </c>
      <c r="C54" s="270"/>
      <c r="D54" s="47" t="s">
        <v>142</v>
      </c>
      <c r="E54" s="29" t="s">
        <v>103</v>
      </c>
      <c r="F54" s="62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62">
        <f t="shared" si="18"/>
        <v>100000</v>
      </c>
      <c r="S54" s="62">
        <f t="shared" si="39"/>
        <v>150000</v>
      </c>
      <c r="T54" s="107">
        <f t="shared" si="40"/>
        <v>50000</v>
      </c>
    </row>
    <row r="55" spans="1:20" ht="18.75">
      <c r="A55" s="3">
        <v>5</v>
      </c>
      <c r="B55" s="264" t="s">
        <v>160</v>
      </c>
      <c r="C55" s="264"/>
      <c r="D55" s="61" t="s">
        <v>447</v>
      </c>
      <c r="E55" s="66" t="s">
        <v>82</v>
      </c>
      <c r="F55" s="62">
        <f>30000</f>
        <v>30000</v>
      </c>
      <c r="G55" s="62"/>
      <c r="H55" s="62">
        <f>F55*300%</f>
        <v>90000</v>
      </c>
      <c r="I55" s="62">
        <f>F55*7.5%</f>
        <v>2250</v>
      </c>
      <c r="J55" s="62">
        <v>0</v>
      </c>
      <c r="K55" s="62">
        <f>F55*50%</f>
        <v>15000</v>
      </c>
      <c r="L55" s="36">
        <f>F55*350%</f>
        <v>105000</v>
      </c>
      <c r="M55" s="62">
        <f>F55*100%</f>
        <v>30000</v>
      </c>
      <c r="N55" s="62">
        <f>100000</f>
        <v>100000</v>
      </c>
      <c r="O55" s="62">
        <f>F55*10%</f>
        <v>3000</v>
      </c>
      <c r="P55" s="62">
        <v>10000</v>
      </c>
      <c r="Q55" s="62">
        <v>0</v>
      </c>
      <c r="R55" s="62">
        <f t="shared" si="18"/>
        <v>100000</v>
      </c>
      <c r="S55" s="62">
        <f t="shared" si="39"/>
        <v>150000</v>
      </c>
      <c r="T55" s="107">
        <f t="shared" si="40"/>
        <v>50000</v>
      </c>
    </row>
    <row r="56" spans="1:20" ht="23.25">
      <c r="A56" s="3"/>
      <c r="B56" s="273" t="s">
        <v>34</v>
      </c>
      <c r="C56" s="274"/>
      <c r="D56" s="30">
        <v>5</v>
      </c>
      <c r="E56" s="30"/>
      <c r="F56" s="92">
        <f t="shared" ref="F56:Q56" si="41">SUM(F51:F55)</f>
        <v>260000</v>
      </c>
      <c r="G56" s="92">
        <f t="shared" si="41"/>
        <v>0</v>
      </c>
      <c r="H56" s="92">
        <f t="shared" si="41"/>
        <v>780000</v>
      </c>
      <c r="I56" s="92">
        <f t="shared" si="41"/>
        <v>19500</v>
      </c>
      <c r="J56" s="92">
        <f t="shared" si="41"/>
        <v>80244.38</v>
      </c>
      <c r="K56" s="92">
        <f t="shared" si="41"/>
        <v>130000</v>
      </c>
      <c r="L56" s="92">
        <f t="shared" si="41"/>
        <v>910000</v>
      </c>
      <c r="M56" s="92">
        <f t="shared" si="41"/>
        <v>260000</v>
      </c>
      <c r="N56" s="92">
        <f t="shared" si="41"/>
        <v>500000</v>
      </c>
      <c r="O56" s="92">
        <f t="shared" si="41"/>
        <v>26000</v>
      </c>
      <c r="P56" s="92">
        <f t="shared" si="41"/>
        <v>75000</v>
      </c>
      <c r="Q56" s="92">
        <f t="shared" si="41"/>
        <v>0</v>
      </c>
      <c r="R56" s="39">
        <f t="shared" si="18"/>
        <v>500000</v>
      </c>
      <c r="S56" s="92">
        <f>SUM(S51:S55)</f>
        <v>750000</v>
      </c>
      <c r="T56" s="108">
        <f t="shared" si="40"/>
        <v>250000</v>
      </c>
    </row>
    <row r="57" spans="1:20" ht="18.75">
      <c r="A57" s="3"/>
      <c r="B57" s="99"/>
      <c r="C57" s="10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2">
        <f t="shared" si="18"/>
        <v>0</v>
      </c>
      <c r="S57" s="31"/>
      <c r="T57" s="31"/>
    </row>
    <row r="58" spans="1:20" ht="18.75">
      <c r="A58" s="3"/>
      <c r="B58" s="273" t="s">
        <v>486</v>
      </c>
      <c r="C58" s="274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62">
        <f t="shared" si="18"/>
        <v>0</v>
      </c>
      <c r="S58" s="31"/>
      <c r="T58" s="31"/>
    </row>
    <row r="59" spans="1:20" ht="18.75">
      <c r="A59" s="3">
        <v>1</v>
      </c>
      <c r="B59" s="257" t="s">
        <v>173</v>
      </c>
      <c r="C59" s="258"/>
      <c r="D59" s="33" t="s">
        <v>174</v>
      </c>
      <c r="E59" s="3" t="s">
        <v>43</v>
      </c>
      <c r="F59" s="62">
        <v>150000</v>
      </c>
      <c r="G59" s="62"/>
      <c r="H59" s="62">
        <f t="shared" ref="H59:H62" si="42">F59*300%</f>
        <v>450000</v>
      </c>
      <c r="I59" s="62">
        <f t="shared" ref="I59:I62" si="43">F59*7.5%</f>
        <v>11250</v>
      </c>
      <c r="J59" s="62">
        <v>80244.38</v>
      </c>
      <c r="K59" s="62">
        <f>F59*50%</f>
        <v>75000</v>
      </c>
      <c r="L59" s="62">
        <f t="shared" ref="L59:L62" si="44">F59*350%</f>
        <v>525000</v>
      </c>
      <c r="M59" s="62">
        <f>F59*100%</f>
        <v>150000</v>
      </c>
      <c r="N59" s="62">
        <v>100000</v>
      </c>
      <c r="O59" s="62">
        <f>F59*10%</f>
        <v>15000</v>
      </c>
      <c r="P59" s="62">
        <v>20000</v>
      </c>
      <c r="Q59" s="62">
        <v>0</v>
      </c>
      <c r="R59" s="62">
        <f t="shared" si="18"/>
        <v>100000</v>
      </c>
      <c r="S59" s="62">
        <f t="shared" ref="S59:S62" si="45">150000</f>
        <v>150000</v>
      </c>
      <c r="T59" s="62">
        <f>S59-N59</f>
        <v>50000</v>
      </c>
    </row>
    <row r="60" spans="1:20" ht="18.75">
      <c r="A60" s="3">
        <v>2</v>
      </c>
      <c r="B60" s="257" t="s">
        <v>189</v>
      </c>
      <c r="C60" s="258"/>
      <c r="D60" s="33" t="s">
        <v>131</v>
      </c>
      <c r="E60" s="3" t="s">
        <v>66</v>
      </c>
      <c r="F60" s="62">
        <f>50000</f>
        <v>50000</v>
      </c>
      <c r="G60" s="62"/>
      <c r="H60" s="62">
        <f t="shared" si="42"/>
        <v>150000</v>
      </c>
      <c r="I60" s="62">
        <f t="shared" si="43"/>
        <v>3750</v>
      </c>
      <c r="J60" s="62"/>
      <c r="K60" s="62">
        <f>F60*50%</f>
        <v>25000</v>
      </c>
      <c r="L60" s="62">
        <f t="shared" si="44"/>
        <v>175000</v>
      </c>
      <c r="M60" s="62">
        <f>F60*100%</f>
        <v>50000</v>
      </c>
      <c r="N60" s="62">
        <v>100000</v>
      </c>
      <c r="O60" s="62">
        <f>F60*10%</f>
        <v>5000</v>
      </c>
      <c r="P60" s="62">
        <v>20000</v>
      </c>
      <c r="Q60" s="62"/>
      <c r="R60" s="62">
        <f t="shared" si="18"/>
        <v>100000</v>
      </c>
      <c r="S60" s="62">
        <f t="shared" si="45"/>
        <v>150000</v>
      </c>
      <c r="T60" s="62">
        <f t="shared" ref="T60:T63" si="46">S60-N60</f>
        <v>50000</v>
      </c>
    </row>
    <row r="61" spans="1:20" ht="18.75">
      <c r="A61" s="3">
        <v>3</v>
      </c>
      <c r="B61" s="257" t="s">
        <v>165</v>
      </c>
      <c r="C61" s="258"/>
      <c r="D61" s="33" t="s">
        <v>166</v>
      </c>
      <c r="E61" s="3" t="s">
        <v>95</v>
      </c>
      <c r="F61" s="62">
        <f>30000</f>
        <v>30000</v>
      </c>
      <c r="G61" s="62"/>
      <c r="H61" s="62">
        <f t="shared" si="42"/>
        <v>90000</v>
      </c>
      <c r="I61" s="62">
        <f t="shared" si="43"/>
        <v>2250</v>
      </c>
      <c r="J61" s="62"/>
      <c r="K61" s="62">
        <f>F61*50%</f>
        <v>15000</v>
      </c>
      <c r="L61" s="62">
        <f t="shared" si="44"/>
        <v>105000</v>
      </c>
      <c r="M61" s="62">
        <f>F61*100%</f>
        <v>30000</v>
      </c>
      <c r="N61" s="62">
        <v>100000</v>
      </c>
      <c r="O61" s="62">
        <f>F61*10%</f>
        <v>3000</v>
      </c>
      <c r="P61" s="62">
        <v>10000</v>
      </c>
      <c r="Q61" s="62"/>
      <c r="R61" s="62">
        <f t="shared" si="18"/>
        <v>100000</v>
      </c>
      <c r="S61" s="62">
        <f t="shared" si="45"/>
        <v>150000</v>
      </c>
      <c r="T61" s="62">
        <f t="shared" si="46"/>
        <v>50000</v>
      </c>
    </row>
    <row r="62" spans="1:20" ht="18.75">
      <c r="A62" s="3">
        <v>4</v>
      </c>
      <c r="B62" s="257" t="s">
        <v>179</v>
      </c>
      <c r="C62" s="258"/>
      <c r="D62" s="61" t="s">
        <v>166</v>
      </c>
      <c r="E62" s="66" t="s">
        <v>82</v>
      </c>
      <c r="F62" s="62">
        <f>30000</f>
        <v>30000</v>
      </c>
      <c r="G62" s="62"/>
      <c r="H62" s="62">
        <f t="shared" si="42"/>
        <v>90000</v>
      </c>
      <c r="I62" s="62">
        <f t="shared" si="43"/>
        <v>2250</v>
      </c>
      <c r="J62" s="36">
        <v>0</v>
      </c>
      <c r="K62" s="62">
        <f>F62*50%</f>
        <v>15000</v>
      </c>
      <c r="L62" s="36">
        <f t="shared" si="44"/>
        <v>105000</v>
      </c>
      <c r="M62" s="62">
        <f>F62*100%</f>
        <v>30000</v>
      </c>
      <c r="N62" s="62">
        <f>100000</f>
        <v>100000</v>
      </c>
      <c r="O62" s="62">
        <f>F62*10%</f>
        <v>3000</v>
      </c>
      <c r="P62" s="62">
        <v>10000</v>
      </c>
      <c r="Q62" s="62">
        <v>0</v>
      </c>
      <c r="R62" s="62">
        <f t="shared" si="18"/>
        <v>100000</v>
      </c>
      <c r="S62" s="62">
        <f t="shared" si="45"/>
        <v>150000</v>
      </c>
      <c r="T62" s="62">
        <f t="shared" si="46"/>
        <v>50000</v>
      </c>
    </row>
    <row r="63" spans="1:20" ht="23.25">
      <c r="A63" s="3"/>
      <c r="B63" s="273" t="s">
        <v>34</v>
      </c>
      <c r="C63" s="274"/>
      <c r="D63" s="30">
        <v>4</v>
      </c>
      <c r="E63" s="30"/>
      <c r="F63" s="92">
        <f>SUM(F59:F62)</f>
        <v>260000</v>
      </c>
      <c r="G63" s="92"/>
      <c r="H63" s="92">
        <f t="shared" ref="H63:Q63" si="47">SUM(H59:H62)</f>
        <v>780000</v>
      </c>
      <c r="I63" s="92">
        <f t="shared" si="47"/>
        <v>19500</v>
      </c>
      <c r="J63" s="92">
        <f t="shared" si="47"/>
        <v>80244.38</v>
      </c>
      <c r="K63" s="92">
        <f t="shared" si="47"/>
        <v>130000</v>
      </c>
      <c r="L63" s="92">
        <f t="shared" si="47"/>
        <v>910000</v>
      </c>
      <c r="M63" s="92">
        <f t="shared" si="47"/>
        <v>260000</v>
      </c>
      <c r="N63" s="92">
        <f t="shared" si="47"/>
        <v>400000</v>
      </c>
      <c r="O63" s="92">
        <f t="shared" si="47"/>
        <v>26000</v>
      </c>
      <c r="P63" s="92">
        <f t="shared" si="47"/>
        <v>60000</v>
      </c>
      <c r="Q63" s="92">
        <f t="shared" si="47"/>
        <v>0</v>
      </c>
      <c r="R63" s="39">
        <f t="shared" si="18"/>
        <v>400000</v>
      </c>
      <c r="S63" s="95">
        <f>SUM(S59:S62)</f>
        <v>600000</v>
      </c>
      <c r="T63" s="95">
        <f t="shared" si="46"/>
        <v>200000</v>
      </c>
    </row>
    <row r="64" spans="1:20" ht="18.75">
      <c r="A64" s="3"/>
      <c r="B64" s="275"/>
      <c r="C64" s="276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62">
        <f t="shared" si="18"/>
        <v>0</v>
      </c>
      <c r="S64" s="39"/>
      <c r="T64" s="39"/>
    </row>
    <row r="65" spans="1:20" ht="18.75">
      <c r="A65" s="3"/>
      <c r="B65" s="277" t="s">
        <v>469</v>
      </c>
      <c r="C65" s="278"/>
      <c r="D65" s="69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2">
        <f t="shared" si="18"/>
        <v>0</v>
      </c>
      <c r="S65" s="39"/>
      <c r="T65" s="39"/>
    </row>
    <row r="66" spans="1:20" ht="18.75">
      <c r="A66" s="3">
        <v>1</v>
      </c>
      <c r="B66" s="257" t="s">
        <v>41</v>
      </c>
      <c r="C66" s="258"/>
      <c r="D66" s="61" t="s">
        <v>543</v>
      </c>
      <c r="E66" s="66" t="s">
        <v>43</v>
      </c>
      <c r="F66" s="62">
        <f>150000</f>
        <v>150000</v>
      </c>
      <c r="G66" s="62"/>
      <c r="H66" s="62">
        <f>F66*300%</f>
        <v>450000</v>
      </c>
      <c r="I66" s="62">
        <f>F66*7.5%</f>
        <v>11250</v>
      </c>
      <c r="J66" s="62">
        <v>80244.38</v>
      </c>
      <c r="K66" s="62">
        <f>F66*50%</f>
        <v>75000</v>
      </c>
      <c r="L66" s="62">
        <f>F66*350%</f>
        <v>525000</v>
      </c>
      <c r="M66" s="62">
        <f t="shared" ref="M66:M74" si="48">F66*100%</f>
        <v>150000</v>
      </c>
      <c r="N66" s="62">
        <v>100000</v>
      </c>
      <c r="O66" s="62">
        <f t="shared" ref="O66:O74" si="49">F66*10%</f>
        <v>15000</v>
      </c>
      <c r="P66" s="62">
        <v>20000</v>
      </c>
      <c r="Q66" s="62">
        <v>0</v>
      </c>
      <c r="R66" s="62">
        <f t="shared" si="18"/>
        <v>100000</v>
      </c>
      <c r="S66" s="62">
        <f t="shared" ref="S66:S74" si="50">150000</f>
        <v>150000</v>
      </c>
      <c r="T66" s="62">
        <f>S66-N66</f>
        <v>50000</v>
      </c>
    </row>
    <row r="67" spans="1:20" ht="18.75">
      <c r="A67" s="3">
        <v>2</v>
      </c>
      <c r="B67" s="257" t="s">
        <v>186</v>
      </c>
      <c r="C67" s="258"/>
      <c r="D67" s="33" t="s">
        <v>176</v>
      </c>
      <c r="E67" s="3" t="s">
        <v>54</v>
      </c>
      <c r="F67" s="62">
        <f>70000</f>
        <v>70000</v>
      </c>
      <c r="G67" s="62"/>
      <c r="H67" s="62">
        <f t="shared" ref="H67:H74" si="51">F67*300%</f>
        <v>210000</v>
      </c>
      <c r="I67" s="62">
        <f t="shared" ref="I67:I74" si="52">F67*7.5%</f>
        <v>5250</v>
      </c>
      <c r="J67" s="62">
        <v>40122.19</v>
      </c>
      <c r="K67" s="62">
        <f t="shared" ref="K67:K74" si="53">F67*50%</f>
        <v>35000</v>
      </c>
      <c r="L67" s="62">
        <f t="shared" ref="L67:L74" si="54">F67*350%</f>
        <v>245000</v>
      </c>
      <c r="M67" s="62">
        <f t="shared" si="48"/>
        <v>70000</v>
      </c>
      <c r="N67" s="62">
        <v>100000</v>
      </c>
      <c r="O67" s="62">
        <f t="shared" si="49"/>
        <v>7000</v>
      </c>
      <c r="P67" s="62">
        <v>20000</v>
      </c>
      <c r="Q67" s="62"/>
      <c r="R67" s="62">
        <f t="shared" si="18"/>
        <v>100000</v>
      </c>
      <c r="S67" s="62">
        <f t="shared" si="50"/>
        <v>150000</v>
      </c>
      <c r="T67" s="62">
        <f t="shared" ref="T67:T75" si="55">S67-N67</f>
        <v>50000</v>
      </c>
    </row>
    <row r="68" spans="1:20" ht="18.75">
      <c r="A68" s="3">
        <v>3</v>
      </c>
      <c r="B68" s="257" t="s">
        <v>188</v>
      </c>
      <c r="C68" s="258"/>
      <c r="D68" s="33" t="s">
        <v>131</v>
      </c>
      <c r="E68" s="3" t="s">
        <v>132</v>
      </c>
      <c r="F68" s="62">
        <f>50000</f>
        <v>50000</v>
      </c>
      <c r="G68" s="62"/>
      <c r="H68" s="62">
        <f t="shared" si="51"/>
        <v>150000</v>
      </c>
      <c r="I68" s="62">
        <f t="shared" si="52"/>
        <v>3750</v>
      </c>
      <c r="J68" s="62"/>
      <c r="K68" s="62">
        <f t="shared" si="53"/>
        <v>25000</v>
      </c>
      <c r="L68" s="62">
        <f t="shared" si="54"/>
        <v>175000</v>
      </c>
      <c r="M68" s="62">
        <f t="shared" si="48"/>
        <v>50000</v>
      </c>
      <c r="N68" s="62">
        <v>100000</v>
      </c>
      <c r="O68" s="62">
        <f t="shared" si="49"/>
        <v>5000</v>
      </c>
      <c r="P68" s="62">
        <v>20000</v>
      </c>
      <c r="Q68" s="62"/>
      <c r="R68" s="62">
        <f t="shared" si="18"/>
        <v>100000</v>
      </c>
      <c r="S68" s="62">
        <f t="shared" si="50"/>
        <v>150000</v>
      </c>
      <c r="T68" s="62">
        <f t="shared" si="55"/>
        <v>50000</v>
      </c>
    </row>
    <row r="69" spans="1:20" ht="18.75">
      <c r="A69" s="3">
        <v>4</v>
      </c>
      <c r="B69" s="257" t="s">
        <v>396</v>
      </c>
      <c r="C69" s="258"/>
      <c r="D69" s="33" t="s">
        <v>140</v>
      </c>
      <c r="E69" s="3" t="s">
        <v>138</v>
      </c>
      <c r="F69" s="62">
        <f>50000</f>
        <v>50000</v>
      </c>
      <c r="G69" s="62"/>
      <c r="H69" s="62">
        <f t="shared" si="51"/>
        <v>150000</v>
      </c>
      <c r="I69" s="62">
        <f t="shared" si="52"/>
        <v>3750</v>
      </c>
      <c r="J69" s="62">
        <v>0</v>
      </c>
      <c r="K69" s="62">
        <f t="shared" si="53"/>
        <v>25000</v>
      </c>
      <c r="L69" s="62">
        <f t="shared" si="54"/>
        <v>175000</v>
      </c>
      <c r="M69" s="62">
        <f t="shared" si="48"/>
        <v>50000</v>
      </c>
      <c r="N69" s="62">
        <v>100000</v>
      </c>
      <c r="O69" s="62">
        <f t="shared" si="49"/>
        <v>5000</v>
      </c>
      <c r="P69" s="62">
        <v>15000</v>
      </c>
      <c r="Q69" s="62">
        <v>0</v>
      </c>
      <c r="R69" s="62">
        <f t="shared" si="18"/>
        <v>100000</v>
      </c>
      <c r="S69" s="62">
        <f t="shared" si="50"/>
        <v>150000</v>
      </c>
      <c r="T69" s="62">
        <f t="shared" si="55"/>
        <v>50000</v>
      </c>
    </row>
    <row r="70" spans="1:20" ht="18.75">
      <c r="A70" s="3">
        <v>5</v>
      </c>
      <c r="B70" s="269" t="s">
        <v>192</v>
      </c>
      <c r="C70" s="270"/>
      <c r="D70" s="20" t="s">
        <v>140</v>
      </c>
      <c r="E70" s="29" t="s">
        <v>98</v>
      </c>
      <c r="F70" s="26">
        <f>50000</f>
        <v>50000</v>
      </c>
      <c r="G70" s="62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62">
        <f t="shared" si="18"/>
        <v>100000</v>
      </c>
      <c r="S70" s="62">
        <f t="shared" si="50"/>
        <v>150000</v>
      </c>
      <c r="T70" s="62">
        <f t="shared" si="55"/>
        <v>50000</v>
      </c>
    </row>
    <row r="71" spans="1:20" ht="18.75">
      <c r="A71" s="3">
        <v>6</v>
      </c>
      <c r="B71" s="269" t="s">
        <v>158</v>
      </c>
      <c r="C71" s="270"/>
      <c r="D71" s="20" t="s">
        <v>142</v>
      </c>
      <c r="E71" s="29" t="s">
        <v>539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62">
        <f t="shared" si="18"/>
        <v>100000</v>
      </c>
      <c r="S71" s="62">
        <f t="shared" si="50"/>
        <v>150000</v>
      </c>
      <c r="T71" s="62">
        <f t="shared" si="55"/>
        <v>50000</v>
      </c>
    </row>
    <row r="72" spans="1:20" ht="18.75">
      <c r="A72" s="3">
        <v>7</v>
      </c>
      <c r="B72" s="269" t="s">
        <v>154</v>
      </c>
      <c r="C72" s="270"/>
      <c r="D72" s="20" t="s">
        <v>140</v>
      </c>
      <c r="E72" s="29" t="s">
        <v>98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62">
        <f t="shared" si="18"/>
        <v>100000</v>
      </c>
      <c r="S72" s="62">
        <f t="shared" si="50"/>
        <v>150000</v>
      </c>
      <c r="T72" s="62">
        <f t="shared" si="55"/>
        <v>50000</v>
      </c>
    </row>
    <row r="73" spans="1:20" ht="18.75">
      <c r="A73" s="3">
        <v>8</v>
      </c>
      <c r="B73" s="269" t="s">
        <v>491</v>
      </c>
      <c r="C73" s="270"/>
      <c r="D73" s="20" t="s">
        <v>544</v>
      </c>
      <c r="E73" s="29" t="s">
        <v>98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62">
        <f t="shared" si="18"/>
        <v>100000</v>
      </c>
      <c r="S73" s="62">
        <f t="shared" si="50"/>
        <v>150000</v>
      </c>
      <c r="T73" s="62">
        <f t="shared" si="55"/>
        <v>50000</v>
      </c>
    </row>
    <row r="74" spans="1:20" ht="18.75">
      <c r="A74" s="3">
        <v>9</v>
      </c>
      <c r="B74" s="264" t="s">
        <v>195</v>
      </c>
      <c r="C74" s="264"/>
      <c r="D74" s="33" t="s">
        <v>142</v>
      </c>
      <c r="E74" s="66" t="s">
        <v>103</v>
      </c>
      <c r="F74" s="62">
        <f>30000</f>
        <v>30000</v>
      </c>
      <c r="G74" s="62"/>
      <c r="H74" s="62">
        <f t="shared" si="51"/>
        <v>90000</v>
      </c>
      <c r="I74" s="62">
        <f t="shared" si="52"/>
        <v>2250</v>
      </c>
      <c r="J74" s="62">
        <v>0</v>
      </c>
      <c r="K74" s="62">
        <f t="shared" si="53"/>
        <v>15000</v>
      </c>
      <c r="L74" s="36">
        <f t="shared" si="54"/>
        <v>105000</v>
      </c>
      <c r="M74" s="62">
        <f t="shared" si="48"/>
        <v>30000</v>
      </c>
      <c r="N74" s="62">
        <v>100000</v>
      </c>
      <c r="O74" s="62">
        <f t="shared" si="49"/>
        <v>3000</v>
      </c>
      <c r="P74" s="62">
        <v>10000</v>
      </c>
      <c r="Q74" s="62">
        <v>0</v>
      </c>
      <c r="R74" s="62">
        <f t="shared" si="18"/>
        <v>100000</v>
      </c>
      <c r="S74" s="62">
        <f t="shared" si="50"/>
        <v>150000</v>
      </c>
      <c r="T74" s="62">
        <f t="shared" si="55"/>
        <v>50000</v>
      </c>
    </row>
    <row r="75" spans="1:20" ht="23.25">
      <c r="A75" s="33"/>
      <c r="B75" s="267" t="s">
        <v>34</v>
      </c>
      <c r="C75" s="267"/>
      <c r="D75" s="7">
        <v>9</v>
      </c>
      <c r="E75" s="7"/>
      <c r="F75" s="95">
        <f>SUM(F66:F74)</f>
        <v>530000</v>
      </c>
      <c r="G75" s="95"/>
      <c r="H75" s="95">
        <f t="shared" ref="H75:Q75" si="56">SUM(H66:H74)</f>
        <v>1590000</v>
      </c>
      <c r="I75" s="95">
        <f t="shared" si="56"/>
        <v>39750</v>
      </c>
      <c r="J75" s="95">
        <f t="shared" si="56"/>
        <v>120366.57</v>
      </c>
      <c r="K75" s="95">
        <f t="shared" si="56"/>
        <v>265000</v>
      </c>
      <c r="L75" s="95">
        <f t="shared" si="56"/>
        <v>1855000</v>
      </c>
      <c r="M75" s="95">
        <f t="shared" si="56"/>
        <v>530000</v>
      </c>
      <c r="N75" s="95">
        <f t="shared" si="56"/>
        <v>900000</v>
      </c>
      <c r="O75" s="95">
        <f t="shared" si="56"/>
        <v>53000</v>
      </c>
      <c r="P75" s="95">
        <f t="shared" si="56"/>
        <v>140000</v>
      </c>
      <c r="Q75" s="95">
        <f t="shared" si="56"/>
        <v>0</v>
      </c>
      <c r="R75" s="39">
        <f t="shared" si="18"/>
        <v>900000</v>
      </c>
      <c r="S75" s="95">
        <f>SUM(S66:S74)</f>
        <v>1350000</v>
      </c>
      <c r="T75" s="95">
        <f t="shared" si="55"/>
        <v>450000</v>
      </c>
    </row>
    <row r="76" spans="1:20" ht="18.75">
      <c r="A76" s="33"/>
      <c r="B76" s="96"/>
      <c r="C76" s="96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62">
        <f t="shared" si="18"/>
        <v>0</v>
      </c>
      <c r="S76" s="39"/>
      <c r="T76" s="39"/>
    </row>
    <row r="77" spans="1:20" ht="18.75">
      <c r="A77" s="33"/>
      <c r="B77" s="267" t="s">
        <v>199</v>
      </c>
      <c r="C77" s="267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62">
        <f t="shared" si="18"/>
        <v>0</v>
      </c>
      <c r="S77" s="39"/>
      <c r="T77" s="39"/>
    </row>
    <row r="78" spans="1:20" ht="18.75">
      <c r="A78" s="33">
        <v>1</v>
      </c>
      <c r="B78" s="257" t="s">
        <v>580</v>
      </c>
      <c r="C78" s="258"/>
      <c r="D78" s="33" t="s">
        <v>581</v>
      </c>
      <c r="E78" s="3" t="s">
        <v>479</v>
      </c>
      <c r="F78" s="62">
        <f>100000</f>
        <v>100000</v>
      </c>
      <c r="G78" s="62">
        <v>0</v>
      </c>
      <c r="H78" s="62">
        <f t="shared" ref="H78" si="57">F78*300%</f>
        <v>300000</v>
      </c>
      <c r="I78" s="62">
        <f t="shared" ref="I78" si="58">F78*7.5%</f>
        <v>7500</v>
      </c>
      <c r="J78" s="62">
        <v>40122.19</v>
      </c>
      <c r="K78" s="62">
        <f t="shared" ref="K78" si="59">F78*50%</f>
        <v>50000</v>
      </c>
      <c r="L78" s="62">
        <f t="shared" ref="L78" si="60">F78*350%</f>
        <v>350000</v>
      </c>
      <c r="M78" s="62">
        <f t="shared" ref="M78" si="61">F78*100%</f>
        <v>100000</v>
      </c>
      <c r="N78" s="62">
        <v>100000</v>
      </c>
      <c r="O78" s="62">
        <f t="shared" ref="O78" si="62">F78*10%</f>
        <v>10000</v>
      </c>
      <c r="P78" s="62">
        <v>20000</v>
      </c>
      <c r="Q78" s="62">
        <v>0</v>
      </c>
      <c r="R78" s="62">
        <f t="shared" si="18"/>
        <v>100000</v>
      </c>
      <c r="S78" s="62">
        <v>100000</v>
      </c>
      <c r="T78" s="62"/>
    </row>
    <row r="79" spans="1:20" ht="18.75">
      <c r="A79" s="33">
        <v>2</v>
      </c>
      <c r="B79" s="257" t="s">
        <v>44</v>
      </c>
      <c r="C79" s="258"/>
      <c r="D79" s="33" t="s">
        <v>545</v>
      </c>
      <c r="E79" s="3" t="s">
        <v>54</v>
      </c>
      <c r="F79" s="62">
        <f>70000</f>
        <v>70000</v>
      </c>
      <c r="G79" s="62"/>
      <c r="H79" s="62">
        <f>F79*300%</f>
        <v>210000</v>
      </c>
      <c r="I79" s="62">
        <f>F79*7.5%</f>
        <v>5250</v>
      </c>
      <c r="J79" s="62">
        <v>40122.19</v>
      </c>
      <c r="K79" s="62">
        <f>F79*50%</f>
        <v>35000</v>
      </c>
      <c r="L79" s="62">
        <f>F79*350%</f>
        <v>245000</v>
      </c>
      <c r="M79" s="62">
        <f>F79*100%</f>
        <v>70000</v>
      </c>
      <c r="N79" s="62">
        <v>100000</v>
      </c>
      <c r="O79" s="62">
        <f>F79*10%</f>
        <v>7000</v>
      </c>
      <c r="P79" s="62">
        <v>20000</v>
      </c>
      <c r="Q79" s="62">
        <v>150000</v>
      </c>
      <c r="R79" s="62">
        <f t="shared" si="18"/>
        <v>250000</v>
      </c>
      <c r="S79" s="62">
        <v>150000</v>
      </c>
      <c r="T79" s="62">
        <f>S79-N79</f>
        <v>50000</v>
      </c>
    </row>
    <row r="80" spans="1:20" ht="18.75">
      <c r="A80" s="33">
        <v>3</v>
      </c>
      <c r="B80" s="269" t="s">
        <v>202</v>
      </c>
      <c r="C80" s="270"/>
      <c r="D80" s="20" t="s">
        <v>493</v>
      </c>
      <c r="E80" s="29" t="s">
        <v>98</v>
      </c>
      <c r="F80" s="26">
        <f>50000</f>
        <v>50000</v>
      </c>
      <c r="G80" s="62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62">
        <f t="shared" si="18"/>
        <v>100000</v>
      </c>
      <c r="S80" s="26">
        <v>100000</v>
      </c>
      <c r="T80" s="26"/>
    </row>
    <row r="81" spans="1:20" ht="18.75">
      <c r="A81" s="33">
        <v>4</v>
      </c>
      <c r="B81" s="271" t="s">
        <v>69</v>
      </c>
      <c r="C81" s="272"/>
      <c r="D81" s="33" t="s">
        <v>445</v>
      </c>
      <c r="E81" s="3" t="s">
        <v>98</v>
      </c>
      <c r="F81" s="26">
        <f>50000</f>
        <v>50000</v>
      </c>
      <c r="G81" s="62"/>
      <c r="H81" s="62">
        <f>F81*300%</f>
        <v>150000</v>
      </c>
      <c r="I81" s="62">
        <f>F81*7.5%</f>
        <v>3750</v>
      </c>
      <c r="J81" s="62"/>
      <c r="K81" s="62">
        <f>F81*50%</f>
        <v>25000</v>
      </c>
      <c r="L81" s="36">
        <f>F81*350%</f>
        <v>175000</v>
      </c>
      <c r="M81" s="62">
        <f>F81*100%</f>
        <v>50000</v>
      </c>
      <c r="N81" s="26">
        <v>100000</v>
      </c>
      <c r="O81" s="62">
        <f>F81*10%</f>
        <v>5000</v>
      </c>
      <c r="P81" s="62">
        <v>15000</v>
      </c>
      <c r="Q81" s="62">
        <v>50000</v>
      </c>
      <c r="R81" s="62">
        <f t="shared" si="18"/>
        <v>150000</v>
      </c>
      <c r="S81" s="26">
        <v>150000</v>
      </c>
      <c r="T81" s="26">
        <f>S81-N81</f>
        <v>50000</v>
      </c>
    </row>
    <row r="82" spans="1:20" ht="18.75">
      <c r="A82" s="33">
        <v>5</v>
      </c>
      <c r="B82" s="257" t="s">
        <v>206</v>
      </c>
      <c r="C82" s="258"/>
      <c r="D82" s="33" t="s">
        <v>546</v>
      </c>
      <c r="E82" s="66" t="s">
        <v>95</v>
      </c>
      <c r="F82" s="26">
        <f>30000</f>
        <v>30000</v>
      </c>
      <c r="G82" s="62"/>
      <c r="H82" s="62">
        <f>F82*300%</f>
        <v>90000</v>
      </c>
      <c r="I82" s="62">
        <f>F82*7.5%</f>
        <v>2250</v>
      </c>
      <c r="J82" s="62"/>
      <c r="K82" s="62">
        <f>F82*50%</f>
        <v>15000</v>
      </c>
      <c r="L82" s="36">
        <f>F82*350%</f>
        <v>105000</v>
      </c>
      <c r="M82" s="26">
        <f>F82*100%</f>
        <v>30000</v>
      </c>
      <c r="N82" s="62">
        <f t="shared" ref="N82:N113" si="63">100000</f>
        <v>100000</v>
      </c>
      <c r="O82" s="62">
        <f>F82*10%</f>
        <v>3000</v>
      </c>
      <c r="P82" s="62">
        <v>10000</v>
      </c>
      <c r="Q82" s="62"/>
      <c r="R82" s="62">
        <f t="shared" si="18"/>
        <v>100000</v>
      </c>
      <c r="S82" s="62">
        <f t="shared" ref="S82" si="64">100000</f>
        <v>100000</v>
      </c>
      <c r="T82" s="62"/>
    </row>
    <row r="83" spans="1:20" ht="18.75">
      <c r="A83" s="33">
        <v>6</v>
      </c>
      <c r="B83" s="97" t="s">
        <v>582</v>
      </c>
      <c r="C83" s="98"/>
      <c r="D83" s="33"/>
      <c r="E83" s="66" t="s">
        <v>168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62">
        <f t="shared" si="18"/>
        <v>100000</v>
      </c>
      <c r="S83" s="26">
        <v>100000</v>
      </c>
      <c r="T83" s="26"/>
    </row>
    <row r="84" spans="1:20" ht="23.25">
      <c r="A84" s="33"/>
      <c r="B84" s="267" t="s">
        <v>34</v>
      </c>
      <c r="C84" s="267"/>
      <c r="D84" s="7">
        <v>6</v>
      </c>
      <c r="E84" s="91"/>
      <c r="F84" s="92">
        <f t="shared" ref="F84:Q84" si="65">SUM(F78:F83)</f>
        <v>330000</v>
      </c>
      <c r="G84" s="92">
        <f t="shared" si="65"/>
        <v>0</v>
      </c>
      <c r="H84" s="92">
        <f t="shared" si="65"/>
        <v>990000</v>
      </c>
      <c r="I84" s="92">
        <f t="shared" si="65"/>
        <v>24750</v>
      </c>
      <c r="J84" s="92">
        <f t="shared" si="65"/>
        <v>80244.38</v>
      </c>
      <c r="K84" s="92">
        <f t="shared" si="65"/>
        <v>165000</v>
      </c>
      <c r="L84" s="92">
        <f t="shared" si="65"/>
        <v>1155000</v>
      </c>
      <c r="M84" s="92">
        <f t="shared" si="65"/>
        <v>330000</v>
      </c>
      <c r="N84" s="92">
        <f t="shared" si="65"/>
        <v>600000</v>
      </c>
      <c r="O84" s="92">
        <f t="shared" si="65"/>
        <v>33000</v>
      </c>
      <c r="P84" s="92">
        <f t="shared" si="65"/>
        <v>90000</v>
      </c>
      <c r="Q84" s="92">
        <f t="shared" si="65"/>
        <v>200000</v>
      </c>
      <c r="R84" s="39">
        <f t="shared" si="18"/>
        <v>800000</v>
      </c>
      <c r="S84" s="92">
        <f t="shared" ref="S84" si="66">SUM(S78:S83)</f>
        <v>700000</v>
      </c>
      <c r="T84" s="92">
        <f>SUM(T78:T83)</f>
        <v>100000</v>
      </c>
    </row>
    <row r="85" spans="1:20" ht="18.75">
      <c r="A85" s="33"/>
      <c r="B85" s="96"/>
      <c r="C85" s="96"/>
      <c r="D85" s="7"/>
      <c r="E85" s="9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2">
        <f t="shared" si="18"/>
        <v>0</v>
      </c>
      <c r="S85" s="31"/>
      <c r="T85" s="31"/>
    </row>
    <row r="86" spans="1:20" ht="18.75">
      <c r="A86" s="33"/>
      <c r="B86" s="267" t="s">
        <v>209</v>
      </c>
      <c r="C86" s="267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62">
        <f t="shared" si="18"/>
        <v>0</v>
      </c>
      <c r="S86" s="33"/>
      <c r="T86" s="33"/>
    </row>
    <row r="87" spans="1:20" ht="18.75">
      <c r="A87" s="1">
        <v>1</v>
      </c>
      <c r="B87" s="257" t="s">
        <v>210</v>
      </c>
      <c r="C87" s="258"/>
      <c r="D87" s="61" t="s">
        <v>211</v>
      </c>
      <c r="E87" s="66" t="s">
        <v>540</v>
      </c>
      <c r="F87" s="62">
        <f>150000</f>
        <v>150000</v>
      </c>
      <c r="G87" s="62"/>
      <c r="H87" s="62">
        <f>F87*300%</f>
        <v>450000</v>
      </c>
      <c r="I87" s="62">
        <f>F87*7.5%</f>
        <v>11250</v>
      </c>
      <c r="J87" s="62">
        <v>80244.38</v>
      </c>
      <c r="K87" s="62">
        <f>F87*50%</f>
        <v>75000</v>
      </c>
      <c r="L87" s="62">
        <f>F87*350%</f>
        <v>525000</v>
      </c>
      <c r="M87" s="62">
        <f>F87*100%</f>
        <v>150000</v>
      </c>
      <c r="N87" s="62">
        <v>100000</v>
      </c>
      <c r="O87" s="62">
        <f>F87*10%</f>
        <v>15000</v>
      </c>
      <c r="P87" s="62">
        <v>20000</v>
      </c>
      <c r="Q87" s="62">
        <v>0</v>
      </c>
      <c r="R87" s="62">
        <f t="shared" si="18"/>
        <v>100000</v>
      </c>
      <c r="S87" s="62">
        <v>150000</v>
      </c>
      <c r="T87" s="62">
        <f>S87-N87</f>
        <v>50000</v>
      </c>
    </row>
    <row r="88" spans="1:20" ht="18.75">
      <c r="A88" s="1">
        <v>2</v>
      </c>
      <c r="B88" s="311" t="s">
        <v>212</v>
      </c>
      <c r="C88" s="312"/>
      <c r="D88" s="33" t="s">
        <v>213</v>
      </c>
      <c r="E88" s="3" t="s">
        <v>54</v>
      </c>
      <c r="F88" s="62">
        <f>70000</f>
        <v>70000</v>
      </c>
      <c r="G88" s="62"/>
      <c r="H88" s="62">
        <f>F88*300%</f>
        <v>210000</v>
      </c>
      <c r="I88" s="62">
        <f>F88*7.5%</f>
        <v>5250</v>
      </c>
      <c r="J88" s="62">
        <v>40122.19</v>
      </c>
      <c r="K88" s="62">
        <f>F88*50%</f>
        <v>35000</v>
      </c>
      <c r="L88" s="62">
        <f>F88*350%</f>
        <v>245000</v>
      </c>
      <c r="M88" s="62">
        <f>F88*100%</f>
        <v>70000</v>
      </c>
      <c r="N88" s="62">
        <v>100000</v>
      </c>
      <c r="O88" s="62">
        <f>F88*10%</f>
        <v>7000</v>
      </c>
      <c r="P88" s="62">
        <v>20000</v>
      </c>
      <c r="Q88" s="62">
        <v>0</v>
      </c>
      <c r="R88" s="62">
        <f t="shared" si="18"/>
        <v>100000</v>
      </c>
      <c r="S88" s="62">
        <v>150000</v>
      </c>
      <c r="T88" s="62">
        <f t="shared" ref="T88:T91" si="67">S88-N88</f>
        <v>50000</v>
      </c>
    </row>
    <row r="89" spans="1:20" ht="18.75">
      <c r="A89" s="1">
        <v>3</v>
      </c>
      <c r="B89" s="257" t="s">
        <v>214</v>
      </c>
      <c r="C89" s="258"/>
      <c r="D89" s="33" t="s">
        <v>547</v>
      </c>
      <c r="E89" s="3" t="s">
        <v>138</v>
      </c>
      <c r="F89" s="62">
        <f>50000</f>
        <v>50000</v>
      </c>
      <c r="G89" s="62"/>
      <c r="H89" s="62">
        <f>F89*300%</f>
        <v>150000</v>
      </c>
      <c r="I89" s="62">
        <f>F89*7.5%</f>
        <v>3750</v>
      </c>
      <c r="J89" s="62">
        <v>0</v>
      </c>
      <c r="K89" s="62">
        <f>F89*50%</f>
        <v>25000</v>
      </c>
      <c r="L89" s="62">
        <f>F89*350%</f>
        <v>175000</v>
      </c>
      <c r="M89" s="62">
        <f>F89*100%</f>
        <v>50000</v>
      </c>
      <c r="N89" s="62">
        <v>100000</v>
      </c>
      <c r="O89" s="62">
        <f>F89*10%</f>
        <v>5000</v>
      </c>
      <c r="P89" s="62">
        <v>15000</v>
      </c>
      <c r="Q89" s="62">
        <v>0</v>
      </c>
      <c r="R89" s="62">
        <f t="shared" si="18"/>
        <v>100000</v>
      </c>
      <c r="S89" s="62">
        <v>150000</v>
      </c>
      <c r="T89" s="62">
        <f t="shared" si="67"/>
        <v>50000</v>
      </c>
    </row>
    <row r="90" spans="1:20" ht="18.75">
      <c r="A90" s="1">
        <v>4</v>
      </c>
      <c r="B90" s="269" t="s">
        <v>216</v>
      </c>
      <c r="C90" s="270"/>
      <c r="D90" s="20" t="s">
        <v>548</v>
      </c>
      <c r="E90" s="29" t="s">
        <v>549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62">
        <f t="shared" si="18"/>
        <v>100000</v>
      </c>
      <c r="S90" s="62">
        <v>150000</v>
      </c>
      <c r="T90" s="62">
        <f t="shared" si="67"/>
        <v>50000</v>
      </c>
    </row>
    <row r="91" spans="1:20" ht="23.25">
      <c r="A91" s="1"/>
      <c r="B91" s="267" t="s">
        <v>34</v>
      </c>
      <c r="C91" s="267"/>
      <c r="D91" s="3">
        <v>4</v>
      </c>
      <c r="E91" s="33"/>
      <c r="F91" s="93">
        <f>SUM(F87:F90)</f>
        <v>300000</v>
      </c>
      <c r="G91" s="94"/>
      <c r="H91" s="93">
        <f t="shared" ref="H91:Q91" si="68">SUM(H87:H90)</f>
        <v>900000</v>
      </c>
      <c r="I91" s="93">
        <f t="shared" si="68"/>
        <v>22500</v>
      </c>
      <c r="J91" s="93">
        <f t="shared" si="68"/>
        <v>120366.57</v>
      </c>
      <c r="K91" s="93">
        <f t="shared" si="68"/>
        <v>150000</v>
      </c>
      <c r="L91" s="93">
        <f t="shared" si="68"/>
        <v>1050000</v>
      </c>
      <c r="M91" s="93">
        <f t="shared" si="68"/>
        <v>300000</v>
      </c>
      <c r="N91" s="93">
        <f t="shared" si="68"/>
        <v>400000</v>
      </c>
      <c r="O91" s="93">
        <f t="shared" si="68"/>
        <v>30000</v>
      </c>
      <c r="P91" s="93">
        <f t="shared" si="68"/>
        <v>65000</v>
      </c>
      <c r="Q91" s="93">
        <f t="shared" si="68"/>
        <v>0</v>
      </c>
      <c r="R91" s="39">
        <f t="shared" si="18"/>
        <v>400000</v>
      </c>
      <c r="S91" s="93">
        <f t="shared" ref="S91" si="69">SUM(S87:S90)</f>
        <v>600000</v>
      </c>
      <c r="T91" s="39">
        <f t="shared" si="67"/>
        <v>200000</v>
      </c>
    </row>
    <row r="92" spans="1:20" ht="18.75">
      <c r="A92" s="1"/>
      <c r="B92" s="96"/>
      <c r="C92" s="9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2">
        <f t="shared" ref="R92:R155" si="70">N92+Q92</f>
        <v>0</v>
      </c>
      <c r="S92" s="13"/>
      <c r="T92" s="13"/>
    </row>
    <row r="93" spans="1:20" ht="18.75">
      <c r="A93" s="1"/>
      <c r="B93" s="267" t="s">
        <v>222</v>
      </c>
      <c r="C93" s="267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2">
        <f t="shared" si="70"/>
        <v>0</v>
      </c>
      <c r="S93" s="39"/>
      <c r="T93" s="39"/>
    </row>
    <row r="94" spans="1:20" ht="18.75">
      <c r="A94" s="1">
        <v>1</v>
      </c>
      <c r="B94" s="264" t="s">
        <v>223</v>
      </c>
      <c r="C94" s="264"/>
      <c r="D94" s="61" t="s">
        <v>224</v>
      </c>
      <c r="E94" s="66" t="s">
        <v>118</v>
      </c>
      <c r="F94" s="62">
        <f>150000</f>
        <v>150000</v>
      </c>
      <c r="G94" s="62"/>
      <c r="H94" s="62">
        <f t="shared" ref="H94:H103" si="71">F94*300%</f>
        <v>450000</v>
      </c>
      <c r="I94" s="62">
        <f t="shared" ref="I94:I103" si="72">F94*7.5%</f>
        <v>11250</v>
      </c>
      <c r="J94" s="62">
        <f>80244.38</f>
        <v>80244.38</v>
      </c>
      <c r="K94" s="62">
        <f t="shared" ref="K94:K103" si="73">F94*50%</f>
        <v>75000</v>
      </c>
      <c r="L94" s="62">
        <f t="shared" ref="L94:L103" si="74">F94*350%</f>
        <v>525000</v>
      </c>
      <c r="M94" s="62">
        <f t="shared" ref="M94:M103" si="75">F94*100%</f>
        <v>150000</v>
      </c>
      <c r="N94" s="62">
        <f>0</f>
        <v>0</v>
      </c>
      <c r="O94" s="62">
        <f t="shared" ref="O94:O103" si="76">F94*10%</f>
        <v>15000</v>
      </c>
      <c r="P94" s="62">
        <v>20000</v>
      </c>
      <c r="Q94" s="62">
        <v>100000</v>
      </c>
      <c r="R94" s="62">
        <f t="shared" si="70"/>
        <v>100000</v>
      </c>
      <c r="S94" s="62">
        <f>100000</f>
        <v>100000</v>
      </c>
      <c r="T94" s="62">
        <f>0</f>
        <v>0</v>
      </c>
    </row>
    <row r="95" spans="1:20" ht="18.75">
      <c r="A95" s="1">
        <v>2</v>
      </c>
      <c r="B95" s="264" t="s">
        <v>225</v>
      </c>
      <c r="C95" s="264"/>
      <c r="D95" s="61" t="s">
        <v>226</v>
      </c>
      <c r="E95" s="66" t="s">
        <v>46</v>
      </c>
      <c r="F95" s="62">
        <f>100000</f>
        <v>100000</v>
      </c>
      <c r="G95" s="62"/>
      <c r="H95" s="62">
        <f t="shared" si="71"/>
        <v>300000</v>
      </c>
      <c r="I95" s="62">
        <f t="shared" si="72"/>
        <v>7500</v>
      </c>
      <c r="J95" s="62">
        <v>40122.19</v>
      </c>
      <c r="K95" s="62">
        <f t="shared" si="73"/>
        <v>50000</v>
      </c>
      <c r="L95" s="62">
        <f t="shared" si="74"/>
        <v>350000</v>
      </c>
      <c r="M95" s="62">
        <f t="shared" si="75"/>
        <v>100000</v>
      </c>
      <c r="N95" s="62">
        <v>0</v>
      </c>
      <c r="O95" s="62">
        <f t="shared" si="76"/>
        <v>10000</v>
      </c>
      <c r="P95" s="62">
        <v>20000</v>
      </c>
      <c r="Q95" s="62">
        <f>50000</f>
        <v>50000</v>
      </c>
      <c r="R95" s="62">
        <f t="shared" si="70"/>
        <v>50000</v>
      </c>
      <c r="S95" s="62">
        <f t="shared" ref="S95:S103" si="77">100000</f>
        <v>100000</v>
      </c>
      <c r="T95" s="62">
        <f>0</f>
        <v>0</v>
      </c>
    </row>
    <row r="96" spans="1:20" ht="18.75">
      <c r="A96" s="1">
        <v>3</v>
      </c>
      <c r="B96" s="264" t="s">
        <v>228</v>
      </c>
      <c r="C96" s="264"/>
      <c r="D96" s="61" t="s">
        <v>495</v>
      </c>
      <c r="E96" s="66" t="s">
        <v>129</v>
      </c>
      <c r="F96" s="62">
        <f>70000</f>
        <v>70000</v>
      </c>
      <c r="G96" s="62"/>
      <c r="H96" s="62">
        <f t="shared" si="71"/>
        <v>210000</v>
      </c>
      <c r="I96" s="62">
        <f t="shared" si="72"/>
        <v>5250</v>
      </c>
      <c r="J96" s="62">
        <v>40122.19</v>
      </c>
      <c r="K96" s="62">
        <f t="shared" si="73"/>
        <v>35000</v>
      </c>
      <c r="L96" s="36">
        <f t="shared" si="74"/>
        <v>245000</v>
      </c>
      <c r="M96" s="62">
        <f t="shared" si="75"/>
        <v>70000</v>
      </c>
      <c r="N96" s="62">
        <v>0</v>
      </c>
      <c r="O96" s="62">
        <f t="shared" si="76"/>
        <v>7000</v>
      </c>
      <c r="P96" s="62">
        <v>20000</v>
      </c>
      <c r="Q96" s="62">
        <v>0</v>
      </c>
      <c r="R96" s="62">
        <f t="shared" si="70"/>
        <v>0</v>
      </c>
      <c r="S96" s="62">
        <f t="shared" si="77"/>
        <v>100000</v>
      </c>
      <c r="T96" s="62">
        <f>0</f>
        <v>0</v>
      </c>
    </row>
    <row r="97" spans="1:20" ht="18.75">
      <c r="A97" s="1">
        <v>4</v>
      </c>
      <c r="B97" s="264" t="s">
        <v>59</v>
      </c>
      <c r="C97" s="264"/>
      <c r="D97" s="61" t="s">
        <v>550</v>
      </c>
      <c r="E97" s="66" t="s">
        <v>138</v>
      </c>
      <c r="F97" s="62">
        <f>50000</f>
        <v>50000</v>
      </c>
      <c r="G97" s="62"/>
      <c r="H97" s="62">
        <f t="shared" si="71"/>
        <v>150000</v>
      </c>
      <c r="I97" s="62">
        <f t="shared" si="72"/>
        <v>3750</v>
      </c>
      <c r="J97" s="62">
        <v>0</v>
      </c>
      <c r="K97" s="62">
        <f t="shared" si="73"/>
        <v>25000</v>
      </c>
      <c r="L97" s="36">
        <f t="shared" si="74"/>
        <v>175000</v>
      </c>
      <c r="M97" s="62">
        <f t="shared" si="75"/>
        <v>50000</v>
      </c>
      <c r="N97" s="62">
        <v>0</v>
      </c>
      <c r="O97" s="62">
        <f t="shared" si="76"/>
        <v>5000</v>
      </c>
      <c r="P97" s="62">
        <v>15000</v>
      </c>
      <c r="Q97" s="62">
        <v>0</v>
      </c>
      <c r="R97" s="62">
        <f t="shared" si="70"/>
        <v>0</v>
      </c>
      <c r="S97" s="62">
        <f t="shared" si="77"/>
        <v>100000</v>
      </c>
      <c r="T97" s="62">
        <f>0</f>
        <v>0</v>
      </c>
    </row>
    <row r="98" spans="1:20" ht="18.75">
      <c r="A98" s="1">
        <v>5</v>
      </c>
      <c r="B98" s="268" t="s">
        <v>230</v>
      </c>
      <c r="C98" s="268"/>
      <c r="D98" s="33" t="s">
        <v>551</v>
      </c>
      <c r="E98" s="66" t="s">
        <v>138</v>
      </c>
      <c r="F98" s="62">
        <f>50000</f>
        <v>50000</v>
      </c>
      <c r="G98" s="62"/>
      <c r="H98" s="62">
        <f t="shared" si="71"/>
        <v>150000</v>
      </c>
      <c r="I98" s="62">
        <f t="shared" si="72"/>
        <v>3750</v>
      </c>
      <c r="J98" s="62">
        <v>0</v>
      </c>
      <c r="K98" s="62">
        <f t="shared" si="73"/>
        <v>25000</v>
      </c>
      <c r="L98" s="36">
        <f t="shared" si="74"/>
        <v>175000</v>
      </c>
      <c r="M98" s="62">
        <f t="shared" si="75"/>
        <v>50000</v>
      </c>
      <c r="N98" s="62">
        <f>50000</f>
        <v>50000</v>
      </c>
      <c r="O98" s="62">
        <f t="shared" si="76"/>
        <v>5000</v>
      </c>
      <c r="P98" s="62">
        <v>15000</v>
      </c>
      <c r="Q98" s="62">
        <f>100000</f>
        <v>100000</v>
      </c>
      <c r="R98" s="62">
        <f t="shared" si="70"/>
        <v>150000</v>
      </c>
      <c r="S98" s="62">
        <f t="shared" si="77"/>
        <v>100000</v>
      </c>
      <c r="T98" s="62">
        <f>0</f>
        <v>0</v>
      </c>
    </row>
    <row r="99" spans="1:20" ht="18.75">
      <c r="A99" s="1">
        <v>6</v>
      </c>
      <c r="B99" s="313" t="s">
        <v>233</v>
      </c>
      <c r="C99" s="313"/>
      <c r="D99" s="61" t="s">
        <v>498</v>
      </c>
      <c r="E99" s="66" t="s">
        <v>79</v>
      </c>
      <c r="F99" s="62">
        <f>50000</f>
        <v>50000</v>
      </c>
      <c r="G99" s="62">
        <v>0</v>
      </c>
      <c r="H99" s="62">
        <f t="shared" si="71"/>
        <v>150000</v>
      </c>
      <c r="I99" s="62">
        <f t="shared" si="72"/>
        <v>3750</v>
      </c>
      <c r="J99" s="62">
        <v>0</v>
      </c>
      <c r="K99" s="62">
        <f t="shared" si="73"/>
        <v>25000</v>
      </c>
      <c r="L99" s="36">
        <f t="shared" si="74"/>
        <v>175000</v>
      </c>
      <c r="M99" s="62">
        <f t="shared" si="75"/>
        <v>50000</v>
      </c>
      <c r="N99" s="62">
        <v>0</v>
      </c>
      <c r="O99" s="62">
        <f t="shared" si="76"/>
        <v>5000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</row>
    <row r="100" spans="1:20" ht="18.75">
      <c r="A100" s="1">
        <v>7</v>
      </c>
      <c r="B100" s="264" t="s">
        <v>235</v>
      </c>
      <c r="C100" s="264"/>
      <c r="D100" s="61" t="s">
        <v>552</v>
      </c>
      <c r="E100" s="66" t="s">
        <v>82</v>
      </c>
      <c r="F100" s="62">
        <f>30000</f>
        <v>30000</v>
      </c>
      <c r="G100" s="62"/>
      <c r="H100" s="62">
        <f t="shared" si="71"/>
        <v>90000</v>
      </c>
      <c r="I100" s="62">
        <f t="shared" si="72"/>
        <v>2250</v>
      </c>
      <c r="J100" s="62"/>
      <c r="K100" s="62">
        <f t="shared" si="73"/>
        <v>15000</v>
      </c>
      <c r="L100" s="36">
        <f t="shared" si="74"/>
        <v>105000</v>
      </c>
      <c r="M100" s="62">
        <f t="shared" si="75"/>
        <v>30000</v>
      </c>
      <c r="N100" s="62">
        <v>0</v>
      </c>
      <c r="O100" s="62">
        <f t="shared" si="76"/>
        <v>3000</v>
      </c>
      <c r="P100" s="62">
        <v>10000</v>
      </c>
      <c r="Q100" s="62">
        <f>30000</f>
        <v>30000</v>
      </c>
      <c r="R100" s="62">
        <f t="shared" si="70"/>
        <v>30000</v>
      </c>
      <c r="S100" s="62">
        <f t="shared" si="77"/>
        <v>100000</v>
      </c>
      <c r="T100" s="62">
        <f>0</f>
        <v>0</v>
      </c>
    </row>
    <row r="101" spans="1:20" ht="18.75">
      <c r="A101" s="1">
        <v>8</v>
      </c>
      <c r="B101" s="264" t="s">
        <v>237</v>
      </c>
      <c r="C101" s="264"/>
      <c r="D101" s="61" t="s">
        <v>552</v>
      </c>
      <c r="E101" s="66" t="s">
        <v>82</v>
      </c>
      <c r="F101" s="62">
        <f>30000</f>
        <v>30000</v>
      </c>
      <c r="G101" s="62"/>
      <c r="H101" s="62">
        <f t="shared" si="71"/>
        <v>90000</v>
      </c>
      <c r="I101" s="62">
        <f t="shared" si="72"/>
        <v>2250</v>
      </c>
      <c r="J101" s="62"/>
      <c r="K101" s="62">
        <f t="shared" si="73"/>
        <v>15000</v>
      </c>
      <c r="L101" s="36">
        <f t="shared" si="74"/>
        <v>105000</v>
      </c>
      <c r="M101" s="62">
        <f t="shared" si="75"/>
        <v>30000</v>
      </c>
      <c r="N101" s="62">
        <v>0</v>
      </c>
      <c r="O101" s="62">
        <f t="shared" si="76"/>
        <v>3000</v>
      </c>
      <c r="P101" s="62">
        <v>10000</v>
      </c>
      <c r="Q101" s="62"/>
      <c r="R101" s="62">
        <f t="shared" si="70"/>
        <v>0</v>
      </c>
      <c r="S101" s="62">
        <f t="shared" si="77"/>
        <v>100000</v>
      </c>
      <c r="T101" s="62">
        <f>0</f>
        <v>0</v>
      </c>
    </row>
    <row r="102" spans="1:20" ht="18.75">
      <c r="A102" s="1">
        <v>9</v>
      </c>
      <c r="B102" s="264" t="s">
        <v>399</v>
      </c>
      <c r="C102" s="264"/>
      <c r="D102" s="33" t="s">
        <v>258</v>
      </c>
      <c r="E102" s="66" t="s">
        <v>98</v>
      </c>
      <c r="F102" s="62">
        <f>50000</f>
        <v>50000</v>
      </c>
      <c r="G102" s="62"/>
      <c r="H102" s="62">
        <f t="shared" si="71"/>
        <v>150000</v>
      </c>
      <c r="I102" s="62">
        <f t="shared" si="72"/>
        <v>3750</v>
      </c>
      <c r="J102" s="62">
        <v>0</v>
      </c>
      <c r="K102" s="62">
        <f t="shared" si="73"/>
        <v>25000</v>
      </c>
      <c r="L102" s="36">
        <f t="shared" si="74"/>
        <v>175000</v>
      </c>
      <c r="M102" s="62">
        <f t="shared" si="75"/>
        <v>50000</v>
      </c>
      <c r="N102" s="62">
        <v>0</v>
      </c>
      <c r="O102" s="62">
        <f t="shared" si="76"/>
        <v>5000</v>
      </c>
      <c r="P102" s="62">
        <v>15000</v>
      </c>
      <c r="Q102" s="62">
        <v>0</v>
      </c>
      <c r="R102" s="62">
        <f t="shared" si="70"/>
        <v>0</v>
      </c>
      <c r="S102" s="62">
        <f t="shared" si="77"/>
        <v>100000</v>
      </c>
      <c r="T102" s="62">
        <f>0</f>
        <v>0</v>
      </c>
    </row>
    <row r="103" spans="1:20" ht="18.75">
      <c r="A103" s="1">
        <v>10</v>
      </c>
      <c r="B103" s="257" t="s">
        <v>104</v>
      </c>
      <c r="C103" s="258"/>
      <c r="D103" s="61" t="s">
        <v>105</v>
      </c>
      <c r="E103" s="66" t="s">
        <v>455</v>
      </c>
      <c r="F103" s="62">
        <f>30000</f>
        <v>30000</v>
      </c>
      <c r="G103" s="62"/>
      <c r="H103" s="62">
        <f t="shared" si="71"/>
        <v>90000</v>
      </c>
      <c r="I103" s="62">
        <f t="shared" si="72"/>
        <v>2250</v>
      </c>
      <c r="J103" s="62"/>
      <c r="K103" s="62">
        <f t="shared" si="73"/>
        <v>15000</v>
      </c>
      <c r="L103" s="36">
        <f t="shared" si="74"/>
        <v>105000</v>
      </c>
      <c r="M103" s="62">
        <f t="shared" si="75"/>
        <v>30000</v>
      </c>
      <c r="N103" s="62">
        <v>0</v>
      </c>
      <c r="O103" s="62">
        <f t="shared" si="76"/>
        <v>3000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</row>
    <row r="104" spans="1:20" ht="23.25">
      <c r="A104" s="1"/>
      <c r="B104" s="267" t="s">
        <v>34</v>
      </c>
      <c r="C104" s="267"/>
      <c r="D104" s="91" t="s">
        <v>501</v>
      </c>
      <c r="E104" s="66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63">
        <f t="shared" si="78"/>
        <v>2135000</v>
      </c>
      <c r="M104" s="39">
        <f t="shared" si="78"/>
        <v>610000</v>
      </c>
      <c r="N104" s="95">
        <f t="shared" si="78"/>
        <v>50000</v>
      </c>
      <c r="O104" s="95">
        <f t="shared" si="78"/>
        <v>61000</v>
      </c>
      <c r="P104" s="95">
        <f t="shared" si="78"/>
        <v>150000</v>
      </c>
      <c r="Q104" s="95">
        <f t="shared" si="78"/>
        <v>280000</v>
      </c>
      <c r="R104" s="95">
        <f t="shared" si="70"/>
        <v>330000</v>
      </c>
      <c r="S104" s="95">
        <f>SUM(S94:S103)</f>
        <v>1000000</v>
      </c>
      <c r="T104" s="62">
        <f>0</f>
        <v>0</v>
      </c>
    </row>
    <row r="105" spans="1:20" ht="18.75">
      <c r="A105" s="1"/>
      <c r="B105" s="96"/>
      <c r="C105" s="96"/>
      <c r="D105" s="91"/>
      <c r="E105" s="66"/>
      <c r="F105" s="39"/>
      <c r="G105" s="39"/>
      <c r="H105" s="39"/>
      <c r="I105" s="39"/>
      <c r="J105" s="39"/>
      <c r="K105" s="39"/>
      <c r="L105" s="63"/>
      <c r="M105" s="39"/>
      <c r="N105" s="39"/>
      <c r="O105" s="39"/>
      <c r="P105" s="39"/>
      <c r="Q105" s="39"/>
      <c r="R105" s="62">
        <f t="shared" si="70"/>
        <v>0</v>
      </c>
      <c r="S105" s="39"/>
      <c r="T105" s="62"/>
    </row>
    <row r="106" spans="1:20" ht="18.75">
      <c r="A106" s="1"/>
      <c r="B106" s="267" t="s">
        <v>242</v>
      </c>
      <c r="C106" s="267"/>
      <c r="D106" s="61"/>
      <c r="E106" s="66"/>
      <c r="F106" s="62"/>
      <c r="G106" s="62"/>
      <c r="H106" s="62"/>
      <c r="I106" s="62"/>
      <c r="J106" s="62"/>
      <c r="K106" s="62"/>
      <c r="L106" s="36"/>
      <c r="M106" s="62"/>
      <c r="N106" s="62"/>
      <c r="O106" s="62"/>
      <c r="P106" s="62"/>
      <c r="Q106" s="62"/>
      <c r="R106" s="62">
        <f t="shared" si="70"/>
        <v>0</v>
      </c>
      <c r="S106" s="62"/>
      <c r="T106" s="62"/>
    </row>
    <row r="107" spans="1:20" ht="18.75">
      <c r="A107" s="1">
        <v>1</v>
      </c>
      <c r="B107" s="264" t="s">
        <v>243</v>
      </c>
      <c r="C107" s="264"/>
      <c r="D107" s="61" t="s">
        <v>502</v>
      </c>
      <c r="E107" s="66" t="s">
        <v>43</v>
      </c>
      <c r="F107" s="62">
        <f>150000</f>
        <v>150000</v>
      </c>
      <c r="G107" s="62">
        <v>0</v>
      </c>
      <c r="H107" s="62">
        <f>F107*300%</f>
        <v>450000</v>
      </c>
      <c r="I107" s="62">
        <f>F107*7.5%</f>
        <v>11250</v>
      </c>
      <c r="J107" s="62">
        <v>80244.38</v>
      </c>
      <c r="K107" s="62">
        <f>F107*50%</f>
        <v>75000</v>
      </c>
      <c r="L107" s="62">
        <f>F107*350%</f>
        <v>525000</v>
      </c>
      <c r="M107" s="62">
        <f>F107*100%</f>
        <v>150000</v>
      </c>
      <c r="N107" s="62">
        <v>0</v>
      </c>
      <c r="O107" s="62">
        <f>F107*10%</f>
        <v>15000</v>
      </c>
      <c r="P107" s="62">
        <v>20000</v>
      </c>
      <c r="Q107" s="62">
        <v>0</v>
      </c>
      <c r="R107" s="62">
        <f t="shared" si="70"/>
        <v>0</v>
      </c>
      <c r="S107" s="62">
        <f>100000</f>
        <v>100000</v>
      </c>
      <c r="T107" s="62">
        <f>0</f>
        <v>0</v>
      </c>
    </row>
    <row r="108" spans="1:20" ht="18.75">
      <c r="A108" s="1">
        <v>2</v>
      </c>
      <c r="B108" s="264" t="s">
        <v>245</v>
      </c>
      <c r="C108" s="264"/>
      <c r="D108" s="61" t="s">
        <v>503</v>
      </c>
      <c r="E108" s="66" t="s">
        <v>118</v>
      </c>
      <c r="F108" s="62">
        <f>150000</f>
        <v>150000</v>
      </c>
      <c r="G108" s="62"/>
      <c r="H108" s="62">
        <f>F108*300%</f>
        <v>450000</v>
      </c>
      <c r="I108" s="62">
        <f>F108*7.5%</f>
        <v>11250</v>
      </c>
      <c r="J108" s="62">
        <f>80244.38</f>
        <v>80244.38</v>
      </c>
      <c r="K108" s="62">
        <f>F108*50%</f>
        <v>75000</v>
      </c>
      <c r="L108" s="62">
        <f>F108*350%</f>
        <v>525000</v>
      </c>
      <c r="M108" s="62">
        <f>F108*100%</f>
        <v>150000</v>
      </c>
      <c r="N108" s="62">
        <v>0</v>
      </c>
      <c r="O108" s="62">
        <f>F108*10%</f>
        <v>15000</v>
      </c>
      <c r="P108" s="62">
        <v>20000</v>
      </c>
      <c r="Q108" s="62">
        <v>0</v>
      </c>
      <c r="R108" s="62">
        <f t="shared" si="70"/>
        <v>0</v>
      </c>
      <c r="S108" s="62">
        <f t="shared" ref="S108:S128" si="79">100000</f>
        <v>100000</v>
      </c>
      <c r="T108" s="62">
        <f>0</f>
        <v>0</v>
      </c>
    </row>
    <row r="109" spans="1:20" ht="18.75">
      <c r="A109" s="1">
        <v>3</v>
      </c>
      <c r="B109" s="313" t="s">
        <v>247</v>
      </c>
      <c r="C109" s="313"/>
      <c r="D109" s="61" t="s">
        <v>504</v>
      </c>
      <c r="E109" s="66" t="s">
        <v>46</v>
      </c>
      <c r="F109" s="62">
        <f>100000</f>
        <v>100000</v>
      </c>
      <c r="G109" s="62"/>
      <c r="H109" s="62">
        <f t="shared" ref="H109:H155" si="80">F109*300%</f>
        <v>300000</v>
      </c>
      <c r="I109" s="62">
        <f t="shared" ref="I109:I155" si="81">F109*7.5%</f>
        <v>7500</v>
      </c>
      <c r="J109" s="62">
        <v>40122.19</v>
      </c>
      <c r="K109" s="62">
        <f t="shared" ref="K109:K155" si="82">F109*50%</f>
        <v>50000</v>
      </c>
      <c r="L109" s="62">
        <f t="shared" ref="L109:L155" si="83">F109*350%</f>
        <v>350000</v>
      </c>
      <c r="M109" s="62">
        <f t="shared" ref="M109:M138" si="84">F109*100%</f>
        <v>100000</v>
      </c>
      <c r="N109" s="62">
        <v>0</v>
      </c>
      <c r="O109" s="62">
        <f t="shared" ref="O109:O155" si="85">F109*10%</f>
        <v>10000</v>
      </c>
      <c r="P109" s="62">
        <v>20000</v>
      </c>
      <c r="Q109" s="62">
        <v>0</v>
      </c>
      <c r="R109" s="62">
        <f t="shared" si="70"/>
        <v>0</v>
      </c>
      <c r="S109" s="62">
        <f t="shared" si="79"/>
        <v>100000</v>
      </c>
      <c r="T109" s="62">
        <f>0</f>
        <v>0</v>
      </c>
    </row>
    <row r="110" spans="1:20" ht="18.75">
      <c r="A110" s="1">
        <v>4</v>
      </c>
      <c r="B110" s="265" t="s">
        <v>249</v>
      </c>
      <c r="C110" s="266"/>
      <c r="D110" s="20" t="s">
        <v>505</v>
      </c>
      <c r="E110" s="25" t="s">
        <v>54</v>
      </c>
      <c r="F110" s="62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72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62">
        <f t="shared" si="70"/>
        <v>150000</v>
      </c>
      <c r="S110" s="62">
        <f t="shared" si="79"/>
        <v>100000</v>
      </c>
      <c r="T110" s="62">
        <f>0</f>
        <v>0</v>
      </c>
    </row>
    <row r="111" spans="1:20" ht="18.75">
      <c r="A111" s="1">
        <v>5</v>
      </c>
      <c r="B111" s="271" t="s">
        <v>157</v>
      </c>
      <c r="C111" s="272"/>
      <c r="D111" s="33" t="s">
        <v>518</v>
      </c>
      <c r="E111" s="66" t="s">
        <v>98</v>
      </c>
      <c r="F111" s="62">
        <f>50000</f>
        <v>50000</v>
      </c>
      <c r="G111" s="62"/>
      <c r="H111" s="62">
        <f t="shared" si="80"/>
        <v>150000</v>
      </c>
      <c r="I111" s="62">
        <f t="shared" si="81"/>
        <v>3750</v>
      </c>
      <c r="J111" s="62"/>
      <c r="K111" s="62">
        <f t="shared" si="82"/>
        <v>25000</v>
      </c>
      <c r="L111" s="36">
        <f t="shared" si="83"/>
        <v>175000</v>
      </c>
      <c r="M111" s="62">
        <f t="shared" si="84"/>
        <v>50000</v>
      </c>
      <c r="N111" s="62">
        <v>0</v>
      </c>
      <c r="O111" s="62">
        <f t="shared" si="85"/>
        <v>5000</v>
      </c>
      <c r="P111" s="62">
        <v>15000</v>
      </c>
      <c r="Q111" s="62"/>
      <c r="R111" s="62">
        <f t="shared" si="70"/>
        <v>0</v>
      </c>
      <c r="S111" s="62">
        <f t="shared" si="79"/>
        <v>100000</v>
      </c>
      <c r="T111" s="62">
        <f>0</f>
        <v>0</v>
      </c>
    </row>
    <row r="112" spans="1:20" ht="18.75">
      <c r="A112" s="1">
        <v>6</v>
      </c>
      <c r="B112" s="257" t="s">
        <v>259</v>
      </c>
      <c r="C112" s="258"/>
      <c r="D112" s="61" t="s">
        <v>447</v>
      </c>
      <c r="E112" s="66" t="s">
        <v>82</v>
      </c>
      <c r="F112" s="62">
        <f>30000</f>
        <v>30000</v>
      </c>
      <c r="G112" s="62"/>
      <c r="H112" s="62">
        <f t="shared" si="80"/>
        <v>90000</v>
      </c>
      <c r="I112" s="62">
        <f t="shared" si="81"/>
        <v>2250</v>
      </c>
      <c r="J112" s="62">
        <v>0</v>
      </c>
      <c r="K112" s="62">
        <f t="shared" si="82"/>
        <v>15000</v>
      </c>
      <c r="L112" s="36">
        <f t="shared" si="83"/>
        <v>105000</v>
      </c>
      <c r="M112" s="62">
        <f t="shared" si="84"/>
        <v>30000</v>
      </c>
      <c r="N112" s="62">
        <v>0</v>
      </c>
      <c r="O112" s="62">
        <f t="shared" si="85"/>
        <v>3000</v>
      </c>
      <c r="P112" s="62">
        <v>10000</v>
      </c>
      <c r="Q112" s="62">
        <v>0</v>
      </c>
      <c r="R112" s="62">
        <f t="shared" si="70"/>
        <v>0</v>
      </c>
      <c r="S112" s="62">
        <f t="shared" si="79"/>
        <v>100000</v>
      </c>
      <c r="T112" s="62">
        <f>0</f>
        <v>0</v>
      </c>
    </row>
    <row r="113" spans="1:20" ht="18.75">
      <c r="A113" s="1">
        <v>7</v>
      </c>
      <c r="B113" s="264" t="s">
        <v>253</v>
      </c>
      <c r="C113" s="264"/>
      <c r="D113" s="61" t="s">
        <v>446</v>
      </c>
      <c r="E113" s="66" t="s">
        <v>98</v>
      </c>
      <c r="F113" s="62">
        <f>50000</f>
        <v>50000</v>
      </c>
      <c r="G113" s="62"/>
      <c r="H113" s="62">
        <f t="shared" si="80"/>
        <v>150000</v>
      </c>
      <c r="I113" s="62">
        <f t="shared" si="81"/>
        <v>3750</v>
      </c>
      <c r="J113" s="62">
        <v>0</v>
      </c>
      <c r="K113" s="62">
        <f t="shared" si="82"/>
        <v>25000</v>
      </c>
      <c r="L113" s="36">
        <f t="shared" si="83"/>
        <v>175000</v>
      </c>
      <c r="M113" s="62">
        <f t="shared" si="84"/>
        <v>50000</v>
      </c>
      <c r="N113" s="62">
        <f t="shared" si="63"/>
        <v>100000</v>
      </c>
      <c r="O113" s="62">
        <f t="shared" si="85"/>
        <v>5000</v>
      </c>
      <c r="P113" s="62">
        <v>15000</v>
      </c>
      <c r="Q113" s="62"/>
      <c r="R113" s="62">
        <f t="shared" si="70"/>
        <v>100000</v>
      </c>
      <c r="S113" s="62">
        <f t="shared" si="79"/>
        <v>100000</v>
      </c>
      <c r="T113" s="62">
        <f>0</f>
        <v>0</v>
      </c>
    </row>
    <row r="114" spans="1:20" ht="18.75">
      <c r="A114" s="1">
        <v>8</v>
      </c>
      <c r="B114" s="264" t="s">
        <v>255</v>
      </c>
      <c r="C114" s="264"/>
      <c r="D114" s="33" t="s">
        <v>258</v>
      </c>
      <c r="E114" s="66" t="s">
        <v>98</v>
      </c>
      <c r="F114" s="62">
        <f>50000</f>
        <v>50000</v>
      </c>
      <c r="G114" s="62"/>
      <c r="H114" s="62">
        <f t="shared" si="80"/>
        <v>150000</v>
      </c>
      <c r="I114" s="62">
        <f t="shared" si="81"/>
        <v>3750</v>
      </c>
      <c r="J114" s="62">
        <v>0</v>
      </c>
      <c r="K114" s="62">
        <f t="shared" si="82"/>
        <v>25000</v>
      </c>
      <c r="L114" s="36">
        <f t="shared" si="83"/>
        <v>175000</v>
      </c>
      <c r="M114" s="62">
        <f t="shared" si="84"/>
        <v>50000</v>
      </c>
      <c r="N114" s="62">
        <v>0</v>
      </c>
      <c r="O114" s="62">
        <f t="shared" si="85"/>
        <v>5000</v>
      </c>
      <c r="P114" s="62">
        <v>15000</v>
      </c>
      <c r="Q114" s="62">
        <v>0</v>
      </c>
      <c r="R114" s="62">
        <f t="shared" si="70"/>
        <v>0</v>
      </c>
      <c r="S114" s="62">
        <f t="shared" si="79"/>
        <v>100000</v>
      </c>
      <c r="T114" s="62">
        <f>0</f>
        <v>0</v>
      </c>
    </row>
    <row r="115" spans="1:20" ht="18.75">
      <c r="A115" s="1">
        <v>9</v>
      </c>
      <c r="B115" s="264" t="s">
        <v>257</v>
      </c>
      <c r="C115" s="264"/>
      <c r="D115" s="33" t="s">
        <v>264</v>
      </c>
      <c r="E115" s="66" t="s">
        <v>82</v>
      </c>
      <c r="F115" s="62">
        <f>30000</f>
        <v>30000</v>
      </c>
      <c r="G115" s="62"/>
      <c r="H115" s="62">
        <f t="shared" si="80"/>
        <v>90000</v>
      </c>
      <c r="I115" s="62">
        <f t="shared" si="81"/>
        <v>2250</v>
      </c>
      <c r="J115" s="36">
        <v>0</v>
      </c>
      <c r="K115" s="62">
        <f t="shared" si="82"/>
        <v>15000</v>
      </c>
      <c r="L115" s="36">
        <f t="shared" si="83"/>
        <v>105000</v>
      </c>
      <c r="M115" s="62">
        <f t="shared" si="84"/>
        <v>30000</v>
      </c>
      <c r="N115" s="62">
        <v>0</v>
      </c>
      <c r="O115" s="62">
        <f t="shared" si="85"/>
        <v>3000</v>
      </c>
      <c r="P115" s="62">
        <v>10000</v>
      </c>
      <c r="Q115" s="62">
        <v>0</v>
      </c>
      <c r="R115" s="62">
        <f t="shared" si="70"/>
        <v>0</v>
      </c>
      <c r="S115" s="62">
        <f t="shared" si="79"/>
        <v>100000</v>
      </c>
      <c r="T115" s="62">
        <f>0</f>
        <v>0</v>
      </c>
    </row>
    <row r="116" spans="1:20" ht="18.75">
      <c r="A116" s="1">
        <v>10</v>
      </c>
      <c r="B116" s="264" t="s">
        <v>261</v>
      </c>
      <c r="C116" s="264"/>
      <c r="D116" s="33" t="s">
        <v>447</v>
      </c>
      <c r="E116" s="66" t="s">
        <v>103</v>
      </c>
      <c r="F116" s="62">
        <f>30000</f>
        <v>30000</v>
      </c>
      <c r="G116" s="62"/>
      <c r="H116" s="62">
        <f>F116*300%</f>
        <v>90000</v>
      </c>
      <c r="I116" s="62">
        <f>F116*7.5%</f>
        <v>2250</v>
      </c>
      <c r="J116" s="62">
        <v>0</v>
      </c>
      <c r="K116" s="62">
        <f>F116*50%</f>
        <v>15000</v>
      </c>
      <c r="L116" s="36">
        <f>F116*350%</f>
        <v>105000</v>
      </c>
      <c r="M116" s="26">
        <f t="shared" si="84"/>
        <v>30000</v>
      </c>
      <c r="N116" s="62">
        <v>0</v>
      </c>
      <c r="O116" s="62">
        <f t="shared" si="85"/>
        <v>3000</v>
      </c>
      <c r="P116" s="62">
        <v>10000</v>
      </c>
      <c r="Q116" s="62">
        <v>0</v>
      </c>
      <c r="R116" s="62">
        <f t="shared" si="70"/>
        <v>0</v>
      </c>
      <c r="S116" s="62">
        <f t="shared" si="79"/>
        <v>100000</v>
      </c>
      <c r="T116" s="62">
        <f>0</f>
        <v>0</v>
      </c>
    </row>
    <row r="117" spans="1:20" ht="18.75">
      <c r="A117" s="1">
        <v>11</v>
      </c>
      <c r="B117" s="257" t="s">
        <v>263</v>
      </c>
      <c r="C117" s="258"/>
      <c r="D117" s="33" t="s">
        <v>264</v>
      </c>
      <c r="E117" s="66" t="s">
        <v>95</v>
      </c>
      <c r="F117" s="62">
        <f>30000</f>
        <v>30000</v>
      </c>
      <c r="G117" s="62"/>
      <c r="H117" s="62">
        <f>F117*300%</f>
        <v>90000</v>
      </c>
      <c r="I117" s="62">
        <f>F117*7.5%</f>
        <v>2250</v>
      </c>
      <c r="J117" s="62"/>
      <c r="K117" s="62">
        <f>F117*50%</f>
        <v>15000</v>
      </c>
      <c r="L117" s="36">
        <f>F117*350%</f>
        <v>105000</v>
      </c>
      <c r="M117" s="26">
        <f t="shared" si="84"/>
        <v>30000</v>
      </c>
      <c r="N117" s="62">
        <v>0</v>
      </c>
      <c r="O117" s="62">
        <f t="shared" si="85"/>
        <v>3000</v>
      </c>
      <c r="P117" s="62">
        <v>10000</v>
      </c>
      <c r="Q117" s="62"/>
      <c r="R117" s="62">
        <f t="shared" si="70"/>
        <v>0</v>
      </c>
      <c r="S117" s="62">
        <f t="shared" si="79"/>
        <v>100000</v>
      </c>
      <c r="T117" s="62">
        <f>0</f>
        <v>0</v>
      </c>
    </row>
    <row r="118" spans="1:20" ht="18.75">
      <c r="A118" s="1">
        <v>12</v>
      </c>
      <c r="B118" s="257" t="s">
        <v>265</v>
      </c>
      <c r="C118" s="258"/>
      <c r="D118" s="61" t="s">
        <v>554</v>
      </c>
      <c r="E118" s="66" t="s">
        <v>106</v>
      </c>
      <c r="F118" s="62">
        <f>30000</f>
        <v>30000</v>
      </c>
      <c r="G118" s="62"/>
      <c r="H118" s="62">
        <f t="shared" si="80"/>
        <v>90000</v>
      </c>
      <c r="I118" s="62">
        <f t="shared" si="81"/>
        <v>2250</v>
      </c>
      <c r="J118" s="62"/>
      <c r="K118" s="62">
        <f t="shared" si="82"/>
        <v>15000</v>
      </c>
      <c r="L118" s="36">
        <f t="shared" si="83"/>
        <v>105000</v>
      </c>
      <c r="M118" s="62">
        <f t="shared" si="84"/>
        <v>30000</v>
      </c>
      <c r="N118" s="62">
        <v>0</v>
      </c>
      <c r="O118" s="62">
        <f t="shared" si="85"/>
        <v>3000</v>
      </c>
      <c r="P118" s="62">
        <v>10000</v>
      </c>
      <c r="Q118" s="62"/>
      <c r="R118" s="62">
        <f t="shared" si="70"/>
        <v>0</v>
      </c>
      <c r="S118" s="62">
        <f t="shared" si="79"/>
        <v>100000</v>
      </c>
      <c r="T118" s="62">
        <f>0</f>
        <v>0</v>
      </c>
    </row>
    <row r="119" spans="1:20" ht="18.75">
      <c r="A119" s="1">
        <v>13</v>
      </c>
      <c r="B119" s="257" t="s">
        <v>269</v>
      </c>
      <c r="C119" s="258"/>
      <c r="D119" s="61" t="s">
        <v>268</v>
      </c>
      <c r="E119" s="66" t="s">
        <v>111</v>
      </c>
      <c r="F119" s="62">
        <f>30000</f>
        <v>30000</v>
      </c>
      <c r="G119" s="62"/>
      <c r="H119" s="62">
        <f t="shared" si="80"/>
        <v>90000</v>
      </c>
      <c r="I119" s="62">
        <f t="shared" si="81"/>
        <v>2250</v>
      </c>
      <c r="J119" s="62"/>
      <c r="K119" s="62">
        <f t="shared" si="82"/>
        <v>15000</v>
      </c>
      <c r="L119" s="36">
        <f t="shared" si="83"/>
        <v>105000</v>
      </c>
      <c r="M119" s="62">
        <f t="shared" si="84"/>
        <v>30000</v>
      </c>
      <c r="N119" s="62">
        <v>0</v>
      </c>
      <c r="O119" s="62">
        <f t="shared" si="85"/>
        <v>3000</v>
      </c>
      <c r="P119" s="62">
        <v>10000</v>
      </c>
      <c r="Q119" s="62"/>
      <c r="R119" s="62">
        <f t="shared" si="70"/>
        <v>0</v>
      </c>
      <c r="S119" s="62">
        <f t="shared" si="79"/>
        <v>100000</v>
      </c>
      <c r="T119" s="62">
        <f>0</f>
        <v>0</v>
      </c>
    </row>
    <row r="120" spans="1:20" ht="18.75">
      <c r="A120" s="1">
        <v>14</v>
      </c>
      <c r="B120" s="257" t="s">
        <v>270</v>
      </c>
      <c r="C120" s="258"/>
      <c r="D120" s="61" t="s">
        <v>268</v>
      </c>
      <c r="E120" s="66" t="s">
        <v>111</v>
      </c>
      <c r="F120" s="62">
        <f>30000</f>
        <v>30000</v>
      </c>
      <c r="G120" s="62"/>
      <c r="H120" s="62">
        <f t="shared" si="80"/>
        <v>90000</v>
      </c>
      <c r="I120" s="62">
        <f t="shared" si="81"/>
        <v>2250</v>
      </c>
      <c r="J120" s="62"/>
      <c r="K120" s="62">
        <f t="shared" si="82"/>
        <v>15000</v>
      </c>
      <c r="L120" s="36">
        <f t="shared" si="83"/>
        <v>105000</v>
      </c>
      <c r="M120" s="62">
        <f t="shared" si="84"/>
        <v>30000</v>
      </c>
      <c r="N120" s="62">
        <v>0</v>
      </c>
      <c r="O120" s="62">
        <f t="shared" si="85"/>
        <v>3000</v>
      </c>
      <c r="P120" s="62">
        <v>10000</v>
      </c>
      <c r="Q120" s="62"/>
      <c r="R120" s="62">
        <f t="shared" si="70"/>
        <v>0</v>
      </c>
      <c r="S120" s="62">
        <f t="shared" si="79"/>
        <v>100000</v>
      </c>
      <c r="T120" s="62">
        <f>0</f>
        <v>0</v>
      </c>
    </row>
    <row r="121" spans="1:20" ht="18.75">
      <c r="A121" s="1">
        <v>15</v>
      </c>
      <c r="B121" s="257" t="s">
        <v>271</v>
      </c>
      <c r="C121" s="258"/>
      <c r="D121" s="61" t="s">
        <v>268</v>
      </c>
      <c r="E121" s="66" t="s">
        <v>111</v>
      </c>
      <c r="F121" s="62">
        <f>30000</f>
        <v>30000</v>
      </c>
      <c r="G121" s="62"/>
      <c r="H121" s="62">
        <f t="shared" si="80"/>
        <v>90000</v>
      </c>
      <c r="I121" s="62">
        <f t="shared" si="81"/>
        <v>2250</v>
      </c>
      <c r="J121" s="62"/>
      <c r="K121" s="62">
        <f t="shared" si="82"/>
        <v>15000</v>
      </c>
      <c r="L121" s="36">
        <f t="shared" si="83"/>
        <v>105000</v>
      </c>
      <c r="M121" s="62">
        <f t="shared" si="84"/>
        <v>30000</v>
      </c>
      <c r="N121" s="62">
        <v>0</v>
      </c>
      <c r="O121" s="62">
        <f t="shared" si="85"/>
        <v>3000</v>
      </c>
      <c r="P121" s="62">
        <v>10000</v>
      </c>
      <c r="Q121" s="62"/>
      <c r="R121" s="62">
        <f t="shared" si="70"/>
        <v>0</v>
      </c>
      <c r="S121" s="62">
        <f t="shared" si="79"/>
        <v>100000</v>
      </c>
      <c r="T121" s="62">
        <f>0</f>
        <v>0</v>
      </c>
    </row>
    <row r="122" spans="1:20" ht="18.75">
      <c r="A122" s="1">
        <v>16</v>
      </c>
      <c r="B122" s="257" t="s">
        <v>274</v>
      </c>
      <c r="C122" s="258"/>
      <c r="D122" s="61" t="s">
        <v>268</v>
      </c>
      <c r="E122" s="66" t="s">
        <v>455</v>
      </c>
      <c r="F122" s="62">
        <f>30000</f>
        <v>30000</v>
      </c>
      <c r="G122" s="62"/>
      <c r="H122" s="62">
        <f t="shared" si="80"/>
        <v>90000</v>
      </c>
      <c r="I122" s="62">
        <f t="shared" si="81"/>
        <v>2250</v>
      </c>
      <c r="J122" s="62"/>
      <c r="K122" s="62">
        <f t="shared" si="82"/>
        <v>15000</v>
      </c>
      <c r="L122" s="36">
        <f t="shared" si="83"/>
        <v>105000</v>
      </c>
      <c r="M122" s="62">
        <f t="shared" si="84"/>
        <v>30000</v>
      </c>
      <c r="N122" s="62">
        <v>0</v>
      </c>
      <c r="O122" s="62">
        <f t="shared" si="85"/>
        <v>3000</v>
      </c>
      <c r="P122" s="62">
        <v>10000</v>
      </c>
      <c r="Q122" s="62"/>
      <c r="R122" s="62">
        <f t="shared" si="70"/>
        <v>0</v>
      </c>
      <c r="S122" s="62">
        <f t="shared" si="79"/>
        <v>100000</v>
      </c>
      <c r="T122" s="62">
        <f>0</f>
        <v>0</v>
      </c>
    </row>
    <row r="123" spans="1:20" ht="18.75">
      <c r="A123" s="1">
        <v>17</v>
      </c>
      <c r="B123" s="257" t="s">
        <v>275</v>
      </c>
      <c r="C123" s="258"/>
      <c r="D123" s="61" t="s">
        <v>276</v>
      </c>
      <c r="E123" s="66" t="s">
        <v>455</v>
      </c>
      <c r="F123" s="62">
        <f>30000</f>
        <v>30000</v>
      </c>
      <c r="G123" s="62"/>
      <c r="H123" s="62">
        <f t="shared" si="80"/>
        <v>90000</v>
      </c>
      <c r="I123" s="62">
        <f t="shared" si="81"/>
        <v>2250</v>
      </c>
      <c r="J123" s="62"/>
      <c r="K123" s="62">
        <f t="shared" si="82"/>
        <v>15000</v>
      </c>
      <c r="L123" s="36">
        <f t="shared" si="83"/>
        <v>105000</v>
      </c>
      <c r="M123" s="62">
        <f t="shared" si="84"/>
        <v>30000</v>
      </c>
      <c r="N123" s="62">
        <v>0</v>
      </c>
      <c r="O123" s="62">
        <f t="shared" si="85"/>
        <v>3000</v>
      </c>
      <c r="P123" s="62">
        <v>10000</v>
      </c>
      <c r="Q123" s="62"/>
      <c r="R123" s="62">
        <f t="shared" si="70"/>
        <v>0</v>
      </c>
      <c r="S123" s="62">
        <f t="shared" si="79"/>
        <v>100000</v>
      </c>
      <c r="T123" s="62">
        <f>0</f>
        <v>0</v>
      </c>
    </row>
    <row r="124" spans="1:20" ht="18.75">
      <c r="A124" s="1">
        <v>18</v>
      </c>
      <c r="B124" s="257" t="s">
        <v>217</v>
      </c>
      <c r="C124" s="258"/>
      <c r="D124" s="61" t="s">
        <v>494</v>
      </c>
      <c r="E124" s="66" t="s">
        <v>455</v>
      </c>
      <c r="F124" s="62">
        <f>30000</f>
        <v>30000</v>
      </c>
      <c r="G124" s="62"/>
      <c r="H124" s="62">
        <f t="shared" si="80"/>
        <v>90000</v>
      </c>
      <c r="I124" s="62">
        <f t="shared" si="81"/>
        <v>2250</v>
      </c>
      <c r="J124" s="62"/>
      <c r="K124" s="62">
        <f t="shared" si="82"/>
        <v>15000</v>
      </c>
      <c r="L124" s="36">
        <f t="shared" si="83"/>
        <v>105000</v>
      </c>
      <c r="M124" s="62">
        <f t="shared" si="84"/>
        <v>30000</v>
      </c>
      <c r="N124" s="62">
        <v>0</v>
      </c>
      <c r="O124" s="62">
        <f t="shared" si="85"/>
        <v>3000</v>
      </c>
      <c r="P124" s="62">
        <v>10000</v>
      </c>
      <c r="Q124" s="62"/>
      <c r="R124" s="62">
        <f t="shared" si="70"/>
        <v>0</v>
      </c>
      <c r="S124" s="62">
        <f t="shared" si="79"/>
        <v>100000</v>
      </c>
      <c r="T124" s="62">
        <f>0</f>
        <v>0</v>
      </c>
    </row>
    <row r="125" spans="1:20" ht="18.75">
      <c r="A125" s="1">
        <v>19</v>
      </c>
      <c r="B125" s="257" t="s">
        <v>278</v>
      </c>
      <c r="C125" s="258"/>
      <c r="D125" s="61" t="s">
        <v>494</v>
      </c>
      <c r="E125" s="66" t="s">
        <v>455</v>
      </c>
      <c r="F125" s="62">
        <f>30000</f>
        <v>30000</v>
      </c>
      <c r="G125" s="62"/>
      <c r="H125" s="62">
        <f t="shared" si="80"/>
        <v>90000</v>
      </c>
      <c r="I125" s="62">
        <f t="shared" si="81"/>
        <v>2250</v>
      </c>
      <c r="J125" s="62"/>
      <c r="K125" s="62">
        <f t="shared" si="82"/>
        <v>15000</v>
      </c>
      <c r="L125" s="36">
        <f t="shared" si="83"/>
        <v>105000</v>
      </c>
      <c r="M125" s="62">
        <f t="shared" si="84"/>
        <v>30000</v>
      </c>
      <c r="N125" s="62">
        <v>0</v>
      </c>
      <c r="O125" s="62">
        <f t="shared" si="85"/>
        <v>3000</v>
      </c>
      <c r="P125" s="62">
        <v>10000</v>
      </c>
      <c r="Q125" s="62"/>
      <c r="R125" s="62">
        <f t="shared" si="70"/>
        <v>0</v>
      </c>
      <c r="S125" s="62">
        <f t="shared" si="79"/>
        <v>100000</v>
      </c>
      <c r="T125" s="62">
        <f>0</f>
        <v>0</v>
      </c>
    </row>
    <row r="126" spans="1:20" ht="18.75">
      <c r="A126" s="1">
        <v>20</v>
      </c>
      <c r="B126" s="257" t="s">
        <v>277</v>
      </c>
      <c r="C126" s="258"/>
      <c r="D126" s="61" t="s">
        <v>268</v>
      </c>
      <c r="E126" s="66" t="s">
        <v>455</v>
      </c>
      <c r="F126" s="62">
        <f>30000</f>
        <v>30000</v>
      </c>
      <c r="G126" s="62"/>
      <c r="H126" s="62">
        <f t="shared" si="80"/>
        <v>90000</v>
      </c>
      <c r="I126" s="62">
        <f t="shared" si="81"/>
        <v>2250</v>
      </c>
      <c r="J126" s="62"/>
      <c r="K126" s="62">
        <f t="shared" si="82"/>
        <v>15000</v>
      </c>
      <c r="L126" s="36">
        <f t="shared" si="83"/>
        <v>105000</v>
      </c>
      <c r="M126" s="62">
        <f t="shared" si="84"/>
        <v>30000</v>
      </c>
      <c r="N126" s="62">
        <v>0</v>
      </c>
      <c r="O126" s="62">
        <f t="shared" si="85"/>
        <v>3000</v>
      </c>
      <c r="P126" s="62">
        <v>10000</v>
      </c>
      <c r="Q126" s="62"/>
      <c r="R126" s="62">
        <f t="shared" si="70"/>
        <v>0</v>
      </c>
      <c r="S126" s="62">
        <f t="shared" si="79"/>
        <v>100000</v>
      </c>
      <c r="T126" s="62">
        <f>0</f>
        <v>0</v>
      </c>
    </row>
    <row r="127" spans="1:20" ht="18.75">
      <c r="A127" s="1">
        <v>21</v>
      </c>
      <c r="B127" s="257" t="s">
        <v>262</v>
      </c>
      <c r="C127" s="258"/>
      <c r="D127" s="61" t="s">
        <v>448</v>
      </c>
      <c r="E127" s="66" t="s">
        <v>82</v>
      </c>
      <c r="F127" s="62">
        <f>30000</f>
        <v>30000</v>
      </c>
      <c r="G127" s="62"/>
      <c r="H127" s="62">
        <f t="shared" si="80"/>
        <v>90000</v>
      </c>
      <c r="I127" s="62">
        <f t="shared" si="81"/>
        <v>2250</v>
      </c>
      <c r="J127" s="36"/>
      <c r="K127" s="62">
        <f t="shared" si="82"/>
        <v>15000</v>
      </c>
      <c r="L127" s="36">
        <f t="shared" si="83"/>
        <v>105000</v>
      </c>
      <c r="M127" s="62">
        <f t="shared" si="84"/>
        <v>30000</v>
      </c>
      <c r="N127" s="62">
        <v>0</v>
      </c>
      <c r="O127" s="62">
        <f t="shared" si="85"/>
        <v>3000</v>
      </c>
      <c r="P127" s="62">
        <v>10000</v>
      </c>
      <c r="Q127" s="62"/>
      <c r="R127" s="62">
        <f t="shared" si="70"/>
        <v>0</v>
      </c>
      <c r="S127" s="62">
        <f t="shared" si="79"/>
        <v>100000</v>
      </c>
      <c r="T127" s="62">
        <f>0</f>
        <v>0</v>
      </c>
    </row>
    <row r="128" spans="1:20" ht="18.75">
      <c r="A128" s="1">
        <v>22</v>
      </c>
      <c r="B128" s="257" t="s">
        <v>267</v>
      </c>
      <c r="C128" s="258"/>
      <c r="D128" s="61" t="s">
        <v>268</v>
      </c>
      <c r="E128" s="66" t="s">
        <v>95</v>
      </c>
      <c r="F128" s="62">
        <f>30000</f>
        <v>30000</v>
      </c>
      <c r="G128" s="62"/>
      <c r="H128" s="62">
        <f t="shared" si="80"/>
        <v>90000</v>
      </c>
      <c r="I128" s="62">
        <f t="shared" si="81"/>
        <v>2250</v>
      </c>
      <c r="J128" s="36"/>
      <c r="K128" s="62">
        <f t="shared" si="82"/>
        <v>15000</v>
      </c>
      <c r="L128" s="36">
        <f t="shared" si="83"/>
        <v>105000</v>
      </c>
      <c r="M128" s="62">
        <f t="shared" si="84"/>
        <v>30000</v>
      </c>
      <c r="N128" s="62">
        <v>0</v>
      </c>
      <c r="O128" s="62">
        <f t="shared" si="85"/>
        <v>3000</v>
      </c>
      <c r="P128" s="62">
        <v>10000</v>
      </c>
      <c r="Q128" s="62"/>
      <c r="R128" s="62">
        <f t="shared" si="70"/>
        <v>0</v>
      </c>
      <c r="S128" s="62">
        <f t="shared" si="79"/>
        <v>100000</v>
      </c>
      <c r="T128" s="62">
        <f>0</f>
        <v>0</v>
      </c>
    </row>
    <row r="129" spans="1:20" ht="18.75">
      <c r="A129" s="1">
        <v>23</v>
      </c>
      <c r="B129" s="264" t="s">
        <v>286</v>
      </c>
      <c r="C129" s="264"/>
      <c r="D129" s="61" t="s">
        <v>296</v>
      </c>
      <c r="E129" s="66" t="s">
        <v>297</v>
      </c>
      <c r="F129" s="62">
        <f>20000</f>
        <v>20000</v>
      </c>
      <c r="G129" s="33"/>
      <c r="H129" s="62">
        <f t="shared" si="80"/>
        <v>60000</v>
      </c>
      <c r="I129" s="62">
        <f t="shared" si="81"/>
        <v>1500</v>
      </c>
      <c r="J129" s="67">
        <v>0</v>
      </c>
      <c r="K129" s="62">
        <f t="shared" si="82"/>
        <v>10000</v>
      </c>
      <c r="L129" s="36">
        <f t="shared" si="83"/>
        <v>70000</v>
      </c>
      <c r="M129" s="62">
        <f t="shared" si="84"/>
        <v>20000</v>
      </c>
      <c r="N129" s="36">
        <v>4000</v>
      </c>
      <c r="O129" s="62">
        <f t="shared" si="85"/>
        <v>2000</v>
      </c>
      <c r="P129" s="67">
        <v>5000</v>
      </c>
      <c r="Q129" s="62">
        <v>0</v>
      </c>
      <c r="R129" s="62">
        <f t="shared" si="70"/>
        <v>4000</v>
      </c>
      <c r="S129" s="36">
        <f>25000+4000</f>
        <v>29000</v>
      </c>
      <c r="T129" s="62">
        <f>0</f>
        <v>0</v>
      </c>
    </row>
    <row r="130" spans="1:20" ht="18.75">
      <c r="A130" s="1">
        <v>24</v>
      </c>
      <c r="B130" s="264" t="s">
        <v>289</v>
      </c>
      <c r="C130" s="264"/>
      <c r="D130" s="61" t="s">
        <v>296</v>
      </c>
      <c r="E130" s="66" t="s">
        <v>297</v>
      </c>
      <c r="F130" s="62">
        <f>20000</f>
        <v>20000</v>
      </c>
      <c r="G130" s="33"/>
      <c r="H130" s="62">
        <f t="shared" si="80"/>
        <v>60000</v>
      </c>
      <c r="I130" s="62">
        <f t="shared" si="81"/>
        <v>1500</v>
      </c>
      <c r="J130" s="67">
        <v>0</v>
      </c>
      <c r="K130" s="62">
        <f t="shared" si="82"/>
        <v>10000</v>
      </c>
      <c r="L130" s="36">
        <f t="shared" si="83"/>
        <v>70000</v>
      </c>
      <c r="M130" s="62">
        <f t="shared" si="84"/>
        <v>20000</v>
      </c>
      <c r="N130" s="36">
        <v>7000</v>
      </c>
      <c r="O130" s="62">
        <f t="shared" si="85"/>
        <v>2000</v>
      </c>
      <c r="P130" s="67">
        <v>5000</v>
      </c>
      <c r="Q130" s="62">
        <v>0</v>
      </c>
      <c r="R130" s="62">
        <f t="shared" si="70"/>
        <v>7000</v>
      </c>
      <c r="S130" s="36">
        <f>25000+7000</f>
        <v>32000</v>
      </c>
      <c r="T130" s="62">
        <f>0</f>
        <v>0</v>
      </c>
    </row>
    <row r="131" spans="1:20" ht="18.75">
      <c r="A131" s="1">
        <v>25</v>
      </c>
      <c r="B131" s="264" t="s">
        <v>290</v>
      </c>
      <c r="C131" s="264"/>
      <c r="D131" s="61" t="s">
        <v>296</v>
      </c>
      <c r="E131" s="66" t="s">
        <v>297</v>
      </c>
      <c r="F131" s="62">
        <f>20000</f>
        <v>20000</v>
      </c>
      <c r="G131" s="33"/>
      <c r="H131" s="62">
        <f t="shared" si="80"/>
        <v>60000</v>
      </c>
      <c r="I131" s="62">
        <f t="shared" si="81"/>
        <v>1500</v>
      </c>
      <c r="J131" s="62">
        <v>0</v>
      </c>
      <c r="K131" s="62">
        <f t="shared" si="82"/>
        <v>10000</v>
      </c>
      <c r="L131" s="36">
        <f t="shared" si="83"/>
        <v>70000</v>
      </c>
      <c r="M131" s="62">
        <f t="shared" si="84"/>
        <v>20000</v>
      </c>
      <c r="N131" s="36">
        <v>4000</v>
      </c>
      <c r="O131" s="62">
        <f t="shared" si="85"/>
        <v>2000</v>
      </c>
      <c r="P131" s="62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</row>
    <row r="132" spans="1:20" ht="18.75">
      <c r="A132" s="1">
        <v>26</v>
      </c>
      <c r="B132" s="264" t="s">
        <v>291</v>
      </c>
      <c r="C132" s="264"/>
      <c r="D132" s="61" t="s">
        <v>296</v>
      </c>
      <c r="E132" s="66" t="s">
        <v>297</v>
      </c>
      <c r="F132" s="62">
        <f>20000</f>
        <v>20000</v>
      </c>
      <c r="G132" s="33"/>
      <c r="H132" s="62">
        <f t="shared" si="80"/>
        <v>60000</v>
      </c>
      <c r="I132" s="62">
        <f t="shared" si="81"/>
        <v>1500</v>
      </c>
      <c r="J132" s="62">
        <v>0</v>
      </c>
      <c r="K132" s="62">
        <f t="shared" si="82"/>
        <v>10000</v>
      </c>
      <c r="L132" s="36">
        <f t="shared" si="83"/>
        <v>70000</v>
      </c>
      <c r="M132" s="62">
        <f t="shared" si="84"/>
        <v>20000</v>
      </c>
      <c r="N132" s="36">
        <v>4000</v>
      </c>
      <c r="O132" s="62">
        <f t="shared" si="85"/>
        <v>2000</v>
      </c>
      <c r="P132" s="62">
        <v>5000</v>
      </c>
      <c r="Q132" s="62">
        <v>0</v>
      </c>
      <c r="R132" s="62">
        <f t="shared" si="70"/>
        <v>4000</v>
      </c>
      <c r="S132" s="36">
        <f>25000+4000</f>
        <v>29000</v>
      </c>
      <c r="T132" s="62">
        <f>0</f>
        <v>0</v>
      </c>
    </row>
    <row r="133" spans="1:20" ht="18.75">
      <c r="A133" s="1">
        <v>27</v>
      </c>
      <c r="B133" s="264" t="s">
        <v>292</v>
      </c>
      <c r="C133" s="264"/>
      <c r="D133" s="61" t="s">
        <v>296</v>
      </c>
      <c r="E133" s="66" t="s">
        <v>297</v>
      </c>
      <c r="F133" s="62">
        <f>20000</f>
        <v>20000</v>
      </c>
      <c r="G133" s="33"/>
      <c r="H133" s="62">
        <f t="shared" si="80"/>
        <v>60000</v>
      </c>
      <c r="I133" s="62">
        <f t="shared" si="81"/>
        <v>1500</v>
      </c>
      <c r="J133" s="62">
        <v>0</v>
      </c>
      <c r="K133" s="62">
        <f t="shared" si="82"/>
        <v>10000</v>
      </c>
      <c r="L133" s="36">
        <f t="shared" si="83"/>
        <v>70000</v>
      </c>
      <c r="M133" s="62">
        <f t="shared" si="84"/>
        <v>20000</v>
      </c>
      <c r="N133" s="36">
        <v>4000</v>
      </c>
      <c r="O133" s="62">
        <f t="shared" si="85"/>
        <v>2000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</row>
    <row r="134" spans="1:20" ht="18.75">
      <c r="A134" s="1">
        <v>28</v>
      </c>
      <c r="B134" s="264" t="s">
        <v>293</v>
      </c>
      <c r="C134" s="264"/>
      <c r="D134" s="61" t="s">
        <v>296</v>
      </c>
      <c r="E134" s="66" t="s">
        <v>297</v>
      </c>
      <c r="F134" s="62">
        <f>20000</f>
        <v>20000</v>
      </c>
      <c r="G134" s="27">
        <f>0</f>
        <v>0</v>
      </c>
      <c r="H134" s="62">
        <f t="shared" si="80"/>
        <v>60000</v>
      </c>
      <c r="I134" s="62">
        <f t="shared" si="81"/>
        <v>1500</v>
      </c>
      <c r="J134" s="62">
        <v>0</v>
      </c>
      <c r="K134" s="62">
        <f t="shared" si="82"/>
        <v>10000</v>
      </c>
      <c r="L134" s="36">
        <f t="shared" si="83"/>
        <v>70000</v>
      </c>
      <c r="M134" s="62">
        <f t="shared" si="84"/>
        <v>20000</v>
      </c>
      <c r="N134" s="36">
        <v>3000</v>
      </c>
      <c r="O134" s="62">
        <f t="shared" si="85"/>
        <v>2000</v>
      </c>
      <c r="P134" s="62">
        <v>5000</v>
      </c>
      <c r="Q134" s="62">
        <v>0</v>
      </c>
      <c r="R134" s="62">
        <f t="shared" si="70"/>
        <v>3000</v>
      </c>
      <c r="S134" s="36">
        <f>25000+3000</f>
        <v>28000</v>
      </c>
      <c r="T134" s="62">
        <f>0</f>
        <v>0</v>
      </c>
    </row>
    <row r="135" spans="1:20" ht="18.75">
      <c r="A135" s="1">
        <v>29</v>
      </c>
      <c r="B135" s="264" t="s">
        <v>294</v>
      </c>
      <c r="C135" s="264"/>
      <c r="D135" s="61" t="s">
        <v>296</v>
      </c>
      <c r="E135" s="66" t="s">
        <v>297</v>
      </c>
      <c r="F135" s="62">
        <f>20000</f>
        <v>20000</v>
      </c>
      <c r="G135" s="33"/>
      <c r="H135" s="62">
        <f t="shared" si="80"/>
        <v>60000</v>
      </c>
      <c r="I135" s="62">
        <f t="shared" si="81"/>
        <v>1500</v>
      </c>
      <c r="J135" s="62">
        <v>0</v>
      </c>
      <c r="K135" s="62">
        <f t="shared" si="82"/>
        <v>10000</v>
      </c>
      <c r="L135" s="36">
        <f t="shared" si="83"/>
        <v>70000</v>
      </c>
      <c r="M135" s="62">
        <f t="shared" si="84"/>
        <v>20000</v>
      </c>
      <c r="N135" s="36">
        <v>7000</v>
      </c>
      <c r="O135" s="62">
        <f t="shared" si="85"/>
        <v>2000</v>
      </c>
      <c r="P135" s="62">
        <v>5000</v>
      </c>
      <c r="Q135" s="62">
        <v>0</v>
      </c>
      <c r="R135" s="62">
        <f t="shared" si="70"/>
        <v>7000</v>
      </c>
      <c r="S135" s="36">
        <f>25000+7000</f>
        <v>32000</v>
      </c>
      <c r="T135" s="62">
        <f>0</f>
        <v>0</v>
      </c>
    </row>
    <row r="136" spans="1:20" ht="18.75">
      <c r="A136" s="1">
        <v>30</v>
      </c>
      <c r="B136" s="264" t="s">
        <v>295</v>
      </c>
      <c r="C136" s="264"/>
      <c r="D136" s="61" t="s">
        <v>312</v>
      </c>
      <c r="E136" s="66" t="s">
        <v>308</v>
      </c>
      <c r="F136" s="62">
        <f>20000</f>
        <v>20000</v>
      </c>
      <c r="G136" s="33"/>
      <c r="H136" s="62">
        <f t="shared" si="80"/>
        <v>60000</v>
      </c>
      <c r="I136" s="62">
        <f t="shared" si="81"/>
        <v>1500</v>
      </c>
      <c r="J136" s="62">
        <v>0</v>
      </c>
      <c r="K136" s="62">
        <f t="shared" si="82"/>
        <v>10000</v>
      </c>
      <c r="L136" s="36">
        <f t="shared" si="83"/>
        <v>70000</v>
      </c>
      <c r="M136" s="62">
        <f t="shared" si="84"/>
        <v>20000</v>
      </c>
      <c r="N136" s="36">
        <v>7000</v>
      </c>
      <c r="O136" s="62">
        <f t="shared" si="85"/>
        <v>2000</v>
      </c>
      <c r="P136" s="62">
        <v>5000</v>
      </c>
      <c r="Q136" s="62">
        <v>0</v>
      </c>
      <c r="R136" s="62">
        <f t="shared" si="70"/>
        <v>7000</v>
      </c>
      <c r="S136" s="36">
        <f t="shared" ref="S136:S154" si="86">25000+7000</f>
        <v>32000</v>
      </c>
      <c r="T136" s="62">
        <f>0</f>
        <v>0</v>
      </c>
    </row>
    <row r="137" spans="1:20" ht="18.75">
      <c r="A137" s="1">
        <v>31</v>
      </c>
      <c r="B137" s="264" t="s">
        <v>298</v>
      </c>
      <c r="C137" s="264"/>
      <c r="D137" s="61" t="s">
        <v>312</v>
      </c>
      <c r="E137" s="66" t="s">
        <v>308</v>
      </c>
      <c r="F137" s="62">
        <f>20000</f>
        <v>20000</v>
      </c>
      <c r="G137" s="33"/>
      <c r="H137" s="62">
        <f t="shared" si="80"/>
        <v>60000</v>
      </c>
      <c r="I137" s="62">
        <f t="shared" si="81"/>
        <v>1500</v>
      </c>
      <c r="J137" s="62">
        <v>0</v>
      </c>
      <c r="K137" s="62">
        <f t="shared" si="82"/>
        <v>10000</v>
      </c>
      <c r="L137" s="36">
        <f t="shared" si="83"/>
        <v>70000</v>
      </c>
      <c r="M137" s="62">
        <f t="shared" si="84"/>
        <v>20000</v>
      </c>
      <c r="N137" s="36">
        <v>4000</v>
      </c>
      <c r="O137" s="62">
        <f t="shared" si="85"/>
        <v>2000</v>
      </c>
      <c r="P137" s="62">
        <v>5000</v>
      </c>
      <c r="Q137" s="62">
        <v>0</v>
      </c>
      <c r="R137" s="62">
        <f t="shared" si="70"/>
        <v>4000</v>
      </c>
      <c r="S137" s="36">
        <f>25000+4000</f>
        <v>29000</v>
      </c>
      <c r="T137" s="62">
        <f>0</f>
        <v>0</v>
      </c>
    </row>
    <row r="138" spans="1:20" ht="18.75">
      <c r="A138" s="1">
        <v>32</v>
      </c>
      <c r="B138" s="264" t="s">
        <v>299</v>
      </c>
      <c r="C138" s="264"/>
      <c r="D138" s="61" t="s">
        <v>312</v>
      </c>
      <c r="E138" s="66" t="s">
        <v>308</v>
      </c>
      <c r="F138" s="62">
        <f>20000</f>
        <v>20000</v>
      </c>
      <c r="G138" s="33"/>
      <c r="H138" s="62">
        <f t="shared" si="80"/>
        <v>60000</v>
      </c>
      <c r="I138" s="62">
        <f t="shared" si="81"/>
        <v>1500</v>
      </c>
      <c r="J138" s="62">
        <v>0</v>
      </c>
      <c r="K138" s="62">
        <f t="shared" si="82"/>
        <v>10000</v>
      </c>
      <c r="L138" s="36">
        <f t="shared" si="83"/>
        <v>70000</v>
      </c>
      <c r="M138" s="62">
        <f t="shared" si="84"/>
        <v>20000</v>
      </c>
      <c r="N138" s="36">
        <v>4000</v>
      </c>
      <c r="O138" s="62">
        <f t="shared" si="85"/>
        <v>2000</v>
      </c>
      <c r="P138" s="62">
        <v>5000</v>
      </c>
      <c r="Q138" s="62">
        <v>0</v>
      </c>
      <c r="R138" s="62">
        <f t="shared" si="70"/>
        <v>4000</v>
      </c>
      <c r="S138" s="36">
        <f>25000+4000</f>
        <v>29000</v>
      </c>
      <c r="T138" s="62">
        <f>0</f>
        <v>0</v>
      </c>
    </row>
    <row r="139" spans="1:20" ht="18.75">
      <c r="A139" s="1">
        <v>33</v>
      </c>
      <c r="B139" s="33" t="s">
        <v>300</v>
      </c>
      <c r="C139" s="33"/>
      <c r="D139" s="61" t="s">
        <v>312</v>
      </c>
      <c r="E139" s="66" t="s">
        <v>308</v>
      </c>
      <c r="F139" s="62">
        <f>20000</f>
        <v>20000</v>
      </c>
      <c r="G139" s="33"/>
      <c r="H139" s="62">
        <f t="shared" si="80"/>
        <v>60000</v>
      </c>
      <c r="I139" s="62">
        <f t="shared" si="81"/>
        <v>1500</v>
      </c>
      <c r="J139" s="62">
        <v>0</v>
      </c>
      <c r="K139" s="62">
        <f t="shared" si="82"/>
        <v>10000</v>
      </c>
      <c r="L139" s="36">
        <f t="shared" si="83"/>
        <v>70000</v>
      </c>
      <c r="M139" s="62">
        <f>F138*100%</f>
        <v>20000</v>
      </c>
      <c r="N139" s="36">
        <v>7000</v>
      </c>
      <c r="O139" s="62">
        <f t="shared" si="85"/>
        <v>2000</v>
      </c>
      <c r="P139" s="62">
        <v>5000</v>
      </c>
      <c r="Q139" s="62">
        <v>0</v>
      </c>
      <c r="R139" s="62">
        <f t="shared" si="70"/>
        <v>7000</v>
      </c>
      <c r="S139" s="36">
        <f t="shared" si="86"/>
        <v>32000</v>
      </c>
      <c r="T139" s="62">
        <f>0</f>
        <v>0</v>
      </c>
    </row>
    <row r="140" spans="1:20" ht="18.75">
      <c r="A140" s="1">
        <v>34</v>
      </c>
      <c r="B140" s="257" t="s">
        <v>301</v>
      </c>
      <c r="C140" s="258"/>
      <c r="D140" s="61" t="s">
        <v>312</v>
      </c>
      <c r="E140" s="66" t="s">
        <v>308</v>
      </c>
      <c r="F140" s="62">
        <f>20000</f>
        <v>20000</v>
      </c>
      <c r="G140" s="33"/>
      <c r="H140" s="62">
        <f t="shared" si="80"/>
        <v>60000</v>
      </c>
      <c r="I140" s="62">
        <f t="shared" si="81"/>
        <v>1500</v>
      </c>
      <c r="J140" s="62"/>
      <c r="K140" s="62">
        <f t="shared" si="82"/>
        <v>10000</v>
      </c>
      <c r="L140" s="36">
        <f t="shared" si="83"/>
        <v>70000</v>
      </c>
      <c r="M140" s="62">
        <f t="shared" ref="M140:M155" si="87">F140*100%</f>
        <v>20000</v>
      </c>
      <c r="N140" s="36">
        <v>4000</v>
      </c>
      <c r="O140" s="62">
        <f t="shared" si="85"/>
        <v>2000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</row>
    <row r="141" spans="1:20" ht="18.75">
      <c r="A141" s="1">
        <v>35</v>
      </c>
      <c r="B141" s="61" t="s">
        <v>302</v>
      </c>
      <c r="C141" s="33"/>
      <c r="D141" s="61" t="s">
        <v>312</v>
      </c>
      <c r="E141" s="66" t="s">
        <v>308</v>
      </c>
      <c r="F141" s="62">
        <f>20000</f>
        <v>20000</v>
      </c>
      <c r="G141" s="33"/>
      <c r="H141" s="62">
        <f t="shared" si="80"/>
        <v>60000</v>
      </c>
      <c r="I141" s="62">
        <f t="shared" si="81"/>
        <v>1500</v>
      </c>
      <c r="J141" s="62"/>
      <c r="K141" s="62">
        <f t="shared" si="82"/>
        <v>10000</v>
      </c>
      <c r="L141" s="36">
        <f t="shared" si="83"/>
        <v>70000</v>
      </c>
      <c r="M141" s="62">
        <f t="shared" si="87"/>
        <v>20000</v>
      </c>
      <c r="N141" s="36">
        <v>4000</v>
      </c>
      <c r="O141" s="62">
        <f t="shared" si="85"/>
        <v>2000</v>
      </c>
      <c r="P141" s="62">
        <v>5000</v>
      </c>
      <c r="Q141" s="62">
        <v>0</v>
      </c>
      <c r="R141" s="62">
        <f t="shared" si="70"/>
        <v>4000</v>
      </c>
      <c r="S141" s="36">
        <f>25000+4000</f>
        <v>29000</v>
      </c>
      <c r="T141" s="62">
        <f>0</f>
        <v>0</v>
      </c>
    </row>
    <row r="142" spans="1:20" ht="18.75">
      <c r="A142" s="1">
        <v>36</v>
      </c>
      <c r="B142" s="61" t="s">
        <v>303</v>
      </c>
      <c r="C142" s="33"/>
      <c r="D142" s="61" t="s">
        <v>312</v>
      </c>
      <c r="E142" s="66" t="s">
        <v>308</v>
      </c>
      <c r="F142" s="62">
        <f>20000</f>
        <v>20000</v>
      </c>
      <c r="G142" s="33"/>
      <c r="H142" s="62">
        <f t="shared" si="80"/>
        <v>60000</v>
      </c>
      <c r="I142" s="62">
        <f t="shared" si="81"/>
        <v>1500</v>
      </c>
      <c r="J142" s="62"/>
      <c r="K142" s="62">
        <f t="shared" si="82"/>
        <v>10000</v>
      </c>
      <c r="L142" s="36">
        <f t="shared" si="83"/>
        <v>70000</v>
      </c>
      <c r="M142" s="62">
        <f t="shared" si="87"/>
        <v>20000</v>
      </c>
      <c r="N142" s="36">
        <v>7000</v>
      </c>
      <c r="O142" s="62">
        <f t="shared" si="85"/>
        <v>2000</v>
      </c>
      <c r="P142" s="62">
        <v>5000</v>
      </c>
      <c r="Q142" s="62">
        <v>0</v>
      </c>
      <c r="R142" s="62">
        <f t="shared" si="70"/>
        <v>7000</v>
      </c>
      <c r="S142" s="36">
        <f t="shared" si="86"/>
        <v>32000</v>
      </c>
      <c r="T142" s="62">
        <f>0</f>
        <v>0</v>
      </c>
    </row>
    <row r="143" spans="1:20" ht="18.75">
      <c r="A143" s="1">
        <v>37</v>
      </c>
      <c r="B143" s="257" t="s">
        <v>304</v>
      </c>
      <c r="C143" s="258"/>
      <c r="D143" s="61" t="s">
        <v>312</v>
      </c>
      <c r="E143" s="66" t="s">
        <v>323</v>
      </c>
      <c r="F143" s="62">
        <f>20000</f>
        <v>20000</v>
      </c>
      <c r="G143" s="33"/>
      <c r="H143" s="62">
        <f t="shared" si="80"/>
        <v>60000</v>
      </c>
      <c r="I143" s="62">
        <f t="shared" si="81"/>
        <v>1500</v>
      </c>
      <c r="J143" s="62"/>
      <c r="K143" s="62">
        <f t="shared" si="82"/>
        <v>10000</v>
      </c>
      <c r="L143" s="36">
        <f t="shared" si="83"/>
        <v>70000</v>
      </c>
      <c r="M143" s="62">
        <f t="shared" si="87"/>
        <v>20000</v>
      </c>
      <c r="N143" s="36">
        <v>7000</v>
      </c>
      <c r="O143" s="62">
        <f t="shared" si="85"/>
        <v>2000</v>
      </c>
      <c r="P143" s="62">
        <v>5000</v>
      </c>
      <c r="Q143" s="62">
        <v>0</v>
      </c>
      <c r="R143" s="62">
        <f t="shared" si="70"/>
        <v>7000</v>
      </c>
      <c r="S143" s="36">
        <f t="shared" si="86"/>
        <v>32000</v>
      </c>
      <c r="T143" s="62">
        <f>0</f>
        <v>0</v>
      </c>
    </row>
    <row r="144" spans="1:20" ht="18.75">
      <c r="A144" s="1">
        <v>38</v>
      </c>
      <c r="B144" s="257" t="s">
        <v>306</v>
      </c>
      <c r="C144" s="258"/>
      <c r="D144" s="61" t="s">
        <v>312</v>
      </c>
      <c r="E144" s="66" t="s">
        <v>323</v>
      </c>
      <c r="F144" s="62">
        <f>20000</f>
        <v>20000</v>
      </c>
      <c r="G144" s="33"/>
      <c r="H144" s="62">
        <f t="shared" si="80"/>
        <v>60000</v>
      </c>
      <c r="I144" s="62">
        <f t="shared" si="81"/>
        <v>1500</v>
      </c>
      <c r="J144" s="62"/>
      <c r="K144" s="62">
        <f t="shared" si="82"/>
        <v>10000</v>
      </c>
      <c r="L144" s="36">
        <f t="shared" si="83"/>
        <v>70000</v>
      </c>
      <c r="M144" s="62">
        <f t="shared" si="87"/>
        <v>20000</v>
      </c>
      <c r="N144" s="36">
        <v>7000</v>
      </c>
      <c r="O144" s="62">
        <f t="shared" si="85"/>
        <v>2000</v>
      </c>
      <c r="P144" s="62">
        <v>5000</v>
      </c>
      <c r="Q144" s="62">
        <v>0</v>
      </c>
      <c r="R144" s="62">
        <f t="shared" si="70"/>
        <v>7000</v>
      </c>
      <c r="S144" s="36">
        <f t="shared" si="86"/>
        <v>32000</v>
      </c>
      <c r="T144" s="62">
        <f>0</f>
        <v>0</v>
      </c>
    </row>
    <row r="145" spans="1:20" ht="18.75">
      <c r="A145" s="1">
        <v>39</v>
      </c>
      <c r="B145" s="61" t="s">
        <v>307</v>
      </c>
      <c r="C145" s="33"/>
      <c r="D145" s="61" t="s">
        <v>312</v>
      </c>
      <c r="E145" s="66" t="s">
        <v>555</v>
      </c>
      <c r="F145" s="62">
        <f>20000</f>
        <v>20000</v>
      </c>
      <c r="G145" s="33"/>
      <c r="H145" s="62">
        <f t="shared" si="80"/>
        <v>60000</v>
      </c>
      <c r="I145" s="62">
        <f t="shared" si="81"/>
        <v>1500</v>
      </c>
      <c r="J145" s="62"/>
      <c r="K145" s="62">
        <f t="shared" si="82"/>
        <v>10000</v>
      </c>
      <c r="L145" s="36">
        <f t="shared" si="83"/>
        <v>70000</v>
      </c>
      <c r="M145" s="62">
        <f t="shared" si="87"/>
        <v>20000</v>
      </c>
      <c r="N145" s="36">
        <v>7000</v>
      </c>
      <c r="O145" s="62">
        <f t="shared" si="85"/>
        <v>2000</v>
      </c>
      <c r="P145" s="62">
        <v>5000</v>
      </c>
      <c r="Q145" s="62">
        <v>0</v>
      </c>
      <c r="R145" s="62">
        <f t="shared" si="70"/>
        <v>7000</v>
      </c>
      <c r="S145" s="36">
        <f t="shared" si="86"/>
        <v>32000</v>
      </c>
      <c r="T145" s="62">
        <f>0</f>
        <v>0</v>
      </c>
    </row>
    <row r="146" spans="1:20" ht="18.75">
      <c r="A146" s="1">
        <v>40</v>
      </c>
      <c r="B146" s="257" t="s">
        <v>309</v>
      </c>
      <c r="C146" s="258"/>
      <c r="D146" s="61" t="s">
        <v>312</v>
      </c>
      <c r="E146" s="66" t="s">
        <v>509</v>
      </c>
      <c r="F146" s="62">
        <f>20000</f>
        <v>20000</v>
      </c>
      <c r="G146" s="33"/>
      <c r="H146" s="62">
        <f t="shared" si="80"/>
        <v>60000</v>
      </c>
      <c r="I146" s="62">
        <f t="shared" si="81"/>
        <v>1500</v>
      </c>
      <c r="J146" s="62"/>
      <c r="K146" s="62">
        <f t="shared" si="82"/>
        <v>10000</v>
      </c>
      <c r="L146" s="36">
        <f t="shared" si="83"/>
        <v>70000</v>
      </c>
      <c r="M146" s="62">
        <f t="shared" si="87"/>
        <v>20000</v>
      </c>
      <c r="N146" s="36">
        <v>7000</v>
      </c>
      <c r="O146" s="62">
        <f t="shared" si="85"/>
        <v>2000</v>
      </c>
      <c r="P146" s="62">
        <v>5000</v>
      </c>
      <c r="Q146" s="62">
        <v>0</v>
      </c>
      <c r="R146" s="62">
        <f t="shared" si="70"/>
        <v>7000</v>
      </c>
      <c r="S146" s="36">
        <f t="shared" si="86"/>
        <v>32000</v>
      </c>
      <c r="T146" s="62">
        <f>0</f>
        <v>0</v>
      </c>
    </row>
    <row r="147" spans="1:20" ht="18.75">
      <c r="A147" s="1">
        <v>41</v>
      </c>
      <c r="B147" s="257" t="s">
        <v>311</v>
      </c>
      <c r="C147" s="258"/>
      <c r="D147" s="61" t="s">
        <v>312</v>
      </c>
      <c r="E147" s="66" t="s">
        <v>509</v>
      </c>
      <c r="F147" s="62">
        <f>20000</f>
        <v>20000</v>
      </c>
      <c r="G147" s="33"/>
      <c r="H147" s="62">
        <f t="shared" si="80"/>
        <v>60000</v>
      </c>
      <c r="I147" s="62">
        <f t="shared" si="81"/>
        <v>1500</v>
      </c>
      <c r="J147" s="62"/>
      <c r="K147" s="62">
        <f t="shared" si="82"/>
        <v>10000</v>
      </c>
      <c r="L147" s="36">
        <f t="shared" si="83"/>
        <v>70000</v>
      </c>
      <c r="M147" s="62">
        <f t="shared" si="87"/>
        <v>20000</v>
      </c>
      <c r="N147" s="36">
        <v>4000</v>
      </c>
      <c r="O147" s="62">
        <f t="shared" si="85"/>
        <v>2000</v>
      </c>
      <c r="P147" s="62">
        <v>5000</v>
      </c>
      <c r="Q147" s="62">
        <v>0</v>
      </c>
      <c r="R147" s="62">
        <f t="shared" si="70"/>
        <v>4000</v>
      </c>
      <c r="S147" s="36">
        <f>25000+4000</f>
        <v>29000</v>
      </c>
      <c r="T147" s="62">
        <f>0</f>
        <v>0</v>
      </c>
    </row>
    <row r="148" spans="1:20" ht="18.75">
      <c r="A148" s="1">
        <v>42</v>
      </c>
      <c r="B148" s="257" t="s">
        <v>314</v>
      </c>
      <c r="C148" s="258"/>
      <c r="D148" s="61" t="s">
        <v>312</v>
      </c>
      <c r="E148" s="66" t="s">
        <v>509</v>
      </c>
      <c r="F148" s="62">
        <f>20000</f>
        <v>20000</v>
      </c>
      <c r="G148" s="33"/>
      <c r="H148" s="62">
        <f t="shared" si="80"/>
        <v>60000</v>
      </c>
      <c r="I148" s="62">
        <f t="shared" si="81"/>
        <v>1500</v>
      </c>
      <c r="J148" s="62"/>
      <c r="K148" s="62">
        <f t="shared" si="82"/>
        <v>10000</v>
      </c>
      <c r="L148" s="36">
        <f t="shared" si="83"/>
        <v>70000</v>
      </c>
      <c r="M148" s="62">
        <f t="shared" si="87"/>
        <v>20000</v>
      </c>
      <c r="N148" s="36">
        <v>4000</v>
      </c>
      <c r="O148" s="62">
        <f t="shared" si="85"/>
        <v>2000</v>
      </c>
      <c r="P148" s="62">
        <v>5000</v>
      </c>
      <c r="Q148" s="62">
        <v>0</v>
      </c>
      <c r="R148" s="62">
        <f t="shared" si="70"/>
        <v>4000</v>
      </c>
      <c r="S148" s="36">
        <f>25000+4000</f>
        <v>29000</v>
      </c>
      <c r="T148" s="62">
        <f>0</f>
        <v>0</v>
      </c>
    </row>
    <row r="149" spans="1:20" ht="18.75">
      <c r="A149" s="1">
        <v>43</v>
      </c>
      <c r="B149" s="257" t="s">
        <v>315</v>
      </c>
      <c r="C149" s="258"/>
      <c r="D149" s="61" t="s">
        <v>312</v>
      </c>
      <c r="E149" s="66" t="s">
        <v>509</v>
      </c>
      <c r="F149" s="62">
        <f>20000</f>
        <v>20000</v>
      </c>
      <c r="G149" s="27">
        <f>6000</f>
        <v>6000</v>
      </c>
      <c r="H149" s="62">
        <f t="shared" si="80"/>
        <v>60000</v>
      </c>
      <c r="I149" s="62">
        <f t="shared" si="81"/>
        <v>1500</v>
      </c>
      <c r="J149" s="62"/>
      <c r="K149" s="62">
        <f t="shared" si="82"/>
        <v>10000</v>
      </c>
      <c r="L149" s="36">
        <f t="shared" si="83"/>
        <v>70000</v>
      </c>
      <c r="M149" s="62">
        <f t="shared" si="87"/>
        <v>20000</v>
      </c>
      <c r="N149" s="36">
        <v>7000</v>
      </c>
      <c r="O149" s="62">
        <f t="shared" si="85"/>
        <v>2000</v>
      </c>
      <c r="P149" s="62">
        <v>5000</v>
      </c>
      <c r="Q149" s="62">
        <v>0</v>
      </c>
      <c r="R149" s="62">
        <f t="shared" si="70"/>
        <v>7000</v>
      </c>
      <c r="S149" s="36">
        <f t="shared" si="86"/>
        <v>32000</v>
      </c>
      <c r="T149" s="62">
        <f>0</f>
        <v>0</v>
      </c>
    </row>
    <row r="150" spans="1:20" ht="18.75">
      <c r="A150" s="1">
        <v>44</v>
      </c>
      <c r="B150" s="257" t="s">
        <v>316</v>
      </c>
      <c r="C150" s="258"/>
      <c r="D150" s="61" t="s">
        <v>312</v>
      </c>
      <c r="E150" s="66" t="s">
        <v>509</v>
      </c>
      <c r="F150" s="62">
        <f>20000</f>
        <v>20000</v>
      </c>
      <c r="G150" s="33"/>
      <c r="H150" s="62">
        <f t="shared" si="80"/>
        <v>60000</v>
      </c>
      <c r="I150" s="62">
        <f t="shared" si="81"/>
        <v>1500</v>
      </c>
      <c r="J150" s="62"/>
      <c r="K150" s="62">
        <f t="shared" si="82"/>
        <v>10000</v>
      </c>
      <c r="L150" s="36">
        <f t="shared" si="83"/>
        <v>70000</v>
      </c>
      <c r="M150" s="62">
        <f t="shared" si="87"/>
        <v>20000</v>
      </c>
      <c r="N150" s="36">
        <v>7000</v>
      </c>
      <c r="O150" s="62">
        <f t="shared" si="85"/>
        <v>2000</v>
      </c>
      <c r="P150" s="62">
        <v>5000</v>
      </c>
      <c r="Q150" s="62">
        <v>0</v>
      </c>
      <c r="R150" s="62">
        <f t="shared" si="70"/>
        <v>7000</v>
      </c>
      <c r="S150" s="36">
        <f t="shared" si="86"/>
        <v>32000</v>
      </c>
      <c r="T150" s="62">
        <f>0</f>
        <v>0</v>
      </c>
    </row>
    <row r="151" spans="1:20" ht="18.75">
      <c r="A151" s="1">
        <v>45</v>
      </c>
      <c r="B151" s="257" t="s">
        <v>508</v>
      </c>
      <c r="C151" s="258"/>
      <c r="D151" s="61" t="s">
        <v>312</v>
      </c>
      <c r="E151" s="66" t="s">
        <v>509</v>
      </c>
      <c r="F151" s="62">
        <f>20000</f>
        <v>20000</v>
      </c>
      <c r="G151" s="33"/>
      <c r="H151" s="62">
        <f t="shared" si="80"/>
        <v>60000</v>
      </c>
      <c r="I151" s="62">
        <f t="shared" si="81"/>
        <v>1500</v>
      </c>
      <c r="J151" s="62"/>
      <c r="K151" s="62">
        <f t="shared" si="82"/>
        <v>10000</v>
      </c>
      <c r="L151" s="36">
        <f t="shared" si="83"/>
        <v>70000</v>
      </c>
      <c r="M151" s="62">
        <f t="shared" si="87"/>
        <v>20000</v>
      </c>
      <c r="N151" s="36">
        <v>7000</v>
      </c>
      <c r="O151" s="62">
        <f t="shared" si="85"/>
        <v>2000</v>
      </c>
      <c r="P151" s="62">
        <v>5000</v>
      </c>
      <c r="Q151" s="62">
        <v>0</v>
      </c>
      <c r="R151" s="62">
        <f t="shared" si="70"/>
        <v>7000</v>
      </c>
      <c r="S151" s="36">
        <f t="shared" si="86"/>
        <v>32000</v>
      </c>
      <c r="T151" s="62">
        <f>0</f>
        <v>0</v>
      </c>
    </row>
    <row r="152" spans="1:20" ht="18.75">
      <c r="A152" s="1">
        <v>46</v>
      </c>
      <c r="B152" s="257" t="s">
        <v>317</v>
      </c>
      <c r="C152" s="258"/>
      <c r="D152" s="61" t="s">
        <v>312</v>
      </c>
      <c r="E152" s="66" t="s">
        <v>509</v>
      </c>
      <c r="F152" s="62">
        <f>20000</f>
        <v>20000</v>
      </c>
      <c r="G152" s="33"/>
      <c r="H152" s="62">
        <f t="shared" si="80"/>
        <v>60000</v>
      </c>
      <c r="I152" s="62">
        <f t="shared" si="81"/>
        <v>1500</v>
      </c>
      <c r="J152" s="62"/>
      <c r="K152" s="62">
        <f t="shared" si="82"/>
        <v>10000</v>
      </c>
      <c r="L152" s="36">
        <f t="shared" si="83"/>
        <v>70000</v>
      </c>
      <c r="M152" s="62">
        <f t="shared" si="87"/>
        <v>20000</v>
      </c>
      <c r="N152" s="36">
        <v>7000</v>
      </c>
      <c r="O152" s="62">
        <f t="shared" si="85"/>
        <v>2000</v>
      </c>
      <c r="P152" s="62">
        <v>5000</v>
      </c>
      <c r="Q152" s="62">
        <v>0</v>
      </c>
      <c r="R152" s="62">
        <f t="shared" si="70"/>
        <v>7000</v>
      </c>
      <c r="S152" s="36">
        <f t="shared" si="86"/>
        <v>32000</v>
      </c>
      <c r="T152" s="62">
        <f>0</f>
        <v>0</v>
      </c>
    </row>
    <row r="153" spans="1:20" ht="18.75">
      <c r="A153" s="1">
        <v>47</v>
      </c>
      <c r="B153" s="259" t="s">
        <v>318</v>
      </c>
      <c r="C153" s="260"/>
      <c r="D153" s="61" t="s">
        <v>312</v>
      </c>
      <c r="E153" s="66" t="s">
        <v>325</v>
      </c>
      <c r="F153" s="62">
        <f>20000</f>
        <v>20000</v>
      </c>
      <c r="G153" s="33"/>
      <c r="H153" s="62">
        <f t="shared" si="80"/>
        <v>60000</v>
      </c>
      <c r="I153" s="62">
        <f t="shared" si="81"/>
        <v>1500</v>
      </c>
      <c r="J153" s="62"/>
      <c r="K153" s="62">
        <f t="shared" si="82"/>
        <v>10000</v>
      </c>
      <c r="L153" s="36">
        <f t="shared" si="83"/>
        <v>70000</v>
      </c>
      <c r="M153" s="62">
        <f t="shared" si="87"/>
        <v>20000</v>
      </c>
      <c r="N153" s="36">
        <v>7000</v>
      </c>
      <c r="O153" s="62">
        <f t="shared" si="85"/>
        <v>2000</v>
      </c>
      <c r="P153" s="62">
        <v>5000</v>
      </c>
      <c r="Q153" s="62">
        <v>0</v>
      </c>
      <c r="R153" s="62">
        <f t="shared" si="70"/>
        <v>7000</v>
      </c>
      <c r="S153" s="36">
        <f t="shared" si="86"/>
        <v>32000</v>
      </c>
      <c r="T153" s="62">
        <f>0</f>
        <v>0</v>
      </c>
    </row>
    <row r="154" spans="1:20" ht="18.75">
      <c r="A154" s="1">
        <v>48</v>
      </c>
      <c r="B154" s="261" t="s">
        <v>320</v>
      </c>
      <c r="C154" s="262"/>
      <c r="D154" s="61" t="s">
        <v>312</v>
      </c>
      <c r="E154" s="66" t="s">
        <v>325</v>
      </c>
      <c r="F154" s="62">
        <f>20000</f>
        <v>20000</v>
      </c>
      <c r="G154" s="33"/>
      <c r="H154" s="62">
        <f t="shared" si="80"/>
        <v>60000</v>
      </c>
      <c r="I154" s="62">
        <f t="shared" si="81"/>
        <v>1500</v>
      </c>
      <c r="J154" s="62"/>
      <c r="K154" s="62">
        <f t="shared" si="82"/>
        <v>10000</v>
      </c>
      <c r="L154" s="36">
        <f t="shared" si="83"/>
        <v>70000</v>
      </c>
      <c r="M154" s="62">
        <f t="shared" si="87"/>
        <v>20000</v>
      </c>
      <c r="N154" s="36">
        <v>7000</v>
      </c>
      <c r="O154" s="62">
        <f t="shared" si="85"/>
        <v>2000</v>
      </c>
      <c r="P154" s="62">
        <v>5000</v>
      </c>
      <c r="Q154" s="62">
        <v>0</v>
      </c>
      <c r="R154" s="62">
        <f t="shared" si="70"/>
        <v>7000</v>
      </c>
      <c r="S154" s="36">
        <f t="shared" si="86"/>
        <v>32000</v>
      </c>
      <c r="T154" s="62">
        <f>0</f>
        <v>0</v>
      </c>
    </row>
    <row r="155" spans="1:20" ht="18.75">
      <c r="A155" s="1">
        <v>49</v>
      </c>
      <c r="B155" s="102" t="s">
        <v>321</v>
      </c>
      <c r="C155" s="90"/>
      <c r="D155" s="61" t="s">
        <v>312</v>
      </c>
      <c r="E155" s="66" t="s">
        <v>325</v>
      </c>
      <c r="F155" s="62">
        <f>20000</f>
        <v>20000</v>
      </c>
      <c r="G155" s="27">
        <f>0</f>
        <v>0</v>
      </c>
      <c r="H155" s="62">
        <f t="shared" si="80"/>
        <v>60000</v>
      </c>
      <c r="I155" s="62">
        <f t="shared" si="81"/>
        <v>1500</v>
      </c>
      <c r="J155" s="62"/>
      <c r="K155" s="62">
        <f t="shared" si="82"/>
        <v>10000</v>
      </c>
      <c r="L155" s="36">
        <f t="shared" si="83"/>
        <v>70000</v>
      </c>
      <c r="M155" s="62">
        <f t="shared" si="87"/>
        <v>20000</v>
      </c>
      <c r="N155" s="36">
        <v>4000</v>
      </c>
      <c r="O155" s="62">
        <f t="shared" si="85"/>
        <v>2000</v>
      </c>
      <c r="P155" s="62">
        <v>5000</v>
      </c>
      <c r="Q155" s="62">
        <v>0</v>
      </c>
      <c r="R155" s="62">
        <f t="shared" si="70"/>
        <v>4000</v>
      </c>
      <c r="S155" s="36">
        <f>25000+4000</f>
        <v>29000</v>
      </c>
      <c r="T155" s="62">
        <f>0</f>
        <v>0</v>
      </c>
    </row>
    <row r="156" spans="1:20" ht="18.75">
      <c r="A156" s="11"/>
      <c r="B156" s="48" t="s">
        <v>34</v>
      </c>
      <c r="C156" s="1"/>
      <c r="D156" s="49" t="s">
        <v>583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62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.75">
      <c r="A157" s="33"/>
      <c r="B157" s="263" t="s">
        <v>328</v>
      </c>
      <c r="C157" s="263"/>
      <c r="D157" s="101"/>
      <c r="E157" s="40"/>
      <c r="F157" s="41">
        <f>F24+F29+F43+F48+F56+F63+F75+F84+F91+F104+F156</f>
        <v>6090000</v>
      </c>
      <c r="G157" s="41">
        <f t="shared" ref="G157:T157" si="90">G24+G29+G43+G48+G56+G63+G75+G84+G91+G104+G156</f>
        <v>6000</v>
      </c>
      <c r="H157" s="41">
        <f t="shared" si="90"/>
        <v>17690977.5</v>
      </c>
      <c r="I157" s="41">
        <f t="shared" si="90"/>
        <v>482396.63</v>
      </c>
      <c r="J157" s="41">
        <f t="shared" si="90"/>
        <v>1564765.4100000001</v>
      </c>
      <c r="K157" s="41">
        <f t="shared" si="90"/>
        <v>2967219.94</v>
      </c>
      <c r="L157" s="41">
        <f t="shared" si="90"/>
        <v>20265000</v>
      </c>
      <c r="M157" s="41">
        <f t="shared" si="90"/>
        <v>5910366.5700000003</v>
      </c>
      <c r="N157" s="41">
        <f t="shared" si="90"/>
        <v>5402000</v>
      </c>
      <c r="O157" s="41">
        <f t="shared" si="90"/>
        <v>595048.88</v>
      </c>
      <c r="P157" s="41">
        <f t="shared" si="90"/>
        <v>1530000</v>
      </c>
      <c r="Q157" s="41">
        <f t="shared" si="90"/>
        <v>805235</v>
      </c>
      <c r="R157" s="41">
        <f t="shared" si="90"/>
        <v>6207235</v>
      </c>
      <c r="S157" s="41">
        <f t="shared" si="90"/>
        <v>11977000</v>
      </c>
      <c r="T157" s="41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86" t="s">
        <v>586</v>
      </c>
      <c r="C1" s="86"/>
    </row>
    <row r="2" spans="1:11" ht="15">
      <c r="A2" s="80"/>
      <c r="B2" s="80"/>
      <c r="C2" s="80"/>
      <c r="D2" s="80" t="s">
        <v>587</v>
      </c>
      <c r="E2" s="80" t="s">
        <v>588</v>
      </c>
      <c r="F2" s="80"/>
      <c r="G2" s="80"/>
      <c r="H2" s="80"/>
    </row>
    <row r="3" spans="1:11" ht="30">
      <c r="A3" s="80"/>
      <c r="B3" s="80"/>
      <c r="C3" s="80"/>
      <c r="D3" s="80" t="s">
        <v>589</v>
      </c>
      <c r="E3" s="80" t="s">
        <v>590</v>
      </c>
      <c r="F3" s="80" t="s">
        <v>591</v>
      </c>
      <c r="G3" s="81" t="s">
        <v>592</v>
      </c>
      <c r="H3" s="80"/>
      <c r="K3" s="79"/>
    </row>
    <row r="4" spans="1:11" ht="15">
      <c r="A4" s="80">
        <v>1</v>
      </c>
      <c r="B4" s="80" t="s">
        <v>593</v>
      </c>
      <c r="C4" s="80"/>
      <c r="D4" s="82">
        <f>451465</f>
        <v>451465</v>
      </c>
      <c r="E4" s="82">
        <f>800657</f>
        <v>800657</v>
      </c>
      <c r="F4" s="82">
        <f>E4-D4</f>
        <v>349192</v>
      </c>
      <c r="G4" s="82">
        <f>F4*6</f>
        <v>2095152</v>
      </c>
      <c r="H4" s="82"/>
    </row>
    <row r="5" spans="1:11" ht="15">
      <c r="A5" s="80">
        <v>2</v>
      </c>
      <c r="B5" s="80" t="s">
        <v>594</v>
      </c>
      <c r="C5" s="80"/>
      <c r="D5" s="82">
        <f t="shared" ref="D5" si="0">451465</f>
        <v>451465</v>
      </c>
      <c r="E5" s="82">
        <f>800657</f>
        <v>800657</v>
      </c>
      <c r="F5" s="82">
        <f t="shared" ref="F5:F8" si="1">E5-D5</f>
        <v>349192</v>
      </c>
      <c r="G5" s="82">
        <f t="shared" ref="G5:G8" si="2">F5*6</f>
        <v>2095152</v>
      </c>
      <c r="H5" s="82"/>
    </row>
    <row r="6" spans="1:11" ht="15">
      <c r="A6" s="80">
        <v>3</v>
      </c>
      <c r="B6" s="80" t="s">
        <v>595</v>
      </c>
      <c r="C6" s="80"/>
      <c r="D6" s="82">
        <f>367553</f>
        <v>367553</v>
      </c>
      <c r="E6" s="82">
        <f>424023</f>
        <v>424023</v>
      </c>
      <c r="F6" s="82">
        <f t="shared" si="1"/>
        <v>56470</v>
      </c>
      <c r="G6" s="82">
        <f t="shared" si="2"/>
        <v>338820</v>
      </c>
      <c r="H6" s="82"/>
    </row>
    <row r="7" spans="1:11" ht="15">
      <c r="A7" s="80">
        <v>4</v>
      </c>
      <c r="B7" s="80" t="s">
        <v>596</v>
      </c>
      <c r="C7" s="80"/>
      <c r="D7" s="82">
        <f t="shared" ref="D7:D8" si="3">367553</f>
        <v>367553</v>
      </c>
      <c r="E7" s="82">
        <f t="shared" ref="E7:E8" si="4">424023</f>
        <v>424023</v>
      </c>
      <c r="F7" s="82">
        <f t="shared" si="1"/>
        <v>56470</v>
      </c>
      <c r="G7" s="82">
        <f t="shared" si="2"/>
        <v>338820</v>
      </c>
      <c r="H7" s="82"/>
    </row>
    <row r="8" spans="1:11" ht="15">
      <c r="A8" s="80">
        <v>5</v>
      </c>
      <c r="B8" s="80" t="s">
        <v>597</v>
      </c>
      <c r="C8" s="80"/>
      <c r="D8" s="82">
        <f t="shared" si="3"/>
        <v>367553</v>
      </c>
      <c r="E8" s="82">
        <f t="shared" si="4"/>
        <v>424023</v>
      </c>
      <c r="F8" s="82">
        <f t="shared" si="1"/>
        <v>56470</v>
      </c>
      <c r="G8" s="82">
        <f t="shared" si="2"/>
        <v>338820</v>
      </c>
      <c r="H8" s="82"/>
    </row>
    <row r="9" spans="1:11" ht="15.75">
      <c r="A9" s="80"/>
      <c r="B9" s="80"/>
      <c r="C9" s="80"/>
      <c r="D9" s="82"/>
      <c r="E9" s="82"/>
      <c r="F9" s="82"/>
      <c r="G9" s="83">
        <f>SUM(G4:G8)</f>
        <v>5206764</v>
      </c>
      <c r="H9" s="82"/>
    </row>
    <row r="10" spans="1:11" ht="15">
      <c r="A10" s="80"/>
      <c r="B10" s="80"/>
      <c r="C10" s="80"/>
      <c r="D10" s="80"/>
      <c r="E10" s="80"/>
      <c r="F10" s="80"/>
      <c r="G10" s="80"/>
      <c r="H10" s="80"/>
    </row>
    <row r="11" spans="1:11" ht="15.75">
      <c r="A11" s="80"/>
      <c r="B11" s="87" t="s">
        <v>598</v>
      </c>
      <c r="C11" s="87"/>
      <c r="D11" s="87"/>
      <c r="E11" s="87"/>
      <c r="F11" s="80"/>
      <c r="G11" s="80"/>
      <c r="H11" s="80"/>
    </row>
    <row r="12" spans="1:11" ht="15">
      <c r="A12" s="80">
        <v>1</v>
      </c>
      <c r="B12" s="80" t="s">
        <v>593</v>
      </c>
      <c r="C12" s="80"/>
      <c r="D12" s="82">
        <f>451465</f>
        <v>451465</v>
      </c>
      <c r="E12" s="82">
        <f>825433</f>
        <v>825433</v>
      </c>
      <c r="F12" s="84">
        <f>E12-D12</f>
        <v>373968</v>
      </c>
      <c r="H12">
        <f>2880462.89-2095152</f>
        <v>785310.89000000013</v>
      </c>
    </row>
    <row r="13" spans="1:11" ht="15">
      <c r="A13" s="80">
        <v>2</v>
      </c>
      <c r="B13" s="80" t="s">
        <v>594</v>
      </c>
      <c r="C13" s="80"/>
      <c r="D13" s="82">
        <f t="shared" ref="D13" si="5">451465</f>
        <v>451465</v>
      </c>
      <c r="E13" s="82">
        <f>825433</f>
        <v>825433</v>
      </c>
      <c r="F13" s="84">
        <f t="shared" ref="F13:F16" si="6">E13-D13</f>
        <v>373968</v>
      </c>
      <c r="H13">
        <f>2980462.89-2095152</f>
        <v>885310.89000000013</v>
      </c>
    </row>
    <row r="14" spans="1:11" ht="15">
      <c r="A14" s="80">
        <v>3</v>
      </c>
      <c r="B14" s="80" t="s">
        <v>595</v>
      </c>
      <c r="C14" s="80"/>
      <c r="D14" s="82">
        <f>367553</f>
        <v>367553</v>
      </c>
      <c r="E14" s="82">
        <f>437744</f>
        <v>437744</v>
      </c>
      <c r="F14" s="84">
        <f t="shared" si="6"/>
        <v>70191</v>
      </c>
      <c r="H14">
        <f>776564-338820</f>
        <v>437744</v>
      </c>
    </row>
    <row r="15" spans="1:11" ht="15">
      <c r="A15" s="80">
        <v>4</v>
      </c>
      <c r="B15" s="80" t="s">
        <v>596</v>
      </c>
      <c r="C15" s="80"/>
      <c r="D15" s="82">
        <f t="shared" ref="D15:D16" si="7">367553</f>
        <v>367553</v>
      </c>
      <c r="E15" s="82">
        <f t="shared" ref="E15:E16" si="8">437744</f>
        <v>437744</v>
      </c>
      <c r="F15" s="84">
        <f t="shared" si="6"/>
        <v>70191</v>
      </c>
      <c r="H15">
        <f t="shared" ref="H15:H16" si="9">776564-338820</f>
        <v>437744</v>
      </c>
    </row>
    <row r="16" spans="1:11" ht="15">
      <c r="A16" s="80">
        <v>5</v>
      </c>
      <c r="B16" s="80" t="s">
        <v>597</v>
      </c>
      <c r="C16" s="80"/>
      <c r="D16" s="82">
        <f t="shared" si="7"/>
        <v>367553</v>
      </c>
      <c r="E16" s="82">
        <f t="shared" si="8"/>
        <v>437744</v>
      </c>
      <c r="F16" s="84">
        <f t="shared" si="6"/>
        <v>70191</v>
      </c>
      <c r="H16">
        <f t="shared" si="9"/>
        <v>437744</v>
      </c>
    </row>
    <row r="17" spans="1:13" ht="15.75">
      <c r="D17" s="80"/>
      <c r="E17" s="80"/>
      <c r="F17" s="85">
        <f>SUM(F12:F16)</f>
        <v>958509</v>
      </c>
    </row>
    <row r="19" spans="1:13" ht="15.75">
      <c r="B19" s="87" t="s">
        <v>599</v>
      </c>
      <c r="C19" s="87"/>
      <c r="D19" s="87"/>
      <c r="E19" s="87"/>
    </row>
    <row r="20" spans="1:13" ht="15">
      <c r="A20" s="80">
        <v>1</v>
      </c>
      <c r="B20" s="80" t="s">
        <v>593</v>
      </c>
      <c r="C20" s="80"/>
      <c r="D20" s="82">
        <f>21618.09</f>
        <v>21618.09</v>
      </c>
      <c r="E20" s="82">
        <f>52776.63</f>
        <v>52776.63</v>
      </c>
      <c r="F20" s="84">
        <f>E20-D20</f>
        <v>31158.539999999997</v>
      </c>
    </row>
    <row r="21" spans="1:13" ht="15">
      <c r="A21" s="80">
        <v>2</v>
      </c>
      <c r="B21" s="80" t="s">
        <v>594</v>
      </c>
      <c r="C21" s="80"/>
      <c r="D21" s="82">
        <f>21618.09</f>
        <v>21618.09</v>
      </c>
      <c r="E21" s="82">
        <f>52776.63</f>
        <v>52776.63</v>
      </c>
      <c r="F21" s="84">
        <f t="shared" ref="F21:F24" si="10">E21-D21</f>
        <v>31158.539999999997</v>
      </c>
    </row>
    <row r="22" spans="1:13" ht="15">
      <c r="A22" s="80">
        <v>3</v>
      </c>
      <c r="B22" s="80" t="s">
        <v>595</v>
      </c>
      <c r="C22" s="80"/>
      <c r="D22" s="82">
        <f>15548.33</f>
        <v>15548.33</v>
      </c>
      <c r="E22" s="82">
        <f>21618.09</f>
        <v>21618.09</v>
      </c>
      <c r="F22" s="84">
        <f t="shared" si="10"/>
        <v>6069.76</v>
      </c>
    </row>
    <row r="23" spans="1:13" ht="15">
      <c r="A23" s="80">
        <v>4</v>
      </c>
      <c r="B23" s="80" t="s">
        <v>596</v>
      </c>
      <c r="C23" s="80"/>
      <c r="D23" s="82">
        <f t="shared" ref="D23:D24" si="11">15548.33</f>
        <v>15548.33</v>
      </c>
      <c r="E23" s="82">
        <f t="shared" ref="E23:E24" si="12">21618.09</f>
        <v>21618.09</v>
      </c>
      <c r="F23" s="84">
        <f t="shared" si="10"/>
        <v>6069.76</v>
      </c>
    </row>
    <row r="24" spans="1:13" ht="15">
      <c r="A24" s="80">
        <v>5</v>
      </c>
      <c r="B24" s="80" t="s">
        <v>597</v>
      </c>
      <c r="C24" s="80"/>
      <c r="D24" s="82">
        <f t="shared" si="11"/>
        <v>15548.33</v>
      </c>
      <c r="E24" s="82">
        <f t="shared" si="12"/>
        <v>21618.09</v>
      </c>
      <c r="F24" s="84">
        <f t="shared" si="10"/>
        <v>6069.76</v>
      </c>
    </row>
    <row r="25" spans="1:13" ht="15.75">
      <c r="F25" s="85">
        <f>SUM(F20:F24)</f>
        <v>80526.359999999986</v>
      </c>
    </row>
    <row r="28" spans="1:13" ht="15.75">
      <c r="B28" s="87" t="s">
        <v>600</v>
      </c>
      <c r="C28" s="87"/>
      <c r="D28" s="87"/>
      <c r="E28" s="87"/>
    </row>
    <row r="29" spans="1:13" ht="15">
      <c r="A29" s="80">
        <v>1</v>
      </c>
      <c r="B29" s="80" t="s">
        <v>601</v>
      </c>
      <c r="C29" s="80" t="s">
        <v>51</v>
      </c>
      <c r="D29" s="88">
        <v>0</v>
      </c>
      <c r="E29" s="88">
        <f>437744</f>
        <v>437744</v>
      </c>
      <c r="F29" s="88"/>
      <c r="G29" s="89">
        <f>E29+F29</f>
        <v>437744</v>
      </c>
      <c r="H29" s="89">
        <f>G29-D29</f>
        <v>437744</v>
      </c>
      <c r="K29" s="88">
        <f>[7]FEB2020!$H$19</f>
        <v>0</v>
      </c>
      <c r="L29" s="88">
        <f>[7]FEB2020!$G$19</f>
        <v>100000</v>
      </c>
      <c r="M29" s="89">
        <f>K29+L29</f>
        <v>100000</v>
      </c>
    </row>
    <row r="30" spans="1:13" ht="15">
      <c r="A30" s="80">
        <v>2</v>
      </c>
      <c r="B30" s="80" t="s">
        <v>602</v>
      </c>
      <c r="C30" s="80" t="s">
        <v>63</v>
      </c>
      <c r="D30" s="88">
        <v>0</v>
      </c>
      <c r="E30" s="88">
        <f t="shared" ref="E30:E35" si="13">344720</f>
        <v>344720</v>
      </c>
      <c r="F30" s="88">
        <f>100000</f>
        <v>100000</v>
      </c>
      <c r="G30" s="89">
        <f t="shared" ref="G30:G53" si="14">E30+F30</f>
        <v>444720</v>
      </c>
      <c r="H30" s="89">
        <f t="shared" ref="H30:H53" si="15">G30-D30</f>
        <v>444720</v>
      </c>
      <c r="K30" s="88"/>
      <c r="L30" s="88">
        <f>50000</f>
        <v>50000</v>
      </c>
    </row>
    <row r="31" spans="1:13" ht="15">
      <c r="A31" s="80">
        <v>3</v>
      </c>
      <c r="B31" s="80" t="s">
        <v>603</v>
      </c>
      <c r="C31" s="80" t="s">
        <v>63</v>
      </c>
      <c r="D31" s="88">
        <v>0</v>
      </c>
      <c r="E31" s="88">
        <f t="shared" si="13"/>
        <v>344720</v>
      </c>
      <c r="F31" s="88">
        <f t="shared" ref="F31:F48" si="16">100000</f>
        <v>100000</v>
      </c>
      <c r="G31" s="89">
        <f t="shared" si="14"/>
        <v>444720</v>
      </c>
      <c r="H31" s="89">
        <f t="shared" si="15"/>
        <v>444720</v>
      </c>
      <c r="K31" s="88"/>
      <c r="L31" s="88"/>
    </row>
    <row r="32" spans="1:13" ht="15">
      <c r="A32" s="80">
        <v>4</v>
      </c>
      <c r="B32" s="80" t="s">
        <v>604</v>
      </c>
      <c r="C32" s="80" t="s">
        <v>63</v>
      </c>
      <c r="D32" s="88">
        <v>0</v>
      </c>
      <c r="E32" s="88">
        <f t="shared" si="13"/>
        <v>344720</v>
      </c>
      <c r="F32" s="88">
        <f t="shared" si="16"/>
        <v>100000</v>
      </c>
      <c r="G32" s="89">
        <f t="shared" si="14"/>
        <v>444720</v>
      </c>
      <c r="H32" s="89">
        <f t="shared" si="15"/>
        <v>444720</v>
      </c>
      <c r="K32" s="88"/>
      <c r="L32" s="88"/>
    </row>
    <row r="33" spans="1:12" ht="15">
      <c r="A33" s="80">
        <v>5</v>
      </c>
      <c r="B33" s="80" t="s">
        <v>605</v>
      </c>
      <c r="C33" s="80" t="s">
        <v>63</v>
      </c>
      <c r="D33" s="88">
        <v>0</v>
      </c>
      <c r="E33" s="88">
        <f t="shared" si="13"/>
        <v>344720</v>
      </c>
      <c r="F33" s="88"/>
      <c r="G33" s="89">
        <f t="shared" si="14"/>
        <v>344720</v>
      </c>
      <c r="H33" s="89">
        <f t="shared" si="15"/>
        <v>344720</v>
      </c>
      <c r="K33" s="88"/>
      <c r="L33" s="88"/>
    </row>
    <row r="34" spans="1:12" ht="15">
      <c r="A34" s="80">
        <v>6</v>
      </c>
      <c r="B34" s="80" t="s">
        <v>606</v>
      </c>
      <c r="C34" s="80" t="s">
        <v>63</v>
      </c>
      <c r="D34" s="88">
        <v>0</v>
      </c>
      <c r="E34" s="88">
        <f t="shared" si="13"/>
        <v>344720</v>
      </c>
      <c r="F34" s="88">
        <f>100000</f>
        <v>100000</v>
      </c>
      <c r="G34" s="89">
        <f>E34+F34</f>
        <v>444720</v>
      </c>
      <c r="H34" s="89">
        <f>G34-D34</f>
        <v>444720</v>
      </c>
      <c r="K34" s="88"/>
      <c r="L34" s="88">
        <f>25000</f>
        <v>25000</v>
      </c>
    </row>
    <row r="35" spans="1:12" ht="15">
      <c r="A35" s="80">
        <v>7</v>
      </c>
      <c r="B35" s="80" t="s">
        <v>607</v>
      </c>
      <c r="C35" s="80" t="s">
        <v>63</v>
      </c>
      <c r="D35" s="88">
        <v>0</v>
      </c>
      <c r="E35" s="88">
        <f t="shared" si="13"/>
        <v>344720</v>
      </c>
      <c r="F35" s="88">
        <f>100000</f>
        <v>100000</v>
      </c>
      <c r="G35" s="89">
        <f>E35+F35</f>
        <v>444720</v>
      </c>
      <c r="H35" s="89">
        <f>G35-D35</f>
        <v>444720</v>
      </c>
      <c r="K35" s="88"/>
      <c r="L35" s="88">
        <f>25000</f>
        <v>25000</v>
      </c>
    </row>
    <row r="36" spans="1:12" ht="15">
      <c r="A36" s="80">
        <v>8</v>
      </c>
      <c r="B36" s="80" t="s">
        <v>608</v>
      </c>
      <c r="C36" s="80" t="s">
        <v>471</v>
      </c>
      <c r="D36" s="88">
        <v>0</v>
      </c>
      <c r="E36" s="88">
        <f>249153.06</f>
        <v>249153.06</v>
      </c>
      <c r="F36" s="88">
        <f>100000</f>
        <v>100000</v>
      </c>
      <c r="G36" s="89">
        <f t="shared" si="14"/>
        <v>349153.06</v>
      </c>
      <c r="H36" s="89">
        <f t="shared" si="15"/>
        <v>349153.06</v>
      </c>
      <c r="K36" s="88"/>
      <c r="L36" s="88">
        <f>20000</f>
        <v>20000</v>
      </c>
    </row>
    <row r="37" spans="1:12" ht="15">
      <c r="A37" s="80">
        <v>9</v>
      </c>
      <c r="B37" s="80" t="s">
        <v>609</v>
      </c>
      <c r="C37" s="80" t="s">
        <v>76</v>
      </c>
      <c r="D37" s="88">
        <v>0</v>
      </c>
      <c r="E37" s="88">
        <f>226713</f>
        <v>226713</v>
      </c>
      <c r="F37" s="88">
        <f t="shared" si="16"/>
        <v>100000</v>
      </c>
      <c r="G37" s="89">
        <f t="shared" si="14"/>
        <v>326713</v>
      </c>
      <c r="H37" s="89">
        <f t="shared" si="15"/>
        <v>326713</v>
      </c>
      <c r="K37" s="88"/>
      <c r="L37" s="88">
        <f>110000</f>
        <v>110000</v>
      </c>
    </row>
    <row r="38" spans="1:12" ht="15">
      <c r="A38" s="80">
        <v>10</v>
      </c>
      <c r="B38" s="80" t="s">
        <v>418</v>
      </c>
      <c r="C38" s="80" t="s">
        <v>76</v>
      </c>
      <c r="D38" s="88"/>
      <c r="E38" s="88">
        <f t="shared" ref="E38:E40" si="17">226713</f>
        <v>226713</v>
      </c>
      <c r="F38" s="88">
        <f t="shared" si="16"/>
        <v>100000</v>
      </c>
      <c r="G38" s="89">
        <f t="shared" ref="G38:G39" si="18">E38+F38</f>
        <v>326713</v>
      </c>
      <c r="H38" s="89">
        <f t="shared" ref="H38:H39" si="19">G38-D38</f>
        <v>326713</v>
      </c>
      <c r="K38" s="88">
        <f>131666.67</f>
        <v>131666.67000000001</v>
      </c>
      <c r="L38" s="88">
        <f>10000</f>
        <v>10000</v>
      </c>
    </row>
    <row r="39" spans="1:12" ht="15">
      <c r="A39" s="80">
        <v>11</v>
      </c>
      <c r="B39" s="80" t="s">
        <v>610</v>
      </c>
      <c r="C39" s="80" t="s">
        <v>76</v>
      </c>
      <c r="D39" s="88"/>
      <c r="E39" s="88">
        <f t="shared" si="17"/>
        <v>226713</v>
      </c>
      <c r="F39" s="88">
        <f t="shared" si="16"/>
        <v>100000</v>
      </c>
      <c r="G39" s="89">
        <f t="shared" si="18"/>
        <v>326713</v>
      </c>
      <c r="H39" s="89">
        <f t="shared" si="19"/>
        <v>326713</v>
      </c>
      <c r="K39" s="88">
        <f>34166.67</f>
        <v>34166.67</v>
      </c>
      <c r="L39" s="88">
        <f>25000</f>
        <v>25000</v>
      </c>
    </row>
    <row r="40" spans="1:12" ht="15">
      <c r="A40" s="80">
        <v>12</v>
      </c>
      <c r="B40" s="80" t="s">
        <v>611</v>
      </c>
      <c r="C40" s="80" t="s">
        <v>76</v>
      </c>
      <c r="D40" s="88"/>
      <c r="E40" s="88">
        <f t="shared" si="17"/>
        <v>226713</v>
      </c>
      <c r="F40" s="88">
        <f t="shared" si="16"/>
        <v>100000</v>
      </c>
      <c r="G40" s="89">
        <f t="shared" ref="G40" si="20">E40+F40</f>
        <v>326713</v>
      </c>
      <c r="H40" s="89">
        <f t="shared" ref="H40" si="21">G40-D40</f>
        <v>326713</v>
      </c>
      <c r="K40" s="88"/>
      <c r="L40" s="88">
        <f>20000</f>
        <v>20000</v>
      </c>
    </row>
    <row r="41" spans="1:12" ht="15">
      <c r="A41" s="80">
        <v>13</v>
      </c>
      <c r="B41" s="80" t="s">
        <v>612</v>
      </c>
      <c r="C41" s="80" t="s">
        <v>449</v>
      </c>
      <c r="D41" s="88">
        <v>0</v>
      </c>
      <c r="E41" s="88">
        <f>168602.08</f>
        <v>168602.08</v>
      </c>
      <c r="F41" s="88"/>
      <c r="G41" s="89">
        <f t="shared" si="14"/>
        <v>168602.08</v>
      </c>
      <c r="H41" s="89">
        <f t="shared" si="15"/>
        <v>168602.08</v>
      </c>
      <c r="K41" s="88"/>
      <c r="L41" s="88">
        <f>10000</f>
        <v>10000</v>
      </c>
    </row>
    <row r="42" spans="1:12" ht="15">
      <c r="A42" s="80">
        <v>14</v>
      </c>
      <c r="B42" s="80" t="s">
        <v>613</v>
      </c>
      <c r="C42" s="80" t="s">
        <v>449</v>
      </c>
      <c r="D42" s="88">
        <v>0</v>
      </c>
      <c r="E42" s="88">
        <f>168602.08</f>
        <v>168602.08</v>
      </c>
      <c r="F42" s="88">
        <f t="shared" si="16"/>
        <v>100000</v>
      </c>
      <c r="G42" s="89">
        <f t="shared" si="14"/>
        <v>268602.07999999996</v>
      </c>
      <c r="H42" s="89">
        <f t="shared" si="15"/>
        <v>268602.07999999996</v>
      </c>
      <c r="K42" s="88"/>
      <c r="L42" s="88"/>
    </row>
    <row r="43" spans="1:12" ht="15">
      <c r="A43" s="80">
        <v>15</v>
      </c>
      <c r="B43" s="80" t="s">
        <v>614</v>
      </c>
      <c r="C43" s="80" t="s">
        <v>449</v>
      </c>
      <c r="D43" s="88">
        <v>0</v>
      </c>
      <c r="E43" s="88">
        <f>168602</f>
        <v>168602</v>
      </c>
      <c r="F43" s="88">
        <f t="shared" si="16"/>
        <v>100000</v>
      </c>
      <c r="G43" s="89">
        <f t="shared" si="14"/>
        <v>268602</v>
      </c>
      <c r="H43" s="89">
        <f t="shared" si="15"/>
        <v>268602</v>
      </c>
      <c r="K43" s="88"/>
      <c r="L43" s="88"/>
    </row>
    <row r="44" spans="1:12" ht="15">
      <c r="A44" s="80">
        <v>16</v>
      </c>
      <c r="B44" s="80" t="s">
        <v>615</v>
      </c>
      <c r="C44" s="80" t="s">
        <v>449</v>
      </c>
      <c r="D44" s="88">
        <v>0</v>
      </c>
      <c r="E44" s="88">
        <f>168602</f>
        <v>168602</v>
      </c>
      <c r="F44" s="88">
        <f t="shared" si="16"/>
        <v>100000</v>
      </c>
      <c r="G44" s="89">
        <f t="shared" si="14"/>
        <v>268602</v>
      </c>
      <c r="H44" s="89">
        <f t="shared" si="15"/>
        <v>268602</v>
      </c>
      <c r="K44" s="88"/>
      <c r="L44" s="88">
        <f>10000</f>
        <v>10000</v>
      </c>
    </row>
    <row r="45" spans="1:12" ht="15">
      <c r="A45" s="80">
        <v>17</v>
      </c>
      <c r="B45" s="80" t="s">
        <v>616</v>
      </c>
      <c r="C45" s="80" t="s">
        <v>465</v>
      </c>
      <c r="D45" s="88">
        <v>0</v>
      </c>
      <c r="E45" s="88">
        <f t="shared" ref="E45:E50" si="22">123329</f>
        <v>123329</v>
      </c>
      <c r="F45" s="88">
        <f t="shared" si="16"/>
        <v>100000</v>
      </c>
      <c r="G45" s="89">
        <f t="shared" si="14"/>
        <v>223329</v>
      </c>
      <c r="H45" s="89">
        <f t="shared" si="15"/>
        <v>223329</v>
      </c>
      <c r="K45" s="88"/>
      <c r="L45" s="88"/>
    </row>
    <row r="46" spans="1:12" ht="15">
      <c r="A46" s="80">
        <v>18</v>
      </c>
      <c r="B46" s="80" t="s">
        <v>617</v>
      </c>
      <c r="C46" s="80" t="s">
        <v>465</v>
      </c>
      <c r="D46" s="88">
        <v>0</v>
      </c>
      <c r="E46" s="88">
        <f t="shared" si="22"/>
        <v>123329</v>
      </c>
      <c r="F46" s="88">
        <f t="shared" si="16"/>
        <v>100000</v>
      </c>
      <c r="G46" s="89">
        <f t="shared" si="14"/>
        <v>223329</v>
      </c>
      <c r="H46" s="89">
        <f t="shared" si="15"/>
        <v>223329</v>
      </c>
      <c r="K46" s="88"/>
      <c r="L46" s="88"/>
    </row>
    <row r="47" spans="1:12" ht="15">
      <c r="A47" s="80">
        <v>19</v>
      </c>
      <c r="B47" s="80" t="s">
        <v>618</v>
      </c>
      <c r="C47" s="80" t="s">
        <v>465</v>
      </c>
      <c r="D47" s="88">
        <v>0</v>
      </c>
      <c r="E47" s="88">
        <f t="shared" si="22"/>
        <v>123329</v>
      </c>
      <c r="F47" s="88">
        <f t="shared" si="16"/>
        <v>100000</v>
      </c>
      <c r="G47" s="89">
        <f t="shared" si="14"/>
        <v>223329</v>
      </c>
      <c r="H47" s="89">
        <f t="shared" si="15"/>
        <v>223329</v>
      </c>
      <c r="K47" s="88"/>
      <c r="L47" s="88"/>
    </row>
    <row r="48" spans="1:12" ht="15">
      <c r="A48" s="80">
        <v>20</v>
      </c>
      <c r="B48" s="80" t="s">
        <v>619</v>
      </c>
      <c r="C48" s="80" t="s">
        <v>465</v>
      </c>
      <c r="D48" s="88">
        <v>0</v>
      </c>
      <c r="E48" s="88">
        <f t="shared" si="22"/>
        <v>123329</v>
      </c>
      <c r="F48" s="88">
        <f t="shared" si="16"/>
        <v>100000</v>
      </c>
      <c r="G48" s="89">
        <f t="shared" si="14"/>
        <v>223329</v>
      </c>
      <c r="H48" s="89">
        <f t="shared" si="15"/>
        <v>223329</v>
      </c>
      <c r="K48" s="88"/>
      <c r="L48" s="88"/>
    </row>
    <row r="49" spans="1:12" ht="15">
      <c r="A49" s="80">
        <v>21</v>
      </c>
      <c r="B49" s="80" t="s">
        <v>620</v>
      </c>
      <c r="C49" s="80" t="s">
        <v>465</v>
      </c>
      <c r="D49" s="88">
        <v>0</v>
      </c>
      <c r="E49" s="88">
        <f t="shared" si="22"/>
        <v>123329</v>
      </c>
      <c r="F49" s="88"/>
      <c r="G49" s="89">
        <f t="shared" si="14"/>
        <v>123329</v>
      </c>
      <c r="H49" s="89">
        <f t="shared" si="15"/>
        <v>123329</v>
      </c>
      <c r="K49" s="88"/>
      <c r="L49" s="88"/>
    </row>
    <row r="50" spans="1:12" ht="15">
      <c r="A50" s="80">
        <v>22</v>
      </c>
      <c r="B50" s="80" t="s">
        <v>621</v>
      </c>
      <c r="C50" s="80" t="s">
        <v>465</v>
      </c>
      <c r="D50" s="88">
        <v>0</v>
      </c>
      <c r="E50" s="88">
        <f t="shared" si="22"/>
        <v>123329</v>
      </c>
      <c r="F50" s="88"/>
      <c r="G50" s="89">
        <f t="shared" si="14"/>
        <v>123329</v>
      </c>
      <c r="H50" s="89">
        <f t="shared" si="15"/>
        <v>123329</v>
      </c>
      <c r="K50" s="88"/>
      <c r="L50" s="88"/>
    </row>
    <row r="51" spans="1:12" ht="15">
      <c r="A51" s="80">
        <v>23</v>
      </c>
      <c r="B51" s="80" t="s">
        <v>622</v>
      </c>
      <c r="C51" s="80" t="s">
        <v>623</v>
      </c>
      <c r="D51" s="88">
        <v>0</v>
      </c>
      <c r="E51" s="88">
        <f>226713</f>
        <v>226713</v>
      </c>
      <c r="F51" s="88">
        <f>100000</f>
        <v>100000</v>
      </c>
      <c r="G51" s="89">
        <f t="shared" si="14"/>
        <v>326713</v>
      </c>
      <c r="H51" s="89">
        <f t="shared" si="15"/>
        <v>326713</v>
      </c>
      <c r="K51" s="88"/>
      <c r="L51" s="88"/>
    </row>
    <row r="52" spans="1:12" ht="15">
      <c r="A52" s="80">
        <v>24</v>
      </c>
      <c r="B52" s="80" t="s">
        <v>624</v>
      </c>
      <c r="C52" s="80" t="s">
        <v>623</v>
      </c>
      <c r="D52" s="88">
        <v>0</v>
      </c>
      <c r="E52" s="88">
        <f>226713</f>
        <v>226713</v>
      </c>
      <c r="F52" s="88"/>
      <c r="G52" s="89">
        <f t="shared" si="14"/>
        <v>226713</v>
      </c>
      <c r="H52" s="89">
        <f t="shared" si="15"/>
        <v>226713</v>
      </c>
      <c r="K52" s="88"/>
      <c r="L52" s="88"/>
    </row>
    <row r="53" spans="1:12" ht="15">
      <c r="A53" s="80">
        <v>25</v>
      </c>
      <c r="B53" s="80" t="s">
        <v>625</v>
      </c>
      <c r="C53" s="80" t="s">
        <v>465</v>
      </c>
      <c r="D53" s="88">
        <v>0</v>
      </c>
      <c r="E53" s="88">
        <f>123329</f>
        <v>123329</v>
      </c>
      <c r="F53" s="88"/>
      <c r="G53" s="89">
        <f t="shared" si="14"/>
        <v>123329</v>
      </c>
      <c r="H53" s="89">
        <f t="shared" si="15"/>
        <v>123329</v>
      </c>
      <c r="K53" s="88"/>
      <c r="L53" s="88"/>
    </row>
    <row r="54" spans="1:12" ht="15">
      <c r="A54" s="80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89">
        <f>SUM(G29:G53)</f>
        <v>7453206.2200000007</v>
      </c>
      <c r="H54" s="89">
        <f>SUM(H29:H53)</f>
        <v>7453206.2200000007</v>
      </c>
      <c r="K54" s="88">
        <f>SUM(K29:K53)</f>
        <v>165833.34000000003</v>
      </c>
      <c r="L54" s="88">
        <f>SUM(L29:L53)</f>
        <v>405000</v>
      </c>
    </row>
    <row r="55" spans="1:12" ht="15">
      <c r="A55" s="80"/>
      <c r="H55" s="89"/>
      <c r="L55" s="89">
        <f>K54+L54</f>
        <v>570833.34000000008</v>
      </c>
    </row>
    <row r="56" spans="1:12" ht="15.75">
      <c r="A56" s="80"/>
      <c r="B56" s="87" t="s">
        <v>599</v>
      </c>
    </row>
    <row r="57" spans="1:12" ht="15">
      <c r="A57" s="80">
        <v>1</v>
      </c>
      <c r="B57" s="80" t="s">
        <v>601</v>
      </c>
      <c r="C57" s="80" t="s">
        <v>51</v>
      </c>
      <c r="D57">
        <v>0</v>
      </c>
      <c r="E57" s="88">
        <f>21618.09</f>
        <v>21618.09</v>
      </c>
      <c r="F57" s="89">
        <f>D57-E57</f>
        <v>-21618.09</v>
      </c>
    </row>
    <row r="58" spans="1:12" ht="15">
      <c r="A58" s="80">
        <v>2</v>
      </c>
      <c r="B58" s="80" t="s">
        <v>602</v>
      </c>
      <c r="C58" s="80" t="s">
        <v>63</v>
      </c>
      <c r="D58">
        <v>0</v>
      </c>
      <c r="E58" s="88">
        <f>[7]FEB2020!$J$10</f>
        <v>0</v>
      </c>
      <c r="F58" s="89">
        <f t="shared" ref="F58:F81" si="23">D58-E58</f>
        <v>0</v>
      </c>
    </row>
    <row r="59" spans="1:12" ht="15">
      <c r="A59" s="80">
        <v>3</v>
      </c>
      <c r="B59" s="80" t="s">
        <v>603</v>
      </c>
      <c r="C59" s="80" t="s">
        <v>63</v>
      </c>
      <c r="D59">
        <v>0</v>
      </c>
      <c r="E59" s="88">
        <f>[7]FEB2020!$J$37</f>
        <v>0</v>
      </c>
      <c r="F59" s="89">
        <f t="shared" si="23"/>
        <v>0</v>
      </c>
    </row>
    <row r="60" spans="1:12" ht="15">
      <c r="A60" s="80">
        <v>4</v>
      </c>
      <c r="B60" s="80" t="s">
        <v>604</v>
      </c>
      <c r="C60" s="80" t="s">
        <v>63</v>
      </c>
      <c r="D60">
        <v>0</v>
      </c>
      <c r="E60" s="88">
        <f>[7]FEB2020!$J$27</f>
        <v>0</v>
      </c>
      <c r="F60" s="89">
        <f t="shared" si="23"/>
        <v>0</v>
      </c>
    </row>
    <row r="61" spans="1:12" ht="15">
      <c r="A61" s="80">
        <v>5</v>
      </c>
      <c r="B61" s="80" t="s">
        <v>605</v>
      </c>
      <c r="C61" s="80" t="s">
        <v>63</v>
      </c>
      <c r="D61">
        <v>0</v>
      </c>
      <c r="E61" s="88">
        <f>[7]FEB2020!$J$66</f>
        <v>0</v>
      </c>
      <c r="F61" s="89">
        <f t="shared" si="23"/>
        <v>0</v>
      </c>
    </row>
    <row r="62" spans="1:12" ht="15">
      <c r="A62" s="80">
        <v>6</v>
      </c>
      <c r="B62" s="80" t="s">
        <v>606</v>
      </c>
      <c r="C62" s="80" t="s">
        <v>63</v>
      </c>
      <c r="D62">
        <v>0</v>
      </c>
      <c r="E62" s="88">
        <f>[7]FEB2020!$J$69</f>
        <v>0</v>
      </c>
      <c r="F62" s="89">
        <f t="shared" si="23"/>
        <v>0</v>
      </c>
    </row>
    <row r="63" spans="1:12" ht="15">
      <c r="A63" s="80">
        <v>7</v>
      </c>
      <c r="B63" s="80" t="s">
        <v>607</v>
      </c>
      <c r="C63" s="80" t="s">
        <v>63</v>
      </c>
      <c r="E63" s="88">
        <f>[7]FEB2020!$J$69</f>
        <v>0</v>
      </c>
      <c r="F63" s="89">
        <f t="shared" si="23"/>
        <v>0</v>
      </c>
    </row>
    <row r="64" spans="1:12" ht="15">
      <c r="A64" s="80">
        <v>8</v>
      </c>
      <c r="B64" s="80" t="s">
        <v>608</v>
      </c>
      <c r="C64" s="80" t="s">
        <v>471</v>
      </c>
      <c r="D64">
        <v>0</v>
      </c>
      <c r="E64" s="88">
        <f>[7]FEB2020!$J$12</f>
        <v>0</v>
      </c>
      <c r="F64" s="89">
        <f t="shared" si="23"/>
        <v>0</v>
      </c>
    </row>
    <row r="65" spans="1:6" ht="15">
      <c r="A65" s="80">
        <v>9</v>
      </c>
      <c r="B65" s="80" t="s">
        <v>609</v>
      </c>
      <c r="C65" s="80" t="s">
        <v>76</v>
      </c>
      <c r="D65">
        <v>0</v>
      </c>
      <c r="E65" s="88">
        <f>[7]FEB2020!$J$23</f>
        <v>1235.19</v>
      </c>
      <c r="F65" s="89">
        <f t="shared" si="23"/>
        <v>-1235.19</v>
      </c>
    </row>
    <row r="66" spans="1:6" ht="15">
      <c r="A66" s="80">
        <v>10</v>
      </c>
      <c r="B66" s="80" t="s">
        <v>418</v>
      </c>
      <c r="C66" s="80" t="s">
        <v>76</v>
      </c>
      <c r="E66" s="88">
        <f>[7]FEB2020!$J$12</f>
        <v>0</v>
      </c>
      <c r="F66" s="89">
        <f t="shared" si="23"/>
        <v>0</v>
      </c>
    </row>
    <row r="67" spans="1:6" ht="15">
      <c r="A67" s="80">
        <v>11</v>
      </c>
      <c r="B67" s="80" t="s">
        <v>610</v>
      </c>
      <c r="C67" s="80" t="s">
        <v>76</v>
      </c>
      <c r="E67" s="88">
        <f>[7]FEB2020!$J$12</f>
        <v>0</v>
      </c>
      <c r="F67" s="89">
        <f t="shared" si="23"/>
        <v>0</v>
      </c>
    </row>
    <row r="68" spans="1:6" ht="15">
      <c r="A68" s="80">
        <v>12</v>
      </c>
      <c r="B68" s="80" t="s">
        <v>611</v>
      </c>
      <c r="C68" s="80" t="s">
        <v>76</v>
      </c>
      <c r="E68" s="88">
        <f>[7]FEB2020!$J$12</f>
        <v>0</v>
      </c>
      <c r="F68" s="89">
        <f t="shared" si="23"/>
        <v>0</v>
      </c>
    </row>
    <row r="69" spans="1:6" ht="15">
      <c r="A69" s="80">
        <v>13</v>
      </c>
      <c r="B69" s="80" t="s">
        <v>612</v>
      </c>
      <c r="C69" s="80" t="s">
        <v>449</v>
      </c>
      <c r="D69">
        <v>0</v>
      </c>
      <c r="E69" s="88">
        <f>[7]FEB2020!$J$14</f>
        <v>15548.33</v>
      </c>
      <c r="F69" s="89">
        <f t="shared" si="23"/>
        <v>-15548.33</v>
      </c>
    </row>
    <row r="70" spans="1:6" ht="15">
      <c r="A70" s="80">
        <v>14</v>
      </c>
      <c r="B70" s="80" t="s">
        <v>613</v>
      </c>
      <c r="C70" s="80" t="s">
        <v>449</v>
      </c>
      <c r="D70">
        <v>0</v>
      </c>
      <c r="E70" s="88">
        <f>[7]FEB2020!$J$24</f>
        <v>0</v>
      </c>
      <c r="F70" s="89">
        <f t="shared" si="23"/>
        <v>0</v>
      </c>
    </row>
    <row r="71" spans="1:6" ht="15">
      <c r="A71" s="80">
        <v>15</v>
      </c>
      <c r="B71" s="80" t="s">
        <v>614</v>
      </c>
      <c r="C71" s="80" t="s">
        <v>449</v>
      </c>
      <c r="D71">
        <v>0</v>
      </c>
      <c r="E71" s="88">
        <f>[7]FEB2020!$J$25</f>
        <v>0</v>
      </c>
      <c r="F71" s="89">
        <f t="shared" si="23"/>
        <v>0</v>
      </c>
    </row>
    <row r="72" spans="1:6" ht="15">
      <c r="A72" s="80">
        <v>16</v>
      </c>
      <c r="B72" s="80" t="s">
        <v>615</v>
      </c>
      <c r="C72" s="80" t="s">
        <v>449</v>
      </c>
      <c r="D72">
        <v>0</v>
      </c>
      <c r="E72" s="88">
        <f>[7]FEB2020!$J$73</f>
        <v>0</v>
      </c>
      <c r="F72" s="89">
        <f t="shared" si="23"/>
        <v>0</v>
      </c>
    </row>
    <row r="73" spans="1:6" ht="15">
      <c r="A73" s="80">
        <v>17</v>
      </c>
      <c r="B73" s="80" t="s">
        <v>616</v>
      </c>
      <c r="C73" s="80" t="s">
        <v>465</v>
      </c>
      <c r="D73">
        <v>0</v>
      </c>
      <c r="E73" s="88">
        <f>[7]FEB2020!$J$44</f>
        <v>0</v>
      </c>
      <c r="F73" s="89">
        <f t="shared" si="23"/>
        <v>0</v>
      </c>
    </row>
    <row r="74" spans="1:6" ht="15">
      <c r="A74" s="80">
        <v>18</v>
      </c>
      <c r="B74" s="80" t="s">
        <v>617</v>
      </c>
      <c r="C74" s="80" t="s">
        <v>465</v>
      </c>
      <c r="D74">
        <v>0</v>
      </c>
      <c r="E74" s="88">
        <f>[7]FEB2020!$J$44</f>
        <v>0</v>
      </c>
      <c r="F74" s="89">
        <f t="shared" si="23"/>
        <v>0</v>
      </c>
    </row>
    <row r="75" spans="1:6" ht="15">
      <c r="A75" s="80">
        <v>19</v>
      </c>
      <c r="B75" s="80" t="s">
        <v>618</v>
      </c>
      <c r="C75" s="80" t="s">
        <v>465</v>
      </c>
      <c r="D75">
        <v>0</v>
      </c>
      <c r="E75" s="88">
        <f>[7]FEB2020!$J$44</f>
        <v>0</v>
      </c>
      <c r="F75" s="89">
        <f t="shared" si="23"/>
        <v>0</v>
      </c>
    </row>
    <row r="76" spans="1:6" ht="15">
      <c r="A76" s="80">
        <v>20</v>
      </c>
      <c r="B76" s="80" t="s">
        <v>619</v>
      </c>
      <c r="C76" s="80" t="s">
        <v>465</v>
      </c>
      <c r="D76">
        <v>0</v>
      </c>
      <c r="E76" s="88">
        <f>[7]FEB2020!$J$44</f>
        <v>0</v>
      </c>
      <c r="F76" s="89">
        <f t="shared" si="23"/>
        <v>0</v>
      </c>
    </row>
    <row r="77" spans="1:6" ht="15">
      <c r="A77" s="80">
        <v>21</v>
      </c>
      <c r="B77" s="80" t="s">
        <v>620</v>
      </c>
      <c r="C77" s="80" t="s">
        <v>465</v>
      </c>
      <c r="D77">
        <v>0</v>
      </c>
      <c r="E77" s="88">
        <f>[7]FEB2020!$J$44</f>
        <v>0</v>
      </c>
      <c r="F77" s="89">
        <f t="shared" si="23"/>
        <v>0</v>
      </c>
    </row>
    <row r="78" spans="1:6" ht="15">
      <c r="A78" s="80">
        <v>22</v>
      </c>
      <c r="B78" s="80" t="s">
        <v>621</v>
      </c>
      <c r="C78" s="80" t="s">
        <v>465</v>
      </c>
      <c r="D78">
        <v>0</v>
      </c>
      <c r="E78" s="88">
        <f>[7]FEB2020!$J$44</f>
        <v>0</v>
      </c>
      <c r="F78" s="89">
        <f t="shared" si="23"/>
        <v>0</v>
      </c>
    </row>
    <row r="79" spans="1:6" ht="15">
      <c r="A79" s="80">
        <v>23</v>
      </c>
      <c r="B79" s="80" t="s">
        <v>622</v>
      </c>
      <c r="C79" s="80" t="s">
        <v>623</v>
      </c>
      <c r="D79">
        <v>0</v>
      </c>
      <c r="E79" s="88">
        <f>[7]FEB2020!$J$12</f>
        <v>0</v>
      </c>
      <c r="F79" s="89">
        <f t="shared" si="23"/>
        <v>0</v>
      </c>
    </row>
    <row r="80" spans="1:6" ht="15">
      <c r="A80" s="80">
        <v>24</v>
      </c>
      <c r="B80" s="80" t="s">
        <v>624</v>
      </c>
      <c r="C80" s="80" t="s">
        <v>623</v>
      </c>
      <c r="D80">
        <v>0</v>
      </c>
      <c r="E80" s="88">
        <f>[7]FEB2020!$J$12</f>
        <v>0</v>
      </c>
      <c r="F80" s="89">
        <f t="shared" si="23"/>
        <v>0</v>
      </c>
    </row>
    <row r="81" spans="1:6" ht="15">
      <c r="A81" s="80">
        <v>25</v>
      </c>
      <c r="B81" s="80" t="s">
        <v>625</v>
      </c>
      <c r="C81" s="80" t="s">
        <v>465</v>
      </c>
      <c r="E81" s="88">
        <f>[7]FEB2020!$J$44</f>
        <v>0</v>
      </c>
      <c r="F81" s="89">
        <f t="shared" si="23"/>
        <v>0</v>
      </c>
    </row>
    <row r="82" spans="1:6">
      <c r="F82" s="89">
        <f>SUM(F57:F81)</f>
        <v>-38401.61</v>
      </c>
    </row>
    <row r="85" spans="1:6" ht="15.75">
      <c r="A85" s="80"/>
      <c r="B85" s="87" t="s">
        <v>626</v>
      </c>
      <c r="C85" s="87"/>
      <c r="D85" s="87"/>
      <c r="E85" s="87"/>
      <c r="F85" s="80"/>
    </row>
    <row r="86" spans="1:6" ht="15">
      <c r="A86" s="80">
        <v>1</v>
      </c>
      <c r="B86" s="80" t="s">
        <v>627</v>
      </c>
      <c r="C86" s="80"/>
      <c r="D86" s="82">
        <f>501465.02</f>
        <v>501465.02</v>
      </c>
      <c r="E86" s="82">
        <f>800657.46</f>
        <v>800657.46</v>
      </c>
      <c r="F86" s="84">
        <f t="shared" ref="F86:F87" si="24">E86-D86</f>
        <v>299192.43999999994</v>
      </c>
    </row>
    <row r="87" spans="1:6" ht="15">
      <c r="A87" s="80">
        <v>2</v>
      </c>
      <c r="B87" s="80" t="s">
        <v>597</v>
      </c>
      <c r="C87" s="80"/>
      <c r="D87" s="82">
        <f>437744</f>
        <v>437744</v>
      </c>
      <c r="E87" s="82">
        <f>800657.46</f>
        <v>800657.46</v>
      </c>
      <c r="F87" s="84">
        <f t="shared" si="24"/>
        <v>362913.45999999996</v>
      </c>
    </row>
    <row r="88" spans="1:6">
      <c r="F88" s="89">
        <f>SUM(F86:F87)</f>
        <v>662105.89999999991</v>
      </c>
    </row>
    <row r="89" spans="1:6" ht="15.75">
      <c r="B89" s="87" t="s">
        <v>599</v>
      </c>
      <c r="C89" s="87"/>
      <c r="D89" s="87"/>
      <c r="E89" s="87"/>
    </row>
    <row r="90" spans="1:6" ht="15">
      <c r="A90" s="80">
        <v>1</v>
      </c>
      <c r="B90" s="80" t="s">
        <v>627</v>
      </c>
      <c r="C90" s="80"/>
      <c r="D90" s="82">
        <f>21618.09</f>
        <v>21618.09</v>
      </c>
      <c r="E90" s="82">
        <f>52776.63</f>
        <v>52776.63</v>
      </c>
      <c r="F90" s="84">
        <f>E90-D90</f>
        <v>31158.539999999997</v>
      </c>
    </row>
    <row r="91" spans="1:6" ht="15">
      <c r="A91" s="80">
        <v>2</v>
      </c>
      <c r="B91" s="80" t="s">
        <v>597</v>
      </c>
      <c r="C91" s="80"/>
      <c r="D91" s="82">
        <f>21618.09</f>
        <v>21618.09</v>
      </c>
      <c r="E91" s="82">
        <f>52776.63</f>
        <v>52776.63</v>
      </c>
      <c r="F91" s="84">
        <f t="shared" ref="F91" si="25">E91-D91</f>
        <v>31158.539999999997</v>
      </c>
    </row>
    <row r="92" spans="1:6">
      <c r="F92" s="89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4"/>
  <sheetViews>
    <sheetView workbookViewId="0">
      <selection activeCell="D14" sqref="D14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296" t="s">
        <v>628</v>
      </c>
      <c r="B1" s="296"/>
      <c r="C1" s="296"/>
      <c r="D1" s="296"/>
      <c r="E1" s="296"/>
      <c r="F1" s="296"/>
    </row>
    <row r="2" spans="1:6" ht="18.75">
      <c r="A2" s="297" t="s">
        <v>629</v>
      </c>
      <c r="B2" s="297"/>
      <c r="C2" s="297"/>
      <c r="D2" s="297"/>
      <c r="E2" s="297"/>
      <c r="F2" s="297"/>
    </row>
    <row r="3" spans="1:6" ht="18.75">
      <c r="A3" s="268"/>
      <c r="B3" s="268"/>
      <c r="C3" s="268"/>
      <c r="D3" s="3" t="s">
        <v>630</v>
      </c>
      <c r="E3" s="3" t="s">
        <v>631</v>
      </c>
      <c r="F3" s="11"/>
    </row>
    <row r="4" spans="1:6" ht="18.75">
      <c r="A4" s="268" t="s">
        <v>632</v>
      </c>
      <c r="B4" s="268"/>
      <c r="C4" s="268"/>
      <c r="D4" s="12">
        <f>E4*12</f>
        <v>948475.67999999993</v>
      </c>
      <c r="E4" s="12">
        <f>SUMMARY!F3</f>
        <v>79039.64</v>
      </c>
      <c r="F4" s="1"/>
    </row>
    <row r="5" spans="1:6" ht="18.75">
      <c r="A5" s="268" t="s">
        <v>633</v>
      </c>
      <c r="B5" s="268"/>
      <c r="C5" s="268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268" t="s">
        <v>634</v>
      </c>
      <c r="B6" s="268"/>
      <c r="C6" s="268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268" t="s">
        <v>635</v>
      </c>
      <c r="B7" s="268"/>
      <c r="C7" s="268"/>
      <c r="D7" s="12">
        <f t="shared" si="0"/>
        <v>962932.56</v>
      </c>
      <c r="E7" s="12">
        <f>SUMMARY!J3</f>
        <v>80244.38</v>
      </c>
      <c r="F7" s="1"/>
    </row>
    <row r="8" spans="1:6" ht="18.75">
      <c r="A8" s="268" t="s">
        <v>636</v>
      </c>
      <c r="B8" s="268"/>
      <c r="C8" s="268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268" t="s">
        <v>637</v>
      </c>
      <c r="B9" s="268"/>
      <c r="C9" s="268"/>
      <c r="D9" s="12">
        <f t="shared" si="0"/>
        <v>3319664.88</v>
      </c>
      <c r="E9" s="12">
        <f>SUMMARY!L3</f>
        <v>276638.74</v>
      </c>
      <c r="F9" s="1"/>
    </row>
    <row r="10" spans="1:6" ht="18.75">
      <c r="A10" s="271" t="s">
        <v>638</v>
      </c>
      <c r="B10" s="295"/>
      <c r="C10" s="272"/>
      <c r="D10" s="12">
        <f>E10*12</f>
        <v>0</v>
      </c>
      <c r="E10" s="12"/>
      <c r="F10" s="1"/>
    </row>
    <row r="11" spans="1:6" ht="18.75">
      <c r="A11" s="268" t="s">
        <v>639</v>
      </c>
      <c r="B11" s="268"/>
      <c r="C11" s="268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268" t="s">
        <v>640</v>
      </c>
      <c r="B12" s="268"/>
      <c r="C12" s="268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268" t="s">
        <v>641</v>
      </c>
      <c r="B13" s="268"/>
      <c r="C13" s="268"/>
      <c r="D13" s="12">
        <f t="shared" si="0"/>
        <v>240000</v>
      </c>
      <c r="E13" s="12">
        <f>SUMMARY!P3</f>
        <v>20000</v>
      </c>
      <c r="F13" s="1"/>
    </row>
    <row r="14" spans="1:6" ht="18.75">
      <c r="A14" s="285" t="s">
        <v>453</v>
      </c>
      <c r="B14" s="285"/>
      <c r="C14" s="285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298" t="s">
        <v>642</v>
      </c>
      <c r="B1" s="298"/>
      <c r="C1" s="298"/>
      <c r="D1" s="298"/>
      <c r="E1" s="298"/>
      <c r="F1" s="298"/>
    </row>
    <row r="2" spans="1:6" ht="18.75">
      <c r="A2" s="297" t="s">
        <v>643</v>
      </c>
      <c r="B2" s="297"/>
      <c r="C2" s="297"/>
      <c r="D2" s="297"/>
      <c r="E2" s="297"/>
      <c r="F2" s="297"/>
    </row>
    <row r="3" spans="1:6" ht="18.75">
      <c r="A3" s="268"/>
      <c r="B3" s="268"/>
      <c r="C3" s="268"/>
      <c r="D3" s="3" t="s">
        <v>630</v>
      </c>
      <c r="E3" s="3" t="s">
        <v>631</v>
      </c>
      <c r="F3" s="11"/>
    </row>
    <row r="4" spans="1:6" ht="18.75">
      <c r="A4" s="268" t="s">
        <v>632</v>
      </c>
      <c r="B4" s="268"/>
      <c r="C4" s="268"/>
      <c r="D4" s="12" t="e">
        <f>E4*12</f>
        <v>#REF!</v>
      </c>
      <c r="E4" s="12" t="e">
        <f>'April, 2022'!#REF!</f>
        <v>#REF!</v>
      </c>
      <c r="F4" s="1"/>
    </row>
    <row r="5" spans="1:6" ht="18.75">
      <c r="A5" s="268" t="s">
        <v>633</v>
      </c>
      <c r="B5" s="268"/>
      <c r="C5" s="268"/>
      <c r="D5" s="12" t="e">
        <f t="shared" ref="D5:D13" si="0">E5*12</f>
        <v>#REF!</v>
      </c>
      <c r="E5" s="12" t="e">
        <f>'April, 2022'!#REF!</f>
        <v>#REF!</v>
      </c>
      <c r="F5" s="1"/>
    </row>
    <row r="6" spans="1:6" ht="18.75">
      <c r="A6" s="268" t="s">
        <v>634</v>
      </c>
      <c r="B6" s="268"/>
      <c r="C6" s="268"/>
      <c r="D6" s="12" t="e">
        <f t="shared" si="0"/>
        <v>#REF!</v>
      </c>
      <c r="E6" s="12" t="e">
        <f>'April, 2022'!#REF!</f>
        <v>#REF!</v>
      </c>
      <c r="F6" s="1"/>
    </row>
    <row r="7" spans="1:6" ht="18.75">
      <c r="A7" s="268" t="s">
        <v>635</v>
      </c>
      <c r="B7" s="268"/>
      <c r="C7" s="268"/>
      <c r="D7" s="12" t="e">
        <f t="shared" si="0"/>
        <v>#REF!</v>
      </c>
      <c r="E7" s="12" t="e">
        <f>'April, 2022'!#REF!</f>
        <v>#REF!</v>
      </c>
      <c r="F7" s="1"/>
    </row>
    <row r="8" spans="1:6" ht="18.75">
      <c r="A8" s="268" t="s">
        <v>636</v>
      </c>
      <c r="B8" s="268"/>
      <c r="C8" s="268"/>
      <c r="D8" s="12" t="e">
        <f t="shared" si="0"/>
        <v>#REF!</v>
      </c>
      <c r="E8" s="12" t="e">
        <f>'April, 2022'!#REF!</f>
        <v>#REF!</v>
      </c>
      <c r="F8" s="1"/>
    </row>
    <row r="9" spans="1:6" ht="18.75">
      <c r="A9" s="268" t="s">
        <v>637</v>
      </c>
      <c r="B9" s="268"/>
      <c r="C9" s="268"/>
      <c r="D9" s="12" t="e">
        <f t="shared" si="0"/>
        <v>#REF!</v>
      </c>
      <c r="E9" s="12" t="e">
        <f>'April, 2022'!#REF!</f>
        <v>#REF!</v>
      </c>
      <c r="F9" s="1"/>
    </row>
    <row r="10" spans="1:6" ht="18.75">
      <c r="A10" s="268" t="s">
        <v>639</v>
      </c>
      <c r="B10" s="268"/>
      <c r="C10" s="268"/>
      <c r="D10" s="12" t="e">
        <f t="shared" si="0"/>
        <v>#REF!</v>
      </c>
      <c r="E10" s="12" t="e">
        <f>'April, 2022'!#REF!</f>
        <v>#REF!</v>
      </c>
      <c r="F10" s="1"/>
    </row>
    <row r="11" spans="1:6" ht="18.75">
      <c r="A11" s="271" t="s">
        <v>644</v>
      </c>
      <c r="B11" s="295"/>
      <c r="C11" s="272"/>
      <c r="D11" s="12">
        <f t="shared" si="0"/>
        <v>1200000</v>
      </c>
      <c r="E11" s="12">
        <v>100000</v>
      </c>
      <c r="F11" s="1"/>
    </row>
    <row r="12" spans="1:6" ht="18.75">
      <c r="A12" s="268" t="s">
        <v>640</v>
      </c>
      <c r="B12" s="268"/>
      <c r="C12" s="268"/>
      <c r="D12" s="12" t="e">
        <f t="shared" si="0"/>
        <v>#REF!</v>
      </c>
      <c r="E12" s="12" t="e">
        <f>'April, 2022'!#REF!</f>
        <v>#REF!</v>
      </c>
      <c r="F12" s="1"/>
    </row>
    <row r="13" spans="1:6" ht="18.75">
      <c r="A13" s="268" t="s">
        <v>641</v>
      </c>
      <c r="B13" s="268"/>
      <c r="C13" s="268"/>
      <c r="D13" s="12" t="e">
        <f t="shared" si="0"/>
        <v>#REF!</v>
      </c>
      <c r="E13" s="12" t="e">
        <f>'April, 2022'!#REF!</f>
        <v>#REF!</v>
      </c>
      <c r="F13" s="1"/>
    </row>
    <row r="14" spans="1:6" ht="18.75">
      <c r="A14" s="285" t="s">
        <v>453</v>
      </c>
      <c r="B14" s="285"/>
      <c r="C14" s="285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topLeftCell="A7" workbookViewId="0">
      <selection activeCell="E12" sqref="E12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298" t="s">
        <v>645</v>
      </c>
      <c r="B1" s="298"/>
      <c r="C1" s="298"/>
      <c r="D1" s="298"/>
      <c r="E1" s="298"/>
      <c r="F1" s="298"/>
    </row>
    <row r="2" spans="1:6" ht="18.75">
      <c r="A2" s="297" t="s">
        <v>646</v>
      </c>
      <c r="B2" s="297"/>
      <c r="C2" s="297"/>
      <c r="D2" s="297"/>
      <c r="E2" s="297"/>
      <c r="F2" s="297"/>
    </row>
    <row r="3" spans="1:6" ht="18.75">
      <c r="A3" s="268"/>
      <c r="B3" s="268"/>
      <c r="C3" s="268"/>
      <c r="D3" s="3" t="s">
        <v>630</v>
      </c>
      <c r="E3" s="3" t="s">
        <v>631</v>
      </c>
      <c r="F3" s="11"/>
    </row>
    <row r="4" spans="1:6" ht="18.75">
      <c r="A4" s="268" t="s">
        <v>632</v>
      </c>
      <c r="B4" s="268"/>
      <c r="C4" s="268"/>
      <c r="D4" s="12">
        <f>E4*12</f>
        <v>402090</v>
      </c>
      <c r="E4" s="12">
        <f>'April, 2022'!E14</f>
        <v>33507.5</v>
      </c>
      <c r="F4" s="1"/>
    </row>
    <row r="5" spans="1:6" ht="18.75">
      <c r="A5" s="268" t="s">
        <v>633</v>
      </c>
      <c r="B5" s="268"/>
      <c r="C5" s="268"/>
      <c r="D5" s="12">
        <f t="shared" ref="D5:D14" si="0">E5*12</f>
        <v>1206270</v>
      </c>
      <c r="E5" s="12">
        <f>'April, 2022'!G14</f>
        <v>100522.5</v>
      </c>
      <c r="F5" s="1"/>
    </row>
    <row r="6" spans="1:6" ht="18.75">
      <c r="A6" s="268" t="s">
        <v>634</v>
      </c>
      <c r="B6" s="268"/>
      <c r="C6" s="268"/>
      <c r="D6" s="12">
        <f t="shared" si="0"/>
        <v>30156.75</v>
      </c>
      <c r="E6" s="12">
        <f>'April, 2022'!H14</f>
        <v>2513.0625</v>
      </c>
      <c r="F6" s="1"/>
    </row>
    <row r="7" spans="1:6" ht="18.75">
      <c r="A7" s="268" t="s">
        <v>635</v>
      </c>
      <c r="B7" s="268"/>
      <c r="C7" s="268"/>
      <c r="D7" s="12">
        <f t="shared" si="0"/>
        <v>481466.28</v>
      </c>
      <c r="E7" s="12">
        <f>'April, 2022'!I14</f>
        <v>40122.19</v>
      </c>
      <c r="F7" s="1"/>
    </row>
    <row r="8" spans="1:6" ht="18.75">
      <c r="A8" s="268" t="s">
        <v>636</v>
      </c>
      <c r="B8" s="268"/>
      <c r="C8" s="268"/>
      <c r="D8" s="12">
        <f t="shared" si="0"/>
        <v>201045</v>
      </c>
      <c r="E8" s="12">
        <f>'April, 2022'!J14</f>
        <v>16753.75</v>
      </c>
      <c r="F8" s="1"/>
    </row>
    <row r="9" spans="1:6" ht="18.75">
      <c r="A9" s="268" t="s">
        <v>637</v>
      </c>
      <c r="B9" s="268"/>
      <c r="C9" s="268"/>
      <c r="D9" s="12">
        <f t="shared" si="0"/>
        <v>1407315</v>
      </c>
      <c r="E9" s="12">
        <f>'April, 2022'!K14</f>
        <v>117276.25</v>
      </c>
      <c r="F9" s="1"/>
    </row>
    <row r="10" spans="1:6" ht="18.75">
      <c r="A10" s="268" t="s">
        <v>639</v>
      </c>
      <c r="B10" s="268"/>
      <c r="C10" s="268"/>
      <c r="D10" s="12">
        <f t="shared" si="0"/>
        <v>402090</v>
      </c>
      <c r="E10" s="12">
        <f>'April, 2022'!L14</f>
        <v>33507.5</v>
      </c>
      <c r="F10" s="1"/>
    </row>
    <row r="11" spans="1:6" ht="18.75">
      <c r="A11" s="271" t="s">
        <v>638</v>
      </c>
      <c r="B11" s="295"/>
      <c r="C11" s="272"/>
      <c r="D11" s="12">
        <f t="shared" si="0"/>
        <v>0</v>
      </c>
      <c r="E11" s="12">
        <v>0</v>
      </c>
      <c r="F11" s="1"/>
    </row>
    <row r="12" spans="1:6" ht="18.75">
      <c r="A12" s="268" t="s">
        <v>640</v>
      </c>
      <c r="B12" s="268"/>
      <c r="C12" s="268"/>
      <c r="D12" s="12">
        <f t="shared" si="0"/>
        <v>40209</v>
      </c>
      <c r="E12" s="12">
        <f>'April, 2022'!O14</f>
        <v>3350.75</v>
      </c>
      <c r="F12" s="1"/>
    </row>
    <row r="13" spans="1:6" ht="18.75">
      <c r="A13" s="268" t="s">
        <v>641</v>
      </c>
      <c r="B13" s="268"/>
      <c r="C13" s="268"/>
      <c r="D13" s="12">
        <f t="shared" si="0"/>
        <v>240000</v>
      </c>
      <c r="E13" s="12">
        <v>20000</v>
      </c>
      <c r="F13" s="1"/>
    </row>
    <row r="14" spans="1:6" ht="18.75">
      <c r="A14" s="285" t="s">
        <v>453</v>
      </c>
      <c r="B14" s="285"/>
      <c r="C14" s="285"/>
      <c r="D14" s="13">
        <f t="shared" si="0"/>
        <v>4410642.03</v>
      </c>
      <c r="E14" s="13">
        <f>SUM(E4:E13)</f>
        <v>367553.5025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298" t="s">
        <v>647</v>
      </c>
      <c r="B1" s="298"/>
      <c r="C1" s="298"/>
      <c r="D1" s="298"/>
      <c r="E1" s="298"/>
      <c r="F1" s="298"/>
    </row>
    <row r="2" spans="1:6" ht="18.75">
      <c r="A2" s="297" t="s">
        <v>648</v>
      </c>
      <c r="B2" s="297"/>
      <c r="C2" s="297"/>
      <c r="D2" s="297"/>
      <c r="E2" s="297"/>
      <c r="F2" s="297"/>
    </row>
    <row r="3" spans="1:6" ht="18.75">
      <c r="A3" s="268"/>
      <c r="B3" s="268"/>
      <c r="C3" s="268"/>
      <c r="D3" s="3" t="s">
        <v>630</v>
      </c>
      <c r="E3" s="3" t="s">
        <v>631</v>
      </c>
      <c r="F3" s="11"/>
    </row>
    <row r="4" spans="1:6" ht="18.75">
      <c r="A4" s="268" t="s">
        <v>632</v>
      </c>
      <c r="B4" s="268"/>
      <c r="C4" s="268"/>
      <c r="D4" s="12" t="e">
        <f>E4*12</f>
        <v>#REF!</v>
      </c>
      <c r="E4" s="12" t="e">
        <f>'April, 2022'!#REF!</f>
        <v>#REF!</v>
      </c>
      <c r="F4" s="1"/>
    </row>
    <row r="5" spans="1:6" ht="18.75">
      <c r="A5" s="268" t="s">
        <v>633</v>
      </c>
      <c r="B5" s="268"/>
      <c r="C5" s="268"/>
      <c r="D5" s="12" t="e">
        <f t="shared" ref="D5:D14" si="0">E5*12</f>
        <v>#REF!</v>
      </c>
      <c r="E5" s="12" t="e">
        <f>'April, 2022'!#REF!</f>
        <v>#REF!</v>
      </c>
      <c r="F5" s="1"/>
    </row>
    <row r="6" spans="1:6" ht="18.75">
      <c r="A6" s="268" t="s">
        <v>634</v>
      </c>
      <c r="B6" s="268"/>
      <c r="C6" s="268"/>
      <c r="D6" s="12" t="e">
        <f t="shared" si="0"/>
        <v>#REF!</v>
      </c>
      <c r="E6" s="12" t="e">
        <f>'April, 2022'!#REF!</f>
        <v>#REF!</v>
      </c>
      <c r="F6" s="1"/>
    </row>
    <row r="7" spans="1:6" ht="18.75">
      <c r="A7" s="268" t="s">
        <v>635</v>
      </c>
      <c r="B7" s="268"/>
      <c r="C7" s="268"/>
      <c r="D7" s="12">
        <f t="shared" si="0"/>
        <v>0</v>
      </c>
      <c r="E7" s="12">
        <f>SUMMARY!J6</f>
        <v>0</v>
      </c>
      <c r="F7" s="1"/>
    </row>
    <row r="8" spans="1:6" ht="18.75">
      <c r="A8" s="268" t="s">
        <v>636</v>
      </c>
      <c r="B8" s="268"/>
      <c r="C8" s="268"/>
      <c r="D8" s="12" t="e">
        <f t="shared" si="0"/>
        <v>#REF!</v>
      </c>
      <c r="E8" s="12" t="e">
        <f>'April, 2022'!#REF!</f>
        <v>#REF!</v>
      </c>
      <c r="F8" s="1"/>
    </row>
    <row r="9" spans="1:6" ht="18.75">
      <c r="A9" s="268" t="s">
        <v>637</v>
      </c>
      <c r="B9" s="268"/>
      <c r="C9" s="268"/>
      <c r="D9" s="12" t="e">
        <f t="shared" si="0"/>
        <v>#REF!</v>
      </c>
      <c r="E9" s="12" t="e">
        <f>'April, 2022'!#REF!</f>
        <v>#REF!</v>
      </c>
      <c r="F9" s="1"/>
    </row>
    <row r="10" spans="1:6" ht="18.75">
      <c r="A10" s="268" t="s">
        <v>639</v>
      </c>
      <c r="B10" s="268"/>
      <c r="C10" s="268"/>
      <c r="D10" s="12" t="e">
        <f t="shared" si="0"/>
        <v>#REF!</v>
      </c>
      <c r="E10" s="12" t="e">
        <f>'April, 2022'!#REF!</f>
        <v>#REF!</v>
      </c>
      <c r="F10" s="1"/>
    </row>
    <row r="11" spans="1:6" ht="18.75">
      <c r="A11" s="271" t="s">
        <v>638</v>
      </c>
      <c r="B11" s="295"/>
      <c r="C11" s="272"/>
      <c r="D11" s="12">
        <f t="shared" si="0"/>
        <v>0</v>
      </c>
      <c r="E11" s="12">
        <v>0</v>
      </c>
      <c r="F11" s="1"/>
    </row>
    <row r="12" spans="1:6" ht="18.75">
      <c r="A12" s="268" t="s">
        <v>640</v>
      </c>
      <c r="B12" s="268"/>
      <c r="C12" s="268"/>
      <c r="D12" s="12" t="e">
        <f t="shared" si="0"/>
        <v>#REF!</v>
      </c>
      <c r="E12" s="12" t="e">
        <f>'April, 2022'!#REF!</f>
        <v>#REF!</v>
      </c>
      <c r="F12" s="1"/>
    </row>
    <row r="13" spans="1:6" ht="18.75">
      <c r="A13" s="268" t="s">
        <v>641</v>
      </c>
      <c r="B13" s="268"/>
      <c r="C13" s="268"/>
      <c r="D13" s="12" t="e">
        <f t="shared" si="0"/>
        <v>#REF!</v>
      </c>
      <c r="E13" s="12" t="e">
        <f>'April, 2022'!#REF!</f>
        <v>#REF!</v>
      </c>
      <c r="F13" s="1"/>
    </row>
    <row r="14" spans="1:6" ht="18.75">
      <c r="A14" s="285" t="s">
        <v>453</v>
      </c>
      <c r="B14" s="285"/>
      <c r="C14" s="285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298"/>
      <c r="B1" s="298"/>
      <c r="C1" s="298"/>
      <c r="D1" s="298"/>
      <c r="E1" s="298"/>
      <c r="F1" s="298"/>
    </row>
    <row r="2" spans="1:6" ht="18.75">
      <c r="A2" s="297"/>
      <c r="B2" s="297"/>
      <c r="C2" s="297"/>
      <c r="D2" s="297"/>
      <c r="E2" s="297"/>
      <c r="F2" s="297"/>
    </row>
    <row r="3" spans="1:6" ht="18.75">
      <c r="A3" s="268"/>
      <c r="B3" s="268"/>
      <c r="C3" s="268"/>
      <c r="D3" s="3" t="s">
        <v>630</v>
      </c>
      <c r="E3" s="3" t="s">
        <v>631</v>
      </c>
      <c r="F3" s="11"/>
    </row>
    <row r="4" spans="1:6" ht="18.75">
      <c r="A4" s="268" t="s">
        <v>632</v>
      </c>
      <c r="B4" s="268"/>
      <c r="C4" s="268"/>
      <c r="D4" s="12">
        <f>E4*12</f>
        <v>255527.52</v>
      </c>
      <c r="E4" s="12">
        <f>SUMMARY!F7</f>
        <v>21293.96</v>
      </c>
      <c r="F4" s="1"/>
    </row>
    <row r="5" spans="1:6" ht="18.75">
      <c r="A5" s="268" t="s">
        <v>633</v>
      </c>
      <c r="B5" s="268"/>
      <c r="C5" s="268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268" t="s">
        <v>634</v>
      </c>
      <c r="B6" s="268"/>
      <c r="C6" s="268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268" t="s">
        <v>635</v>
      </c>
      <c r="B7" s="268"/>
      <c r="C7" s="268"/>
      <c r="D7" s="12">
        <f t="shared" si="0"/>
        <v>0</v>
      </c>
      <c r="E7" s="12">
        <f>SUMMARY!J6</f>
        <v>0</v>
      </c>
      <c r="F7" s="1"/>
    </row>
    <row r="8" spans="1:6" ht="18.75">
      <c r="A8" s="268" t="s">
        <v>636</v>
      </c>
      <c r="B8" s="268"/>
      <c r="C8" s="268"/>
      <c r="D8" s="12">
        <f t="shared" si="0"/>
        <v>127763.76</v>
      </c>
      <c r="E8" s="12">
        <f>SUMMARY!K7</f>
        <v>10646.98</v>
      </c>
      <c r="F8" s="1"/>
    </row>
    <row r="9" spans="1:6" ht="18.75">
      <c r="A9" s="268" t="s">
        <v>637</v>
      </c>
      <c r="B9" s="268"/>
      <c r="C9" s="268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268" t="s">
        <v>639</v>
      </c>
      <c r="B10" s="268"/>
      <c r="C10" s="268"/>
      <c r="D10" s="12">
        <f t="shared" si="0"/>
        <v>255527.52</v>
      </c>
      <c r="E10" s="12">
        <f>SUMMARY!N7</f>
        <v>21293.96</v>
      </c>
      <c r="F10" s="1"/>
    </row>
    <row r="11" spans="1:6" ht="18.75">
      <c r="A11" s="268" t="s">
        <v>640</v>
      </c>
      <c r="B11" s="268"/>
      <c r="C11" s="268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268" t="s">
        <v>641</v>
      </c>
      <c r="B12" s="268"/>
      <c r="C12" s="268"/>
      <c r="D12" s="12">
        <f t="shared" si="0"/>
        <v>120000</v>
      </c>
      <c r="E12" s="12">
        <f>SUMMARY!P7</f>
        <v>10000</v>
      </c>
      <c r="F12" s="1"/>
    </row>
    <row r="13" spans="1:6" ht="18.75">
      <c r="A13" s="285" t="s">
        <v>453</v>
      </c>
      <c r="B13" s="285"/>
      <c r="C13" s="285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298" t="s">
        <v>649</v>
      </c>
      <c r="B1" s="298"/>
      <c r="C1" s="298"/>
      <c r="D1" s="298"/>
      <c r="E1" s="298"/>
      <c r="F1" s="298"/>
    </row>
    <row r="2" spans="1:6" ht="18.75">
      <c r="A2" s="297" t="s">
        <v>650</v>
      </c>
      <c r="B2" s="297"/>
      <c r="C2" s="297"/>
      <c r="D2" s="297"/>
      <c r="E2" s="297"/>
      <c r="F2" s="297"/>
    </row>
    <row r="3" spans="1:6" ht="18.75">
      <c r="A3" s="268"/>
      <c r="B3" s="268"/>
      <c r="C3" s="268"/>
      <c r="D3" s="3" t="s">
        <v>630</v>
      </c>
      <c r="E3" s="3" t="s">
        <v>631</v>
      </c>
      <c r="F3" s="11"/>
    </row>
    <row r="4" spans="1:6" ht="18.75">
      <c r="A4" s="268" t="s">
        <v>632</v>
      </c>
      <c r="B4" s="268"/>
      <c r="C4" s="268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268" t="s">
        <v>633</v>
      </c>
      <c r="B5" s="268"/>
      <c r="C5" s="268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268" t="s">
        <v>634</v>
      </c>
      <c r="B6" s="268"/>
      <c r="C6" s="268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268" t="s">
        <v>635</v>
      </c>
      <c r="B7" s="268"/>
      <c r="C7" s="268"/>
      <c r="D7" s="12">
        <f t="shared" si="0"/>
        <v>0</v>
      </c>
      <c r="E7" s="12">
        <f>SUMMARY!J6</f>
        <v>0</v>
      </c>
      <c r="F7" s="1"/>
    </row>
    <row r="8" spans="1:6" ht="18.75">
      <c r="A8" s="268" t="s">
        <v>636</v>
      </c>
      <c r="B8" s="268"/>
      <c r="C8" s="268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268" t="s">
        <v>637</v>
      </c>
      <c r="B9" s="268"/>
      <c r="C9" s="268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268" t="s">
        <v>639</v>
      </c>
      <c r="B10" s="268"/>
      <c r="C10" s="268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271" t="s">
        <v>638</v>
      </c>
      <c r="B11" s="295"/>
      <c r="C11" s="272"/>
      <c r="D11" s="12">
        <f t="shared" si="0"/>
        <v>480000</v>
      </c>
      <c r="E11" s="12">
        <v>40000</v>
      </c>
      <c r="F11" s="1"/>
    </row>
    <row r="12" spans="1:6" ht="18.75">
      <c r="A12" s="268" t="s">
        <v>640</v>
      </c>
      <c r="B12" s="268"/>
      <c r="C12" s="268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268" t="s">
        <v>641</v>
      </c>
      <c r="B13" s="268"/>
      <c r="C13" s="268"/>
      <c r="D13" s="12">
        <f t="shared" si="0"/>
        <v>120000</v>
      </c>
      <c r="E13" s="12">
        <f>SUMMARY!P7</f>
        <v>10000</v>
      </c>
      <c r="F13" s="1"/>
    </row>
    <row r="14" spans="1:6" ht="18.75">
      <c r="A14" s="285" t="s">
        <v>453</v>
      </c>
      <c r="B14" s="285"/>
      <c r="C14" s="285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4"/>
  <sheetViews>
    <sheetView workbookViewId="0">
      <selection activeCell="I11" sqref="I11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298" t="s">
        <v>651</v>
      </c>
      <c r="B1" s="298"/>
      <c r="C1" s="298"/>
      <c r="D1" s="298"/>
      <c r="E1" s="298"/>
      <c r="F1" s="298"/>
    </row>
    <row r="2" spans="1:6" ht="18.75">
      <c r="A2" s="297" t="s">
        <v>652</v>
      </c>
      <c r="B2" s="297"/>
      <c r="C2" s="297"/>
      <c r="D2" s="297"/>
      <c r="E2" s="297"/>
      <c r="F2" s="297"/>
    </row>
    <row r="3" spans="1:6" ht="18.75">
      <c r="A3" s="268"/>
      <c r="B3" s="268"/>
      <c r="C3" s="268"/>
      <c r="D3" s="3" t="s">
        <v>630</v>
      </c>
      <c r="E3" s="3" t="s">
        <v>631</v>
      </c>
      <c r="F3" s="11"/>
    </row>
    <row r="4" spans="1:6" ht="18.75">
      <c r="A4" s="268" t="s">
        <v>632</v>
      </c>
      <c r="B4" s="268"/>
      <c r="C4" s="268"/>
      <c r="D4" s="12">
        <f>E4*12</f>
        <v>176833.68</v>
      </c>
      <c r="E4" s="12">
        <f>SUMMARY!F9</f>
        <v>14736.14</v>
      </c>
      <c r="F4" s="1"/>
    </row>
    <row r="5" spans="1:6" ht="18.75">
      <c r="A5" s="268" t="s">
        <v>633</v>
      </c>
      <c r="B5" s="268"/>
      <c r="C5" s="268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268" t="s">
        <v>634</v>
      </c>
      <c r="B6" s="268"/>
      <c r="C6" s="268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268" t="s">
        <v>635</v>
      </c>
      <c r="B7" s="268"/>
      <c r="C7" s="268"/>
      <c r="D7" s="12">
        <f t="shared" si="0"/>
        <v>0</v>
      </c>
      <c r="E7" s="12">
        <f>SUMMARY!J6</f>
        <v>0</v>
      </c>
      <c r="F7" s="1"/>
    </row>
    <row r="8" spans="1:6" ht="18.75">
      <c r="A8" s="268" t="s">
        <v>636</v>
      </c>
      <c r="B8" s="268"/>
      <c r="C8" s="268"/>
      <c r="D8" s="12">
        <f t="shared" si="0"/>
        <v>88416.84</v>
      </c>
      <c r="E8" s="12">
        <f>SUMMARY!K9</f>
        <v>7368.07</v>
      </c>
      <c r="F8" s="1"/>
    </row>
    <row r="9" spans="1:6" ht="18.75">
      <c r="A9" s="268" t="s">
        <v>637</v>
      </c>
      <c r="B9" s="268"/>
      <c r="C9" s="268"/>
      <c r="D9" s="12">
        <f t="shared" si="0"/>
        <v>618917.88</v>
      </c>
      <c r="E9" s="12">
        <f>SUMMARY!L9</f>
        <v>51576.49</v>
      </c>
      <c r="F9" s="1"/>
    </row>
    <row r="10" spans="1:6" ht="18.75">
      <c r="A10" s="268" t="s">
        <v>639</v>
      </c>
      <c r="B10" s="268"/>
      <c r="C10" s="268"/>
      <c r="D10" s="12">
        <f t="shared" si="0"/>
        <v>176833.68</v>
      </c>
      <c r="E10" s="12">
        <f>SUMMARY!N9</f>
        <v>14736.14</v>
      </c>
      <c r="F10" s="1"/>
    </row>
    <row r="11" spans="1:6" ht="18.75">
      <c r="A11" s="271" t="s">
        <v>653</v>
      </c>
      <c r="B11" s="295"/>
      <c r="C11" s="272"/>
      <c r="D11" s="12">
        <f t="shared" si="0"/>
        <v>480000</v>
      </c>
      <c r="E11" s="12">
        <v>40000</v>
      </c>
      <c r="F11" s="1"/>
    </row>
    <row r="12" spans="1:6" ht="18.75">
      <c r="A12" s="268" t="s">
        <v>640</v>
      </c>
      <c r="B12" s="268"/>
      <c r="C12" s="268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268" t="s">
        <v>641</v>
      </c>
      <c r="B13" s="268"/>
      <c r="C13" s="268"/>
      <c r="D13" s="12">
        <f t="shared" si="0"/>
        <v>120000</v>
      </c>
      <c r="E13" s="12">
        <f>SUMMARY!P7</f>
        <v>10000</v>
      </c>
      <c r="F13" s="1"/>
    </row>
    <row r="14" spans="1:6" ht="18.75">
      <c r="A14" s="285" t="s">
        <v>453</v>
      </c>
      <c r="B14" s="285"/>
      <c r="C14" s="285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298" t="s">
        <v>654</v>
      </c>
      <c r="B1" s="298"/>
      <c r="C1" s="298"/>
      <c r="D1" s="298"/>
      <c r="E1" s="298"/>
      <c r="F1" s="298"/>
    </row>
    <row r="2" spans="1:6" ht="18.75">
      <c r="A2" s="297"/>
      <c r="B2" s="297"/>
      <c r="C2" s="297"/>
      <c r="D2" s="297"/>
      <c r="E2" s="297"/>
      <c r="F2" s="297"/>
    </row>
    <row r="3" spans="1:6" ht="18.75">
      <c r="A3" s="268"/>
      <c r="B3" s="268"/>
      <c r="C3" s="268"/>
      <c r="D3" s="3" t="s">
        <v>630</v>
      </c>
      <c r="E3" s="3" t="s">
        <v>631</v>
      </c>
      <c r="F3" s="11"/>
    </row>
    <row r="4" spans="1:6" ht="18.75">
      <c r="A4" s="268" t="s">
        <v>632</v>
      </c>
      <c r="B4" s="268"/>
      <c r="C4" s="268"/>
      <c r="D4" s="12">
        <f>E4*12</f>
        <v>296895.12</v>
      </c>
      <c r="E4" s="12">
        <f>'April, 2022'!E31</f>
        <v>24741.26</v>
      </c>
      <c r="F4" s="1"/>
    </row>
    <row r="5" spans="1:6" ht="18.75">
      <c r="A5" s="268" t="s">
        <v>633</v>
      </c>
      <c r="B5" s="268"/>
      <c r="C5" s="268"/>
      <c r="D5" s="12" t="e">
        <f t="shared" ref="D5:D12" si="0">E5*12</f>
        <v>#REF!</v>
      </c>
      <c r="E5" s="12" t="e">
        <f>'April, 2022'!#REF!</f>
        <v>#REF!</v>
      </c>
      <c r="F5" s="1"/>
    </row>
    <row r="6" spans="1:6" ht="18.75">
      <c r="A6" s="268" t="s">
        <v>634</v>
      </c>
      <c r="B6" s="268"/>
      <c r="C6" s="268"/>
      <c r="D6" s="12" t="e">
        <f t="shared" si="0"/>
        <v>#REF!</v>
      </c>
      <c r="E6" s="12" t="e">
        <f>'April, 2022'!#REF!</f>
        <v>#REF!</v>
      </c>
      <c r="F6" s="1"/>
    </row>
    <row r="7" spans="1:6" ht="18.75">
      <c r="A7" s="268" t="s">
        <v>636</v>
      </c>
      <c r="B7" s="268"/>
      <c r="C7" s="268"/>
      <c r="D7" s="12">
        <f t="shared" si="0"/>
        <v>153140.70000000001</v>
      </c>
      <c r="E7" s="12">
        <f>'April, 2022'!J128</f>
        <v>12761.725</v>
      </c>
      <c r="F7" s="1"/>
    </row>
    <row r="8" spans="1:6" ht="18.75">
      <c r="A8" s="268" t="s">
        <v>637</v>
      </c>
      <c r="B8" s="268"/>
      <c r="C8" s="268"/>
      <c r="D8" s="12" t="e">
        <f t="shared" si="0"/>
        <v>#REF!</v>
      </c>
      <c r="E8" s="12" t="e">
        <f>'April, 2022'!#REF!</f>
        <v>#REF!</v>
      </c>
      <c r="F8" s="1"/>
    </row>
    <row r="9" spans="1:6" ht="18.75">
      <c r="A9" s="268" t="s">
        <v>639</v>
      </c>
      <c r="B9" s="268"/>
      <c r="C9" s="268"/>
      <c r="D9" s="12">
        <f t="shared" si="0"/>
        <v>306281.40000000002</v>
      </c>
      <c r="E9" s="12">
        <f>'April, 2022'!L128</f>
        <v>25523.45</v>
      </c>
      <c r="F9" s="1"/>
    </row>
    <row r="10" spans="1:6" ht="18.75">
      <c r="A10" s="268" t="s">
        <v>640</v>
      </c>
      <c r="B10" s="268"/>
      <c r="C10" s="268"/>
      <c r="D10" s="12" t="e">
        <f t="shared" si="0"/>
        <v>#REF!</v>
      </c>
      <c r="E10" s="12" t="e">
        <f>'April, 2022'!#REF!</f>
        <v>#REF!</v>
      </c>
      <c r="F10" s="1"/>
    </row>
    <row r="11" spans="1:6" ht="18.75">
      <c r="A11" s="268" t="s">
        <v>641</v>
      </c>
      <c r="B11" s="268"/>
      <c r="C11" s="268"/>
      <c r="D11" s="12">
        <f t="shared" si="0"/>
        <v>180000</v>
      </c>
      <c r="E11" s="12">
        <f>'April, 2022'!P128</f>
        <v>15000</v>
      </c>
      <c r="F11" s="1"/>
    </row>
    <row r="12" spans="1:6" ht="18.75">
      <c r="A12" s="285" t="s">
        <v>453</v>
      </c>
      <c r="B12" s="285"/>
      <c r="C12" s="285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10"/>
  <sheetViews>
    <sheetView workbookViewId="0">
      <selection activeCell="F21" sqref="F21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7</v>
      </c>
      <c r="G1" s="2" t="s">
        <v>655</v>
      </c>
      <c r="H1" s="2"/>
      <c r="I1" s="2"/>
      <c r="J1" s="2"/>
      <c r="K1" s="2"/>
      <c r="L1" s="2"/>
      <c r="M1" s="2" t="s">
        <v>656</v>
      </c>
      <c r="N1" s="2" t="s">
        <v>8</v>
      </c>
      <c r="O1" s="2" t="s">
        <v>9</v>
      </c>
      <c r="P1" s="2" t="s">
        <v>11</v>
      </c>
      <c r="Q1" s="2" t="s">
        <v>12</v>
      </c>
      <c r="R1" s="2" t="s">
        <v>13</v>
      </c>
      <c r="S1" s="2" t="s">
        <v>14</v>
      </c>
      <c r="T1" s="7"/>
      <c r="U1" s="6" t="s">
        <v>657</v>
      </c>
      <c r="V1" s="5" t="s">
        <v>658</v>
      </c>
    </row>
    <row r="2" spans="1:22" ht="18.75">
      <c r="F2" s="2" t="s">
        <v>18</v>
      </c>
      <c r="G2" s="2" t="s">
        <v>659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660</v>
      </c>
      <c r="N2" s="2" t="s">
        <v>25</v>
      </c>
      <c r="O2" s="2" t="s">
        <v>26</v>
      </c>
      <c r="P2" s="2" t="s">
        <v>27</v>
      </c>
      <c r="Q2" s="2" t="s">
        <v>27</v>
      </c>
      <c r="R2" s="2" t="s">
        <v>28</v>
      </c>
      <c r="S2" s="2" t="s">
        <v>18</v>
      </c>
      <c r="T2" s="2" t="s">
        <v>33</v>
      </c>
      <c r="U2" s="6"/>
      <c r="V2" s="5"/>
    </row>
    <row r="3" spans="1:22" ht="18.75">
      <c r="A3" s="299" t="s">
        <v>661</v>
      </c>
      <c r="B3" s="300"/>
      <c r="C3" s="301"/>
      <c r="D3" s="14"/>
      <c r="E3" s="14" t="s">
        <v>662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299" t="s">
        <v>663</v>
      </c>
      <c r="B4" s="300"/>
      <c r="C4" s="301"/>
      <c r="D4" s="14"/>
      <c r="E4" s="14" t="s">
        <v>664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302" t="s">
        <v>131</v>
      </c>
      <c r="B5" s="303"/>
      <c r="C5" s="304"/>
      <c r="D5" s="16"/>
      <c r="E5" s="19" t="s">
        <v>194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299" t="s">
        <v>140</v>
      </c>
      <c r="B6" s="300"/>
      <c r="C6" s="301"/>
      <c r="D6" s="14"/>
      <c r="E6" s="14" t="s">
        <v>665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299" t="s">
        <v>666</v>
      </c>
      <c r="B7" s="300"/>
      <c r="C7" s="301"/>
      <c r="D7" s="14"/>
      <c r="E7" s="14" t="s">
        <v>667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299" t="s">
        <v>142</v>
      </c>
      <c r="B8" s="300"/>
      <c r="C8" s="301"/>
      <c r="D8" s="14"/>
      <c r="E8" s="14" t="s">
        <v>668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299" t="s">
        <v>669</v>
      </c>
      <c r="B9" s="300"/>
      <c r="C9" s="301"/>
      <c r="D9" s="14"/>
      <c r="E9" s="14" t="s">
        <v>670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299"/>
      <c r="B10" s="300"/>
      <c r="C10" s="301"/>
      <c r="D10" s="14"/>
      <c r="E10" s="14" t="s">
        <v>671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4"/>
  <sheetViews>
    <sheetView workbookViewId="0">
      <selection activeCell="H20" sqref="H20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298" t="s">
        <v>672</v>
      </c>
      <c r="B1" s="298"/>
      <c r="C1" s="298"/>
      <c r="D1" s="298"/>
      <c r="E1" s="298"/>
      <c r="F1" s="298"/>
    </row>
    <row r="2" spans="1:6" ht="18.75">
      <c r="A2" s="297" t="s">
        <v>673</v>
      </c>
      <c r="B2" s="297"/>
      <c r="C2" s="297"/>
      <c r="D2" s="297"/>
      <c r="E2" s="297"/>
      <c r="F2" s="297"/>
    </row>
    <row r="3" spans="1:6" ht="18.75">
      <c r="A3" s="268"/>
      <c r="B3" s="268"/>
      <c r="C3" s="268"/>
      <c r="D3" s="3" t="s">
        <v>630</v>
      </c>
      <c r="E3" s="3" t="s">
        <v>631</v>
      </c>
      <c r="F3" s="11"/>
    </row>
    <row r="4" spans="1:6" ht="18.75">
      <c r="A4" s="268" t="s">
        <v>632</v>
      </c>
      <c r="B4" s="268"/>
      <c r="C4" s="268"/>
      <c r="D4" s="12">
        <f>E4*12</f>
        <v>299709.72000000003</v>
      </c>
      <c r="E4" s="12">
        <f>SUMMARY!F5</f>
        <v>24975.81</v>
      </c>
      <c r="F4" s="1"/>
    </row>
    <row r="5" spans="1:6" ht="18.75">
      <c r="A5" s="268" t="s">
        <v>633</v>
      </c>
      <c r="B5" s="268"/>
      <c r="C5" s="268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268" t="s">
        <v>634</v>
      </c>
      <c r="B6" s="268"/>
      <c r="C6" s="268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268" t="s">
        <v>635</v>
      </c>
      <c r="B7" s="268"/>
      <c r="C7" s="268"/>
      <c r="D7" s="12">
        <f t="shared" si="0"/>
        <v>0</v>
      </c>
      <c r="E7" s="12">
        <f>SUMMARY!J6</f>
        <v>0</v>
      </c>
      <c r="F7" s="1"/>
    </row>
    <row r="8" spans="1:6" ht="18.75">
      <c r="A8" s="268" t="s">
        <v>636</v>
      </c>
      <c r="B8" s="268"/>
      <c r="C8" s="268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268" t="s">
        <v>637</v>
      </c>
      <c r="B9" s="268"/>
      <c r="C9" s="268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268" t="s">
        <v>639</v>
      </c>
      <c r="B10" s="268"/>
      <c r="C10" s="268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271" t="s">
        <v>638</v>
      </c>
      <c r="B11" s="295"/>
      <c r="C11" s="272"/>
      <c r="D11" s="12">
        <f t="shared" si="0"/>
        <v>0</v>
      </c>
      <c r="E11" s="12">
        <v>0</v>
      </c>
      <c r="F11" s="1"/>
    </row>
    <row r="12" spans="1:6" ht="18.75">
      <c r="A12" s="268" t="s">
        <v>640</v>
      </c>
      <c r="B12" s="268"/>
      <c r="C12" s="268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268" t="s">
        <v>641</v>
      </c>
      <c r="B13" s="268"/>
      <c r="C13" s="268"/>
      <c r="D13" s="12">
        <f t="shared" si="0"/>
        <v>240000</v>
      </c>
      <c r="E13" s="12">
        <f>SUMMARY!Q5</f>
        <v>20000</v>
      </c>
      <c r="F13" s="1"/>
    </row>
    <row r="14" spans="1:6" ht="18.75">
      <c r="A14" s="285" t="s">
        <v>453</v>
      </c>
      <c r="B14" s="285"/>
      <c r="C14" s="285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297" t="s">
        <v>674</v>
      </c>
      <c r="B1" s="297"/>
      <c r="C1" s="297"/>
    </row>
    <row r="2" spans="1:3" ht="18.75">
      <c r="A2" s="297" t="s">
        <v>646</v>
      </c>
      <c r="B2" s="297"/>
      <c r="C2" s="297"/>
    </row>
    <row r="3" spans="1:3" ht="18.75">
      <c r="A3" s="21"/>
      <c r="B3" s="21" t="s">
        <v>630</v>
      </c>
      <c r="C3" s="21" t="s">
        <v>631</v>
      </c>
    </row>
    <row r="4" spans="1:3" ht="18.75">
      <c r="A4" s="33" t="s">
        <v>632</v>
      </c>
      <c r="B4" s="27">
        <f>C4*12</f>
        <v>475947</v>
      </c>
      <c r="C4" s="27">
        <v>39662.25</v>
      </c>
    </row>
    <row r="5" spans="1:3" ht="18.75">
      <c r="A5" s="33" t="s">
        <v>633</v>
      </c>
      <c r="B5" s="27">
        <f t="shared" ref="B5:B13" si="0">C5*12</f>
        <v>1427841</v>
      </c>
      <c r="C5" s="27">
        <v>118986.75</v>
      </c>
    </row>
    <row r="6" spans="1:3" ht="18.75">
      <c r="A6" s="33" t="s">
        <v>634</v>
      </c>
      <c r="B6" s="27">
        <f t="shared" si="0"/>
        <v>35696.04</v>
      </c>
      <c r="C6" s="27">
        <v>2974.67</v>
      </c>
    </row>
    <row r="7" spans="1:3" ht="18.75">
      <c r="A7" s="33" t="s">
        <v>635</v>
      </c>
      <c r="B7" s="27" t="e">
        <f t="shared" si="0"/>
        <v>#REF!</v>
      </c>
      <c r="C7" s="27" t="e">
        <f>'April, 2022'!#REF!</f>
        <v>#REF!</v>
      </c>
    </row>
    <row r="8" spans="1:3" ht="18.75">
      <c r="A8" s="33" t="s">
        <v>636</v>
      </c>
      <c r="B8" s="27">
        <f t="shared" si="0"/>
        <v>237973.56</v>
      </c>
      <c r="C8" s="27">
        <v>19831.13</v>
      </c>
    </row>
    <row r="9" spans="1:3" ht="18.75">
      <c r="A9" s="33" t="s">
        <v>637</v>
      </c>
      <c r="B9" s="27">
        <f t="shared" si="0"/>
        <v>1665814.56</v>
      </c>
      <c r="C9" s="27">
        <v>138817.88</v>
      </c>
    </row>
    <row r="10" spans="1:3" ht="18.75">
      <c r="A10" s="33" t="s">
        <v>639</v>
      </c>
      <c r="B10" s="27">
        <f t="shared" si="0"/>
        <v>475947</v>
      </c>
      <c r="C10" s="27">
        <v>39662.25</v>
      </c>
    </row>
    <row r="11" spans="1:3" ht="18.75">
      <c r="A11" s="33" t="s">
        <v>638</v>
      </c>
      <c r="B11" s="27">
        <f t="shared" si="0"/>
        <v>0</v>
      </c>
      <c r="C11" s="27">
        <v>0</v>
      </c>
    </row>
    <row r="12" spans="1:3" ht="18.75">
      <c r="A12" s="33" t="s">
        <v>640</v>
      </c>
      <c r="B12" s="27">
        <f t="shared" si="0"/>
        <v>47594.76</v>
      </c>
      <c r="C12" s="27">
        <v>3966.23</v>
      </c>
    </row>
    <row r="13" spans="1:3" ht="18.75">
      <c r="A13" s="33" t="s">
        <v>641</v>
      </c>
      <c r="B13" s="27" t="e">
        <f t="shared" si="0"/>
        <v>#REF!</v>
      </c>
      <c r="C13" s="27" t="e">
        <f>'April, 2022'!#REF!</f>
        <v>#REF!</v>
      </c>
    </row>
    <row r="14" spans="1:3" ht="18.75">
      <c r="A14" s="21" t="s">
        <v>453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D60"/>
  <sheetViews>
    <sheetView workbookViewId="0">
      <selection activeCell="D37" sqref="D37:D39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37"/>
      <c r="B2" s="137" t="s">
        <v>675</v>
      </c>
      <c r="C2" s="137"/>
      <c r="D2" s="137"/>
    </row>
    <row r="3" spans="1:4" ht="15">
      <c r="A3" s="137" t="s">
        <v>35</v>
      </c>
      <c r="B3" s="137" t="s">
        <v>438</v>
      </c>
      <c r="C3" s="137" t="s">
        <v>676</v>
      </c>
      <c r="D3" s="138" t="s">
        <v>37</v>
      </c>
    </row>
    <row r="4" spans="1:4" ht="15">
      <c r="A4" s="139">
        <v>1</v>
      </c>
      <c r="B4" s="139">
        <v>17</v>
      </c>
      <c r="C4" s="139">
        <v>9</v>
      </c>
      <c r="D4" s="140">
        <v>81740.02</v>
      </c>
    </row>
    <row r="5" spans="1:4" ht="15">
      <c r="A5" s="139">
        <v>2</v>
      </c>
      <c r="B5" s="139">
        <v>17</v>
      </c>
      <c r="C5" s="139">
        <v>8</v>
      </c>
      <c r="D5" s="140">
        <f>79039.64</f>
        <v>79039.64</v>
      </c>
    </row>
    <row r="6" spans="1:4" ht="15">
      <c r="A6" s="139">
        <v>3</v>
      </c>
      <c r="B6" s="139">
        <v>17</v>
      </c>
      <c r="C6" s="139">
        <v>7</v>
      </c>
      <c r="D6" s="140">
        <f>76339.3</f>
        <v>76339.3</v>
      </c>
    </row>
    <row r="7" spans="1:4" ht="15">
      <c r="A7" s="139">
        <v>4</v>
      </c>
      <c r="B7" s="139">
        <v>16</v>
      </c>
      <c r="C7" s="139">
        <v>9</v>
      </c>
      <c r="D7" s="140">
        <f>42653.17</f>
        <v>42653.17</v>
      </c>
    </row>
    <row r="8" spans="1:4" ht="15">
      <c r="A8" s="139">
        <v>5</v>
      </c>
      <c r="B8" s="139">
        <f>16</f>
        <v>16</v>
      </c>
      <c r="C8" s="139">
        <v>8</v>
      </c>
      <c r="D8" s="140">
        <v>41157.69</v>
      </c>
    </row>
    <row r="9" spans="1:4" ht="15">
      <c r="A9" s="139">
        <v>6</v>
      </c>
      <c r="B9" s="139">
        <v>16</v>
      </c>
      <c r="C9" s="139">
        <v>7</v>
      </c>
      <c r="D9" s="140">
        <v>39662.25</v>
      </c>
    </row>
    <row r="10" spans="1:4" ht="15">
      <c r="A10" s="139">
        <v>7</v>
      </c>
      <c r="B10" s="139">
        <v>15</v>
      </c>
      <c r="C10" s="139">
        <v>9</v>
      </c>
      <c r="D10" s="140">
        <v>33507.5</v>
      </c>
    </row>
    <row r="11" spans="1:4" ht="15">
      <c r="A11" s="139">
        <v>8</v>
      </c>
      <c r="B11" s="139">
        <v>15</v>
      </c>
      <c r="C11" s="139">
        <v>8</v>
      </c>
      <c r="D11" s="140">
        <v>32263.200000000001</v>
      </c>
    </row>
    <row r="12" spans="1:4" ht="15">
      <c r="A12" s="139">
        <v>9</v>
      </c>
      <c r="B12" s="139">
        <v>15</v>
      </c>
      <c r="C12" s="139">
        <v>7</v>
      </c>
      <c r="D12" s="140">
        <v>31018.84</v>
      </c>
    </row>
    <row r="13" spans="1:4" ht="15">
      <c r="A13" s="139">
        <v>10</v>
      </c>
      <c r="B13" s="139">
        <v>14</v>
      </c>
      <c r="C13" s="139">
        <v>11</v>
      </c>
      <c r="D13" s="140">
        <v>28489.81</v>
      </c>
    </row>
    <row r="14" spans="1:4" ht="15">
      <c r="A14" s="139">
        <v>11</v>
      </c>
      <c r="B14" s="139">
        <v>14</v>
      </c>
      <c r="C14" s="139">
        <v>10</v>
      </c>
      <c r="D14" s="140">
        <v>27611.23</v>
      </c>
    </row>
    <row r="15" spans="1:4" ht="15">
      <c r="A15" s="139">
        <v>12</v>
      </c>
      <c r="B15" s="139">
        <v>14</v>
      </c>
      <c r="C15" s="139">
        <v>9</v>
      </c>
      <c r="D15" s="140">
        <v>26732.65</v>
      </c>
    </row>
    <row r="16" spans="1:4" ht="15">
      <c r="A16" s="139">
        <v>13</v>
      </c>
      <c r="B16" s="139">
        <v>14</v>
      </c>
      <c r="C16" s="139">
        <v>8</v>
      </c>
      <c r="D16" s="140">
        <v>25854.1</v>
      </c>
    </row>
    <row r="17" spans="1:4" ht="15">
      <c r="A17" s="139">
        <v>14</v>
      </c>
      <c r="B17" s="139">
        <v>14</v>
      </c>
      <c r="C17" s="139">
        <v>7</v>
      </c>
      <c r="D17" s="140">
        <v>24975.81</v>
      </c>
    </row>
    <row r="18" spans="1:4" ht="15">
      <c r="A18" s="139">
        <v>15</v>
      </c>
      <c r="B18" s="139">
        <v>13</v>
      </c>
      <c r="C18" s="139">
        <v>11</v>
      </c>
      <c r="D18" s="140">
        <v>26339.3</v>
      </c>
    </row>
    <row r="19" spans="1:4" ht="15">
      <c r="A19" s="139">
        <v>16</v>
      </c>
      <c r="B19" s="139">
        <v>13</v>
      </c>
      <c r="C19" s="139">
        <v>10</v>
      </c>
      <c r="D19" s="140">
        <v>25523.45</v>
      </c>
    </row>
    <row r="20" spans="1:4" ht="15">
      <c r="A20" s="139">
        <v>17</v>
      </c>
      <c r="B20" s="139">
        <v>13</v>
      </c>
      <c r="C20" s="139">
        <v>9</v>
      </c>
      <c r="D20" s="140">
        <v>24741.26</v>
      </c>
    </row>
    <row r="21" spans="1:4" ht="15">
      <c r="A21" s="139">
        <v>18</v>
      </c>
      <c r="B21" s="139">
        <v>13</v>
      </c>
      <c r="C21" s="139">
        <v>8</v>
      </c>
      <c r="D21" s="140">
        <v>23891.119999999999</v>
      </c>
    </row>
    <row r="22" spans="1:4" ht="15">
      <c r="A22" s="139">
        <v>19</v>
      </c>
      <c r="B22" s="139">
        <v>13</v>
      </c>
      <c r="C22" s="139">
        <v>7</v>
      </c>
      <c r="D22" s="140">
        <v>23074.99</v>
      </c>
    </row>
    <row r="23" spans="1:4" ht="15">
      <c r="A23" s="139">
        <v>20</v>
      </c>
      <c r="B23" s="139">
        <v>12</v>
      </c>
      <c r="C23" s="139">
        <v>12</v>
      </c>
      <c r="D23" s="140"/>
    </row>
    <row r="24" spans="1:4" ht="15">
      <c r="A24" s="139">
        <v>21</v>
      </c>
      <c r="B24" s="139">
        <v>12</v>
      </c>
      <c r="C24" s="139">
        <v>11</v>
      </c>
      <c r="D24" s="140"/>
    </row>
    <row r="25" spans="1:4" ht="15">
      <c r="A25" s="139">
        <v>22</v>
      </c>
      <c r="B25" s="139">
        <v>12</v>
      </c>
      <c r="C25" s="139">
        <v>10</v>
      </c>
      <c r="D25" s="140"/>
    </row>
    <row r="26" spans="1:4" ht="15">
      <c r="A26" s="139">
        <v>23</v>
      </c>
      <c r="B26" s="139">
        <v>12</v>
      </c>
      <c r="C26" s="139">
        <v>9</v>
      </c>
      <c r="D26" s="140"/>
    </row>
    <row r="27" spans="1:4" ht="15">
      <c r="A27" s="139">
        <v>24</v>
      </c>
      <c r="B27" s="139">
        <v>12</v>
      </c>
      <c r="C27" s="139">
        <v>8</v>
      </c>
      <c r="D27" s="140">
        <f>21520.88</f>
        <v>21520.880000000001</v>
      </c>
    </row>
    <row r="28" spans="1:4" ht="15">
      <c r="A28" s="139">
        <v>25</v>
      </c>
      <c r="B28" s="139">
        <v>12</v>
      </c>
      <c r="C28" s="139">
        <v>7</v>
      </c>
      <c r="D28" s="140">
        <f>20749</f>
        <v>20749</v>
      </c>
    </row>
    <row r="29" spans="1:4" ht="15">
      <c r="A29" s="139">
        <v>26</v>
      </c>
      <c r="B29" s="139">
        <v>10</v>
      </c>
      <c r="C29" s="139">
        <v>13</v>
      </c>
      <c r="D29" s="140"/>
    </row>
    <row r="30" spans="1:4" ht="15">
      <c r="A30" s="139">
        <v>27</v>
      </c>
      <c r="B30" s="139">
        <v>10</v>
      </c>
      <c r="C30" s="139">
        <v>12</v>
      </c>
      <c r="D30" s="140">
        <v>19774.62</v>
      </c>
    </row>
    <row r="31" spans="1:4" ht="15">
      <c r="A31" s="139">
        <v>28</v>
      </c>
      <c r="B31" s="139">
        <v>10</v>
      </c>
      <c r="C31" s="139">
        <v>11</v>
      </c>
      <c r="D31" s="140">
        <v>19276.95</v>
      </c>
    </row>
    <row r="32" spans="1:4" ht="15">
      <c r="A32" s="139">
        <v>29</v>
      </c>
      <c r="B32" s="139">
        <v>10</v>
      </c>
      <c r="C32" s="139">
        <v>10</v>
      </c>
      <c r="D32" s="140">
        <v>18779.3</v>
      </c>
    </row>
    <row r="33" spans="1:4" ht="15">
      <c r="A33" s="139">
        <v>30</v>
      </c>
      <c r="B33" s="139">
        <v>10</v>
      </c>
      <c r="C33" s="139">
        <v>9</v>
      </c>
      <c r="D33" s="140">
        <v>18281.64</v>
      </c>
    </row>
    <row r="34" spans="1:4" ht="15">
      <c r="A34" s="139">
        <v>31</v>
      </c>
      <c r="B34" s="139">
        <v>10</v>
      </c>
      <c r="C34" s="139">
        <v>8</v>
      </c>
      <c r="D34" s="140">
        <v>17784.099999999999</v>
      </c>
    </row>
    <row r="35" spans="1:4" ht="15">
      <c r="A35" s="139">
        <v>32</v>
      </c>
      <c r="B35" s="139">
        <v>10</v>
      </c>
      <c r="C35" s="139">
        <v>7</v>
      </c>
      <c r="D35" s="140">
        <v>17286.330000000002</v>
      </c>
    </row>
    <row r="36" spans="1:4" ht="15">
      <c r="A36" s="139">
        <v>33</v>
      </c>
      <c r="B36" s="139">
        <v>9</v>
      </c>
      <c r="C36" s="139">
        <v>10</v>
      </c>
      <c r="D36" s="140">
        <v>16093.74</v>
      </c>
    </row>
    <row r="37" spans="1:4" ht="15">
      <c r="A37" s="139">
        <v>34</v>
      </c>
      <c r="B37" s="139">
        <v>9</v>
      </c>
      <c r="C37" s="139">
        <v>9</v>
      </c>
      <c r="D37" s="237">
        <f>15641.2</f>
        <v>15641.2</v>
      </c>
    </row>
    <row r="38" spans="1:4" ht="15">
      <c r="A38" s="139">
        <v>35</v>
      </c>
      <c r="B38" s="139">
        <v>9</v>
      </c>
      <c r="C38" s="139">
        <v>8</v>
      </c>
      <c r="D38" s="237">
        <f>15188.68</f>
        <v>15188.68</v>
      </c>
    </row>
    <row r="39" spans="1:4" ht="15">
      <c r="A39" s="139">
        <v>36</v>
      </c>
      <c r="B39" s="139">
        <v>9</v>
      </c>
      <c r="C39">
        <v>7</v>
      </c>
      <c r="D39" s="237">
        <f>14736.14</f>
        <v>14736.14</v>
      </c>
    </row>
    <row r="40" spans="1:4" ht="15">
      <c r="A40" s="139">
        <v>37</v>
      </c>
      <c r="B40" s="139">
        <v>8</v>
      </c>
      <c r="C40" s="139">
        <v>10</v>
      </c>
      <c r="D40" s="140">
        <v>13492.21</v>
      </c>
    </row>
    <row r="41" spans="1:4" ht="15">
      <c r="A41" s="139">
        <v>38</v>
      </c>
      <c r="B41" s="139">
        <v>8</v>
      </c>
      <c r="C41" s="139">
        <v>9</v>
      </c>
      <c r="D41" s="140">
        <v>13112.16</v>
      </c>
    </row>
    <row r="42" spans="1:4" ht="15">
      <c r="A42" s="139">
        <v>39</v>
      </c>
      <c r="B42" s="139">
        <v>8</v>
      </c>
      <c r="C42" s="139">
        <v>8</v>
      </c>
      <c r="D42" s="140">
        <v>12732</v>
      </c>
    </row>
    <row r="43" spans="1:4" ht="15">
      <c r="A43" s="139">
        <v>40</v>
      </c>
      <c r="B43" s="139">
        <v>8</v>
      </c>
      <c r="C43" s="139">
        <v>7</v>
      </c>
      <c r="D43" s="140">
        <v>12351.94</v>
      </c>
    </row>
    <row r="44" spans="1:4" ht="15">
      <c r="A44" s="139">
        <v>41</v>
      </c>
      <c r="B44" s="139">
        <v>7</v>
      </c>
      <c r="C44" s="139">
        <v>10</v>
      </c>
    </row>
    <row r="45" spans="1:4" ht="15">
      <c r="A45" s="139">
        <v>42</v>
      </c>
      <c r="B45" s="139">
        <v>7</v>
      </c>
      <c r="C45" s="139">
        <v>9</v>
      </c>
    </row>
    <row r="46" spans="1:4" ht="15">
      <c r="A46" s="139">
        <v>43</v>
      </c>
      <c r="B46" s="139">
        <v>7</v>
      </c>
      <c r="C46" s="139">
        <v>8</v>
      </c>
      <c r="D46" s="140"/>
    </row>
    <row r="47" spans="1:4" ht="15">
      <c r="A47" s="139">
        <v>44</v>
      </c>
      <c r="B47" s="139">
        <v>7</v>
      </c>
      <c r="C47" s="139">
        <v>6</v>
      </c>
      <c r="D47" s="140"/>
    </row>
    <row r="48" spans="1:4" ht="15">
      <c r="A48" s="139">
        <v>45</v>
      </c>
      <c r="B48" s="139">
        <v>7</v>
      </c>
      <c r="C48" s="139">
        <v>5</v>
      </c>
      <c r="D48" s="140"/>
    </row>
    <row r="49" spans="1:4" ht="15">
      <c r="A49" s="139">
        <v>46</v>
      </c>
      <c r="B49" s="139">
        <v>7</v>
      </c>
      <c r="C49" s="139">
        <v>4</v>
      </c>
      <c r="D49" s="140">
        <f>9050.14</f>
        <v>9050.14</v>
      </c>
    </row>
    <row r="50" spans="1:4" ht="15">
      <c r="A50" s="139">
        <v>47</v>
      </c>
      <c r="B50" s="139">
        <v>7</v>
      </c>
      <c r="C50" s="139">
        <v>3</v>
      </c>
      <c r="D50" s="140">
        <f>8730.79</f>
        <v>8730.7900000000009</v>
      </c>
    </row>
    <row r="51" spans="1:4" ht="15">
      <c r="A51" s="139">
        <v>48</v>
      </c>
      <c r="B51" s="139">
        <v>5</v>
      </c>
      <c r="C51" s="139">
        <v>13</v>
      </c>
      <c r="D51" s="140">
        <v>5769.6</v>
      </c>
    </row>
    <row r="52" spans="1:4" ht="15">
      <c r="A52" s="139">
        <v>49</v>
      </c>
      <c r="B52" s="139">
        <v>5</v>
      </c>
      <c r="C52" s="139">
        <v>12</v>
      </c>
      <c r="D52" s="140">
        <v>5598.92</v>
      </c>
    </row>
    <row r="53" spans="1:4" ht="15">
      <c r="A53" s="139">
        <v>50</v>
      </c>
      <c r="B53" s="139">
        <v>5</v>
      </c>
      <c r="C53" s="139">
        <v>11</v>
      </c>
      <c r="D53" s="140">
        <v>5428.12</v>
      </c>
    </row>
    <row r="54" spans="1:4" ht="15">
      <c r="A54" s="139">
        <v>51</v>
      </c>
      <c r="B54" s="139">
        <v>5</v>
      </c>
      <c r="C54" s="139">
        <v>10</v>
      </c>
      <c r="D54" s="140">
        <v>5257.44</v>
      </c>
    </row>
    <row r="55" spans="1:4" ht="15">
      <c r="A55" s="139">
        <v>52</v>
      </c>
      <c r="B55" s="139">
        <v>5</v>
      </c>
      <c r="C55" s="139">
        <v>9</v>
      </c>
      <c r="D55" s="140">
        <v>5086.76</v>
      </c>
    </row>
    <row r="56" spans="1:4" ht="15">
      <c r="A56" s="139">
        <v>53</v>
      </c>
      <c r="B56" s="139">
        <v>5</v>
      </c>
      <c r="C56" s="139">
        <v>8</v>
      </c>
      <c r="D56" s="140">
        <v>4915.9399999999996</v>
      </c>
    </row>
    <row r="57" spans="1:4" ht="15">
      <c r="A57" s="139"/>
      <c r="B57" s="139">
        <v>5</v>
      </c>
      <c r="C57" s="139">
        <v>7</v>
      </c>
      <c r="D57" s="140">
        <v>4745.29</v>
      </c>
    </row>
    <row r="58" spans="1:4" ht="15">
      <c r="B58" s="139">
        <v>4</v>
      </c>
      <c r="C58" s="139">
        <v>11</v>
      </c>
      <c r="D58" s="140">
        <v>4836.3</v>
      </c>
    </row>
    <row r="59" spans="1:4" ht="15">
      <c r="B59" s="139">
        <v>4</v>
      </c>
      <c r="C59" s="139">
        <v>8</v>
      </c>
      <c r="D59" s="140">
        <v>4248.51</v>
      </c>
    </row>
    <row r="60" spans="1:4" ht="15">
      <c r="B60" s="139">
        <v>4</v>
      </c>
      <c r="C60" s="139">
        <v>7</v>
      </c>
      <c r="D60" s="140">
        <v>4101.58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8"/>
  <sheetViews>
    <sheetView workbookViewId="0">
      <selection activeCell="C5" sqref="C5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239" t="s">
        <v>0</v>
      </c>
      <c r="B1" s="239"/>
      <c r="C1" s="239"/>
      <c r="D1" s="239"/>
      <c r="E1" s="239"/>
    </row>
    <row r="2" spans="1:6" ht="18.75">
      <c r="A2" s="297" t="s">
        <v>677</v>
      </c>
      <c r="B2" s="297"/>
      <c r="C2" s="297"/>
      <c r="D2" s="297"/>
      <c r="E2" s="297"/>
    </row>
    <row r="3" spans="1:6" ht="18.75" customHeight="1">
      <c r="A3" s="308" t="s">
        <v>678</v>
      </c>
      <c r="B3" s="309" t="s">
        <v>5</v>
      </c>
      <c r="C3" s="306" t="s">
        <v>679</v>
      </c>
      <c r="D3" s="306" t="s">
        <v>680</v>
      </c>
      <c r="E3" s="306" t="s">
        <v>681</v>
      </c>
      <c r="F3" s="305" t="s">
        <v>34</v>
      </c>
    </row>
    <row r="4" spans="1:6" ht="16.5" customHeight="1">
      <c r="A4" s="308"/>
      <c r="B4" s="310"/>
      <c r="C4" s="307"/>
      <c r="D4" s="307"/>
      <c r="E4" s="307"/>
      <c r="F4" s="305"/>
    </row>
    <row r="5" spans="1:6" ht="18.75">
      <c r="A5" s="3">
        <v>1</v>
      </c>
      <c r="B5" s="22" t="s">
        <v>39</v>
      </c>
      <c r="C5" s="23" t="s">
        <v>682</v>
      </c>
      <c r="D5" s="23" t="s">
        <v>407</v>
      </c>
      <c r="E5" s="27">
        <f>1580439.5*12</f>
        <v>18965274</v>
      </c>
      <c r="F5" s="27">
        <f>E5*D5</f>
        <v>18965274</v>
      </c>
    </row>
    <row r="6" spans="1:6" ht="18.75">
      <c r="A6" s="3">
        <v>2</v>
      </c>
      <c r="B6" s="22" t="s">
        <v>683</v>
      </c>
      <c r="C6" s="23" t="s">
        <v>540</v>
      </c>
      <c r="D6" s="23" t="s">
        <v>684</v>
      </c>
      <c r="E6" s="27">
        <v>9607889.5199999996</v>
      </c>
      <c r="F6" s="27">
        <f t="shared" ref="F6:F17" si="0">E6*D6</f>
        <v>38431558.079999998</v>
      </c>
    </row>
    <row r="7" spans="1:6" ht="18.75">
      <c r="A7" s="3">
        <v>3</v>
      </c>
      <c r="B7" s="22" t="s">
        <v>685</v>
      </c>
      <c r="C7" s="23" t="s">
        <v>479</v>
      </c>
      <c r="D7" s="23" t="s">
        <v>407</v>
      </c>
      <c r="E7" s="24">
        <f>424023.33*12</f>
        <v>5088279.96</v>
      </c>
      <c r="F7" s="27">
        <f t="shared" si="0"/>
        <v>5088279.96</v>
      </c>
    </row>
    <row r="8" spans="1:6" ht="18.75">
      <c r="A8" s="3">
        <v>4</v>
      </c>
      <c r="B8" s="22" t="s">
        <v>686</v>
      </c>
      <c r="C8" s="23" t="s">
        <v>479</v>
      </c>
      <c r="D8" s="23" t="s">
        <v>474</v>
      </c>
      <c r="E8" s="24">
        <f>424023.33*12</f>
        <v>5088279.96</v>
      </c>
      <c r="F8" s="27">
        <f t="shared" si="0"/>
        <v>10176559.92</v>
      </c>
    </row>
    <row r="9" spans="1:6" ht="18.75">
      <c r="A9" s="3">
        <v>5</v>
      </c>
      <c r="B9" s="20" t="s">
        <v>687</v>
      </c>
      <c r="C9" s="25" t="s">
        <v>479</v>
      </c>
      <c r="D9" s="29">
        <v>10</v>
      </c>
      <c r="E9" s="26">
        <v>5088279.96</v>
      </c>
      <c r="F9" s="27">
        <f t="shared" si="0"/>
        <v>50882799.600000001</v>
      </c>
    </row>
    <row r="10" spans="1:6" ht="18.75">
      <c r="A10" s="3">
        <v>6</v>
      </c>
      <c r="B10" s="20" t="s">
        <v>688</v>
      </c>
      <c r="C10" s="25" t="s">
        <v>479</v>
      </c>
      <c r="D10" s="29">
        <v>10</v>
      </c>
      <c r="E10" s="26">
        <v>4136647.2</v>
      </c>
      <c r="F10" s="27">
        <f t="shared" si="0"/>
        <v>41366472</v>
      </c>
    </row>
    <row r="11" spans="1:6" ht="18.75">
      <c r="A11" s="3">
        <v>7</v>
      </c>
      <c r="B11" s="20" t="s">
        <v>689</v>
      </c>
      <c r="C11" s="25" t="s">
        <v>232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.75">
      <c r="A12" s="3">
        <v>8</v>
      </c>
      <c r="B12" s="20" t="s">
        <v>131</v>
      </c>
      <c r="C12" s="25" t="s">
        <v>194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.75">
      <c r="A13" s="3">
        <v>9</v>
      </c>
      <c r="B13" s="20" t="s">
        <v>690</v>
      </c>
      <c r="C13" s="25" t="s">
        <v>485</v>
      </c>
      <c r="D13" s="29">
        <v>8</v>
      </c>
      <c r="E13" s="26">
        <v>2810412.36</v>
      </c>
      <c r="F13" s="27">
        <f t="shared" si="0"/>
        <v>22483298.879999999</v>
      </c>
    </row>
    <row r="14" spans="1:6" ht="18.75">
      <c r="A14" s="3">
        <v>10</v>
      </c>
      <c r="B14" s="20" t="s">
        <v>691</v>
      </c>
      <c r="C14" s="25" t="s">
        <v>168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.75">
      <c r="A15" s="3">
        <v>11</v>
      </c>
      <c r="B15" s="22" t="s">
        <v>692</v>
      </c>
      <c r="C15" s="23" t="s">
        <v>93</v>
      </c>
      <c r="D15" s="23" t="s">
        <v>693</v>
      </c>
      <c r="E15" s="26">
        <f>123329.05*12</f>
        <v>1479948.6</v>
      </c>
      <c r="F15" s="27">
        <f t="shared" si="0"/>
        <v>29598972</v>
      </c>
    </row>
    <row r="16" spans="1:6" ht="18.75">
      <c r="A16" s="3">
        <v>12</v>
      </c>
      <c r="B16" s="20" t="s">
        <v>694</v>
      </c>
      <c r="C16" s="25" t="s">
        <v>111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.75">
      <c r="A17" s="3">
        <v>13</v>
      </c>
      <c r="B17" s="20" t="s">
        <v>695</v>
      </c>
      <c r="C17" s="25" t="s">
        <v>319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8.7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2024-05-31T11:01:28Z</dcterms:modified>
  <cp:category/>
  <cp:contentStatus/>
</cp:coreProperties>
</file>