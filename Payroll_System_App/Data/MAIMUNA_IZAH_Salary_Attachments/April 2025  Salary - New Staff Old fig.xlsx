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97" activeTab="1"/>
  </bookViews>
  <sheets>
    <sheet name="APRIL 2025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2">'Christmas 2024'!$A$1:$E$60</definedName>
    <definedName name="_xlnm.Print_Area" localSheetId="35">'CHRISTMAS WELFARE'!$A$1:$E$196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0">'APRIL 2025 NEW'!$A$1:$S$60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MEMO!$A$1:$H$60</definedName>
    <definedName name="_xlnm.Print_Area" localSheetId="39">'NEW ENROLMENT IN NOVEMBER (2)'!$A$1:$X$14</definedName>
    <definedName name="_xlnm.Print_Area" localSheetId="3">'NEW STAFF BONUS'!$A$1:$F$59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2">'Christmas 2024'!$4:$5</definedName>
    <definedName name="_xlnm.Print_Titles" localSheetId="35">'CHRISTMAS WELFARE'!$4:$5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0">'APRIL 2025 NEW'!$4:$5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3">'NEW STAFF BONUS'!$4:$5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<sst xmlns="http://schemas.openxmlformats.org/spreadsheetml/2006/main" count="12813" uniqueCount="1273">
  <si>
    <t>NATIONAL INSTITUTE FOR LEGISLATIVE AND DEMOCRATIC STUDIES</t>
  </si>
  <si>
    <t>STAFF PAYROLL FOR THE MONTH OF APRIL, 2025 (NEW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</si>
  <si>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</si>
  <si>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</si>
  <si>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</si>
  <si>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</si>
  <si>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</si>
  <si>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</si>
  <si>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</si>
  <si>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</si>
  <si>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</si>
  <si>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</si>
  <si>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</si>
  <si>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</si>
  <si>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</si>
  <si>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</si>
  <si>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</si>
  <si>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MARCH, 2025</t>
  </si>
  <si>
    <t>APRIL, 2025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</si>
  <si>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</si>
  <si>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</si>
  <si>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</si>
  <si>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</si>
  <si>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</si>
  <si>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</si>
  <si>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</si>
  <si>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</si>
  <si>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</si>
  <si>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</si>
  <si>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</si>
  <si>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</si>
  <si>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</si>
  <si>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</si>
  <si>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</si>
  <si>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</si>
  <si>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</si>
  <si>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</si>
  <si>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</si>
  <si>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</si>
  <si>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</si>
  <si>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</si>
  <si>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</si>
  <si>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</si>
  <si>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</si>
  <si>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</si>
  <si>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</si>
  <si>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</si>
  <si>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</si>
  <si>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ISHAKA DELE</t>
  </si>
  <si>
    <t>OBOT ETIMBUK EMMANUEL</t>
  </si>
  <si>
    <t>PRINCIPAL INFO. OFFICER</t>
  </si>
  <si>
    <t>DEPARTMENT OF STUDIES</t>
  </si>
  <si>
    <t>DR. IBANGA ISSAC JONAH</t>
  </si>
  <si>
    <t>ASSIST. CHIEF PROGRM OFFICER</t>
  </si>
  <si>
    <t>UDONSI QUEENETH CHIWENDU</t>
  </si>
  <si>
    <t>ASSIST PROGRAMME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</si>
  <si>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</si>
  <si>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</si>
  <si>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</si>
  <si>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</si>
  <si>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</si>
  <si>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</si>
  <si>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</si>
  <si>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</si>
  <si>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</si>
  <si>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</si>
  <si>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</si>
  <si>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</si>
  <si>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</si>
  <si>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</si>
  <si>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</si>
  <si>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</si>
  <si>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</si>
  <si>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</si>
  <si>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</si>
  <si>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</si>
  <si>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</si>
  <si>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</si>
  <si>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</si>
  <si>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4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</si>
  <si>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</si>
  <si>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</si>
  <si>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</si>
  <si>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</si>
  <si>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</si>
  <si>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</si>
  <si>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</si>
  <si>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</si>
  <si>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</si>
  <si>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</si>
  <si>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</si>
  <si>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</si>
  <si>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</si>
  <si>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</si>
  <si>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</si>
  <si>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</si>
  <si>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28TH APRIL, 2025</t>
  </si>
  <si>
    <t>SUBJECT: PAYROLL FOR THE MONTH OF APRIL 2025</t>
  </si>
  <si>
    <t>Find below the details of NILDS Staff Payroll for the Month of  April 2025:</t>
  </si>
  <si>
    <t>NGN</t>
  </si>
  <si>
    <t>GROSS SALARY FOR  APRIL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</si>
  <si>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</si>
  <si>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</si>
  <si>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</si>
  <si>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</si>
  <si>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</si>
  <si>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</si>
  <si>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APRIL 2025</t>
  </si>
  <si>
    <t>NET PAY AS PER  APRIL 2025 PAYROLL</t>
  </si>
  <si>
    <t>NET PAY AS PER  MARCH, 2025 PAYROLL</t>
  </si>
  <si>
    <t>NET INCREASE/ (DECREASE)  IN PAY FOR  APRIL, 2025</t>
  </si>
  <si>
    <t>ANALYSED AS FOLLOWS:</t>
  </si>
  <si>
    <t>Effect of Cooperative Adjustment for April, 2025</t>
  </si>
  <si>
    <t>Effect of regularization of Salary of Ishaka Dele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</si>
  <si>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</si>
  <si>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</si>
  <si>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</si>
  <si>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</si>
  <si>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</si>
  <si>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</si>
  <si>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</si>
  <si>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</si>
  <si>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</si>
  <si>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</si>
  <si>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</si>
  <si>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</si>
  <si>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</si>
  <si>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6,234,119.06 </t>
    </r>
    <r>
      <rPr>
        <sz val="14"/>
        <rFont val="Times New Roman"/>
        <charset val="134"/>
      </rPr>
      <t xml:space="preserve">to Guaranty Trust Bank being April, 2025 Net Salary for New Staff, </t>
    </r>
    <r>
      <rPr>
        <b/>
        <sz val="14"/>
        <rFont val="Times New Roman"/>
        <charset val="134"/>
      </rPr>
      <t xml:space="preserve">N670,000.00 </t>
    </r>
    <r>
      <rPr>
        <sz val="14"/>
        <rFont val="Times New Roman"/>
        <charset val="134"/>
      </rPr>
      <t>to Staff Coorporative Society,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1,004,511.85  </t>
    </r>
    <r>
      <rPr>
        <sz val="14"/>
        <rFont val="Times New Roman"/>
        <charset val="134"/>
      </rPr>
      <t xml:space="preserve">being PAYE Tax Deductions from New Staff Salary for the month  of April, 2025.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</si>
  <si>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</si>
  <si>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</si>
  <si>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</si>
  <si>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</si>
  <si>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</si>
  <si>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3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</si>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</sst>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0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6" fillId="20" borderId="19" applyNumberFormat="0" applyFon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91" fillId="0" borderId="20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21" borderId="22" applyNumberFormat="0" applyAlignment="0" applyProtection="0">
      <alignment vertical="center"/>
    </xf>
    <xf numFmtId="0" fontId="94" fillId="22" borderId="23" applyNumberFormat="0" applyAlignment="0" applyProtection="0">
      <alignment vertical="center"/>
    </xf>
    <xf numFmtId="0" fontId="95" fillId="22" borderId="22" applyNumberFormat="0" applyAlignment="0" applyProtection="0">
      <alignment vertical="center"/>
    </xf>
    <xf numFmtId="0" fontId="96" fillId="23" borderId="24" applyNumberFormat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8" fillId="0" borderId="26" applyNumberFormat="0" applyFill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02" fillId="35" borderId="0" applyNumberFormat="0" applyBorder="0" applyAlignment="0" applyProtection="0">
      <alignment vertical="center"/>
    </xf>
    <xf numFmtId="0" fontId="103" fillId="18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2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03" fillId="39" borderId="0" applyNumberFormat="0" applyBorder="0" applyAlignment="0" applyProtection="0">
      <alignment vertical="center"/>
    </xf>
    <xf numFmtId="0" fontId="102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102" fillId="44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7" borderId="0" applyNumberFormat="0" applyBorder="0" applyAlignment="0" applyProtection="0">
      <alignment vertical="center"/>
    </xf>
    <xf numFmtId="0" fontId="102" fillId="45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77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77" fontId="31" fillId="14" borderId="1" xfId="51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26" fillId="2" borderId="0" xfId="0" applyFont="1" applyFill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8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1" fillId="0" borderId="0" xfId="0" applyFont="1" applyAlignment="1">
      <alignment horizontal="left"/>
    </xf>
    <xf numFmtId="0" fontId="80" fillId="0" borderId="0" xfId="0" applyFont="1"/>
    <xf numFmtId="0" fontId="71" fillId="0" borderId="0" xfId="0" applyFont="1"/>
    <xf numFmtId="0" fontId="82" fillId="0" borderId="0" xfId="0" applyFont="1"/>
    <xf numFmtId="0" fontId="83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84" fillId="0" borderId="0" xfId="0" applyNumberFormat="1" applyFont="1"/>
    <xf numFmtId="43" fontId="21" fillId="0" borderId="0" xfId="1" applyFont="1" applyBorder="1" applyAlignment="1"/>
    <xf numFmtId="43" fontId="3" fillId="0" borderId="0" xfId="1" applyFont="1" applyBorder="1" applyAlignment="1"/>
    <xf numFmtId="43" fontId="1" fillId="0" borderId="0" xfId="1" applyFont="1" applyFill="1" applyBorder="1" applyAlignment="1"/>
    <xf numFmtId="43" fontId="21" fillId="0" borderId="3" xfId="1" applyFont="1" applyBorder="1" applyAlignment="1"/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17" fontId="3" fillId="14" borderId="1" xfId="0" applyNumberFormat="1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6" Type="http://schemas.openxmlformats.org/officeDocument/2006/relationships/styles" Target="styles.xml"/><Relationship Id="rId85" Type="http://schemas.openxmlformats.org/officeDocument/2006/relationships/sharedStrings" Target="sharedStrings.xml"/><Relationship Id="rId84" Type="http://schemas.openxmlformats.org/officeDocument/2006/relationships/theme" Target="theme/theme1.xml"/><Relationship Id="rId83" Type="http://schemas.openxmlformats.org/officeDocument/2006/relationships/externalLink" Target="externalLinks/externalLink12.xml"/><Relationship Id="rId82" Type="http://schemas.openxmlformats.org/officeDocument/2006/relationships/externalLink" Target="externalLinks/externalLink11.xml"/><Relationship Id="rId81" Type="http://schemas.openxmlformats.org/officeDocument/2006/relationships/externalLink" Target="externalLinks/externalLink10.xml"/><Relationship Id="rId80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8.xml"/><Relationship Id="rId78" Type="http://schemas.openxmlformats.org/officeDocument/2006/relationships/externalLink" Target="externalLinks/externalLink7.xml"/><Relationship Id="rId77" Type="http://schemas.openxmlformats.org/officeDocument/2006/relationships/externalLink" Target="externalLinks/externalLink6.xml"/><Relationship Id="rId76" Type="http://schemas.openxmlformats.org/officeDocument/2006/relationships/externalLink" Target="externalLinks/externalLink5.xml"/><Relationship Id="rId75" Type="http://schemas.openxmlformats.org/officeDocument/2006/relationships/externalLink" Target="externalLinks/externalLink4.xml"/><Relationship Id="rId74" Type="http://schemas.openxmlformats.org/officeDocument/2006/relationships/externalLink" Target="externalLinks/externalLink3.xml"/><Relationship Id="rId73" Type="http://schemas.openxmlformats.org/officeDocument/2006/relationships/externalLink" Target="externalLinks/externalLink2.xml"/><Relationship Id="rId72" Type="http://schemas.openxmlformats.org/officeDocument/2006/relationships/externalLink" Target="externalLinks/externalLink1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4244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38">
          <cell r="H38">
            <v>293029.666666667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3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6" sqref="B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1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22" style="1" customWidth="1"/>
    <col min="19" max="19" width="18.7090909090909" style="1" customWidth="1"/>
    <col min="20" max="20" width="16.1818181818182" style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6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506" t="s">
        <v>16</v>
      </c>
      <c r="R4" s="772" t="s">
        <v>17</v>
      </c>
      <c r="S4" s="773" t="s">
        <v>18</v>
      </c>
    </row>
    <row r="5" ht="17.25" customHeight="1" spans="3:19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8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8" t="s">
        <v>19</v>
      </c>
    </row>
    <row r="6" customHeight="1" spans="1:19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8"/>
      <c r="K6" s="82"/>
      <c r="L6" s="82"/>
      <c r="M6" s="82"/>
      <c r="N6" s="82"/>
      <c r="O6" s="82"/>
      <c r="P6" s="82"/>
      <c r="Q6" s="508"/>
      <c r="R6" s="82"/>
      <c r="S6" s="508"/>
    </row>
    <row r="7" ht="18.75" customHeight="1" spans="1:19">
      <c r="A7" s="10">
        <v>1</v>
      </c>
      <c r="B7" s="18" t="s">
        <v>22</v>
      </c>
      <c r="C7" s="4" t="s">
        <v>23</v>
      </c>
      <c r="D7" s="10" t="s">
        <v>24</v>
      </c>
      <c r="E7" s="85">
        <f>255849</f>
        <v>255849</v>
      </c>
      <c r="F7" s="85"/>
      <c r="G7" s="220"/>
      <c r="H7" s="220">
        <f>60000</f>
        <v>60000</v>
      </c>
      <c r="I7" s="85"/>
      <c r="J7" s="510">
        <f t="shared" ref="J7" si="0">E7+F7+G7+H7+I7</f>
        <v>315849</v>
      </c>
      <c r="K7" s="85"/>
      <c r="L7" s="85">
        <v>50000</v>
      </c>
      <c r="M7" s="85"/>
      <c r="N7" s="85"/>
      <c r="O7" s="85">
        <v>36790.6881066667</v>
      </c>
      <c r="P7" s="85">
        <v>20467.92</v>
      </c>
      <c r="Q7" s="510">
        <f>O7+N7+M7+L7+K7+P7</f>
        <v>107258.608106667</v>
      </c>
      <c r="R7" s="85">
        <v>208590.391893333</v>
      </c>
      <c r="S7" s="510">
        <f t="shared" ref="S7:S11" si="1">J7-Q7</f>
        <v>208590.391893333</v>
      </c>
    </row>
    <row r="8" ht="18.75" customHeight="1" spans="1:19">
      <c r="A8" s="10">
        <v>2</v>
      </c>
      <c r="B8" s="18" t="s">
        <v>25</v>
      </c>
      <c r="C8" s="4" t="s">
        <v>23</v>
      </c>
      <c r="D8" s="10" t="s">
        <v>24</v>
      </c>
      <c r="E8" s="85">
        <f>255849</f>
        <v>255849</v>
      </c>
      <c r="F8" s="85"/>
      <c r="G8" s="220"/>
      <c r="H8" s="220">
        <f>60000</f>
        <v>60000</v>
      </c>
      <c r="I8" s="85"/>
      <c r="J8" s="510">
        <f t="shared" ref="J8" si="2">E8+F8+G8+H8+I8</f>
        <v>315849</v>
      </c>
      <c r="K8" s="85"/>
      <c r="L8" s="85">
        <v>50000</v>
      </c>
      <c r="M8" s="85">
        <v>15000</v>
      </c>
      <c r="N8" s="85"/>
      <c r="O8" s="85">
        <v>36790.6881066667</v>
      </c>
      <c r="P8" s="85">
        <v>20467.92</v>
      </c>
      <c r="Q8" s="510">
        <f>O8+N8+M8+L8+K8+P8</f>
        <v>122258.608106667</v>
      </c>
      <c r="R8" s="85">
        <v>208590.391893333</v>
      </c>
      <c r="S8" s="510">
        <f t="shared" si="1"/>
        <v>193590.391893333</v>
      </c>
    </row>
    <row r="9" ht="18.75" customHeight="1" spans="1:19">
      <c r="A9" s="10">
        <v>3</v>
      </c>
      <c r="B9" s="18" t="s">
        <v>26</v>
      </c>
      <c r="C9" s="4" t="s">
        <v>27</v>
      </c>
      <c r="D9" s="10" t="s">
        <v>24</v>
      </c>
      <c r="E9" s="85">
        <v>255849</v>
      </c>
      <c r="F9" s="85"/>
      <c r="G9" s="220"/>
      <c r="H9" s="220">
        <f>60000</f>
        <v>60000</v>
      </c>
      <c r="I9" s="85"/>
      <c r="J9" s="510">
        <f t="shared" ref="J9" si="3">E9+F9+G9+H9+I9</f>
        <v>315849</v>
      </c>
      <c r="K9" s="85"/>
      <c r="L9" s="85"/>
      <c r="M9" s="85"/>
      <c r="N9" s="85"/>
      <c r="O9" s="85">
        <v>36790.6881066667</v>
      </c>
      <c r="P9" s="85">
        <v>20467.92</v>
      </c>
      <c r="Q9" s="510">
        <f>O9+N9+M9+L9+K9+P9</f>
        <v>57258.6081066667</v>
      </c>
      <c r="R9" s="85">
        <v>258590.391893333</v>
      </c>
      <c r="S9" s="510">
        <f t="shared" si="1"/>
        <v>258590.391893333</v>
      </c>
    </row>
    <row r="10" customHeight="1" spans="1:19">
      <c r="A10" s="10">
        <v>4</v>
      </c>
      <c r="B10" s="18" t="s">
        <v>28</v>
      </c>
      <c r="C10" s="12" t="s">
        <v>29</v>
      </c>
      <c r="D10" s="15" t="s">
        <v>30</v>
      </c>
      <c r="E10" s="85">
        <f>218287.583333333</f>
        <v>218287.583333333</v>
      </c>
      <c r="F10" s="85"/>
      <c r="G10" s="220"/>
      <c r="H10" s="220">
        <f>50000</f>
        <v>50000</v>
      </c>
      <c r="I10" s="85"/>
      <c r="J10" s="510">
        <f t="shared" ref="J10" si="4">SUM(E10:I10)</f>
        <v>268287.583333333</v>
      </c>
      <c r="K10" s="85"/>
      <c r="L10" s="675"/>
      <c r="M10" s="675"/>
      <c r="N10" s="4"/>
      <c r="O10" s="675">
        <v>29305.1955466666</v>
      </c>
      <c r="P10" s="675">
        <v>17463.0066666666</v>
      </c>
      <c r="Q10" s="510">
        <f>O10+N10+M10+L10+K10+P10</f>
        <v>46768.2022133332</v>
      </c>
      <c r="R10" s="85">
        <v>221519.38112</v>
      </c>
      <c r="S10" s="510">
        <f t="shared" si="1"/>
        <v>221519.38112</v>
      </c>
    </row>
    <row r="11" customHeight="1" spans="1:19">
      <c r="A11" s="10">
        <v>5</v>
      </c>
      <c r="B11" s="18" t="s">
        <v>31</v>
      </c>
      <c r="C11" s="12" t="s">
        <v>32</v>
      </c>
      <c r="D11" s="15" t="s">
        <v>30</v>
      </c>
      <c r="E11" s="85">
        <f>218287.583333333</f>
        <v>218287.583333333</v>
      </c>
      <c r="F11" s="85"/>
      <c r="G11" s="220"/>
      <c r="H11" s="220">
        <f>50000</f>
        <v>50000</v>
      </c>
      <c r="I11" s="85"/>
      <c r="J11" s="510">
        <f t="shared" ref="J11" si="5">SUM(E11:I11)</f>
        <v>268287.583333333</v>
      </c>
      <c r="K11" s="85"/>
      <c r="L11" s="675"/>
      <c r="M11" s="675"/>
      <c r="N11" s="4"/>
      <c r="O11" s="675">
        <v>29305.1955466666</v>
      </c>
      <c r="P11" s="675">
        <v>17463.0066666666</v>
      </c>
      <c r="Q11" s="510">
        <f>O11+N11+M11+L11+K11+P11</f>
        <v>46768.2022133332</v>
      </c>
      <c r="R11" s="85">
        <v>221519.38112</v>
      </c>
      <c r="S11" s="510">
        <f t="shared" si="1"/>
        <v>221519.38112</v>
      </c>
    </row>
    <row r="12" ht="26.25" customHeight="1" spans="1:19">
      <c r="A12" s="10"/>
      <c r="B12" s="20" t="s">
        <v>33</v>
      </c>
      <c r="C12" s="21">
        <v>5</v>
      </c>
      <c r="D12" s="15"/>
      <c r="E12" s="221">
        <f t="shared" ref="E12:Q12" si="6">SUM(E7:E11)</f>
        <v>1204122.16666667</v>
      </c>
      <c r="F12" s="221">
        <f t="shared" si="6"/>
        <v>0</v>
      </c>
      <c r="G12" s="221">
        <f t="shared" si="6"/>
        <v>0</v>
      </c>
      <c r="H12" s="221">
        <f t="shared" si="6"/>
        <v>280000</v>
      </c>
      <c r="I12" s="221">
        <f t="shared" si="6"/>
        <v>0</v>
      </c>
      <c r="J12" s="515">
        <f t="shared" si="6"/>
        <v>1484122.16666667</v>
      </c>
      <c r="K12" s="221">
        <f t="shared" si="6"/>
        <v>0</v>
      </c>
      <c r="L12" s="221">
        <f t="shared" si="6"/>
        <v>100000</v>
      </c>
      <c r="M12" s="221">
        <f t="shared" si="6"/>
        <v>15000</v>
      </c>
      <c r="N12" s="221">
        <f t="shared" si="6"/>
        <v>0</v>
      </c>
      <c r="O12" s="221">
        <f t="shared" si="6"/>
        <v>168982.455413333</v>
      </c>
      <c r="P12" s="221">
        <f t="shared" si="6"/>
        <v>96329.7733333332</v>
      </c>
      <c r="Q12" s="515">
        <f t="shared" si="6"/>
        <v>380312.228746667</v>
      </c>
      <c r="R12" s="221">
        <v>1118809.93792</v>
      </c>
      <c r="S12" s="515">
        <f>SUM(S7:S11)</f>
        <v>1103809.93792</v>
      </c>
    </row>
    <row r="13" ht="18.75" customHeight="1" spans="1:19">
      <c r="A13" s="10"/>
      <c r="B13" s="22"/>
      <c r="C13" s="4"/>
      <c r="D13" s="15"/>
      <c r="E13" s="221"/>
      <c r="F13" s="221"/>
      <c r="G13" s="220"/>
      <c r="H13" s="220"/>
      <c r="I13" s="221"/>
      <c r="J13" s="515"/>
      <c r="K13" s="221"/>
      <c r="L13" s="221"/>
      <c r="M13" s="221"/>
      <c r="N13" s="221"/>
      <c r="O13" s="221"/>
      <c r="P13" s="221"/>
      <c r="Q13" s="515"/>
      <c r="R13" s="221"/>
      <c r="S13" s="515"/>
    </row>
    <row r="14" ht="18.75" customHeight="1" spans="1:19">
      <c r="A14" s="10"/>
      <c r="B14" s="20" t="s">
        <v>34</v>
      </c>
      <c r="C14" s="4"/>
      <c r="D14" s="15"/>
      <c r="E14" s="85"/>
      <c r="F14" s="85"/>
      <c r="G14" s="220"/>
      <c r="H14" s="220"/>
      <c r="I14" s="85"/>
      <c r="J14" s="510"/>
      <c r="K14" s="85"/>
      <c r="L14" s="85"/>
      <c r="M14" s="85"/>
      <c r="N14" s="85"/>
      <c r="O14" s="85"/>
      <c r="P14" s="85"/>
      <c r="Q14" s="510"/>
      <c r="R14" s="85"/>
      <c r="S14" s="510"/>
    </row>
    <row r="15" customHeight="1" spans="1:20">
      <c r="A15" s="4">
        <v>1</v>
      </c>
      <c r="B15" s="18" t="s">
        <v>35</v>
      </c>
      <c r="C15" s="12" t="s">
        <v>36</v>
      </c>
      <c r="D15" s="15" t="s">
        <v>37</v>
      </c>
      <c r="E15" s="85">
        <v>293029.666666667</v>
      </c>
      <c r="F15" s="85"/>
      <c r="G15" s="220"/>
      <c r="H15" s="220">
        <v>60000</v>
      </c>
      <c r="I15" s="85"/>
      <c r="J15" s="510">
        <f t="shared" ref="J15" si="7">SUM(E15:I15)</f>
        <v>353029.666666667</v>
      </c>
      <c r="K15" s="85"/>
      <c r="L15" s="675">
        <f>100000</f>
        <v>100000</v>
      </c>
      <c r="M15" s="675"/>
      <c r="O15" s="675">
        <v>43541.87</v>
      </c>
      <c r="P15" s="676">
        <v>23442.3733333333</v>
      </c>
      <c r="Q15" s="510">
        <f>O15+N15+M15+L15+K15+P15</f>
        <v>166984.243333333</v>
      </c>
      <c r="R15" s="85">
        <v>186045.423333334</v>
      </c>
      <c r="S15" s="510">
        <f t="shared" ref="S15" si="8">J15-Q15</f>
        <v>186045.423333334</v>
      </c>
      <c r="T15" s="13"/>
    </row>
    <row r="16" ht="19.5" customHeight="1" spans="1:19">
      <c r="A16" s="10"/>
      <c r="B16" s="14"/>
      <c r="C16" s="21">
        <v>1</v>
      </c>
      <c r="D16" s="10"/>
      <c r="E16" s="221">
        <f t="shared" ref="E16:Q16" si="9">SUM(E15:E15)</f>
        <v>293029.666666667</v>
      </c>
      <c r="F16" s="221">
        <f t="shared" si="9"/>
        <v>0</v>
      </c>
      <c r="G16" s="221">
        <f t="shared" si="9"/>
        <v>0</v>
      </c>
      <c r="H16" s="221">
        <f t="shared" si="9"/>
        <v>60000</v>
      </c>
      <c r="I16" s="221">
        <f t="shared" si="9"/>
        <v>0</v>
      </c>
      <c r="J16" s="515">
        <f t="shared" si="9"/>
        <v>353029.666666667</v>
      </c>
      <c r="K16" s="221">
        <f t="shared" si="9"/>
        <v>0</v>
      </c>
      <c r="L16" s="221">
        <f t="shared" si="9"/>
        <v>100000</v>
      </c>
      <c r="M16" s="221">
        <f t="shared" si="9"/>
        <v>0</v>
      </c>
      <c r="N16" s="221">
        <f t="shared" si="9"/>
        <v>0</v>
      </c>
      <c r="O16" s="221">
        <f t="shared" si="9"/>
        <v>43541.87</v>
      </c>
      <c r="P16" s="221">
        <f t="shared" si="9"/>
        <v>23442.3733333333</v>
      </c>
      <c r="Q16" s="515">
        <f t="shared" si="9"/>
        <v>166984.243333333</v>
      </c>
      <c r="R16" s="221">
        <v>186045.423333334</v>
      </c>
      <c r="S16" s="515">
        <f>SUM(S15:S15)</f>
        <v>186045.423333334</v>
      </c>
    </row>
    <row r="17" customHeight="1" spans="1:19">
      <c r="A17" s="10"/>
      <c r="B17" s="14"/>
      <c r="C17" s="4"/>
      <c r="D17" s="10"/>
      <c r="E17" s="221"/>
      <c r="F17" s="221"/>
      <c r="G17" s="220"/>
      <c r="H17" s="220"/>
      <c r="I17" s="221"/>
      <c r="J17" s="515"/>
      <c r="K17" s="221"/>
      <c r="L17" s="221"/>
      <c r="M17" s="221"/>
      <c r="N17" s="221"/>
      <c r="O17" s="221"/>
      <c r="P17" s="221"/>
      <c r="Q17" s="510"/>
      <c r="R17" s="85"/>
      <c r="S17" s="510"/>
    </row>
    <row r="18" customHeight="1" spans="1:19">
      <c r="A18" s="10"/>
      <c r="B18" s="23" t="s">
        <v>38</v>
      </c>
      <c r="C18" s="5"/>
      <c r="D18" s="24"/>
      <c r="E18" s="221"/>
      <c r="F18" s="221"/>
      <c r="G18" s="220"/>
      <c r="H18" s="220"/>
      <c r="I18" s="85"/>
      <c r="J18" s="510"/>
      <c r="K18" s="85"/>
      <c r="L18" s="85"/>
      <c r="M18" s="85"/>
      <c r="N18" s="85"/>
      <c r="O18" s="85"/>
      <c r="P18" s="85"/>
      <c r="Q18" s="510"/>
      <c r="R18" s="85"/>
      <c r="S18" s="510"/>
    </row>
    <row r="19" customHeight="1" spans="1:19">
      <c r="A19" s="27">
        <v>1</v>
      </c>
      <c r="B19" s="18" t="s">
        <v>39</v>
      </c>
      <c r="C19" s="4" t="s">
        <v>40</v>
      </c>
      <c r="D19" s="15" t="s">
        <v>41</v>
      </c>
      <c r="E19" s="220">
        <f>353512.5</f>
        <v>353512.5</v>
      </c>
      <c r="F19" s="85"/>
      <c r="G19" s="220">
        <f>110000</f>
        <v>110000</v>
      </c>
      <c r="H19" s="220"/>
      <c r="I19" s="85"/>
      <c r="J19" s="510">
        <f t="shared" ref="J19:J20" si="10">SUM(E19:I19)</f>
        <v>463512.5</v>
      </c>
      <c r="K19" s="85"/>
      <c r="L19" s="85"/>
      <c r="M19" s="85"/>
      <c r="N19" s="85"/>
      <c r="O19" s="85">
        <v>62231.1146666667</v>
      </c>
      <c r="P19" s="85">
        <v>28281</v>
      </c>
      <c r="Q19" s="510">
        <f>O19+N19+M19+L19+K19+P19</f>
        <v>90512.1146666667</v>
      </c>
      <c r="R19" s="85">
        <v>373000.385333333</v>
      </c>
      <c r="S19" s="510">
        <f>J19-Q19</f>
        <v>373000.385333333</v>
      </c>
    </row>
    <row r="20" customHeight="1" spans="1:19">
      <c r="A20" s="27">
        <v>2</v>
      </c>
      <c r="B20" s="11" t="s">
        <v>42</v>
      </c>
      <c r="C20" s="4" t="s">
        <v>43</v>
      </c>
      <c r="D20" s="10" t="s">
        <v>37</v>
      </c>
      <c r="E20" s="85">
        <f>293029.666666667</f>
        <v>293029.666666667</v>
      </c>
      <c r="F20" s="85"/>
      <c r="G20" s="220">
        <f>100000</f>
        <v>100000</v>
      </c>
      <c r="H20" s="220"/>
      <c r="I20" s="85"/>
      <c r="J20" s="510">
        <f t="shared" si="10"/>
        <v>393029.666666667</v>
      </c>
      <c r="K20" s="85"/>
      <c r="L20" s="85"/>
      <c r="M20" s="85"/>
      <c r="N20" s="85"/>
      <c r="O20" s="85">
        <v>50775.47</v>
      </c>
      <c r="P20" s="85">
        <v>23442.3733333333</v>
      </c>
      <c r="Q20" s="510">
        <f t="shared" ref="Q20:Q26" si="11">O20+N20+M20+L20+K20+P20</f>
        <v>74217.8433333333</v>
      </c>
      <c r="R20" s="85">
        <v>318811.823333334</v>
      </c>
      <c r="S20" s="510">
        <f t="shared" ref="S20" si="12">J20-Q20</f>
        <v>318811.823333334</v>
      </c>
    </row>
    <row r="21" ht="25.5" customHeight="1" spans="1:19">
      <c r="A21" s="10"/>
      <c r="B21" s="20" t="s">
        <v>33</v>
      </c>
      <c r="C21" s="21">
        <v>2</v>
      </c>
      <c r="D21" s="21"/>
      <c r="E21" s="93">
        <f>SUM(E19:E20)</f>
        <v>646542.166666667</v>
      </c>
      <c r="F21" s="93"/>
      <c r="G21" s="93">
        <f t="shared" ref="G21:Q21" si="13">SUM(G19:G20)</f>
        <v>210000</v>
      </c>
      <c r="H21" s="93">
        <f t="shared" si="13"/>
        <v>0</v>
      </c>
      <c r="I21" s="93">
        <f t="shared" si="13"/>
        <v>0</v>
      </c>
      <c r="J21" s="771">
        <f t="shared" si="13"/>
        <v>856542.166666667</v>
      </c>
      <c r="K21" s="93">
        <f t="shared" si="13"/>
        <v>0</v>
      </c>
      <c r="L21" s="93">
        <f t="shared" si="13"/>
        <v>0</v>
      </c>
      <c r="M21" s="93">
        <f t="shared" si="13"/>
        <v>0</v>
      </c>
      <c r="N21" s="93">
        <f t="shared" si="13"/>
        <v>0</v>
      </c>
      <c r="O21" s="93">
        <f t="shared" si="13"/>
        <v>113006.584666667</v>
      </c>
      <c r="P21" s="93">
        <f t="shared" si="13"/>
        <v>51723.3733333333</v>
      </c>
      <c r="Q21" s="771">
        <f t="shared" si="13"/>
        <v>164729.958</v>
      </c>
      <c r="R21" s="93">
        <v>691812.208666667</v>
      </c>
      <c r="S21" s="771">
        <f>SUM(S19:S20)</f>
        <v>691812.208666667</v>
      </c>
    </row>
    <row r="22" customHeight="1" spans="1:19">
      <c r="A22" s="10"/>
      <c r="B22" s="22"/>
      <c r="C22" s="21"/>
      <c r="D22" s="21"/>
      <c r="E22" s="146"/>
      <c r="F22" s="146"/>
      <c r="G22" s="220"/>
      <c r="H22" s="220"/>
      <c r="I22" s="146"/>
      <c r="J22" s="517"/>
      <c r="K22" s="146"/>
      <c r="L22" s="146"/>
      <c r="M22" s="146"/>
      <c r="N22" s="146"/>
      <c r="O22" s="146"/>
      <c r="P22" s="146"/>
      <c r="Q22" s="517"/>
      <c r="R22" s="146"/>
      <c r="S22" s="517"/>
    </row>
    <row r="23" customHeight="1" spans="1:19">
      <c r="A23" s="10"/>
      <c r="B23" s="20" t="s">
        <v>44</v>
      </c>
      <c r="C23" s="21"/>
      <c r="D23" s="21"/>
      <c r="E23" s="146"/>
      <c r="F23" s="146"/>
      <c r="G23" s="220"/>
      <c r="H23" s="220"/>
      <c r="I23" s="146"/>
      <c r="J23" s="517"/>
      <c r="K23" s="146"/>
      <c r="L23" s="146"/>
      <c r="M23" s="146"/>
      <c r="N23" s="146"/>
      <c r="O23" s="146"/>
      <c r="P23" s="146"/>
      <c r="Q23" s="517"/>
      <c r="R23" s="146"/>
      <c r="S23" s="517"/>
    </row>
    <row r="24" customHeight="1" spans="1:19">
      <c r="A24" s="10">
        <v>1</v>
      </c>
      <c r="B24" s="18" t="s">
        <v>45</v>
      </c>
      <c r="C24" s="17" t="s">
        <v>46</v>
      </c>
      <c r="D24" s="15" t="s">
        <v>47</v>
      </c>
      <c r="E24" s="85">
        <f>390248.916666667</f>
        <v>390248.916666667</v>
      </c>
      <c r="F24" s="85"/>
      <c r="G24" s="220">
        <f>120000</f>
        <v>120000</v>
      </c>
      <c r="H24" s="220"/>
      <c r="I24" s="85">
        <v>0</v>
      </c>
      <c r="J24" s="510">
        <f>SUM(E24:I24)</f>
        <v>510248.916666667</v>
      </c>
      <c r="K24" s="85"/>
      <c r="L24" s="85">
        <v>30000</v>
      </c>
      <c r="M24" s="85">
        <v>15000</v>
      </c>
      <c r="N24" s="85"/>
      <c r="O24" s="85">
        <f>70640.2353066667*(20/31)</f>
        <v>45574.3453591398</v>
      </c>
      <c r="P24" s="85">
        <v>31219.9133333334</v>
      </c>
      <c r="Q24" s="510">
        <f t="shared" si="11"/>
        <v>121794.258692473</v>
      </c>
      <c r="R24" s="85">
        <v>668213.068026667</v>
      </c>
      <c r="S24" s="510">
        <f>J24-Q24</f>
        <v>388454.657974194</v>
      </c>
    </row>
    <row r="25" customHeight="1" spans="1:20">
      <c r="A25" s="10">
        <v>2</v>
      </c>
      <c r="B25" s="18" t="s">
        <v>48</v>
      </c>
      <c r="C25" s="17" t="s">
        <v>46</v>
      </c>
      <c r="D25" s="15" t="s">
        <v>47</v>
      </c>
      <c r="E25" s="85">
        <f>390248.916666667</f>
        <v>390248.916666667</v>
      </c>
      <c r="F25" s="85"/>
      <c r="G25" s="220">
        <f>120000</f>
        <v>120000</v>
      </c>
      <c r="H25" s="220"/>
      <c r="I25" s="85">
        <v>0</v>
      </c>
      <c r="J25" s="510">
        <f t="shared" ref="J24:J25" si="14">SUM(E25:I25)</f>
        <v>510248.916666667</v>
      </c>
      <c r="K25" s="85"/>
      <c r="L25" s="85">
        <v>100000</v>
      </c>
      <c r="M25" s="85"/>
      <c r="N25" s="85"/>
      <c r="O25" s="85">
        <f>70640.2353066667*(20/31)</f>
        <v>45574.3453591398</v>
      </c>
      <c r="P25" s="85">
        <v>31219.9133333334</v>
      </c>
      <c r="Q25" s="510">
        <f t="shared" si="11"/>
        <v>176794.258692473</v>
      </c>
      <c r="R25" s="85">
        <v>131454.657974194</v>
      </c>
      <c r="S25" s="510">
        <f>J25-Q25</f>
        <v>333454.657974194</v>
      </c>
      <c r="T25" s="13"/>
    </row>
    <row r="26" customHeight="1" spans="1:19">
      <c r="A26" s="10">
        <v>3</v>
      </c>
      <c r="B26" s="14" t="s">
        <v>49</v>
      </c>
      <c r="C26" s="17" t="s">
        <v>50</v>
      </c>
      <c r="D26" s="10" t="s">
        <v>41</v>
      </c>
      <c r="E26" s="85">
        <f>353512.5</f>
        <v>353512.5</v>
      </c>
      <c r="F26" s="85"/>
      <c r="G26" s="220">
        <v>110000</v>
      </c>
      <c r="H26" s="220"/>
      <c r="I26" s="85"/>
      <c r="J26" s="510">
        <f>E26+F26+G26+H26+I26</f>
        <v>463512.5</v>
      </c>
      <c r="K26" s="85"/>
      <c r="L26" s="85">
        <v>20000</v>
      </c>
      <c r="M26" s="85">
        <v>50000</v>
      </c>
      <c r="N26" s="85"/>
      <c r="O26" s="85">
        <v>62231.1146666667</v>
      </c>
      <c r="P26" s="85">
        <v>28281</v>
      </c>
      <c r="Q26" s="510">
        <f t="shared" si="11"/>
        <v>160512.114666667</v>
      </c>
      <c r="R26" s="85">
        <v>303000.385333333</v>
      </c>
      <c r="S26" s="510">
        <f>J26-Q26</f>
        <v>303000.385333333</v>
      </c>
    </row>
    <row r="27" ht="27" customHeight="1" spans="1:19">
      <c r="A27" s="10"/>
      <c r="B27" s="20" t="s">
        <v>33</v>
      </c>
      <c r="C27" s="21">
        <v>2</v>
      </c>
      <c r="D27" s="21"/>
      <c r="E27" s="93">
        <f>SUM(E24:E26)</f>
        <v>1134010.33333333</v>
      </c>
      <c r="F27" s="93">
        <f t="shared" ref="F27:Q27" si="15">SUM(F24:F26)</f>
        <v>0</v>
      </c>
      <c r="G27" s="93">
        <f t="shared" si="15"/>
        <v>350000</v>
      </c>
      <c r="H27" s="93">
        <f t="shared" si="15"/>
        <v>0</v>
      </c>
      <c r="I27" s="93">
        <f t="shared" si="15"/>
        <v>0</v>
      </c>
      <c r="J27" s="93">
        <f t="shared" si="15"/>
        <v>1484010.33333333</v>
      </c>
      <c r="K27" s="93">
        <f t="shared" si="15"/>
        <v>0</v>
      </c>
      <c r="L27" s="93">
        <f t="shared" si="15"/>
        <v>150000</v>
      </c>
      <c r="M27" s="93">
        <f t="shared" si="15"/>
        <v>65000</v>
      </c>
      <c r="N27" s="93">
        <f t="shared" si="15"/>
        <v>0</v>
      </c>
      <c r="O27" s="93">
        <f t="shared" si="15"/>
        <v>153379.805384946</v>
      </c>
      <c r="P27" s="93">
        <f t="shared" si="15"/>
        <v>90720.8266666668</v>
      </c>
      <c r="Q27" s="93">
        <f t="shared" si="15"/>
        <v>459100.632051613</v>
      </c>
      <c r="R27" s="93">
        <v>1102668.11133419</v>
      </c>
      <c r="S27" s="93">
        <f>SUM(S24:S26)</f>
        <v>1024909.70128172</v>
      </c>
    </row>
    <row r="28" customHeight="1" spans="1:19">
      <c r="A28" s="10"/>
      <c r="B28" s="22"/>
      <c r="C28" s="21"/>
      <c r="D28" s="21"/>
      <c r="E28" s="146"/>
      <c r="F28" s="146"/>
      <c r="G28" s="220"/>
      <c r="H28" s="220"/>
      <c r="I28" s="146"/>
      <c r="J28" s="517"/>
      <c r="K28" s="146"/>
      <c r="L28" s="146"/>
      <c r="M28" s="146"/>
      <c r="N28" s="146"/>
      <c r="O28" s="146"/>
      <c r="P28" s="146"/>
      <c r="Q28" s="517"/>
      <c r="R28" s="146"/>
      <c r="S28" s="517"/>
    </row>
    <row r="29" customHeight="1" spans="1:19">
      <c r="A29" s="10"/>
      <c r="B29" s="20" t="s">
        <v>51</v>
      </c>
      <c r="C29" s="21"/>
      <c r="D29" s="21"/>
      <c r="E29" s="146"/>
      <c r="F29" s="146"/>
      <c r="G29" s="220"/>
      <c r="H29" s="220"/>
      <c r="I29" s="146"/>
      <c r="J29" s="517"/>
      <c r="K29" s="146"/>
      <c r="L29" s="146"/>
      <c r="M29" s="146"/>
      <c r="N29" s="146"/>
      <c r="O29" s="146"/>
      <c r="P29" s="146"/>
      <c r="Q29" s="517"/>
      <c r="R29" s="146"/>
      <c r="S29" s="517"/>
    </row>
    <row r="30" customHeight="1" spans="1:19">
      <c r="A30" s="10">
        <v>1</v>
      </c>
      <c r="B30" s="11" t="s">
        <v>52</v>
      </c>
      <c r="C30" s="4" t="s">
        <v>53</v>
      </c>
      <c r="D30" s="15" t="s">
        <v>47</v>
      </c>
      <c r="E30" s="85">
        <f>390248.916666667</f>
        <v>390248.916666667</v>
      </c>
      <c r="F30" s="85"/>
      <c r="G30" s="220">
        <f>120000</f>
        <v>120000</v>
      </c>
      <c r="H30" s="220"/>
      <c r="I30" s="85">
        <v>0</v>
      </c>
      <c r="J30" s="510">
        <f t="shared" ref="J30:J31" si="16">SUM(E30:I30)</f>
        <v>510248.916666667</v>
      </c>
      <c r="K30" s="85"/>
      <c r="L30" s="85">
        <v>0</v>
      </c>
      <c r="M30" s="85"/>
      <c r="N30" s="85"/>
      <c r="O30" s="85">
        <v>70640.2353066667</v>
      </c>
      <c r="P30" s="85">
        <v>31219.9133333334</v>
      </c>
      <c r="Q30" s="510">
        <f>O30+N30+M30+L30+K30+P30</f>
        <v>101860.14864</v>
      </c>
      <c r="R30" s="85">
        <v>408388.768026667</v>
      </c>
      <c r="S30" s="510">
        <f>J30-Q30</f>
        <v>408388.768026667</v>
      </c>
    </row>
    <row r="31" customHeight="1" spans="1:19">
      <c r="A31" s="10">
        <v>2</v>
      </c>
      <c r="B31" s="18" t="s">
        <v>54</v>
      </c>
      <c r="C31" s="12" t="s">
        <v>55</v>
      </c>
      <c r="D31" s="15" t="s">
        <v>30</v>
      </c>
      <c r="E31" s="85">
        <f>218287.583333333</f>
        <v>218287.583333333</v>
      </c>
      <c r="F31" s="85"/>
      <c r="G31" s="220">
        <f>100000</f>
        <v>100000</v>
      </c>
      <c r="H31" s="220"/>
      <c r="I31" s="85"/>
      <c r="J31" s="510">
        <f t="shared" si="16"/>
        <v>318287.583333333</v>
      </c>
      <c r="K31" s="85"/>
      <c r="L31" s="675"/>
      <c r="M31" s="675"/>
      <c r="O31" s="675">
        <v>37705.19</v>
      </c>
      <c r="P31" s="676">
        <v>17463.0066666666</v>
      </c>
      <c r="Q31" s="510">
        <f>O31+N31+M31+L31+K31+P31</f>
        <v>55168.1966666666</v>
      </c>
      <c r="R31" s="85">
        <v>263119.386666666</v>
      </c>
      <c r="S31" s="510">
        <f>J31-Q31</f>
        <v>263119.386666666</v>
      </c>
    </row>
    <row r="32" customHeight="1" spans="1:19">
      <c r="A32" s="10"/>
      <c r="B32" s="20" t="s">
        <v>33</v>
      </c>
      <c r="C32" s="21">
        <v>2</v>
      </c>
      <c r="D32" s="21"/>
      <c r="E32" s="93">
        <f>SUM(E30:E31)</f>
        <v>608536.5</v>
      </c>
      <c r="F32" s="93">
        <f t="shared" ref="F32:Q32" si="17">SUM(F30:F31)</f>
        <v>0</v>
      </c>
      <c r="G32" s="93">
        <f t="shared" si="17"/>
        <v>220000</v>
      </c>
      <c r="H32" s="93">
        <f t="shared" si="17"/>
        <v>0</v>
      </c>
      <c r="I32" s="93">
        <f t="shared" si="17"/>
        <v>0</v>
      </c>
      <c r="J32" s="771">
        <f t="shared" si="17"/>
        <v>828536.5</v>
      </c>
      <c r="K32" s="93">
        <f t="shared" si="17"/>
        <v>0</v>
      </c>
      <c r="L32" s="93">
        <f t="shared" si="17"/>
        <v>0</v>
      </c>
      <c r="M32" s="93">
        <f t="shared" si="17"/>
        <v>0</v>
      </c>
      <c r="N32" s="93"/>
      <c r="O32" s="93">
        <f t="shared" si="17"/>
        <v>108345.425306667</v>
      </c>
      <c r="P32" s="93">
        <f t="shared" si="17"/>
        <v>48682.92</v>
      </c>
      <c r="Q32" s="771">
        <f t="shared" si="17"/>
        <v>157028.345306667</v>
      </c>
      <c r="R32" s="93">
        <v>671508.154693333</v>
      </c>
      <c r="S32" s="771">
        <f>SUM(S30:S31)</f>
        <v>671508.154693333</v>
      </c>
    </row>
    <row r="33" customHeight="1" spans="1:19">
      <c r="A33" s="10"/>
      <c r="B33" s="20"/>
      <c r="C33" s="21"/>
      <c r="D33" s="21"/>
      <c r="E33" s="146"/>
      <c r="F33" s="146"/>
      <c r="G33" s="220"/>
      <c r="H33" s="220"/>
      <c r="I33" s="146"/>
      <c r="J33" s="517"/>
      <c r="K33" s="146"/>
      <c r="L33" s="146"/>
      <c r="M33" s="146"/>
      <c r="N33" s="146"/>
      <c r="O33" s="146"/>
      <c r="P33" s="146"/>
      <c r="Q33" s="510"/>
      <c r="R33" s="85"/>
      <c r="S33" s="510"/>
    </row>
    <row r="34" customHeight="1" spans="1:19">
      <c r="A34" s="10"/>
      <c r="B34" s="20" t="s">
        <v>56</v>
      </c>
      <c r="C34" s="25"/>
      <c r="D34" s="21"/>
      <c r="E34" s="146"/>
      <c r="F34" s="146"/>
      <c r="G34" s="220"/>
      <c r="H34" s="220"/>
      <c r="I34" s="146"/>
      <c r="J34" s="517"/>
      <c r="K34" s="146"/>
      <c r="L34" s="146"/>
      <c r="M34" s="146"/>
      <c r="N34" s="146"/>
      <c r="O34" s="146"/>
      <c r="P34" s="146"/>
      <c r="Q34" s="510"/>
      <c r="R34" s="85"/>
      <c r="S34" s="510"/>
    </row>
    <row r="35" customHeight="1" spans="1:19">
      <c r="A35" s="27">
        <v>1</v>
      </c>
      <c r="B35" s="18" t="s">
        <v>57</v>
      </c>
      <c r="C35" s="4" t="s">
        <v>40</v>
      </c>
      <c r="D35" s="15" t="s">
        <v>41</v>
      </c>
      <c r="E35" s="220">
        <f>353512.5</f>
        <v>353512.5</v>
      </c>
      <c r="F35" s="85"/>
      <c r="G35" s="220">
        <f>110000</f>
        <v>110000</v>
      </c>
      <c r="H35" s="220"/>
      <c r="I35" s="85"/>
      <c r="J35" s="510">
        <f t="shared" ref="J35" si="18">SUM(E35:I35)</f>
        <v>463512.5</v>
      </c>
      <c r="K35" s="85"/>
      <c r="L35" s="85">
        <v>40000</v>
      </c>
      <c r="M35" s="85"/>
      <c r="N35" s="85"/>
      <c r="O35" s="85">
        <v>62231.1146666667</v>
      </c>
      <c r="P35" s="85">
        <v>28281</v>
      </c>
      <c r="Q35" s="510">
        <f>O35+N35+M35+L35+K35+P35</f>
        <v>130512.114666667</v>
      </c>
      <c r="R35" s="85">
        <v>333000.385333333</v>
      </c>
      <c r="S35" s="510">
        <f t="shared" ref="S35" si="19">J35-Q35</f>
        <v>333000.385333333</v>
      </c>
    </row>
    <row r="36" customHeight="1" spans="1:19">
      <c r="A36" s="10"/>
      <c r="B36" s="20" t="s">
        <v>33</v>
      </c>
      <c r="C36" s="21">
        <v>1</v>
      </c>
      <c r="D36" s="21"/>
      <c r="E36" s="93">
        <f>SUM(E35)</f>
        <v>353512.5</v>
      </c>
      <c r="F36" s="93">
        <f t="shared" ref="F36:Q36" si="20">SUM(F35)</f>
        <v>0</v>
      </c>
      <c r="G36" s="93">
        <f t="shared" si="20"/>
        <v>110000</v>
      </c>
      <c r="H36" s="93">
        <f t="shared" si="20"/>
        <v>0</v>
      </c>
      <c r="I36" s="93">
        <f t="shared" si="20"/>
        <v>0</v>
      </c>
      <c r="J36" s="771">
        <f t="shared" si="20"/>
        <v>463512.5</v>
      </c>
      <c r="K36" s="93">
        <f t="shared" si="20"/>
        <v>0</v>
      </c>
      <c r="L36" s="93">
        <f t="shared" si="20"/>
        <v>40000</v>
      </c>
      <c r="M36" s="93">
        <f t="shared" si="20"/>
        <v>0</v>
      </c>
      <c r="N36" s="93">
        <f t="shared" si="20"/>
        <v>0</v>
      </c>
      <c r="O36" s="93">
        <f t="shared" si="20"/>
        <v>62231.1146666667</v>
      </c>
      <c r="P36" s="93">
        <f t="shared" si="20"/>
        <v>28281</v>
      </c>
      <c r="Q36" s="771">
        <f t="shared" si="20"/>
        <v>130512.114666667</v>
      </c>
      <c r="R36" s="93">
        <v>333000.385333333</v>
      </c>
      <c r="S36" s="771">
        <f>SUM(S35)</f>
        <v>333000.385333333</v>
      </c>
    </row>
    <row r="37" customHeight="1" spans="1:19">
      <c r="A37" s="10"/>
      <c r="B37" s="22"/>
      <c r="C37" s="21"/>
      <c r="D37" s="21"/>
      <c r="E37" s="146"/>
      <c r="F37" s="146"/>
      <c r="G37" s="220"/>
      <c r="H37" s="220"/>
      <c r="I37" s="146"/>
      <c r="J37" s="517"/>
      <c r="K37" s="146"/>
      <c r="L37" s="146"/>
      <c r="M37" s="146"/>
      <c r="N37" s="146"/>
      <c r="O37" s="146"/>
      <c r="P37" s="146"/>
      <c r="Q37" s="517"/>
      <c r="R37" s="146"/>
      <c r="S37" s="517"/>
    </row>
    <row r="38" customHeight="1" spans="1:19">
      <c r="A38" s="10"/>
      <c r="B38" s="20" t="s">
        <v>58</v>
      </c>
      <c r="C38" s="21"/>
      <c r="D38" s="21"/>
      <c r="E38" s="146"/>
      <c r="F38" s="146"/>
      <c r="G38" s="220"/>
      <c r="H38" s="220"/>
      <c r="I38" s="146"/>
      <c r="J38" s="517"/>
      <c r="K38" s="146"/>
      <c r="L38" s="146"/>
      <c r="M38" s="146"/>
      <c r="N38" s="146"/>
      <c r="O38" s="146"/>
      <c r="P38" s="146"/>
      <c r="Q38" s="517"/>
      <c r="R38" s="146"/>
      <c r="S38" s="517"/>
    </row>
    <row r="39" customHeight="1" spans="1:19">
      <c r="A39" s="10">
        <v>1</v>
      </c>
      <c r="B39" s="11" t="s">
        <v>59</v>
      </c>
      <c r="C39" s="4" t="s">
        <v>60</v>
      </c>
      <c r="D39" s="15" t="s">
        <v>47</v>
      </c>
      <c r="E39" s="85">
        <f>390248.916666667</f>
        <v>390248.916666667</v>
      </c>
      <c r="F39" s="85"/>
      <c r="G39" s="220"/>
      <c r="H39" s="220">
        <f>70000</f>
        <v>70000</v>
      </c>
      <c r="I39" s="85">
        <v>0</v>
      </c>
      <c r="J39" s="510">
        <f t="shared" ref="J39" si="21">SUM(E39:I39)</f>
        <v>460248.916666667</v>
      </c>
      <c r="K39" s="85"/>
      <c r="L39" s="85">
        <v>150000</v>
      </c>
      <c r="M39" s="85"/>
      <c r="N39" s="85"/>
      <c r="O39" s="675">
        <f>61040.2353066666</f>
        <v>61040.2353066666</v>
      </c>
      <c r="P39" s="85">
        <f>390248.916666667*0.08</f>
        <v>31219.9133333334</v>
      </c>
      <c r="Q39" s="510">
        <f>O39+N39+M39+L39+K39+P39</f>
        <v>242260.14864</v>
      </c>
      <c r="R39" s="85">
        <v>217988.768026667</v>
      </c>
      <c r="S39" s="510">
        <f>J39-Q39</f>
        <v>217988.768026667</v>
      </c>
    </row>
    <row r="40" customHeight="1" spans="1:19">
      <c r="A40" s="4"/>
      <c r="B40" s="20" t="s">
        <v>33</v>
      </c>
      <c r="C40" s="21">
        <v>1</v>
      </c>
      <c r="D40" s="26"/>
      <c r="E40" s="93">
        <f>SUM(E39:E39)</f>
        <v>390248.916666667</v>
      </c>
      <c r="F40" s="93">
        <f t="shared" ref="F40:Q40" si="22">SUM(F39:F39)</f>
        <v>0</v>
      </c>
      <c r="G40" s="93">
        <f t="shared" si="22"/>
        <v>0</v>
      </c>
      <c r="H40" s="93">
        <f t="shared" si="22"/>
        <v>70000</v>
      </c>
      <c r="I40" s="93">
        <f t="shared" si="22"/>
        <v>0</v>
      </c>
      <c r="J40" s="771">
        <f t="shared" si="22"/>
        <v>460248.916666667</v>
      </c>
      <c r="K40" s="93">
        <f t="shared" si="22"/>
        <v>0</v>
      </c>
      <c r="L40" s="93">
        <f t="shared" si="22"/>
        <v>150000</v>
      </c>
      <c r="M40" s="93">
        <f t="shared" si="22"/>
        <v>0</v>
      </c>
      <c r="N40" s="93">
        <f t="shared" si="22"/>
        <v>0</v>
      </c>
      <c r="O40" s="93">
        <f t="shared" si="22"/>
        <v>61040.2353066666</v>
      </c>
      <c r="P40" s="93">
        <f t="shared" si="22"/>
        <v>31219.9133333334</v>
      </c>
      <c r="Q40" s="771">
        <f t="shared" si="22"/>
        <v>242260.14864</v>
      </c>
      <c r="R40" s="93">
        <v>217988.768026667</v>
      </c>
      <c r="S40" s="771">
        <f>SUM(S39:S39)</f>
        <v>217988.768026667</v>
      </c>
    </row>
    <row r="41" customHeight="1" spans="1:19">
      <c r="A41" s="4"/>
      <c r="B41" s="20"/>
      <c r="C41" s="21"/>
      <c r="D41" s="4"/>
      <c r="E41" s="223"/>
      <c r="F41" s="223"/>
      <c r="G41" s="518"/>
      <c r="H41" s="518"/>
      <c r="I41" s="223"/>
      <c r="J41" s="523"/>
      <c r="K41" s="223"/>
      <c r="L41" s="223"/>
      <c r="M41" s="223"/>
      <c r="N41" s="223"/>
      <c r="O41" s="223"/>
      <c r="P41" s="223"/>
      <c r="Q41" s="523"/>
      <c r="R41" s="223"/>
      <c r="S41" s="523"/>
    </row>
    <row r="42" customHeight="1" spans="1:19">
      <c r="A42" s="10"/>
      <c r="B42" s="20" t="s">
        <v>61</v>
      </c>
      <c r="C42" s="21"/>
      <c r="D42" s="21"/>
      <c r="E42" s="146"/>
      <c r="F42" s="146"/>
      <c r="G42" s="220"/>
      <c r="H42" s="220"/>
      <c r="I42" s="146"/>
      <c r="J42" s="517"/>
      <c r="K42" s="146"/>
      <c r="L42" s="146"/>
      <c r="M42" s="146"/>
      <c r="N42" s="146"/>
      <c r="O42" s="146"/>
      <c r="P42" s="146"/>
      <c r="Q42" s="517"/>
      <c r="R42" s="146"/>
      <c r="S42" s="517"/>
    </row>
    <row r="43" ht="18.75" customHeight="1" spans="1:19">
      <c r="A43" s="10">
        <v>1</v>
      </c>
      <c r="B43" s="18" t="s">
        <v>62</v>
      </c>
      <c r="C43" s="4" t="s">
        <v>63</v>
      </c>
      <c r="D43" s="10" t="s">
        <v>24</v>
      </c>
      <c r="E43" s="85">
        <f>255849</f>
        <v>255849</v>
      </c>
      <c r="F43" s="85"/>
      <c r="G43" s="220">
        <f>100000</f>
        <v>100000</v>
      </c>
      <c r="H43" s="220"/>
      <c r="I43" s="85"/>
      <c r="J43" s="510">
        <f t="shared" ref="J43" si="23">E43+F43+G43+H43+I43</f>
        <v>355849</v>
      </c>
      <c r="K43" s="85"/>
      <c r="L43" s="85">
        <v>50000</v>
      </c>
      <c r="M43" s="85"/>
      <c r="N43" s="85"/>
      <c r="O43" s="85">
        <v>44015.51</v>
      </c>
      <c r="P43" s="85">
        <v>20467.92</v>
      </c>
      <c r="Q43" s="510">
        <f>O43+N43+M43+L43+K43+P43</f>
        <v>114483.43</v>
      </c>
      <c r="R43" s="85">
        <v>241365.57</v>
      </c>
      <c r="S43" s="510">
        <f t="shared" ref="S43:S45" si="24">J43-Q43</f>
        <v>241365.57</v>
      </c>
    </row>
    <row r="44" ht="18.75" customHeight="1" spans="1:19">
      <c r="A44" s="10">
        <v>2</v>
      </c>
      <c r="B44" s="18" t="s">
        <v>64</v>
      </c>
      <c r="C44" s="4" t="s">
        <v>63</v>
      </c>
      <c r="D44" s="10" t="s">
        <v>24</v>
      </c>
      <c r="E44" s="85">
        <f>255849</f>
        <v>255849</v>
      </c>
      <c r="F44" s="85"/>
      <c r="G44" s="220">
        <f>100000</f>
        <v>100000</v>
      </c>
      <c r="H44" s="220"/>
      <c r="I44" s="85"/>
      <c r="J44" s="510">
        <f t="shared" ref="J44" si="25">E44+F44+G44+H44+I44</f>
        <v>355849</v>
      </c>
      <c r="K44" s="85"/>
      <c r="L44" s="85"/>
      <c r="M44" s="85"/>
      <c r="N44" s="85"/>
      <c r="O44" s="85">
        <v>44015.51</v>
      </c>
      <c r="P44" s="85">
        <v>20467.92</v>
      </c>
      <c r="Q44" s="510">
        <f>O44+N44+M44+L44+K44+P44</f>
        <v>64483.43</v>
      </c>
      <c r="R44" s="85">
        <v>291365.57</v>
      </c>
      <c r="S44" s="510">
        <f t="shared" si="24"/>
        <v>291365.57</v>
      </c>
    </row>
    <row r="45" customHeight="1" spans="1:19">
      <c r="A45" s="10">
        <v>3</v>
      </c>
      <c r="B45" s="18" t="s">
        <v>65</v>
      </c>
      <c r="C45" s="12" t="s">
        <v>66</v>
      </c>
      <c r="D45" s="15" t="s">
        <v>30</v>
      </c>
      <c r="E45" s="85">
        <f>218287.583333333</f>
        <v>218287.583333333</v>
      </c>
      <c r="F45" s="85"/>
      <c r="G45" s="220">
        <f>100000</f>
        <v>100000</v>
      </c>
      <c r="H45" s="220"/>
      <c r="I45" s="85"/>
      <c r="J45" s="510">
        <f t="shared" ref="J45" si="26">SUM(E45:I45)</f>
        <v>318287.583333333</v>
      </c>
      <c r="K45" s="85"/>
      <c r="L45" s="675"/>
      <c r="M45" s="675"/>
      <c r="O45" s="675">
        <v>37705.19</v>
      </c>
      <c r="P45" s="676">
        <v>17463.0066666666</v>
      </c>
      <c r="Q45" s="510">
        <f>O45+N45+M45+L45+K45+P45</f>
        <v>55168.1966666666</v>
      </c>
      <c r="R45" s="85">
        <v>263119.386666666</v>
      </c>
      <c r="S45" s="510">
        <f t="shared" si="24"/>
        <v>263119.386666666</v>
      </c>
    </row>
    <row r="46" ht="24.75" customHeight="1" spans="1:19">
      <c r="A46" s="4"/>
      <c r="B46" s="20" t="s">
        <v>33</v>
      </c>
      <c r="C46" s="21">
        <v>3</v>
      </c>
      <c r="D46" s="26"/>
      <c r="E46" s="93">
        <f>SUM(E43:E45)</f>
        <v>729985.583333333</v>
      </c>
      <c r="F46" s="93">
        <f t="shared" ref="F46:Q46" si="27">SUM(F43:F45)</f>
        <v>0</v>
      </c>
      <c r="G46" s="93">
        <f t="shared" si="27"/>
        <v>300000</v>
      </c>
      <c r="H46" s="93">
        <f t="shared" si="27"/>
        <v>0</v>
      </c>
      <c r="I46" s="93">
        <f t="shared" si="27"/>
        <v>0</v>
      </c>
      <c r="J46" s="771">
        <f t="shared" si="27"/>
        <v>1029985.58333333</v>
      </c>
      <c r="K46" s="93">
        <f t="shared" si="27"/>
        <v>0</v>
      </c>
      <c r="L46" s="93">
        <f t="shared" si="27"/>
        <v>50000</v>
      </c>
      <c r="M46" s="93">
        <f t="shared" si="27"/>
        <v>0</v>
      </c>
      <c r="N46" s="93">
        <f t="shared" si="27"/>
        <v>0</v>
      </c>
      <c r="O46" s="93">
        <f t="shared" si="27"/>
        <v>125736.21</v>
      </c>
      <c r="P46" s="93">
        <f t="shared" si="27"/>
        <v>58398.8466666666</v>
      </c>
      <c r="Q46" s="771">
        <f t="shared" si="27"/>
        <v>234135.056666667</v>
      </c>
      <c r="R46" s="93">
        <v>795850.526666666</v>
      </c>
      <c r="S46" s="771">
        <f>SUM(S43:S45)</f>
        <v>795850.526666666</v>
      </c>
    </row>
    <row r="47" customHeight="1" spans="1:19">
      <c r="A47" s="4"/>
      <c r="B47" s="22"/>
      <c r="C47" s="10"/>
      <c r="D47" s="4"/>
      <c r="E47" s="224"/>
      <c r="F47" s="9"/>
      <c r="G47" s="220"/>
      <c r="H47" s="220"/>
      <c r="I47" s="224"/>
      <c r="J47" s="525"/>
      <c r="K47" s="224"/>
      <c r="L47" s="224"/>
      <c r="M47" s="224"/>
      <c r="N47" s="224"/>
      <c r="O47" s="224"/>
      <c r="P47" s="224"/>
      <c r="Q47" s="525"/>
      <c r="R47" s="224"/>
      <c r="S47" s="525"/>
    </row>
    <row r="48" customHeight="1" spans="1:19">
      <c r="A48" s="4"/>
      <c r="B48" s="20" t="s">
        <v>67</v>
      </c>
      <c r="C48" s="21"/>
      <c r="D48" s="21"/>
      <c r="E48" s="146"/>
      <c r="F48" s="146"/>
      <c r="G48" s="220"/>
      <c r="H48" s="220"/>
      <c r="I48" s="146"/>
      <c r="J48" s="517"/>
      <c r="K48" s="146"/>
      <c r="L48" s="146"/>
      <c r="M48" s="146"/>
      <c r="N48" s="146"/>
      <c r="O48" s="146"/>
      <c r="P48" s="146"/>
      <c r="Q48" s="510"/>
      <c r="R48" s="85"/>
      <c r="S48" s="510"/>
    </row>
    <row r="49" customHeight="1" spans="1:19">
      <c r="A49" s="4">
        <v>1</v>
      </c>
      <c r="B49" s="18" t="s">
        <v>68</v>
      </c>
      <c r="C49" s="12" t="s">
        <v>69</v>
      </c>
      <c r="D49" s="15" t="s">
        <v>37</v>
      </c>
      <c r="E49" s="85">
        <v>293029.666666667</v>
      </c>
      <c r="F49" s="85"/>
      <c r="G49" s="220"/>
      <c r="H49" s="220">
        <v>60000</v>
      </c>
      <c r="I49" s="85"/>
      <c r="J49" s="510">
        <f t="shared" ref="J49" si="28">SUM(E49:I49)</f>
        <v>353029.666666667</v>
      </c>
      <c r="K49" s="85"/>
      <c r="L49" s="675"/>
      <c r="M49" s="675"/>
      <c r="O49" s="675">
        <v>43541.87</v>
      </c>
      <c r="P49" s="676">
        <v>23442.3733333333</v>
      </c>
      <c r="Q49" s="510">
        <f>O49+N49+M49+L49+K49+P49</f>
        <v>66984.2433333333</v>
      </c>
      <c r="R49" s="85">
        <v>286045.423333334</v>
      </c>
      <c r="S49" s="510">
        <f t="shared" ref="S49" si="29">J49-Q49</f>
        <v>286045.423333334</v>
      </c>
    </row>
    <row r="50" ht="28.5" customHeight="1" spans="1:19">
      <c r="A50" s="4"/>
      <c r="B50" s="20" t="s">
        <v>33</v>
      </c>
      <c r="C50" s="26" t="s">
        <v>70</v>
      </c>
      <c r="D50" s="15"/>
      <c r="E50" s="93">
        <f>SUM(E49:E49)</f>
        <v>293029.666666667</v>
      </c>
      <c r="F50" s="93">
        <f t="shared" ref="F50:Q50" si="30">SUM(F49:F49)</f>
        <v>0</v>
      </c>
      <c r="G50" s="93">
        <f t="shared" si="30"/>
        <v>0</v>
      </c>
      <c r="H50" s="93">
        <f t="shared" si="30"/>
        <v>60000</v>
      </c>
      <c r="I50" s="93">
        <f t="shared" si="30"/>
        <v>0</v>
      </c>
      <c r="J50" s="771">
        <f t="shared" si="30"/>
        <v>353029.666666667</v>
      </c>
      <c r="K50" s="93">
        <f t="shared" si="30"/>
        <v>0</v>
      </c>
      <c r="L50" s="93">
        <f t="shared" si="30"/>
        <v>0</v>
      </c>
      <c r="M50" s="93">
        <f t="shared" si="30"/>
        <v>0</v>
      </c>
      <c r="N50" s="93">
        <f t="shared" si="30"/>
        <v>0</v>
      </c>
      <c r="O50" s="93">
        <f t="shared" si="30"/>
        <v>43541.87</v>
      </c>
      <c r="P50" s="93">
        <f t="shared" si="30"/>
        <v>23442.3733333333</v>
      </c>
      <c r="Q50" s="771">
        <f t="shared" si="30"/>
        <v>66984.2433333333</v>
      </c>
      <c r="R50" s="93">
        <v>286045.423333334</v>
      </c>
      <c r="S50" s="771">
        <f>SUM(S49:S49)</f>
        <v>286045.423333334</v>
      </c>
    </row>
    <row r="51" customHeight="1" spans="1:19">
      <c r="A51" s="4"/>
      <c r="B51" s="22"/>
      <c r="C51" s="26"/>
      <c r="D51" s="15"/>
      <c r="E51" s="146"/>
      <c r="F51" s="146"/>
      <c r="G51" s="220"/>
      <c r="H51" s="220"/>
      <c r="I51" s="146"/>
      <c r="J51" s="517"/>
      <c r="K51" s="146"/>
      <c r="L51" s="146"/>
      <c r="M51" s="146"/>
      <c r="N51" s="146"/>
      <c r="O51" s="146"/>
      <c r="P51" s="146"/>
      <c r="Q51" s="517"/>
      <c r="R51" s="146"/>
      <c r="S51" s="517"/>
    </row>
    <row r="52" customHeight="1" spans="1:19">
      <c r="A52" s="4"/>
      <c r="B52" s="20" t="s">
        <v>71</v>
      </c>
      <c r="C52" s="12"/>
      <c r="D52" s="15"/>
      <c r="E52" s="85"/>
      <c r="F52" s="85"/>
      <c r="G52" s="220"/>
      <c r="H52" s="220"/>
      <c r="I52" s="85"/>
      <c r="J52" s="510"/>
      <c r="K52" s="85"/>
      <c r="L52" s="85"/>
      <c r="M52" s="85"/>
      <c r="N52" s="85"/>
      <c r="O52" s="85"/>
      <c r="P52" s="85"/>
      <c r="Q52" s="510"/>
      <c r="R52" s="85"/>
      <c r="S52" s="510"/>
    </row>
    <row r="53" ht="18.75" customHeight="1" spans="1:19">
      <c r="A53" s="10">
        <v>1</v>
      </c>
      <c r="B53" s="18" t="s">
        <v>72</v>
      </c>
      <c r="C53" s="4" t="s">
        <v>73</v>
      </c>
      <c r="D53" s="10" t="s">
        <v>24</v>
      </c>
      <c r="E53" s="85">
        <v>255849</v>
      </c>
      <c r="F53" s="85"/>
      <c r="G53" s="220"/>
      <c r="H53" s="220">
        <f>60000</f>
        <v>60000</v>
      </c>
      <c r="I53" s="85"/>
      <c r="J53" s="510">
        <f t="shared" ref="J53" si="31">E53+F53+G53+H53+I53</f>
        <v>315849</v>
      </c>
      <c r="K53" s="85"/>
      <c r="L53" s="85"/>
      <c r="M53" s="85"/>
      <c r="N53" s="85"/>
      <c r="O53" s="85">
        <v>36790.6881066667</v>
      </c>
      <c r="P53" s="85">
        <v>20467.92</v>
      </c>
      <c r="Q53" s="510">
        <f>O53+N53+M53+L53+K53+P53</f>
        <v>57258.6081066667</v>
      </c>
      <c r="R53" s="85">
        <v>258590.391893333</v>
      </c>
      <c r="S53" s="510">
        <f t="shared" ref="S53:S55" si="32">J53-Q53</f>
        <v>258590.391893333</v>
      </c>
    </row>
    <row r="54" customHeight="1" spans="1:19">
      <c r="A54" s="10">
        <v>2</v>
      </c>
      <c r="B54" s="18" t="s">
        <v>74</v>
      </c>
      <c r="C54" s="12" t="s">
        <v>75</v>
      </c>
      <c r="D54" s="15" t="s">
        <v>30</v>
      </c>
      <c r="E54" s="85">
        <f>218287.583333333</f>
        <v>218287.583333333</v>
      </c>
      <c r="F54" s="85"/>
      <c r="G54" s="220"/>
      <c r="H54" s="220">
        <f>50000</f>
        <v>50000</v>
      </c>
      <c r="I54" s="85"/>
      <c r="J54" s="510">
        <f t="shared" ref="J54" si="33">SUM(E54:I54)</f>
        <v>268287.583333333</v>
      </c>
      <c r="K54" s="85"/>
      <c r="L54" s="675"/>
      <c r="M54" s="675"/>
      <c r="O54" s="675">
        <v>29305.1955466666</v>
      </c>
      <c r="P54" s="676">
        <v>17463.0066666666</v>
      </c>
      <c r="Q54" s="510">
        <f>O54+N54+M54+L54+K54+P54</f>
        <v>46768.2022133332</v>
      </c>
      <c r="R54" s="85">
        <v>221519.38112</v>
      </c>
      <c r="S54" s="510">
        <f t="shared" si="32"/>
        <v>221519.38112</v>
      </c>
    </row>
    <row r="55" customHeight="1" spans="1:19">
      <c r="A55" s="10">
        <v>3</v>
      </c>
      <c r="B55" s="18" t="s">
        <v>76</v>
      </c>
      <c r="C55" s="12" t="s">
        <v>77</v>
      </c>
      <c r="D55" s="15" t="s">
        <v>30</v>
      </c>
      <c r="E55" s="85">
        <v>218287.583333333</v>
      </c>
      <c r="F55" s="85"/>
      <c r="G55" s="220"/>
      <c r="H55" s="220">
        <v>50000</v>
      </c>
      <c r="I55" s="85"/>
      <c r="J55" s="510">
        <f t="shared" ref="J55" si="34">SUM(E55:I55)</f>
        <v>268287.583333333</v>
      </c>
      <c r="K55" s="85"/>
      <c r="L55" s="675"/>
      <c r="M55" s="675"/>
      <c r="O55" s="675">
        <v>29305.1955466666</v>
      </c>
      <c r="P55" s="676">
        <v>17463.0066666666</v>
      </c>
      <c r="Q55" s="510">
        <f>O55+N55+M55+L55+K55+P55</f>
        <v>46768.2022133332</v>
      </c>
      <c r="R55" s="85">
        <v>221519.38112</v>
      </c>
      <c r="S55" s="510">
        <f t="shared" si="32"/>
        <v>221519.38112</v>
      </c>
    </row>
    <row r="56" customHeight="1" spans="1:19">
      <c r="A56" s="10">
        <v>4</v>
      </c>
      <c r="B56" s="18" t="s">
        <v>78</v>
      </c>
      <c r="C56" s="12" t="s">
        <v>77</v>
      </c>
      <c r="D56" s="15" t="s">
        <v>30</v>
      </c>
      <c r="E56" s="85">
        <v>218287.583333333</v>
      </c>
      <c r="F56" s="85"/>
      <c r="G56" s="220"/>
      <c r="H56" s="220">
        <v>50000</v>
      </c>
      <c r="I56" s="85"/>
      <c r="J56" s="510">
        <f t="shared" ref="J56" si="35">SUM(E56:I56)</f>
        <v>268287.583333333</v>
      </c>
      <c r="K56" s="85"/>
      <c r="L56" s="675"/>
      <c r="M56" s="675"/>
      <c r="O56" s="675">
        <v>29305.1955466666</v>
      </c>
      <c r="P56" s="676">
        <v>17463.0066666666</v>
      </c>
      <c r="Q56" s="510">
        <f>O56+N56+M56+L56+K56+P56</f>
        <v>46768.2022133332</v>
      </c>
      <c r="R56" s="85">
        <v>221519.38112</v>
      </c>
      <c r="S56" s="510">
        <f t="shared" ref="S56" si="36">J56-Q56</f>
        <v>221519.38112</v>
      </c>
    </row>
    <row r="57" ht="30.75" customHeight="1" spans="1:19">
      <c r="A57" s="27"/>
      <c r="B57" s="8" t="s">
        <v>33</v>
      </c>
      <c r="C57" s="28" t="s">
        <v>79</v>
      </c>
      <c r="D57" s="29"/>
      <c r="E57" s="93">
        <f>SUM(E53:E56)</f>
        <v>910711.749999999</v>
      </c>
      <c r="F57" s="93">
        <f t="shared" ref="F57:Q57" si="37">SUM(F53:F56)</f>
        <v>0</v>
      </c>
      <c r="G57" s="93">
        <f t="shared" si="37"/>
        <v>0</v>
      </c>
      <c r="H57" s="93">
        <f t="shared" si="37"/>
        <v>210000</v>
      </c>
      <c r="I57" s="93">
        <f t="shared" si="37"/>
        <v>0</v>
      </c>
      <c r="J57" s="93">
        <f t="shared" si="37"/>
        <v>1120711.75</v>
      </c>
      <c r="K57" s="93">
        <f t="shared" si="37"/>
        <v>0</v>
      </c>
      <c r="L57" s="93">
        <f t="shared" si="37"/>
        <v>0</v>
      </c>
      <c r="M57" s="93">
        <f t="shared" si="37"/>
        <v>0</v>
      </c>
      <c r="N57" s="93">
        <f t="shared" si="37"/>
        <v>0</v>
      </c>
      <c r="O57" s="93">
        <f t="shared" si="37"/>
        <v>124706.274746666</v>
      </c>
      <c r="P57" s="93">
        <f t="shared" si="37"/>
        <v>72856.9399999998</v>
      </c>
      <c r="Q57" s="93">
        <f t="shared" si="37"/>
        <v>197563.214746666</v>
      </c>
      <c r="R57" s="93">
        <v>923148.535253333</v>
      </c>
      <c r="S57" s="93">
        <f>SUM(S53:S56)</f>
        <v>923148.535253333</v>
      </c>
    </row>
    <row r="58" ht="35.25" customHeight="1" spans="1:19">
      <c r="A58" s="4"/>
      <c r="B58" s="30" t="s">
        <v>80</v>
      </c>
      <c r="C58" s="31">
        <f>C57+C50+C46+C40+C36+C32+C27+C21+C16+C12</f>
        <v>22</v>
      </c>
      <c r="D58" s="32"/>
      <c r="E58" s="227">
        <f t="shared" ref="E58:Q58" si="38">E57+E50+E46+E40+E36+E32+E27+E21+E16+E12</f>
        <v>6563729.25</v>
      </c>
      <c r="F58" s="227">
        <f t="shared" si="38"/>
        <v>0</v>
      </c>
      <c r="G58" s="227">
        <f t="shared" si="38"/>
        <v>1190000</v>
      </c>
      <c r="H58" s="227">
        <f t="shared" si="38"/>
        <v>680000</v>
      </c>
      <c r="I58" s="227">
        <f t="shared" si="38"/>
        <v>0</v>
      </c>
      <c r="J58" s="227">
        <f t="shared" si="38"/>
        <v>8433729.25</v>
      </c>
      <c r="K58" s="227">
        <f t="shared" si="38"/>
        <v>0</v>
      </c>
      <c r="L58" s="227">
        <f t="shared" si="38"/>
        <v>590000</v>
      </c>
      <c r="M58" s="227">
        <f t="shared" si="38"/>
        <v>80000</v>
      </c>
      <c r="N58" s="227">
        <f t="shared" si="38"/>
        <v>0</v>
      </c>
      <c r="O58" s="227">
        <f t="shared" si="38"/>
        <v>1004511.84549161</v>
      </c>
      <c r="P58" s="227">
        <f t="shared" si="38"/>
        <v>525098.34</v>
      </c>
      <c r="Q58" s="227">
        <f t="shared" si="38"/>
        <v>2199610.18549161</v>
      </c>
      <c r="R58" s="227">
        <v>6326877.47456086</v>
      </c>
      <c r="S58" s="227">
        <f>S57+S50+S46+S40+S36+S32+S27+S21+S16+S12</f>
        <v>6234119.06450839</v>
      </c>
    </row>
    <row r="59" ht="18.95" customHeight="1" spans="2:19">
      <c r="B59" s="33"/>
      <c r="D59" s="34"/>
      <c r="E59" s="34"/>
      <c r="F59" s="34"/>
      <c r="G59" s="228"/>
      <c r="H59" s="228"/>
      <c r="I59" s="228"/>
      <c r="J59" s="228"/>
      <c r="K59" s="228"/>
      <c r="L59" s="228"/>
      <c r="M59" s="228"/>
      <c r="N59" s="228"/>
      <c r="O59" s="229"/>
      <c r="P59" s="229"/>
      <c r="Q59" s="229"/>
      <c r="R59" s="229"/>
      <c r="S59" s="229"/>
    </row>
    <row r="60" ht="36.75" customHeight="1" spans="2:19">
      <c r="B60" s="33"/>
      <c r="C60" s="34"/>
      <c r="D60" s="34"/>
      <c r="E60" s="34"/>
      <c r="F60" s="34"/>
      <c r="G60" s="228"/>
      <c r="H60" s="228"/>
      <c r="J60" s="228" t="s">
        <v>81</v>
      </c>
      <c r="K60" s="228"/>
      <c r="L60" s="228"/>
      <c r="M60" s="228"/>
      <c r="N60" s="228"/>
      <c r="O60" s="229"/>
      <c r="P60" s="229"/>
      <c r="Q60" s="229"/>
      <c r="R60" s="229"/>
      <c r="S60" s="35"/>
    </row>
    <row r="61" customHeight="1" spans="17:19">
      <c r="Q61" s="35"/>
      <c r="S61" s="335"/>
    </row>
    <row r="62" customHeight="1" spans="19:19">
      <c r="S62" s="35"/>
    </row>
    <row r="63" customHeight="1" spans="10:10">
      <c r="J63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3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4"/>
  <sheetViews>
    <sheetView tabSelected="1" zoomScale="91" zoomScaleNormal="91" workbookViewId="0">
      <selection activeCell="F59" sqref="F59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9" customHeight="1" spans="2:8">
      <c r="B1" s="747"/>
      <c r="C1" s="747"/>
      <c r="D1" s="747"/>
      <c r="E1" s="747"/>
      <c r="F1" s="747"/>
      <c r="G1" s="747"/>
      <c r="H1" s="747"/>
    </row>
    <row r="2" ht="29.25" customHeight="1" spans="1:8">
      <c r="A2" s="748" t="s">
        <v>0</v>
      </c>
      <c r="B2" s="748"/>
      <c r="C2" s="748"/>
      <c r="D2" s="748"/>
      <c r="E2" s="748"/>
      <c r="F2" s="748"/>
      <c r="G2" s="748"/>
      <c r="H2" s="748"/>
    </row>
    <row r="3" ht="27" customHeight="1" spans="1:8">
      <c r="A3" s="748" t="s">
        <v>82</v>
      </c>
      <c r="B3" s="748"/>
      <c r="C3" s="748"/>
      <c r="D3" s="748"/>
      <c r="E3" s="748"/>
      <c r="F3" s="748"/>
      <c r="G3" s="748"/>
      <c r="H3" s="748"/>
    </row>
    <row r="4" ht="15.6" hidden="1" customHeight="1" spans="1:8">
      <c r="A4" s="749" t="s">
        <v>83</v>
      </c>
      <c r="B4" s="749"/>
      <c r="C4" s="749"/>
      <c r="D4" s="749"/>
      <c r="E4" s="749"/>
      <c r="F4" s="749"/>
      <c r="G4" s="750"/>
      <c r="H4" s="750"/>
    </row>
    <row r="5" ht="9.6" hidden="1" customHeight="1" spans="1:8">
      <c r="A5" s="749" t="s">
        <v>84</v>
      </c>
      <c r="B5" s="749"/>
      <c r="C5" s="749"/>
      <c r="D5" s="749"/>
      <c r="E5" s="749"/>
      <c r="F5" s="749"/>
      <c r="G5" s="750"/>
      <c r="H5" s="750"/>
    </row>
    <row r="6" ht="29.25" hidden="1" customHeight="1" spans="1:8">
      <c r="A6" s="749" t="s">
        <v>85</v>
      </c>
      <c r="B6" s="749"/>
      <c r="C6" s="749"/>
      <c r="D6" s="749"/>
      <c r="E6" s="749"/>
      <c r="F6" s="749"/>
      <c r="G6" s="750"/>
      <c r="H6" s="750"/>
    </row>
    <row r="7" ht="25.15" hidden="1" customHeight="1" spans="1:8">
      <c r="A7" s="749" t="s">
        <v>86</v>
      </c>
      <c r="B7" s="749"/>
      <c r="C7" s="749"/>
      <c r="D7" s="749"/>
      <c r="E7" s="749"/>
      <c r="F7" s="750"/>
      <c r="G7" s="750"/>
      <c r="H7" s="750"/>
    </row>
    <row r="8" ht="24.75" hidden="1" customHeight="1" spans="1:8">
      <c r="A8" s="750"/>
      <c r="B8" s="750"/>
      <c r="C8" s="750"/>
      <c r="D8" s="750"/>
      <c r="E8" s="750"/>
      <c r="F8" s="750"/>
      <c r="G8" s="750"/>
      <c r="H8" s="750"/>
    </row>
    <row r="9" ht="24" hidden="1" customHeight="1" spans="1:8">
      <c r="A9" s="751" t="s">
        <v>87</v>
      </c>
      <c r="B9" s="751"/>
      <c r="C9" s="751"/>
      <c r="D9" s="751"/>
      <c r="E9" s="751"/>
      <c r="F9" s="751"/>
      <c r="G9" s="750"/>
      <c r="H9" s="750"/>
    </row>
    <row r="10" ht="13.15" hidden="1" customHeight="1" spans="1:8">
      <c r="A10" s="749" t="s">
        <v>88</v>
      </c>
      <c r="B10" s="749"/>
      <c r="C10" s="749"/>
      <c r="D10" s="749"/>
      <c r="E10" s="749"/>
      <c r="F10" s="749"/>
      <c r="G10" s="749"/>
      <c r="H10" s="749"/>
    </row>
    <row r="11" ht="18" hidden="1" customHeight="1" spans="1:8">
      <c r="A11" s="752"/>
      <c r="B11" s="750"/>
      <c r="C11" s="750"/>
      <c r="D11" s="750"/>
      <c r="E11" s="750"/>
      <c r="F11" s="750"/>
      <c r="G11" s="750"/>
      <c r="H11" s="750"/>
    </row>
    <row r="12" ht="18.75" hidden="1" customHeight="1" spans="1:8">
      <c r="A12" s="752"/>
      <c r="B12" s="750"/>
      <c r="C12" s="750"/>
      <c r="D12" s="750"/>
      <c r="E12" s="750"/>
      <c r="F12" s="750"/>
      <c r="G12" s="750"/>
      <c r="H12" s="750"/>
    </row>
    <row r="13" ht="19.5" customHeight="1" spans="1:8">
      <c r="A13" s="181" t="s">
        <v>89</v>
      </c>
      <c r="B13" s="181"/>
      <c r="C13" s="181" t="s">
        <v>90</v>
      </c>
      <c r="D13" s="181"/>
      <c r="E13" s="181"/>
      <c r="F13" s="753"/>
      <c r="G13" s="754"/>
      <c r="H13" s="750"/>
    </row>
    <row r="14" ht="20.25" customHeight="1" spans="1:8">
      <c r="A14" s="181" t="s">
        <v>91</v>
      </c>
      <c r="B14" s="753"/>
      <c r="C14" s="181" t="s">
        <v>92</v>
      </c>
      <c r="D14" s="181"/>
      <c r="E14" s="181"/>
      <c r="F14" s="181"/>
      <c r="G14" s="46"/>
      <c r="H14" s="750"/>
    </row>
    <row r="15" ht="21" customHeight="1" spans="1:8">
      <c r="A15" s="181" t="s">
        <v>93</v>
      </c>
      <c r="B15" s="181"/>
      <c r="C15" s="181" t="s">
        <v>94</v>
      </c>
      <c r="D15" s="181"/>
      <c r="E15" s="181"/>
      <c r="F15" s="181"/>
      <c r="G15" s="46"/>
      <c r="H15" s="750"/>
    </row>
    <row r="16" ht="21" customHeight="1" spans="1:8">
      <c r="A16" s="181" t="s">
        <v>95</v>
      </c>
      <c r="B16" s="181"/>
      <c r="C16" s="181" t="s">
        <v>96</v>
      </c>
      <c r="D16" s="181"/>
      <c r="E16" s="753"/>
      <c r="F16" s="753"/>
      <c r="G16" s="754"/>
      <c r="H16" s="750"/>
    </row>
    <row r="17" ht="14.25" customHeight="1" spans="1:8">
      <c r="A17" s="46"/>
      <c r="B17" s="46"/>
      <c r="C17" s="46"/>
      <c r="D17" s="46"/>
      <c r="E17" s="754"/>
      <c r="F17" s="754"/>
      <c r="G17" s="754"/>
      <c r="H17" s="750"/>
    </row>
    <row r="18" ht="24" customHeight="1" spans="1:8">
      <c r="A18" s="258" t="s">
        <v>97</v>
      </c>
      <c r="B18" s="258"/>
      <c r="C18" s="755"/>
      <c r="D18" s="755"/>
      <c r="E18" s="755"/>
      <c r="F18" s="755"/>
      <c r="G18" s="754"/>
      <c r="H18" s="750"/>
    </row>
    <row r="19" ht="30.75" customHeight="1" spans="1:8">
      <c r="A19" s="46" t="s">
        <v>98</v>
      </c>
      <c r="B19" s="46"/>
      <c r="C19" s="754"/>
      <c r="D19" s="754"/>
      <c r="E19" s="754"/>
      <c r="F19" s="754"/>
      <c r="G19" s="628" t="s">
        <v>99</v>
      </c>
      <c r="H19" s="628" t="s">
        <v>99</v>
      </c>
    </row>
    <row r="20" ht="21" customHeight="1" spans="1:10">
      <c r="A20" s="756" t="s">
        <v>100</v>
      </c>
      <c r="B20" s="756"/>
      <c r="C20" s="756"/>
      <c r="D20" s="756"/>
      <c r="E20" s="756"/>
      <c r="F20" s="756"/>
      <c r="G20" s="756"/>
      <c r="H20" s="757">
        <f>'APRIL 2025 NEW'!J58</f>
        <v>8433729.25</v>
      </c>
      <c r="J20" s="409"/>
    </row>
    <row r="21" ht="6.75" customHeight="1" spans="1:10">
      <c r="A21" s="756"/>
      <c r="B21" s="756"/>
      <c r="C21" s="756"/>
      <c r="D21" s="756"/>
      <c r="E21" s="756"/>
      <c r="F21" s="756"/>
      <c r="G21" s="756"/>
      <c r="H21" s="757"/>
      <c r="J21" s="409"/>
    </row>
    <row r="22" ht="21.75" customHeight="1" spans="1:9">
      <c r="A22" s="106" t="s">
        <v>101</v>
      </c>
      <c r="B22" s="106"/>
      <c r="C22" s="106"/>
      <c r="D22" s="106"/>
      <c r="E22" s="106"/>
      <c r="F22" s="106"/>
      <c r="G22" s="758"/>
      <c r="H22" s="46"/>
      <c r="I22" s="409"/>
    </row>
    <row r="23" ht="18.75" customHeight="1" spans="1:10">
      <c r="A23" s="759" t="s">
        <v>102</v>
      </c>
      <c r="B23" s="759"/>
      <c r="C23" s="759"/>
      <c r="D23" s="759"/>
      <c r="E23" s="759"/>
      <c r="F23" s="759"/>
      <c r="G23" s="156">
        <f>'APRIL 2025 NEW'!L58</f>
        <v>590000</v>
      </c>
      <c r="H23" s="46"/>
      <c r="J23" s="409"/>
    </row>
    <row r="24" ht="19.5" customHeight="1" spans="1:8">
      <c r="A24" s="759" t="s">
        <v>103</v>
      </c>
      <c r="B24" s="759"/>
      <c r="C24" s="759"/>
      <c r="D24" s="759"/>
      <c r="E24" s="759"/>
      <c r="F24" s="759"/>
      <c r="G24" s="156">
        <f>'APRIL 2025 NEW'!M58</f>
        <v>80000</v>
      </c>
      <c r="H24" s="46"/>
    </row>
    <row r="25" ht="20.25" customHeight="1" spans="1:8">
      <c r="A25" s="760" t="s">
        <v>104</v>
      </c>
      <c r="B25" s="760"/>
      <c r="C25" s="760"/>
      <c r="D25" s="760"/>
      <c r="E25" s="760"/>
      <c r="F25" s="760"/>
      <c r="G25" s="156">
        <f>'APRIL 2025 NEW'!N58</f>
        <v>0</v>
      </c>
      <c r="H25" s="46"/>
    </row>
    <row r="26" ht="20.25" customHeight="1" spans="1:8">
      <c r="A26" s="759" t="s">
        <v>105</v>
      </c>
      <c r="B26" s="759"/>
      <c r="C26" s="759"/>
      <c r="D26" s="759"/>
      <c r="E26" s="759"/>
      <c r="F26" s="759"/>
      <c r="G26" s="156">
        <f>'APRIL 2025 NEW'!O58</f>
        <v>1004511.84549161</v>
      </c>
      <c r="H26" s="46"/>
    </row>
    <row r="27" ht="21" customHeight="1" spans="1:8">
      <c r="A27" s="759" t="s">
        <v>106</v>
      </c>
      <c r="B27" s="759"/>
      <c r="C27" s="759"/>
      <c r="D27" s="759"/>
      <c r="E27" s="759"/>
      <c r="F27" s="759"/>
      <c r="G27" s="761">
        <f>'APRIL 2025 NEW'!P58</f>
        <v>525098.34</v>
      </c>
      <c r="H27" s="46"/>
    </row>
    <row r="28" ht="28.5" customHeight="1" spans="1:9">
      <c r="A28" s="759" t="s">
        <v>107</v>
      </c>
      <c r="B28" s="759"/>
      <c r="C28" s="759"/>
      <c r="D28" s="759"/>
      <c r="E28" s="759"/>
      <c r="F28" s="759"/>
      <c r="G28" s="156"/>
      <c r="H28" s="762">
        <f>'APRIL 2025 NEW'!Q58</f>
        <v>2199610.18549161</v>
      </c>
      <c r="I28" s="411"/>
    </row>
    <row r="29" ht="20.25" customHeight="1" spans="1:9">
      <c r="A29" s="759" t="s">
        <v>108</v>
      </c>
      <c r="B29" s="759"/>
      <c r="C29" s="759"/>
      <c r="D29" s="759"/>
      <c r="E29" s="759"/>
      <c r="F29" s="759"/>
      <c r="G29" s="258"/>
      <c r="H29" s="150">
        <f>H20-H28</f>
        <v>6234119.06450839</v>
      </c>
      <c r="I29" s="213"/>
    </row>
    <row r="30" ht="21" customHeight="1" spans="1:8">
      <c r="A30" s="759" t="s">
        <v>109</v>
      </c>
      <c r="B30" s="759"/>
      <c r="C30" s="759"/>
      <c r="D30" s="759"/>
      <c r="E30" s="759"/>
      <c r="F30" s="759"/>
      <c r="G30" s="258"/>
      <c r="H30" s="763">
        <f>'APRIL 2025 NEW'!R58</f>
        <v>6326877.47456086</v>
      </c>
    </row>
    <row r="31" ht="21" customHeight="1" spans="1:8">
      <c r="A31" s="759" t="s">
        <v>110</v>
      </c>
      <c r="B31" s="759"/>
      <c r="C31" s="759"/>
      <c r="D31" s="759"/>
      <c r="E31" s="759"/>
      <c r="F31" s="759"/>
      <c r="G31" s="258"/>
      <c r="H31" s="764">
        <f>H29-H30</f>
        <v>-92758.4100524746</v>
      </c>
    </row>
    <row r="32" ht="14.1" customHeight="1" spans="1:8">
      <c r="A32" s="759"/>
      <c r="B32" s="759"/>
      <c r="C32" s="759"/>
      <c r="D32" s="759"/>
      <c r="E32" s="759"/>
      <c r="F32" s="759"/>
      <c r="G32" s="258"/>
      <c r="H32" s="765"/>
    </row>
    <row r="33" ht="21" customHeight="1" spans="1:8">
      <c r="A33" s="756" t="s">
        <v>111</v>
      </c>
      <c r="B33" s="756"/>
      <c r="C33" s="756"/>
      <c r="D33" s="756"/>
      <c r="E33" s="756"/>
      <c r="F33" s="756"/>
      <c r="G33" s="756"/>
      <c r="H33" s="46"/>
    </row>
    <row r="34" ht="21" customHeight="1" spans="1:8">
      <c r="A34" s="759" t="s">
        <v>112</v>
      </c>
      <c r="B34" s="759"/>
      <c r="C34" s="759"/>
      <c r="D34" s="759"/>
      <c r="E34" s="759"/>
      <c r="F34" s="759"/>
      <c r="G34" s="759"/>
      <c r="H34" s="766">
        <v>-172000</v>
      </c>
    </row>
    <row r="35" ht="21" customHeight="1" spans="1:8">
      <c r="A35" s="759" t="s">
        <v>113</v>
      </c>
      <c r="B35" s="759"/>
      <c r="C35" s="759"/>
      <c r="D35" s="759"/>
      <c r="E35" s="759"/>
      <c r="F35" s="759"/>
      <c r="G35" s="759"/>
      <c r="H35" s="766">
        <f>264758.41</f>
        <v>264758.41</v>
      </c>
    </row>
    <row r="36" ht="23.1" customHeight="1" spans="8:9">
      <c r="H36" s="767">
        <f>SUM(H34:H35)</f>
        <v>92758.41</v>
      </c>
      <c r="I36" s="411"/>
    </row>
    <row r="37" ht="11.45" customHeight="1" spans="1:8">
      <c r="A37" s="759"/>
      <c r="B37" s="759"/>
      <c r="C37" s="759"/>
      <c r="D37" s="759"/>
      <c r="E37" s="759"/>
      <c r="F37" s="759"/>
      <c r="G37" s="258"/>
      <c r="H37" s="765"/>
    </row>
    <row r="38" ht="11.1" customHeight="1" spans="1:8">
      <c r="A38" s="759"/>
      <c r="B38" s="759"/>
      <c r="C38" s="759"/>
      <c r="D38" s="759"/>
      <c r="E38" s="759"/>
      <c r="F38" s="759"/>
      <c r="G38" s="258"/>
      <c r="H38" s="765"/>
    </row>
    <row r="39" ht="9.6" customHeight="1" spans="1:17">
      <c r="A39" s="759"/>
      <c r="B39" s="759"/>
      <c r="C39" s="759"/>
      <c r="D39" s="759"/>
      <c r="E39" s="759"/>
      <c r="F39" s="759"/>
      <c r="G39" s="759"/>
      <c r="H39" s="765"/>
      <c r="I39" s="411"/>
      <c r="J39" s="407"/>
      <c r="K39" s="409"/>
      <c r="L39" s="407"/>
      <c r="M39" s="407"/>
      <c r="N39" s="409"/>
      <c r="P39" s="770"/>
      <c r="Q39" s="409"/>
    </row>
    <row r="40" ht="28.5" customHeight="1" spans="1:11">
      <c r="A40" s="46"/>
      <c r="B40" s="46"/>
      <c r="C40" s="46"/>
      <c r="D40" s="46"/>
      <c r="E40" s="68" t="s">
        <v>17</v>
      </c>
      <c r="F40" s="68"/>
      <c r="G40" s="68" t="s">
        <v>18</v>
      </c>
      <c r="H40" s="68"/>
      <c r="I40" s="411"/>
      <c r="J40" s="411"/>
      <c r="K40" s="409"/>
    </row>
    <row r="41" ht="18.6" customHeight="1" spans="1:10">
      <c r="A41" s="46"/>
      <c r="B41" s="46"/>
      <c r="C41" s="46"/>
      <c r="D41" s="46"/>
      <c r="E41" s="68" t="s">
        <v>114</v>
      </c>
      <c r="F41" s="114" t="s">
        <v>19</v>
      </c>
      <c r="G41" s="68" t="s">
        <v>114</v>
      </c>
      <c r="H41" s="114" t="s">
        <v>19</v>
      </c>
      <c r="I41" s="411"/>
      <c r="J41" s="411"/>
    </row>
    <row r="42" ht="28.5" customHeight="1" spans="1:10">
      <c r="A42" s="50">
        <v>1</v>
      </c>
      <c r="B42" s="171" t="s">
        <v>115</v>
      </c>
      <c r="C42" s="759"/>
      <c r="D42" s="759"/>
      <c r="E42" s="49">
        <v>6</v>
      </c>
      <c r="F42" s="51">
        <f>'APRIL 2025 NEW'!R12</f>
        <v>1118809.93792</v>
      </c>
      <c r="G42" s="49">
        <f>'APRIL 2025 NEW'!C12</f>
        <v>5</v>
      </c>
      <c r="H42" s="51">
        <f>'APRIL 2025 NEW'!S12</f>
        <v>1103809.93792</v>
      </c>
      <c r="I42" s="411"/>
      <c r="J42" s="411"/>
    </row>
    <row r="43" ht="21.75" customHeight="1" spans="1:10">
      <c r="A43" s="50">
        <v>2</v>
      </c>
      <c r="B43" s="171" t="s">
        <v>116</v>
      </c>
      <c r="C43" s="759"/>
      <c r="D43" s="759"/>
      <c r="E43" s="49">
        <v>1</v>
      </c>
      <c r="F43" s="51">
        <f>'APRIL 2025 NEW'!R16</f>
        <v>186045.423333334</v>
      </c>
      <c r="G43" s="49">
        <f>'APRIL 2025 NEW'!C16</f>
        <v>1</v>
      </c>
      <c r="H43" s="51">
        <f>'APRIL 2025 NEW'!S16</f>
        <v>186045.423333334</v>
      </c>
      <c r="I43" s="411"/>
      <c r="J43" s="411"/>
    </row>
    <row r="44" ht="24.75" customHeight="1" spans="1:10">
      <c r="A44" s="50">
        <v>3</v>
      </c>
      <c r="B44" s="759" t="s">
        <v>117</v>
      </c>
      <c r="C44" s="759"/>
      <c r="D44" s="759"/>
      <c r="E44" s="49">
        <v>2</v>
      </c>
      <c r="F44" s="51">
        <f>'APRIL 2025 NEW'!R21</f>
        <v>691812.208666667</v>
      </c>
      <c r="G44" s="49">
        <f>'APRIL 2025 NEW'!C21</f>
        <v>2</v>
      </c>
      <c r="H44" s="51">
        <f>'APRIL 2025 NEW'!S21</f>
        <v>691812.208666667</v>
      </c>
      <c r="I44" s="411"/>
      <c r="J44" s="411"/>
    </row>
    <row r="45" ht="23.25" customHeight="1" spans="1:10">
      <c r="A45" s="50">
        <v>4</v>
      </c>
      <c r="B45" s="759" t="s">
        <v>118</v>
      </c>
      <c r="C45" s="759"/>
      <c r="D45" s="768"/>
      <c r="E45" s="49">
        <v>0</v>
      </c>
      <c r="F45" s="51">
        <v>0</v>
      </c>
      <c r="G45" s="49">
        <v>0</v>
      </c>
      <c r="H45" s="51">
        <v>0</v>
      </c>
      <c r="I45" s="411"/>
      <c r="J45" s="411"/>
    </row>
    <row r="46" ht="24" customHeight="1" spans="1:10">
      <c r="A46" s="50">
        <v>5</v>
      </c>
      <c r="B46" s="759" t="s">
        <v>119</v>
      </c>
      <c r="C46" s="759"/>
      <c r="D46" s="768"/>
      <c r="E46" s="49">
        <v>1</v>
      </c>
      <c r="F46" s="51">
        <f>'APRIL 2025 NEW'!R27</f>
        <v>1102668.11133419</v>
      </c>
      <c r="G46" s="49">
        <f>'APRIL 2025 NEW'!C27</f>
        <v>2</v>
      </c>
      <c r="H46" s="51">
        <f>'APRIL 2025 NEW'!S27</f>
        <v>1024909.70128172</v>
      </c>
      <c r="I46" s="411"/>
      <c r="J46" s="411"/>
    </row>
    <row r="47" ht="21" customHeight="1" spans="1:10">
      <c r="A47" s="50">
        <v>6</v>
      </c>
      <c r="B47" s="759" t="s">
        <v>120</v>
      </c>
      <c r="C47" s="759"/>
      <c r="D47" s="768"/>
      <c r="E47" s="49">
        <v>2</v>
      </c>
      <c r="F47" s="51">
        <f>'APRIL 2025 NEW'!R32</f>
        <v>671508.154693333</v>
      </c>
      <c r="G47" s="49">
        <f>'APRIL 2025 NEW'!C32</f>
        <v>2</v>
      </c>
      <c r="H47" s="51">
        <f>'APRIL 2025 NEW'!S32</f>
        <v>671508.154693333</v>
      </c>
      <c r="I47" s="411"/>
      <c r="J47" s="411"/>
    </row>
    <row r="48" ht="23.25" customHeight="1" spans="1:10">
      <c r="A48" s="50">
        <v>7</v>
      </c>
      <c r="B48" s="759" t="s">
        <v>121</v>
      </c>
      <c r="C48" s="759"/>
      <c r="D48" s="759"/>
      <c r="E48" s="49">
        <v>1</v>
      </c>
      <c r="F48" s="51">
        <f>'APRIL 2025 NEW'!R36</f>
        <v>333000.385333333</v>
      </c>
      <c r="G48" s="49">
        <f>'APRIL 2025 NEW'!C36</f>
        <v>1</v>
      </c>
      <c r="H48" s="51">
        <f>'APRIL 2025 NEW'!S36</f>
        <v>333000.385333333</v>
      </c>
      <c r="I48" s="411"/>
      <c r="J48" s="411"/>
    </row>
    <row r="49" ht="25.5" customHeight="1" spans="1:10">
      <c r="A49" s="50">
        <v>8</v>
      </c>
      <c r="B49" s="759" t="s">
        <v>122</v>
      </c>
      <c r="C49" s="759"/>
      <c r="D49" s="759"/>
      <c r="E49" s="49">
        <v>1</v>
      </c>
      <c r="F49" s="51">
        <f>'APRIL 2025 NEW'!R40</f>
        <v>217988.768026667</v>
      </c>
      <c r="G49" s="49">
        <f>'APRIL 2025 NEW'!C40</f>
        <v>1</v>
      </c>
      <c r="H49" s="51">
        <f>'APRIL 2025 NEW'!S40</f>
        <v>217988.768026667</v>
      </c>
      <c r="I49" s="411"/>
      <c r="J49" s="411"/>
    </row>
    <row r="50" ht="21.75" customHeight="1" spans="1:10">
      <c r="A50" s="50">
        <v>9</v>
      </c>
      <c r="B50" s="759" t="s">
        <v>123</v>
      </c>
      <c r="C50" s="759"/>
      <c r="D50" s="759"/>
      <c r="E50" s="49">
        <v>0</v>
      </c>
      <c r="F50" s="51">
        <v>0</v>
      </c>
      <c r="G50" s="49">
        <v>0</v>
      </c>
      <c r="H50" s="51">
        <v>0</v>
      </c>
      <c r="I50" s="411"/>
      <c r="J50" s="411"/>
    </row>
    <row r="51" ht="21.75" customHeight="1" spans="1:10">
      <c r="A51" s="50">
        <v>10</v>
      </c>
      <c r="B51" s="759" t="s">
        <v>124</v>
      </c>
      <c r="C51" s="759"/>
      <c r="D51" s="759"/>
      <c r="E51" s="49">
        <v>4</v>
      </c>
      <c r="F51" s="51">
        <f>'APRIL 2025 NEW'!R46</f>
        <v>795850.526666666</v>
      </c>
      <c r="G51" s="49">
        <f>'APRIL 2025 NEW'!C46</f>
        <v>3</v>
      </c>
      <c r="H51" s="51">
        <f>'APRIL 2025 NEW'!S46</f>
        <v>795850.526666666</v>
      </c>
      <c r="I51" s="411"/>
      <c r="J51" s="411"/>
    </row>
    <row r="52" ht="24.75" customHeight="1" spans="1:10">
      <c r="A52" s="50">
        <v>11</v>
      </c>
      <c r="B52" s="759" t="s">
        <v>125</v>
      </c>
      <c r="C52" s="759"/>
      <c r="D52" s="759"/>
      <c r="E52" s="49">
        <v>1</v>
      </c>
      <c r="F52" s="51">
        <f>'APRIL 2025 NEW'!R50</f>
        <v>286045.423333334</v>
      </c>
      <c r="G52" s="769" t="str">
        <f>'APRIL 2025 NEW'!C50</f>
        <v>1</v>
      </c>
      <c r="H52" s="51">
        <f>'APRIL 2025 NEW'!S50</f>
        <v>286045.423333334</v>
      </c>
      <c r="I52" s="411"/>
      <c r="J52" s="411"/>
    </row>
    <row r="53" ht="24.75" customHeight="1" spans="1:10">
      <c r="A53" s="50">
        <v>12</v>
      </c>
      <c r="B53" s="759" t="s">
        <v>126</v>
      </c>
      <c r="C53" s="759"/>
      <c r="D53" s="759"/>
      <c r="E53" s="49">
        <v>3</v>
      </c>
      <c r="F53" s="51">
        <f>'APRIL 2025 NEW'!R57</f>
        <v>923148.535253333</v>
      </c>
      <c r="G53" s="769" t="str">
        <f>'APRIL 2025 NEW'!C57</f>
        <v>4</v>
      </c>
      <c r="H53" s="51">
        <f>'APRIL 2025 NEW'!S57</f>
        <v>923148.535253333</v>
      </c>
      <c r="I53" s="411"/>
      <c r="J53" s="411"/>
    </row>
    <row r="54" ht="24" customHeight="1" spans="1:10">
      <c r="A54" s="46"/>
      <c r="B54" s="46"/>
      <c r="C54" s="46"/>
      <c r="D54" s="46"/>
      <c r="E54" s="68">
        <f>SUM(E42:E53)</f>
        <v>22</v>
      </c>
      <c r="F54" s="56">
        <f>SUM(F42:F53)</f>
        <v>6326877.47456086</v>
      </c>
      <c r="G54" s="68">
        <v>22</v>
      </c>
      <c r="H54" s="56">
        <f>SUM(H42:H53)</f>
        <v>6234119.06450839</v>
      </c>
      <c r="I54" s="411"/>
      <c r="J54" s="411"/>
    </row>
    <row r="55" ht="0.75" customHeight="1" spans="1:10">
      <c r="A55" s="46"/>
      <c r="B55" s="46"/>
      <c r="C55" s="46"/>
      <c r="D55" s="46"/>
      <c r="E55" s="41"/>
      <c r="F55" s="757"/>
      <c r="G55" s="41"/>
      <c r="H55" s="757"/>
      <c r="I55" s="411"/>
      <c r="J55" s="411"/>
    </row>
    <row r="56" ht="56.45" customHeight="1" spans="1:14">
      <c r="A56" s="760" t="s">
        <v>127</v>
      </c>
      <c r="B56" s="760"/>
      <c r="C56" s="760"/>
      <c r="D56" s="760"/>
      <c r="E56" s="760"/>
      <c r="F56" s="760"/>
      <c r="G56" s="760"/>
      <c r="H56" s="760"/>
      <c r="I56" s="46"/>
      <c r="J56" s="156"/>
      <c r="K56" s="156"/>
      <c r="L56" s="46"/>
      <c r="M56" s="46"/>
      <c r="N56" s="46"/>
    </row>
    <row r="57" ht="4.5" customHeight="1" spans="1:14">
      <c r="A57" s="760"/>
      <c r="B57" s="760"/>
      <c r="C57" s="760"/>
      <c r="D57" s="760"/>
      <c r="E57" s="760"/>
      <c r="F57" s="760"/>
      <c r="G57" s="760"/>
      <c r="H57" s="760"/>
      <c r="I57" s="46"/>
      <c r="J57" s="46"/>
      <c r="K57" s="46"/>
      <c r="L57" s="46"/>
      <c r="M57" s="46"/>
      <c r="N57" s="46"/>
    </row>
    <row r="58" ht="2.25" hidden="1" customHeight="1" spans="1:14">
      <c r="A58" s="760"/>
      <c r="B58" s="760"/>
      <c r="C58" s="760"/>
      <c r="D58" s="760"/>
      <c r="E58" s="760"/>
      <c r="F58" s="760"/>
      <c r="G58" s="760"/>
      <c r="H58" s="760"/>
      <c r="I58" s="46"/>
      <c r="J58" s="46"/>
      <c r="K58" s="46"/>
      <c r="L58" s="46"/>
      <c r="M58" s="46"/>
      <c r="N58" s="46"/>
    </row>
    <row r="59" ht="49.5" customHeight="1" spans="6:8">
      <c r="F59" s="46"/>
      <c r="G59" s="46"/>
      <c r="H59" s="46"/>
    </row>
    <row r="60" ht="17.25" customHeight="1" spans="1:11">
      <c r="A60" s="756" t="s">
        <v>128</v>
      </c>
      <c r="B60" s="756"/>
      <c r="C60" s="756"/>
      <c r="D60" s="756"/>
      <c r="E60" s="756"/>
      <c r="F60" s="46"/>
      <c r="G60" s="46"/>
      <c r="H60" s="46"/>
      <c r="I60" s="213"/>
      <c r="K60" s="407"/>
    </row>
    <row r="61" ht="13" spans="1:11">
      <c r="A61" s="263"/>
      <c r="B61" s="263"/>
      <c r="C61" s="263"/>
      <c r="D61" s="263" t="s">
        <v>129</v>
      </c>
      <c r="E61" s="263"/>
      <c r="F61" s="263"/>
      <c r="G61" s="263"/>
      <c r="H61" s="263"/>
      <c r="I61" s="213"/>
      <c r="K61" s="407"/>
    </row>
    <row r="62" spans="11:11">
      <c r="K62" s="407"/>
    </row>
    <row r="63" spans="11:11">
      <c r="K63" s="407"/>
    </row>
    <row r="66" spans="3:3">
      <c r="C66" t="s">
        <v>130</v>
      </c>
    </row>
    <row r="164" spans="3:3">
      <c r="C164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3:G33"/>
    <mergeCell ref="E40:F40"/>
    <mergeCell ref="G40:H40"/>
    <mergeCell ref="B42:D42"/>
    <mergeCell ref="B44:D44"/>
    <mergeCell ref="B45:D45"/>
    <mergeCell ref="B46:D46"/>
    <mergeCell ref="B47:D47"/>
    <mergeCell ref="B53:D53"/>
    <mergeCell ref="A56:H56"/>
    <mergeCell ref="A60:E60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G5" sqref="G5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131</v>
      </c>
      <c r="B2" s="257"/>
      <c r="C2" s="236"/>
      <c r="D2" s="236"/>
      <c r="E2" s="78"/>
    </row>
    <row r="3" ht="9.75" customHeight="1"/>
    <row r="4" ht="49.5" customHeight="1" spans="1:5">
      <c r="A4" s="520"/>
      <c r="B4" s="744" t="s">
        <v>2</v>
      </c>
      <c r="C4" s="745" t="s">
        <v>3</v>
      </c>
      <c r="D4" s="746" t="s">
        <v>4</v>
      </c>
      <c r="E4" s="724" t="s">
        <v>132</v>
      </c>
    </row>
    <row r="5" ht="17.25" customHeight="1" spans="3:5">
      <c r="C5" s="8"/>
      <c r="D5" s="8"/>
      <c r="E5" s="726" t="s">
        <v>19</v>
      </c>
    </row>
    <row r="6" customHeight="1" spans="1:5">
      <c r="A6" s="9" t="s">
        <v>20</v>
      </c>
      <c r="B6" s="8" t="s">
        <v>21</v>
      </c>
      <c r="C6" s="8"/>
      <c r="D6" s="8"/>
      <c r="E6" s="726"/>
    </row>
    <row r="7" ht="18.75" customHeight="1" spans="1:5">
      <c r="A7" s="10">
        <v>1</v>
      </c>
      <c r="B7" s="18" t="s">
        <v>22</v>
      </c>
      <c r="C7" s="4" t="s">
        <v>23</v>
      </c>
      <c r="D7" s="10" t="s">
        <v>24</v>
      </c>
      <c r="E7" s="729">
        <v>54000</v>
      </c>
    </row>
    <row r="8" ht="18.75" customHeight="1" spans="1:5">
      <c r="A8" s="10">
        <v>2</v>
      </c>
      <c r="B8" s="18" t="s">
        <v>25</v>
      </c>
      <c r="C8" s="4" t="s">
        <v>23</v>
      </c>
      <c r="D8" s="10" t="s">
        <v>24</v>
      </c>
      <c r="E8" s="729">
        <v>54000</v>
      </c>
    </row>
    <row r="9" ht="18.75" customHeight="1" spans="1:5">
      <c r="A9" s="10">
        <v>3</v>
      </c>
      <c r="B9" s="18" t="s">
        <v>26</v>
      </c>
      <c r="C9" s="4" t="s">
        <v>27</v>
      </c>
      <c r="D9" s="10" t="s">
        <v>24</v>
      </c>
      <c r="E9" s="729">
        <v>54000</v>
      </c>
    </row>
    <row r="10" customHeight="1" spans="1:5">
      <c r="A10" s="10">
        <v>4</v>
      </c>
      <c r="B10" s="18" t="s">
        <v>28</v>
      </c>
      <c r="C10" s="12" t="s">
        <v>29</v>
      </c>
      <c r="D10" s="15" t="s">
        <v>30</v>
      </c>
      <c r="E10" s="729">
        <v>54000</v>
      </c>
    </row>
    <row r="11" customHeight="1" spans="1:5">
      <c r="A11" s="10">
        <v>5</v>
      </c>
      <c r="B11" s="18" t="s">
        <v>31</v>
      </c>
      <c r="C11" s="12" t="s">
        <v>32</v>
      </c>
      <c r="D11" s="15" t="s">
        <v>30</v>
      </c>
      <c r="E11" s="729">
        <v>54000</v>
      </c>
    </row>
    <row r="12" ht="26.25" customHeight="1" spans="1:5">
      <c r="A12" s="10"/>
      <c r="B12" s="20" t="s">
        <v>33</v>
      </c>
      <c r="C12" s="21">
        <v>5</v>
      </c>
      <c r="D12" s="15"/>
      <c r="E12" s="731">
        <f>SUM(E7:E11)</f>
        <v>270000</v>
      </c>
    </row>
    <row r="13" ht="18.75" customHeight="1" spans="1:5">
      <c r="A13" s="10"/>
      <c r="B13" s="22"/>
      <c r="C13" s="4"/>
      <c r="D13" s="15"/>
      <c r="E13" s="221"/>
    </row>
    <row r="14" ht="18.75" customHeight="1" spans="1:5">
      <c r="A14" s="10"/>
      <c r="B14" s="20" t="s">
        <v>34</v>
      </c>
      <c r="C14" s="4"/>
      <c r="D14" s="15"/>
      <c r="E14" s="85"/>
    </row>
    <row r="15" customHeight="1" spans="1:5">
      <c r="A15" s="4">
        <v>1</v>
      </c>
      <c r="B15" s="18" t="s">
        <v>35</v>
      </c>
      <c r="C15" s="12" t="s">
        <v>36</v>
      </c>
      <c r="D15" s="15" t="s">
        <v>37</v>
      </c>
      <c r="E15" s="85">
        <v>68000</v>
      </c>
    </row>
    <row r="16" ht="19.5" customHeight="1" spans="1:5">
      <c r="A16" s="10"/>
      <c r="B16" s="14"/>
      <c r="C16" s="21">
        <v>1</v>
      </c>
      <c r="D16" s="10"/>
      <c r="E16" s="221">
        <f>SUM(E15:E15)</f>
        <v>68000</v>
      </c>
    </row>
    <row r="17" customHeight="1" spans="1:5">
      <c r="A17" s="10"/>
      <c r="B17" s="14"/>
      <c r="C17" s="4"/>
      <c r="D17" s="10"/>
      <c r="E17" s="221"/>
    </row>
    <row r="18" customHeight="1" spans="1:5">
      <c r="A18" s="10"/>
      <c r="B18" s="23" t="s">
        <v>38</v>
      </c>
      <c r="C18" s="5"/>
      <c r="D18" s="24"/>
      <c r="E18" s="221"/>
    </row>
    <row r="19" customHeight="1" spans="1:5">
      <c r="A19" s="27">
        <v>1</v>
      </c>
      <c r="B19" s="18" t="s">
        <v>39</v>
      </c>
      <c r="C19" s="4" t="s">
        <v>40</v>
      </c>
      <c r="D19" s="15" t="s">
        <v>41</v>
      </c>
      <c r="E19" s="220">
        <v>68000</v>
      </c>
    </row>
    <row r="20" customHeight="1" spans="1:5">
      <c r="A20" s="27">
        <v>2</v>
      </c>
      <c r="B20" s="11" t="s">
        <v>42</v>
      </c>
      <c r="C20" s="4" t="s">
        <v>43</v>
      </c>
      <c r="D20" s="10" t="s">
        <v>37</v>
      </c>
      <c r="E20" s="220">
        <v>68000</v>
      </c>
    </row>
    <row r="21" ht="25.5" customHeight="1" spans="1:5">
      <c r="A21" s="10"/>
      <c r="B21" s="20" t="s">
        <v>33</v>
      </c>
      <c r="C21" s="21">
        <v>2</v>
      </c>
      <c r="D21" s="21"/>
      <c r="E21" s="93">
        <f>SUM(E19:E20)</f>
        <v>136000</v>
      </c>
    </row>
    <row r="22" customHeight="1" spans="1:5">
      <c r="A22" s="10"/>
      <c r="B22" s="22"/>
      <c r="C22" s="21"/>
      <c r="D22" s="21"/>
      <c r="E22" s="146"/>
    </row>
    <row r="23" customHeight="1" spans="1:5">
      <c r="A23" s="10"/>
      <c r="B23" s="20" t="s">
        <v>44</v>
      </c>
      <c r="C23" s="21"/>
      <c r="D23" s="21"/>
      <c r="E23" s="146"/>
    </row>
    <row r="24" customHeight="1" spans="1:5">
      <c r="A24" s="10">
        <v>1</v>
      </c>
      <c r="B24" s="18" t="s">
        <v>45</v>
      </c>
      <c r="C24" s="17" t="s">
        <v>46</v>
      </c>
      <c r="D24" s="15" t="s">
        <v>47</v>
      </c>
      <c r="E24" s="85">
        <v>90000</v>
      </c>
    </row>
    <row r="25" customHeight="1" spans="1:5">
      <c r="A25" s="10">
        <v>2</v>
      </c>
      <c r="B25" s="14" t="s">
        <v>49</v>
      </c>
      <c r="C25" s="17" t="s">
        <v>50</v>
      </c>
      <c r="D25" s="10" t="s">
        <v>41</v>
      </c>
      <c r="E25" s="85">
        <v>68000</v>
      </c>
    </row>
    <row r="26" customHeight="1" spans="1:5">
      <c r="A26" s="10">
        <v>3</v>
      </c>
      <c r="B26" s="14" t="s">
        <v>48</v>
      </c>
      <c r="C26" s="17" t="s">
        <v>46</v>
      </c>
      <c r="D26" s="15" t="s">
        <v>47</v>
      </c>
      <c r="E26" s="85">
        <v>90000</v>
      </c>
    </row>
    <row r="27" ht="27" customHeight="1" spans="1:5">
      <c r="A27" s="10"/>
      <c r="B27" s="20" t="s">
        <v>33</v>
      </c>
      <c r="C27" s="21">
        <v>2</v>
      </c>
      <c r="D27" s="21"/>
      <c r="E27" s="93">
        <f>SUM(E24:E26)</f>
        <v>248000</v>
      </c>
    </row>
    <row r="28" customHeight="1" spans="1:5">
      <c r="A28" s="10"/>
      <c r="B28" s="22"/>
      <c r="C28" s="21"/>
      <c r="D28" s="21"/>
      <c r="E28" s="146"/>
    </row>
    <row r="29" customHeight="1" spans="1:5">
      <c r="A29" s="10"/>
      <c r="B29" s="20" t="s">
        <v>51</v>
      </c>
      <c r="C29" s="21"/>
      <c r="D29" s="21"/>
      <c r="E29" s="146"/>
    </row>
    <row r="30" customHeight="1" spans="1:5">
      <c r="A30" s="10">
        <v>1</v>
      </c>
      <c r="B30" s="11" t="s">
        <v>52</v>
      </c>
      <c r="C30" s="4" t="s">
        <v>53</v>
      </c>
      <c r="D30" s="15" t="s">
        <v>47</v>
      </c>
      <c r="E30" s="85">
        <v>90000</v>
      </c>
    </row>
    <row r="31" customHeight="1" spans="1:5">
      <c r="A31" s="10">
        <v>2</v>
      </c>
      <c r="B31" s="18" t="s">
        <v>54</v>
      </c>
      <c r="C31" s="12" t="s">
        <v>55</v>
      </c>
      <c r="D31" s="15" t="s">
        <v>30</v>
      </c>
      <c r="E31" s="85">
        <v>54000</v>
      </c>
    </row>
    <row r="32" customHeight="1" spans="1:5">
      <c r="A32" s="10"/>
      <c r="B32" s="20" t="s">
        <v>33</v>
      </c>
      <c r="C32" s="21">
        <v>2</v>
      </c>
      <c r="D32" s="21"/>
      <c r="E32" s="93">
        <f>SUM(E30:E31)</f>
        <v>144000</v>
      </c>
    </row>
    <row r="33" customHeight="1" spans="1:5">
      <c r="A33" s="10"/>
      <c r="B33" s="20"/>
      <c r="C33" s="21"/>
      <c r="D33" s="21"/>
      <c r="E33" s="146"/>
    </row>
    <row r="34" customHeight="1" spans="1:5">
      <c r="A34" s="10"/>
      <c r="B34" s="20" t="s">
        <v>56</v>
      </c>
      <c r="C34" s="25"/>
      <c r="D34" s="21"/>
      <c r="E34" s="146"/>
    </row>
    <row r="35" customHeight="1" spans="1:5">
      <c r="A35" s="27">
        <v>1</v>
      </c>
      <c r="B35" s="18" t="s">
        <v>57</v>
      </c>
      <c r="C35" s="4" t="s">
        <v>40</v>
      </c>
      <c r="D35" s="15" t="s">
        <v>41</v>
      </c>
      <c r="E35" s="220">
        <v>68000</v>
      </c>
    </row>
    <row r="36" customHeight="1" spans="1:5">
      <c r="A36" s="10"/>
      <c r="B36" s="20" t="s">
        <v>33</v>
      </c>
      <c r="C36" s="21">
        <v>1</v>
      </c>
      <c r="D36" s="21"/>
      <c r="E36" s="93">
        <f>SUM(E35)</f>
        <v>68000</v>
      </c>
    </row>
    <row r="37" customHeight="1" spans="1:5">
      <c r="A37" s="10"/>
      <c r="B37" s="22"/>
      <c r="C37" s="21"/>
      <c r="D37" s="21"/>
      <c r="E37" s="146"/>
    </row>
    <row r="38" customHeight="1" spans="1:5">
      <c r="A38" s="10"/>
      <c r="B38" s="20" t="s">
        <v>58</v>
      </c>
      <c r="C38" s="21"/>
      <c r="D38" s="21"/>
      <c r="E38" s="146"/>
    </row>
    <row r="39" customHeight="1" spans="1:5">
      <c r="A39" s="10">
        <v>1</v>
      </c>
      <c r="B39" s="11" t="s">
        <v>59</v>
      </c>
      <c r="C39" s="4" t="s">
        <v>60</v>
      </c>
      <c r="D39" s="15" t="s">
        <v>47</v>
      </c>
      <c r="E39" s="85">
        <v>90000</v>
      </c>
    </row>
    <row r="40" customHeight="1" spans="1:5">
      <c r="A40" s="4"/>
      <c r="B40" s="20" t="s">
        <v>33</v>
      </c>
      <c r="C40" s="21">
        <v>1</v>
      </c>
      <c r="D40" s="26"/>
      <c r="E40" s="93">
        <f>SUM(E39:E39)</f>
        <v>90000</v>
      </c>
    </row>
    <row r="41" customHeight="1" spans="1:5">
      <c r="A41" s="4"/>
      <c r="B41" s="20"/>
      <c r="C41" s="21"/>
      <c r="D41" s="4"/>
      <c r="E41" s="223"/>
    </row>
    <row r="42" customHeight="1" spans="1:5">
      <c r="A42" s="10"/>
      <c r="B42" s="20" t="s">
        <v>61</v>
      </c>
      <c r="C42" s="21"/>
      <c r="D42" s="21"/>
      <c r="E42" s="146"/>
    </row>
    <row r="43" ht="18.75" customHeight="1" spans="1:5">
      <c r="A43" s="10">
        <v>1</v>
      </c>
      <c r="B43" s="18" t="s">
        <v>62</v>
      </c>
      <c r="C43" s="4" t="s">
        <v>63</v>
      </c>
      <c r="D43" s="10" t="s">
        <v>24</v>
      </c>
      <c r="E43" s="85">
        <v>54000</v>
      </c>
    </row>
    <row r="44" ht="18.75" customHeight="1" spans="1:5">
      <c r="A44" s="10">
        <v>2</v>
      </c>
      <c r="B44" s="18" t="s">
        <v>64</v>
      </c>
      <c r="C44" s="4" t="s">
        <v>63</v>
      </c>
      <c r="D44" s="10" t="s">
        <v>24</v>
      </c>
      <c r="E44" s="85">
        <v>54000</v>
      </c>
    </row>
    <row r="45" customHeight="1" spans="1:5">
      <c r="A45" s="10">
        <v>3</v>
      </c>
      <c r="B45" s="18" t="s">
        <v>65</v>
      </c>
      <c r="C45" s="12" t="s">
        <v>66</v>
      </c>
      <c r="D45" s="15" t="s">
        <v>30</v>
      </c>
      <c r="E45" s="85">
        <v>54000</v>
      </c>
    </row>
    <row r="46" ht="24.75" customHeight="1" spans="1:5">
      <c r="A46" s="4"/>
      <c r="B46" s="20" t="s">
        <v>33</v>
      </c>
      <c r="C46" s="21">
        <v>3</v>
      </c>
      <c r="D46" s="26"/>
      <c r="E46" s="93">
        <f>SUM(E43:E45)</f>
        <v>162000</v>
      </c>
    </row>
    <row r="47" customHeight="1" spans="1:5">
      <c r="A47" s="4"/>
      <c r="B47" s="22"/>
      <c r="C47" s="10"/>
      <c r="D47" s="4"/>
      <c r="E47" s="224"/>
    </row>
    <row r="48" customHeight="1" spans="1:5">
      <c r="A48" s="4"/>
      <c r="B48" s="20" t="s">
        <v>67</v>
      </c>
      <c r="C48" s="21"/>
      <c r="D48" s="21"/>
      <c r="E48" s="146"/>
    </row>
    <row r="49" customHeight="1" spans="1:5">
      <c r="A49" s="4">
        <v>1</v>
      </c>
      <c r="B49" s="18" t="s">
        <v>68</v>
      </c>
      <c r="C49" s="12" t="s">
        <v>69</v>
      </c>
      <c r="D49" s="15" t="s">
        <v>37</v>
      </c>
      <c r="E49" s="85">
        <v>68000</v>
      </c>
    </row>
    <row r="50" ht="28.5" customHeight="1" spans="1:5">
      <c r="A50" s="4"/>
      <c r="B50" s="20" t="s">
        <v>33</v>
      </c>
      <c r="C50" s="26" t="s">
        <v>70</v>
      </c>
      <c r="D50" s="15"/>
      <c r="E50" s="93">
        <f>SUM(E49:E49)</f>
        <v>68000</v>
      </c>
    </row>
    <row r="51" customHeight="1" spans="1:5">
      <c r="A51" s="4"/>
      <c r="B51" s="22"/>
      <c r="C51" s="26"/>
      <c r="D51" s="15"/>
      <c r="E51" s="146"/>
    </row>
    <row r="52" customHeight="1" spans="1:5">
      <c r="A52" s="4"/>
      <c r="B52" s="20" t="s">
        <v>71</v>
      </c>
      <c r="C52" s="12"/>
      <c r="D52" s="15"/>
      <c r="E52" s="85"/>
    </row>
    <row r="53" ht="18.75" customHeight="1" spans="1:5">
      <c r="A53" s="10">
        <v>1</v>
      </c>
      <c r="B53" s="18" t="s">
        <v>72</v>
      </c>
      <c r="C53" s="4" t="s">
        <v>73</v>
      </c>
      <c r="D53" s="10" t="s">
        <v>24</v>
      </c>
      <c r="E53" s="85">
        <v>54000</v>
      </c>
    </row>
    <row r="54" customHeight="1" spans="1:5">
      <c r="A54" s="10">
        <v>2</v>
      </c>
      <c r="B54" s="18" t="s">
        <v>74</v>
      </c>
      <c r="C54" s="12" t="s">
        <v>75</v>
      </c>
      <c r="D54" s="15" t="s">
        <v>30</v>
      </c>
      <c r="E54" s="85">
        <v>54000</v>
      </c>
    </row>
    <row r="55" customHeight="1" spans="1:5">
      <c r="A55" s="10">
        <v>3</v>
      </c>
      <c r="B55" s="18" t="s">
        <v>76</v>
      </c>
      <c r="C55" s="12" t="s">
        <v>77</v>
      </c>
      <c r="D55" s="15" t="s">
        <v>30</v>
      </c>
      <c r="E55" s="85">
        <v>54000</v>
      </c>
    </row>
    <row r="56" customHeight="1" spans="1:5">
      <c r="A56" s="10">
        <v>3</v>
      </c>
      <c r="B56" s="18" t="s">
        <v>78</v>
      </c>
      <c r="C56" s="12" t="s">
        <v>77</v>
      </c>
      <c r="D56" s="15" t="s">
        <v>30</v>
      </c>
      <c r="E56" s="85">
        <v>54000</v>
      </c>
    </row>
    <row r="57" ht="30.75" customHeight="1" spans="1:5">
      <c r="A57" s="27"/>
      <c r="B57" s="8" t="s">
        <v>33</v>
      </c>
      <c r="C57" s="28" t="s">
        <v>133</v>
      </c>
      <c r="D57" s="29"/>
      <c r="E57" s="93">
        <f>SUM(E53:E56)</f>
        <v>216000</v>
      </c>
    </row>
    <row r="58" ht="35.25" customHeight="1" spans="1:5">
      <c r="A58" s="4"/>
      <c r="B58" s="30" t="s">
        <v>80</v>
      </c>
      <c r="C58" s="31">
        <f>C57+C50+C46+C40+C36+C32+C27+C21+C16+C12</f>
        <v>21</v>
      </c>
      <c r="D58" s="32"/>
      <c r="E58" s="227">
        <f>E57+E50+E46+E40+E36+E32+E27+E21+E16+E12</f>
        <v>1470000</v>
      </c>
    </row>
    <row r="59" ht="38.25" customHeight="1" spans="2:5">
      <c r="B59" s="33"/>
      <c r="D59" s="34"/>
      <c r="E59" s="34"/>
    </row>
    <row r="60" ht="36.75" customHeight="1" spans="2:5">
      <c r="B60" s="33"/>
      <c r="C60" s="34"/>
      <c r="D60" s="34"/>
      <c r="E60" s="34"/>
    </row>
  </sheetData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view="pageBreakPreview" zoomScale="50" zoomScaleNormal="100" workbookViewId="0">
      <pane xSplit="3" ySplit="6" topLeftCell="D7" activePane="bottomRight" state="frozen"/>
      <selection/>
      <selection pane="topRight"/>
      <selection pane="bottomLeft"/>
      <selection pane="bottomRight" activeCell="F4" sqref="F4:F57"/>
    </sheetView>
  </sheetViews>
  <sheetFormatPr defaultColWidth="9.13636363636364" defaultRowHeight="20.1" customHeight="1" outlineLevelCol="5"/>
  <cols>
    <col min="1" max="1" width="5.42727272727273" style="1" customWidth="1"/>
    <col min="2" max="2" width="34.4272727272727" style="1" customWidth="1"/>
    <col min="3" max="3" width="39.4272727272727" style="1" customWidth="1"/>
    <col min="4" max="4" width="10.5727272727273" style="1" customWidth="1"/>
    <col min="5" max="5" width="16.4272727272727" style="1" customWidth="1"/>
    <col min="6" max="6" width="15.5727272727273" style="1" customWidth="1"/>
    <col min="7" max="16384" width="9.13636363636364" style="1"/>
  </cols>
  <sheetData>
    <row r="1" ht="27" customHeight="1" spans="1:6">
      <c r="A1" s="609" t="s">
        <v>0</v>
      </c>
      <c r="B1" s="609"/>
      <c r="C1" s="609"/>
      <c r="D1" s="609"/>
      <c r="E1" s="723"/>
      <c r="F1" s="76"/>
    </row>
    <row r="2" ht="33.75" customHeight="1" spans="1:6">
      <c r="A2" s="609" t="s">
        <v>134</v>
      </c>
      <c r="B2" s="609"/>
      <c r="C2" s="609"/>
      <c r="D2" s="609"/>
      <c r="E2" s="609"/>
      <c r="F2" s="216"/>
    </row>
    <row r="3" ht="9.75" customHeight="1" spans="6:6">
      <c r="F3" s="217"/>
    </row>
    <row r="4" ht="49.5" customHeight="1" spans="1:6">
      <c r="A4" s="4"/>
      <c r="B4" s="5" t="s">
        <v>2</v>
      </c>
      <c r="C4" s="6" t="s">
        <v>3</v>
      </c>
      <c r="D4" s="80" t="s">
        <v>4</v>
      </c>
      <c r="E4" s="724" t="s">
        <v>9</v>
      </c>
      <c r="F4" s="725" t="s">
        <v>135</v>
      </c>
    </row>
    <row r="5" ht="17.25" customHeight="1" spans="3:6">
      <c r="C5" s="8"/>
      <c r="D5" s="8"/>
      <c r="E5" s="726" t="s">
        <v>19</v>
      </c>
      <c r="F5" s="727" t="s">
        <v>19</v>
      </c>
    </row>
    <row r="6" customHeight="1" spans="1:6">
      <c r="A6" s="9" t="s">
        <v>20</v>
      </c>
      <c r="B6" s="8" t="s">
        <v>21</v>
      </c>
      <c r="C6" s="8"/>
      <c r="D6" s="8"/>
      <c r="E6" s="726"/>
      <c r="F6" s="728"/>
    </row>
    <row r="7" ht="18.75" customHeight="1" spans="1:6">
      <c r="A7" s="10">
        <v>1</v>
      </c>
      <c r="B7" s="18" t="s">
        <v>22</v>
      </c>
      <c r="C7" s="4" t="s">
        <v>23</v>
      </c>
      <c r="D7" s="10" t="s">
        <v>24</v>
      </c>
      <c r="E7" s="729">
        <v>315849</v>
      </c>
      <c r="F7" s="730">
        <f>E7/2</f>
        <v>157924.5</v>
      </c>
    </row>
    <row r="8" ht="18.75" customHeight="1" spans="1:6">
      <c r="A8" s="10">
        <v>2</v>
      </c>
      <c r="B8" s="18" t="s">
        <v>25</v>
      </c>
      <c r="C8" s="4" t="s">
        <v>23</v>
      </c>
      <c r="D8" s="10" t="s">
        <v>24</v>
      </c>
      <c r="E8" s="729">
        <v>315849</v>
      </c>
      <c r="F8" s="730">
        <f>E8/2</f>
        <v>157924.5</v>
      </c>
    </row>
    <row r="9" ht="18.75" customHeight="1" spans="1:6">
      <c r="A9" s="10">
        <v>3</v>
      </c>
      <c r="B9" s="18" t="s">
        <v>26</v>
      </c>
      <c r="C9" s="4" t="s">
        <v>27</v>
      </c>
      <c r="D9" s="10" t="s">
        <v>24</v>
      </c>
      <c r="E9" s="729">
        <v>315849</v>
      </c>
      <c r="F9" s="730">
        <f>E9/2</f>
        <v>157924.5</v>
      </c>
    </row>
    <row r="10" customHeight="1" spans="1:6">
      <c r="A10" s="10">
        <v>4</v>
      </c>
      <c r="B10" s="18" t="s">
        <v>28</v>
      </c>
      <c r="C10" s="12" t="s">
        <v>29</v>
      </c>
      <c r="D10" s="15" t="s">
        <v>30</v>
      </c>
      <c r="E10" s="729">
        <v>268287.583333333</v>
      </c>
      <c r="F10" s="730">
        <f>E10/2</f>
        <v>134143.791666667</v>
      </c>
    </row>
    <row r="11" customHeight="1" spans="1:6">
      <c r="A11" s="10">
        <v>5</v>
      </c>
      <c r="B11" s="18" t="s">
        <v>31</v>
      </c>
      <c r="C11" s="12" t="s">
        <v>32</v>
      </c>
      <c r="D11" s="15" t="s">
        <v>30</v>
      </c>
      <c r="E11" s="729">
        <v>268287.583333333</v>
      </c>
      <c r="F11" s="730">
        <f>E11/2</f>
        <v>134143.791666667</v>
      </c>
    </row>
    <row r="12" ht="26.25" customHeight="1" spans="1:6">
      <c r="A12" s="10"/>
      <c r="B12" s="20" t="s">
        <v>33</v>
      </c>
      <c r="C12" s="21">
        <v>5</v>
      </c>
      <c r="D12" s="15"/>
      <c r="E12" s="731">
        <v>1484122.16666667</v>
      </c>
      <c r="F12" s="732">
        <f>SUM(F7:F11)</f>
        <v>742061.083333333</v>
      </c>
    </row>
    <row r="13" ht="18.75" customHeight="1" spans="1:6">
      <c r="A13" s="10"/>
      <c r="B13" s="22"/>
      <c r="C13" s="4"/>
      <c r="D13" s="15"/>
      <c r="E13" s="731"/>
      <c r="F13" s="732"/>
    </row>
    <row r="14" ht="18.75" customHeight="1" spans="1:6">
      <c r="A14" s="10"/>
      <c r="B14" s="20" t="s">
        <v>34</v>
      </c>
      <c r="C14" s="4"/>
      <c r="D14" s="15"/>
      <c r="E14" s="729"/>
      <c r="F14" s="730"/>
    </row>
    <row r="15" customHeight="1" spans="1:6">
      <c r="A15" s="4">
        <v>1</v>
      </c>
      <c r="B15" s="18" t="s">
        <v>35</v>
      </c>
      <c r="C15" s="12" t="s">
        <v>36</v>
      </c>
      <c r="D15" s="15" t="s">
        <v>37</v>
      </c>
      <c r="E15" s="729">
        <v>353029.666666667</v>
      </c>
      <c r="F15" s="730">
        <f>E15/2</f>
        <v>176514.833333333</v>
      </c>
    </row>
    <row r="16" ht="19.5" customHeight="1" spans="1:6">
      <c r="A16" s="10"/>
      <c r="B16" s="14"/>
      <c r="C16" s="21">
        <v>1</v>
      </c>
      <c r="D16" s="10"/>
      <c r="E16" s="731">
        <v>353029.666666667</v>
      </c>
      <c r="F16" s="732">
        <f>SUM(F15:F15)</f>
        <v>176514.833333333</v>
      </c>
    </row>
    <row r="17" customHeight="1" spans="1:6">
      <c r="A17" s="10"/>
      <c r="B17" s="14"/>
      <c r="C17" s="4"/>
      <c r="D17" s="10"/>
      <c r="E17" s="731"/>
      <c r="F17" s="732"/>
    </row>
    <row r="18" customHeight="1" spans="1:6">
      <c r="A18" s="10"/>
      <c r="B18" s="23" t="s">
        <v>38</v>
      </c>
      <c r="C18" s="5"/>
      <c r="D18" s="24"/>
      <c r="E18" s="731"/>
      <c r="F18" s="732"/>
    </row>
    <row r="19" customHeight="1" spans="1:6">
      <c r="A19" s="27">
        <v>1</v>
      </c>
      <c r="B19" s="18" t="s">
        <v>39</v>
      </c>
      <c r="C19" s="4" t="s">
        <v>40</v>
      </c>
      <c r="D19" s="15" t="s">
        <v>41</v>
      </c>
      <c r="E19" s="733">
        <v>463512.5</v>
      </c>
      <c r="F19" s="730">
        <f>E19/2</f>
        <v>231756.25</v>
      </c>
    </row>
    <row r="20" customHeight="1" spans="1:6">
      <c r="A20" s="27">
        <v>2</v>
      </c>
      <c r="B20" s="11" t="s">
        <v>42</v>
      </c>
      <c r="C20" s="4" t="s">
        <v>43</v>
      </c>
      <c r="D20" s="10" t="s">
        <v>37</v>
      </c>
      <c r="E20" s="729">
        <v>393029.666666667</v>
      </c>
      <c r="F20" s="730">
        <f>E20/2</f>
        <v>196514.833333333</v>
      </c>
    </row>
    <row r="21" ht="25.5" customHeight="1" spans="1:6">
      <c r="A21" s="10"/>
      <c r="B21" s="20" t="s">
        <v>33</v>
      </c>
      <c r="C21" s="21">
        <v>2</v>
      </c>
      <c r="D21" s="21"/>
      <c r="E21" s="734">
        <v>856542.166666667</v>
      </c>
      <c r="F21" s="735">
        <f>SUM(F19:F20)</f>
        <v>428271.083333333</v>
      </c>
    </row>
    <row r="22" customHeight="1" spans="1:6">
      <c r="A22" s="10"/>
      <c r="B22" s="22"/>
      <c r="C22" s="21"/>
      <c r="D22" s="21"/>
      <c r="E22" s="736"/>
      <c r="F22" s="737"/>
    </row>
    <row r="23" customHeight="1" spans="1:6">
      <c r="A23" s="10"/>
      <c r="B23" s="20" t="s">
        <v>44</v>
      </c>
      <c r="C23" s="21"/>
      <c r="D23" s="21"/>
      <c r="E23" s="736"/>
      <c r="F23" s="737"/>
    </row>
    <row r="24" customHeight="1" spans="1:6">
      <c r="A24" s="10">
        <v>1</v>
      </c>
      <c r="B24" s="18" t="s">
        <v>45</v>
      </c>
      <c r="C24" s="17" t="s">
        <v>46</v>
      </c>
      <c r="D24" s="15" t="s">
        <v>47</v>
      </c>
      <c r="E24" s="729">
        <v>510248.916666667</v>
      </c>
      <c r="F24" s="730">
        <f>E24/2</f>
        <v>255124.458333333</v>
      </c>
    </row>
    <row r="25" customHeight="1" spans="1:6">
      <c r="A25" s="10">
        <v>2</v>
      </c>
      <c r="B25" s="14" t="s">
        <v>49</v>
      </c>
      <c r="C25" s="17" t="s">
        <v>50</v>
      </c>
      <c r="D25" s="10" t="s">
        <v>41</v>
      </c>
      <c r="E25" s="729">
        <v>463512.5</v>
      </c>
      <c r="F25" s="730">
        <f>E25/2</f>
        <v>231756.25</v>
      </c>
    </row>
    <row r="26" ht="27" customHeight="1" spans="1:6">
      <c r="A26" s="10"/>
      <c r="B26" s="20" t="s">
        <v>33</v>
      </c>
      <c r="C26" s="21">
        <v>2</v>
      </c>
      <c r="D26" s="21"/>
      <c r="E26" s="734">
        <v>973761.416666667</v>
      </c>
      <c r="F26" s="735">
        <f>SUM(F24:F25)</f>
        <v>486880.708333333</v>
      </c>
    </row>
    <row r="27" customHeight="1" spans="1:6">
      <c r="A27" s="10"/>
      <c r="B27" s="22"/>
      <c r="C27" s="21"/>
      <c r="D27" s="21"/>
      <c r="E27" s="736"/>
      <c r="F27" s="737"/>
    </row>
    <row r="28" customHeight="1" spans="1:6">
      <c r="A28" s="10"/>
      <c r="B28" s="20" t="s">
        <v>51</v>
      </c>
      <c r="C28" s="21"/>
      <c r="D28" s="21"/>
      <c r="E28" s="736"/>
      <c r="F28" s="737"/>
    </row>
    <row r="29" customHeight="1" spans="1:6">
      <c r="A29" s="10">
        <v>1</v>
      </c>
      <c r="B29" s="11" t="s">
        <v>52</v>
      </c>
      <c r="C29" s="4" t="s">
        <v>53</v>
      </c>
      <c r="D29" s="15" t="s">
        <v>47</v>
      </c>
      <c r="E29" s="729">
        <v>510248.916666667</v>
      </c>
      <c r="F29" s="730">
        <f>E29/2</f>
        <v>255124.458333333</v>
      </c>
    </row>
    <row r="30" customHeight="1" spans="1:6">
      <c r="A30" s="10">
        <v>2</v>
      </c>
      <c r="B30" s="18" t="s">
        <v>54</v>
      </c>
      <c r="C30" s="12" t="s">
        <v>55</v>
      </c>
      <c r="D30" s="15" t="s">
        <v>30</v>
      </c>
      <c r="E30" s="729">
        <v>318287.583333333</v>
      </c>
      <c r="F30" s="730">
        <f>E30/2</f>
        <v>159143.791666667</v>
      </c>
    </row>
    <row r="31" ht="26.1" customHeight="1" spans="1:6">
      <c r="A31" s="10"/>
      <c r="B31" s="20" t="s">
        <v>33</v>
      </c>
      <c r="C31" s="21">
        <v>2</v>
      </c>
      <c r="D31" s="21"/>
      <c r="E31" s="734">
        <v>828536.5</v>
      </c>
      <c r="F31" s="735">
        <f>SUM(F29:F30)</f>
        <v>414268.25</v>
      </c>
    </row>
    <row r="32" customHeight="1" spans="1:6">
      <c r="A32" s="10"/>
      <c r="B32" s="20"/>
      <c r="C32" s="21"/>
      <c r="D32" s="21"/>
      <c r="E32" s="736"/>
      <c r="F32" s="737"/>
    </row>
    <row r="33" customHeight="1" spans="1:6">
      <c r="A33" s="10"/>
      <c r="B33" s="20" t="s">
        <v>56</v>
      </c>
      <c r="C33" s="25"/>
      <c r="D33" s="21"/>
      <c r="E33" s="736"/>
      <c r="F33" s="737"/>
    </row>
    <row r="34" customHeight="1" spans="1:6">
      <c r="A34" s="27">
        <v>1</v>
      </c>
      <c r="B34" s="18" t="s">
        <v>57</v>
      </c>
      <c r="C34" s="4" t="s">
        <v>40</v>
      </c>
      <c r="D34" s="15" t="s">
        <v>41</v>
      </c>
      <c r="E34" s="733">
        <v>463512.5</v>
      </c>
      <c r="F34" s="730">
        <f>E34/2</f>
        <v>231756.25</v>
      </c>
    </row>
    <row r="35" ht="27" customHeight="1" spans="1:6">
      <c r="A35" s="10"/>
      <c r="B35" s="20" t="s">
        <v>33</v>
      </c>
      <c r="C35" s="21">
        <v>1</v>
      </c>
      <c r="D35" s="21"/>
      <c r="E35" s="734">
        <v>463512.5</v>
      </c>
      <c r="F35" s="735">
        <f>SUM(F34)</f>
        <v>231756.25</v>
      </c>
    </row>
    <row r="36" customHeight="1" spans="1:6">
      <c r="A36" s="10"/>
      <c r="B36" s="22"/>
      <c r="C36" s="21"/>
      <c r="D36" s="21"/>
      <c r="E36" s="736"/>
      <c r="F36" s="737"/>
    </row>
    <row r="37" customHeight="1" spans="1:6">
      <c r="A37" s="10"/>
      <c r="B37" s="20" t="s">
        <v>58</v>
      </c>
      <c r="C37" s="21"/>
      <c r="D37" s="21"/>
      <c r="E37" s="736"/>
      <c r="F37" s="737"/>
    </row>
    <row r="38" customHeight="1" spans="1:6">
      <c r="A38" s="10">
        <v>1</v>
      </c>
      <c r="B38" s="11" t="s">
        <v>59</v>
      </c>
      <c r="C38" s="4" t="s">
        <v>60</v>
      </c>
      <c r="D38" s="15" t="s">
        <v>47</v>
      </c>
      <c r="E38" s="729">
        <v>460248.916666667</v>
      </c>
      <c r="F38" s="730">
        <f>E38/2</f>
        <v>230124.458333333</v>
      </c>
    </row>
    <row r="39" ht="23.1" customHeight="1" spans="1:6">
      <c r="A39" s="4"/>
      <c r="B39" s="20" t="s">
        <v>33</v>
      </c>
      <c r="C39" s="21">
        <v>1</v>
      </c>
      <c r="D39" s="26"/>
      <c r="E39" s="734">
        <v>460248.916666667</v>
      </c>
      <c r="F39" s="735">
        <f>SUM(F38:F38)</f>
        <v>230124.458333333</v>
      </c>
    </row>
    <row r="40" customHeight="1" spans="1:6">
      <c r="A40" s="4"/>
      <c r="B40" s="20"/>
      <c r="C40" s="21"/>
      <c r="D40" s="4"/>
      <c r="E40" s="738"/>
      <c r="F40" s="739"/>
    </row>
    <row r="41" customHeight="1" spans="1:6">
      <c r="A41" s="10"/>
      <c r="B41" s="20" t="s">
        <v>61</v>
      </c>
      <c r="C41" s="21"/>
      <c r="D41" s="21"/>
      <c r="E41" s="736"/>
      <c r="F41" s="737"/>
    </row>
    <row r="42" ht="18.75" customHeight="1" spans="1:6">
      <c r="A42" s="10">
        <v>1</v>
      </c>
      <c r="B42" s="18" t="s">
        <v>62</v>
      </c>
      <c r="C42" s="4" t="s">
        <v>63</v>
      </c>
      <c r="D42" s="10" t="s">
        <v>24</v>
      </c>
      <c r="E42" s="729">
        <v>355849</v>
      </c>
      <c r="F42" s="730">
        <f>E42/2</f>
        <v>177924.5</v>
      </c>
    </row>
    <row r="43" ht="18.75" customHeight="1" spans="1:6">
      <c r="A43" s="10">
        <v>2</v>
      </c>
      <c r="B43" s="18" t="s">
        <v>64</v>
      </c>
      <c r="C43" s="4" t="s">
        <v>63</v>
      </c>
      <c r="D43" s="10" t="s">
        <v>24</v>
      </c>
      <c r="E43" s="729">
        <v>358160.16</v>
      </c>
      <c r="F43" s="730">
        <f>E43/2</f>
        <v>179080.08</v>
      </c>
    </row>
    <row r="44" customHeight="1" spans="1:6">
      <c r="A44" s="10">
        <v>3</v>
      </c>
      <c r="B44" s="18" t="s">
        <v>65</v>
      </c>
      <c r="C44" s="12" t="s">
        <v>66</v>
      </c>
      <c r="D44" s="15" t="s">
        <v>30</v>
      </c>
      <c r="E44" s="729">
        <v>318287.583333333</v>
      </c>
      <c r="F44" s="730">
        <f>E44/2</f>
        <v>159143.791666667</v>
      </c>
    </row>
    <row r="45" ht="24.75" customHeight="1" spans="1:6">
      <c r="A45" s="4"/>
      <c r="B45" s="20" t="s">
        <v>33</v>
      </c>
      <c r="C45" s="21">
        <v>3</v>
      </c>
      <c r="D45" s="26"/>
      <c r="E45" s="734">
        <v>1032296.74333333</v>
      </c>
      <c r="F45" s="735">
        <f>SUM(F42:F44)</f>
        <v>516148.371666666</v>
      </c>
    </row>
    <row r="46" customHeight="1" spans="1:6">
      <c r="A46" s="4"/>
      <c r="B46" s="22"/>
      <c r="C46" s="10"/>
      <c r="D46" s="4"/>
      <c r="E46" s="740"/>
      <c r="F46" s="741"/>
    </row>
    <row r="47" customHeight="1" spans="1:6">
      <c r="A47" s="4"/>
      <c r="B47" s="20" t="s">
        <v>67</v>
      </c>
      <c r="C47" s="21"/>
      <c r="D47" s="21"/>
      <c r="E47" s="736"/>
      <c r="F47" s="737"/>
    </row>
    <row r="48" customHeight="1" spans="1:6">
      <c r="A48" s="4">
        <v>1</v>
      </c>
      <c r="B48" s="18" t="s">
        <v>68</v>
      </c>
      <c r="C48" s="12" t="s">
        <v>69</v>
      </c>
      <c r="D48" s="15" t="s">
        <v>37</v>
      </c>
      <c r="E48" s="729">
        <v>353029.666666667</v>
      </c>
      <c r="F48" s="730">
        <f>E48/2</f>
        <v>176514.833333333</v>
      </c>
    </row>
    <row r="49" ht="28.5" customHeight="1" spans="1:6">
      <c r="A49" s="4"/>
      <c r="B49" s="20" t="s">
        <v>33</v>
      </c>
      <c r="C49" s="26" t="s">
        <v>70</v>
      </c>
      <c r="D49" s="15"/>
      <c r="E49" s="734">
        <v>353029.666666667</v>
      </c>
      <c r="F49" s="735">
        <f>SUM(F48:F48)</f>
        <v>176514.833333333</v>
      </c>
    </row>
    <row r="50" customHeight="1" spans="1:6">
      <c r="A50" s="4"/>
      <c r="B50" s="22"/>
      <c r="C50" s="26"/>
      <c r="D50" s="15"/>
      <c r="E50" s="736"/>
      <c r="F50" s="737"/>
    </row>
    <row r="51" customHeight="1" spans="1:6">
      <c r="A51" s="4"/>
      <c r="B51" s="20" t="s">
        <v>71</v>
      </c>
      <c r="C51" s="12"/>
      <c r="D51" s="15"/>
      <c r="E51" s="729"/>
      <c r="F51" s="730"/>
    </row>
    <row r="52" ht="18.75" customHeight="1" spans="1:6">
      <c r="A52" s="10">
        <v>1</v>
      </c>
      <c r="B52" s="18" t="s">
        <v>72</v>
      </c>
      <c r="C52" s="4" t="s">
        <v>73</v>
      </c>
      <c r="D52" s="10" t="s">
        <v>24</v>
      </c>
      <c r="E52" s="729">
        <v>315849</v>
      </c>
      <c r="F52" s="730">
        <f>E52/2</f>
        <v>157924.5</v>
      </c>
    </row>
    <row r="53" customHeight="1" spans="1:6">
      <c r="A53" s="10">
        <v>2</v>
      </c>
      <c r="B53" s="18" t="s">
        <v>74</v>
      </c>
      <c r="C53" s="12" t="s">
        <v>75</v>
      </c>
      <c r="D53" s="15" t="s">
        <v>30</v>
      </c>
      <c r="E53" s="729">
        <v>268287.583333333</v>
      </c>
      <c r="F53" s="730">
        <f>E53/2</f>
        <v>134143.791666667</v>
      </c>
    </row>
    <row r="54" customHeight="1" spans="1:6">
      <c r="A54" s="10">
        <v>3</v>
      </c>
      <c r="B54" s="18" t="s">
        <v>76</v>
      </c>
      <c r="C54" s="12" t="s">
        <v>77</v>
      </c>
      <c r="D54" s="15" t="s">
        <v>30</v>
      </c>
      <c r="E54" s="729">
        <v>268287.583333333</v>
      </c>
      <c r="F54" s="730">
        <f>E54/2</f>
        <v>134143.791666667</v>
      </c>
    </row>
    <row r="55" customHeight="1" spans="1:6">
      <c r="A55" s="10">
        <v>3</v>
      </c>
      <c r="B55" s="18" t="s">
        <v>78</v>
      </c>
      <c r="C55" s="12" t="s">
        <v>77</v>
      </c>
      <c r="D55" s="15" t="s">
        <v>30</v>
      </c>
      <c r="E55" s="729">
        <v>268287.583333333</v>
      </c>
      <c r="F55" s="730">
        <f>E55/2</f>
        <v>134143.791666667</v>
      </c>
    </row>
    <row r="56" ht="30.75" customHeight="1" spans="1:6">
      <c r="A56" s="27"/>
      <c r="B56" s="8" t="s">
        <v>33</v>
      </c>
      <c r="C56" s="28" t="s">
        <v>133</v>
      </c>
      <c r="D56" s="28"/>
      <c r="E56" s="734">
        <f>SUM(E52:E55)</f>
        <v>1120711.75</v>
      </c>
      <c r="F56" s="735">
        <f>SUM(F52:F55)</f>
        <v>560355.875</v>
      </c>
    </row>
    <row r="57" ht="35.25" customHeight="1" spans="1:6">
      <c r="A57" s="4"/>
      <c r="B57" s="30" t="s">
        <v>80</v>
      </c>
      <c r="C57" s="31">
        <f>C56+C49+C45+C39+C35+C31+C26+C21+C16+C12</f>
        <v>21</v>
      </c>
      <c r="D57" s="31"/>
      <c r="E57" s="742">
        <f>E56+E49+E45+E39+E35+E31+E26+E21+E16+E12</f>
        <v>7925791.49333333</v>
      </c>
      <c r="F57" s="743">
        <f>F56+F49+F45+F39+F35+F31+F26+F21+F16+F12</f>
        <v>3962895.74666667</v>
      </c>
    </row>
    <row r="58" ht="38.25" customHeight="1" spans="2:6">
      <c r="B58" s="33"/>
      <c r="E58" s="34"/>
      <c r="F58" s="34"/>
    </row>
    <row r="59" ht="36.75" customHeight="1" spans="2:6">
      <c r="B59" s="33"/>
      <c r="C59" s="34"/>
      <c r="D59" s="34"/>
      <c r="E59" s="34"/>
      <c r="F59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1" manualBreakCount="1">
    <brk id="3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57272727272727" customWidth="1"/>
    <col min="2" max="2" width="13.5727272727273" customWidth="1"/>
    <col min="3" max="3" width="22.1363636363636" customWidth="1"/>
    <col min="5" max="5" width="15.4272727272727" customWidth="1"/>
    <col min="8" max="8" width="13.2818181818182" customWidth="1"/>
    <col min="9" max="9" width="13" customWidth="1"/>
    <col min="10" max="10" width="14.4272727272727" customWidth="1"/>
    <col min="11" max="11" width="14.8545454545455" customWidth="1"/>
    <col min="12" max="12" width="15" customWidth="1"/>
    <col min="13" max="13" width="15.7090909090909" customWidth="1"/>
  </cols>
  <sheetData>
    <row r="1" ht="25" spans="1:11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1"/>
    </row>
    <row r="2" ht="25.5" spans="1:11">
      <c r="A2" s="76" t="s">
        <v>136</v>
      </c>
      <c r="B2" s="77"/>
      <c r="C2" s="76"/>
      <c r="D2" s="76"/>
      <c r="E2" s="216"/>
      <c r="F2" s="216"/>
      <c r="G2" s="299"/>
      <c r="H2" s="299"/>
      <c r="I2" s="299"/>
      <c r="J2" s="299"/>
      <c r="K2" s="78"/>
    </row>
    <row r="3" ht="18" spans="1:11">
      <c r="A3" s="1"/>
      <c r="B3" s="1"/>
      <c r="C3" s="1"/>
      <c r="D3" s="1"/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1"/>
    </row>
    <row r="4" ht="23" spans="1:13">
      <c r="A4" s="711"/>
      <c r="B4" s="712" t="s">
        <v>2</v>
      </c>
      <c r="C4" s="712" t="s">
        <v>3</v>
      </c>
      <c r="D4" s="713" t="s">
        <v>4</v>
      </c>
      <c r="E4" s="714" t="s">
        <v>137</v>
      </c>
      <c r="F4" s="715" t="s">
        <v>6</v>
      </c>
      <c r="G4" s="715" t="s">
        <v>7</v>
      </c>
      <c r="H4" s="714" t="s">
        <v>138</v>
      </c>
      <c r="I4" s="715" t="s">
        <v>8</v>
      </c>
      <c r="J4" s="722" t="s">
        <v>139</v>
      </c>
      <c r="K4" s="714" t="s">
        <v>14</v>
      </c>
      <c r="L4" s="714" t="s">
        <v>140</v>
      </c>
      <c r="M4" s="714" t="s">
        <v>141</v>
      </c>
    </row>
    <row r="5" ht="18" spans="1:13">
      <c r="A5" s="1"/>
      <c r="B5" s="1"/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307" t="s">
        <v>19</v>
      </c>
      <c r="K5" s="82"/>
      <c r="L5" s="82"/>
      <c r="M5" s="82"/>
    </row>
    <row r="6" ht="17.5" spans="1:13">
      <c r="A6" s="9"/>
      <c r="B6" s="8"/>
      <c r="C6" s="8"/>
      <c r="D6" s="8"/>
      <c r="E6" s="82"/>
      <c r="F6" s="82"/>
      <c r="G6" s="82"/>
      <c r="H6" s="82"/>
      <c r="I6" s="82"/>
      <c r="J6" s="307"/>
      <c r="K6" s="82"/>
      <c r="L6" s="82"/>
      <c r="M6" s="82"/>
    </row>
    <row r="7" ht="28" spans="1:13">
      <c r="A7" s="10"/>
      <c r="B7" s="716" t="s">
        <v>35</v>
      </c>
      <c r="C7" s="717" t="s">
        <v>36</v>
      </c>
      <c r="D7" s="718" t="s">
        <v>30</v>
      </c>
      <c r="E7" s="85">
        <f>218287.583333333*(13/31)</f>
        <v>91539.9543010751</v>
      </c>
      <c r="F7" s="85"/>
      <c r="G7" s="220"/>
      <c r="H7" s="220">
        <f>50000*(13/31)</f>
        <v>20967.7419354839</v>
      </c>
      <c r="I7" s="85"/>
      <c r="J7" s="509">
        <f>E7+H7</f>
        <v>112507.696236559</v>
      </c>
      <c r="K7" s="85"/>
      <c r="L7" s="85"/>
      <c r="M7" s="85"/>
    </row>
    <row r="8" ht="28" spans="1:13">
      <c r="A8" s="10"/>
      <c r="B8" s="716" t="s">
        <v>35</v>
      </c>
      <c r="C8" s="717" t="s">
        <v>36</v>
      </c>
      <c r="D8" s="718" t="s">
        <v>37</v>
      </c>
      <c r="E8" s="85">
        <f>293029.666666667*(18/31)</f>
        <v>170146.258064516</v>
      </c>
      <c r="F8" s="85"/>
      <c r="G8" s="220"/>
      <c r="H8" s="220">
        <f>60000*(18/31)</f>
        <v>34838.7096774194</v>
      </c>
      <c r="I8" s="85"/>
      <c r="J8" s="509">
        <f>E8+H8</f>
        <v>204984.967741936</v>
      </c>
      <c r="K8" s="85"/>
      <c r="L8" s="85"/>
      <c r="M8" s="85"/>
    </row>
    <row r="9" ht="30" customHeight="1" spans="1:13">
      <c r="A9" s="10"/>
      <c r="B9" s="719" t="s">
        <v>33</v>
      </c>
      <c r="C9" s="720"/>
      <c r="D9" s="721"/>
      <c r="E9" s="221">
        <f>SUM(E7:E8)</f>
        <v>261686.212365591</v>
      </c>
      <c r="F9" s="221">
        <f t="shared" ref="F9:J9" si="0">SUM(F7:F8)</f>
        <v>0</v>
      </c>
      <c r="G9" s="221">
        <f t="shared" si="0"/>
        <v>0</v>
      </c>
      <c r="H9" s="221">
        <f t="shared" si="0"/>
        <v>55806.4516129032</v>
      </c>
      <c r="I9" s="221">
        <f t="shared" si="0"/>
        <v>0</v>
      </c>
      <c r="J9" s="221">
        <f t="shared" si="0"/>
        <v>317492.663978495</v>
      </c>
      <c r="K9" s="221">
        <f>37571.65</f>
        <v>37571.65</v>
      </c>
      <c r="L9" s="676">
        <v>17463.0066666666</v>
      </c>
      <c r="M9" s="514">
        <f>J9-K9-L9</f>
        <v>262458.007311828</v>
      </c>
    </row>
    <row r="10" ht="18" spans="1:13">
      <c r="A10" s="10"/>
      <c r="B10" s="14"/>
      <c r="C10" s="4"/>
      <c r="D10" s="10"/>
      <c r="E10" s="221"/>
      <c r="F10" s="221"/>
      <c r="G10" s="221"/>
      <c r="H10" s="221"/>
      <c r="I10" s="221"/>
      <c r="J10" s="310"/>
      <c r="K10" s="221"/>
      <c r="L10" s="221"/>
      <c r="M10" s="221"/>
    </row>
    <row r="11" ht="18" spans="1:11">
      <c r="A11" s="1"/>
      <c r="B11" s="33"/>
      <c r="C11" s="1"/>
      <c r="D11" s="34"/>
      <c r="E11" s="34"/>
      <c r="F11" s="34"/>
      <c r="G11" s="34"/>
      <c r="H11" s="34"/>
      <c r="I11" s="228"/>
      <c r="J11" s="228"/>
      <c r="K11" s="229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opLeftCell="C21" workbookViewId="0">
      <selection activeCell="C33" sqref="C33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4" t="s">
        <v>49</v>
      </c>
      <c r="C6" s="465">
        <v>261891.25</v>
      </c>
      <c r="D6" s="466">
        <v>12</v>
      </c>
      <c r="E6" s="467">
        <f>C6*D6</f>
        <v>3142695</v>
      </c>
      <c r="F6" s="467"/>
      <c r="G6" s="467">
        <v>209556.08</v>
      </c>
      <c r="H6" s="467"/>
      <c r="I6" s="467">
        <f t="shared" ref="I6:I13" si="0">E6-F6-G6-H6</f>
        <v>2933138.92</v>
      </c>
      <c r="J6" s="467">
        <v>200000</v>
      </c>
      <c r="K6" s="467">
        <v>0.2</v>
      </c>
      <c r="L6" s="467">
        <f t="shared" ref="L6:L13" si="1">I6*K6</f>
        <v>586627.784</v>
      </c>
      <c r="M6" s="467">
        <f t="shared" ref="M6:M13" si="2">J6+L6</f>
        <v>786627.784</v>
      </c>
      <c r="N6" s="467">
        <f t="shared" ref="N6:N13" si="3">F6+G6+H6+M6</f>
        <v>996183.864</v>
      </c>
      <c r="O6" s="467">
        <f t="shared" ref="O6:O13" si="4">E6-N6</f>
        <v>2146511.136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114767.33856</v>
      </c>
      <c r="U6" s="467"/>
      <c r="V6" s="467">
        <f t="shared" ref="V6:V13" si="10">P6+Q6+R6+S6+T6+U6</f>
        <v>338767.33856</v>
      </c>
      <c r="W6" s="474">
        <v>12</v>
      </c>
      <c r="X6" s="467">
        <f t="shared" ref="X6:X13" si="11">V6/W6</f>
        <v>28230.6115466667</v>
      </c>
      <c r="Y6" s="467"/>
      <c r="Z6" s="478">
        <f t="shared" ref="Z6:Z13" si="12">X6</f>
        <v>28230.6115466667</v>
      </c>
      <c r="AA6" s="479"/>
      <c r="AB6" s="479"/>
      <c r="AC6" s="479"/>
    </row>
    <row r="7" s="615" customFormat="1" ht="18" spans="1:29">
      <c r="A7" s="616">
        <v>4</v>
      </c>
      <c r="B7" s="18" t="s">
        <v>22</v>
      </c>
      <c r="C7" s="618">
        <v>231622.6</v>
      </c>
      <c r="D7" s="619">
        <v>12</v>
      </c>
      <c r="E7" s="620">
        <f t="shared" ref="E7:E13" si="13">C7*D7</f>
        <v>2779471.2</v>
      </c>
      <c r="F7" s="620"/>
      <c r="G7" s="620">
        <v>374638.96</v>
      </c>
      <c r="H7" s="620"/>
      <c r="I7" s="620">
        <f t="shared" si="0"/>
        <v>2404832.24</v>
      </c>
      <c r="J7" s="620">
        <v>200000</v>
      </c>
      <c r="K7" s="620">
        <v>0.2</v>
      </c>
      <c r="L7" s="620">
        <f t="shared" si="1"/>
        <v>480966.448</v>
      </c>
      <c r="M7" s="620">
        <f t="shared" si="2"/>
        <v>680966.448</v>
      </c>
      <c r="N7" s="620">
        <f t="shared" si="3"/>
        <v>1055605.408</v>
      </c>
      <c r="O7" s="620">
        <f t="shared" si="4"/>
        <v>1723865.792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26011.81632</v>
      </c>
      <c r="U7" s="620"/>
      <c r="V7" s="620">
        <f t="shared" si="10"/>
        <v>250011.81632</v>
      </c>
      <c r="W7" s="623">
        <v>12</v>
      </c>
      <c r="X7" s="620">
        <f t="shared" si="11"/>
        <v>20834.3180266667</v>
      </c>
      <c r="Y7" s="620"/>
      <c r="Z7" s="478">
        <f t="shared" si="12"/>
        <v>20834.3180266667</v>
      </c>
      <c r="AA7" s="624"/>
      <c r="AB7" s="624"/>
      <c r="AC7" s="624"/>
    </row>
    <row r="8" s="615" customFormat="1" ht="18" spans="1:29">
      <c r="A8" s="616">
        <v>5</v>
      </c>
      <c r="B8" s="18" t="s">
        <v>25</v>
      </c>
      <c r="C8" s="618">
        <v>231622.6</v>
      </c>
      <c r="D8" s="619">
        <v>12</v>
      </c>
      <c r="E8" s="620">
        <f t="shared" si="13"/>
        <v>2779471.2</v>
      </c>
      <c r="F8" s="620"/>
      <c r="G8" s="620">
        <v>245615.04</v>
      </c>
      <c r="H8" s="620"/>
      <c r="I8" s="620">
        <f t="shared" si="0"/>
        <v>2533856.16</v>
      </c>
      <c r="J8" s="620">
        <v>200000</v>
      </c>
      <c r="K8" s="620">
        <v>0.2</v>
      </c>
      <c r="L8" s="620">
        <f t="shared" si="1"/>
        <v>506771.232</v>
      </c>
      <c r="M8" s="620">
        <f t="shared" si="2"/>
        <v>706771.232</v>
      </c>
      <c r="N8" s="620">
        <f t="shared" si="3"/>
        <v>952386.272</v>
      </c>
      <c r="O8" s="620">
        <f t="shared" si="4"/>
        <v>1827084.928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47687.83488</v>
      </c>
      <c r="U8" s="620"/>
      <c r="V8" s="620">
        <f t="shared" si="10"/>
        <v>271687.83488</v>
      </c>
      <c r="W8" s="623">
        <v>12</v>
      </c>
      <c r="X8" s="620">
        <f t="shared" si="11"/>
        <v>22640.6529066667</v>
      </c>
      <c r="Y8" s="620"/>
      <c r="Z8" s="478">
        <f t="shared" si="12"/>
        <v>22640.6529066667</v>
      </c>
      <c r="AA8" s="624"/>
      <c r="AB8" s="624"/>
      <c r="AC8" s="624"/>
    </row>
    <row r="9" ht="18" spans="1:29">
      <c r="A9" s="464">
        <v>6</v>
      </c>
      <c r="B9" s="18" t="s">
        <v>26</v>
      </c>
      <c r="C9" s="465">
        <v>315849</v>
      </c>
      <c r="D9" s="466">
        <v>12</v>
      </c>
      <c r="E9" s="467">
        <f t="shared" si="13"/>
        <v>3790188</v>
      </c>
      <c r="F9" s="467"/>
      <c r="G9" s="467">
        <v>209556.08</v>
      </c>
      <c r="H9" s="467"/>
      <c r="I9" s="467">
        <f t="shared" si="0"/>
        <v>3580631.92</v>
      </c>
      <c r="J9" s="467">
        <v>200000</v>
      </c>
      <c r="K9" s="467">
        <v>0.2</v>
      </c>
      <c r="L9" s="467">
        <f t="shared" si="1"/>
        <v>716126.384</v>
      </c>
      <c r="M9" s="467">
        <f t="shared" si="2"/>
        <v>916126.384</v>
      </c>
      <c r="N9" s="467">
        <f t="shared" si="3"/>
        <v>1125682.464</v>
      </c>
      <c r="O9" s="467">
        <f t="shared" si="4"/>
        <v>2664505.536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223546.16256</v>
      </c>
      <c r="U9" s="467"/>
      <c r="V9" s="467">
        <f t="shared" si="10"/>
        <v>447546.16256</v>
      </c>
      <c r="W9" s="474">
        <v>12</v>
      </c>
      <c r="X9" s="467">
        <f t="shared" si="11"/>
        <v>37295.5135466667</v>
      </c>
      <c r="Y9" s="467"/>
      <c r="Z9" s="478">
        <f t="shared" si="12"/>
        <v>37295.5135466667</v>
      </c>
      <c r="AA9" s="479"/>
      <c r="AB9" s="479"/>
      <c r="AC9" s="479"/>
    </row>
    <row r="10" s="615" customFormat="1" ht="18" spans="1:29">
      <c r="A10" s="616">
        <v>7</v>
      </c>
      <c r="B10" s="18" t="s">
        <v>28</v>
      </c>
      <c r="C10" s="618">
        <v>169915.469444444</v>
      </c>
      <c r="D10" s="619">
        <v>12</v>
      </c>
      <c r="E10" s="620">
        <f t="shared" si="13"/>
        <v>2038985.63333333</v>
      </c>
      <c r="F10" s="620"/>
      <c r="G10" s="620">
        <v>281308.48</v>
      </c>
      <c r="H10" s="620"/>
      <c r="I10" s="620">
        <f t="shared" si="0"/>
        <v>1757677.15333333</v>
      </c>
      <c r="J10" s="620">
        <v>200000</v>
      </c>
      <c r="K10" s="620">
        <v>0.2</v>
      </c>
      <c r="L10" s="620">
        <f t="shared" si="1"/>
        <v>351535.430666666</v>
      </c>
      <c r="M10" s="620">
        <f t="shared" si="2"/>
        <v>551535.430666666</v>
      </c>
      <c r="N10" s="620">
        <f t="shared" si="3"/>
        <v>832843.910666666</v>
      </c>
      <c r="O10" s="620">
        <f t="shared" si="4"/>
        <v>1206141.72266666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20166.9273066659</v>
      </c>
      <c r="T10" s="620">
        <f t="shared" si="9"/>
        <v>0</v>
      </c>
      <c r="U10" s="620"/>
      <c r="V10" s="620">
        <f t="shared" si="10"/>
        <v>149166.927306666</v>
      </c>
      <c r="W10" s="623">
        <v>12</v>
      </c>
      <c r="X10" s="620">
        <f t="shared" si="11"/>
        <v>12430.5772755555</v>
      </c>
      <c r="Y10" s="620"/>
      <c r="Z10" s="478">
        <f t="shared" si="12"/>
        <v>12430.5772755555</v>
      </c>
      <c r="AA10" s="624"/>
      <c r="AB10" s="624"/>
      <c r="AC10" s="624"/>
    </row>
    <row r="11" s="615" customFormat="1" ht="18" spans="1:29">
      <c r="A11" s="616">
        <v>8</v>
      </c>
      <c r="B11" s="18" t="s">
        <v>31</v>
      </c>
      <c r="C11" s="618">
        <v>196744.227777778</v>
      </c>
      <c r="D11" s="619">
        <v>12</v>
      </c>
      <c r="E11" s="620">
        <f t="shared" si="13"/>
        <v>2360930.73333334</v>
      </c>
      <c r="F11" s="620"/>
      <c r="G11" s="620">
        <v>374638.96</v>
      </c>
      <c r="H11" s="620"/>
      <c r="I11" s="620">
        <f t="shared" si="0"/>
        <v>1986291.77333334</v>
      </c>
      <c r="J11" s="620">
        <v>200000</v>
      </c>
      <c r="K11" s="620">
        <v>0.2</v>
      </c>
      <c r="L11" s="620">
        <f t="shared" si="1"/>
        <v>397258.354666667</v>
      </c>
      <c r="M11" s="620">
        <f t="shared" si="2"/>
        <v>597258.354666667</v>
      </c>
      <c r="N11" s="620">
        <f t="shared" si="3"/>
        <v>971897.314666667</v>
      </c>
      <c r="O11" s="620">
        <f t="shared" si="4"/>
        <v>1389033.41866667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54916.3495466671</v>
      </c>
      <c r="T11" s="620">
        <f t="shared" si="9"/>
        <v>0</v>
      </c>
      <c r="U11" s="620"/>
      <c r="V11" s="620">
        <f t="shared" si="10"/>
        <v>183916.349546667</v>
      </c>
      <c r="W11" s="623">
        <v>12</v>
      </c>
      <c r="X11" s="620">
        <f t="shared" si="11"/>
        <v>15326.3624622223</v>
      </c>
      <c r="Y11" s="620"/>
      <c r="Z11" s="478">
        <f t="shared" si="12"/>
        <v>15326.3624622223</v>
      </c>
      <c r="AA11" s="624"/>
      <c r="AB11" s="624"/>
      <c r="AC11" s="624"/>
    </row>
    <row r="12" ht="18" spans="1:29">
      <c r="A12" s="464"/>
      <c r="B12" s="11"/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78"/>
      <c r="AA12" s="479"/>
      <c r="AB12" s="479"/>
      <c r="AC12" s="479"/>
    </row>
    <row r="13" s="615" customFormat="1" ht="18" spans="1:29">
      <c r="A13" s="616">
        <v>10</v>
      </c>
      <c r="B13" s="11" t="s">
        <v>35</v>
      </c>
      <c r="C13" s="618">
        <v>268287.583333333</v>
      </c>
      <c r="D13" s="619">
        <v>12</v>
      </c>
      <c r="E13" s="620">
        <f t="shared" si="13"/>
        <v>3219451</v>
      </c>
      <c r="F13" s="620"/>
      <c r="G13" s="620">
        <v>209556.08</v>
      </c>
      <c r="H13" s="620"/>
      <c r="I13" s="620">
        <f t="shared" si="0"/>
        <v>3009894.92</v>
      </c>
      <c r="J13" s="620">
        <v>200000</v>
      </c>
      <c r="K13" s="620">
        <v>0.2</v>
      </c>
      <c r="L13" s="620">
        <f t="shared" si="1"/>
        <v>601978.983999999</v>
      </c>
      <c r="M13" s="620">
        <f t="shared" si="2"/>
        <v>801978.983999999</v>
      </c>
      <c r="N13" s="620">
        <f t="shared" si="3"/>
        <v>1011535.064</v>
      </c>
      <c r="O13" s="620">
        <f t="shared" si="4"/>
        <v>2207915.936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127662.346559999</v>
      </c>
      <c r="U13" s="620"/>
      <c r="V13" s="620">
        <f t="shared" si="10"/>
        <v>351662.346559999</v>
      </c>
      <c r="W13" s="623">
        <v>12</v>
      </c>
      <c r="X13" s="620">
        <f t="shared" si="11"/>
        <v>29305.1955466666</v>
      </c>
      <c r="Y13" s="620"/>
      <c r="Z13" s="478">
        <f t="shared" si="12"/>
        <v>29305.1955466666</v>
      </c>
      <c r="AA13" s="624"/>
      <c r="AB13" s="624"/>
      <c r="AC13" s="624"/>
    </row>
    <row r="14" ht="18" spans="1:26">
      <c r="A14" s="464"/>
      <c r="B14" s="11"/>
      <c r="C14" s="465"/>
      <c r="D14" s="466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74"/>
      <c r="X14" s="467"/>
      <c r="Y14" s="467"/>
      <c r="Z14" s="478"/>
    </row>
    <row r="15" ht="18" spans="1:26">
      <c r="A15" s="616">
        <v>4</v>
      </c>
      <c r="B15" s="18" t="s">
        <v>39</v>
      </c>
      <c r="C15" s="618">
        <v>293557.916666667</v>
      </c>
      <c r="D15" s="619">
        <v>12</v>
      </c>
      <c r="E15" s="620">
        <f t="shared" ref="E15:E21" si="14">C15*D15</f>
        <v>3522695</v>
      </c>
      <c r="F15" s="620"/>
      <c r="G15" s="620">
        <v>374638.96</v>
      </c>
      <c r="H15" s="620"/>
      <c r="I15" s="620">
        <f t="shared" ref="I15:I29" si="15">E15-F15-G15-H15</f>
        <v>3148056.04</v>
      </c>
      <c r="J15" s="620">
        <v>200000</v>
      </c>
      <c r="K15" s="620">
        <v>0.2</v>
      </c>
      <c r="L15" s="620">
        <f t="shared" ref="L15:L16" si="16">I15*K15</f>
        <v>629611.208000001</v>
      </c>
      <c r="M15" s="620">
        <f t="shared" ref="M15:M16" si="17">J15+L15</f>
        <v>829611.208000001</v>
      </c>
      <c r="N15" s="620">
        <f t="shared" ref="N15:N29" si="18">F15+G15+H15+M15</f>
        <v>1204250.168</v>
      </c>
      <c r="O15" s="620">
        <f t="shared" ref="O15:O29" si="19">E15-N15</f>
        <v>2318444.832</v>
      </c>
      <c r="P15" s="620">
        <f t="shared" ref="P15:P16" si="20">IF(O15&lt;300000,0.07*O15,21000)</f>
        <v>21000</v>
      </c>
      <c r="Q15" s="620">
        <f t="shared" ref="Q15:Q16" si="21">IF((O15-300000)&lt;0,0,IF((O15-300000)&lt;300000,0.11*(O15-300000),33000))</f>
        <v>33000</v>
      </c>
      <c r="R15" s="620">
        <f t="shared" ref="R15:R16" si="22">IF((O15-600000)&lt;0,0,IF((O15-600000)&lt;500000,0.15*(O15-600000),75000))</f>
        <v>75000</v>
      </c>
      <c r="S15" s="620">
        <f t="shared" ref="S15:S16" si="23">IF((O15-1100000)&lt;0,0,IF((O15-1100000)&lt;500000,0.19*(O15-1100000),95000))</f>
        <v>95000</v>
      </c>
      <c r="T15" s="620">
        <f t="shared" ref="T15:T16" si="24">IF((O15-1600000)&lt;0,0,IF((O15-1600000)&lt;1600000,0.21*(O15-1600000),336000))</f>
        <v>150873.414720001</v>
      </c>
      <c r="U15" s="620"/>
      <c r="V15" s="620">
        <f t="shared" ref="V15:V16" si="25">P15+Q15+R15+S15+T15+U15</f>
        <v>374873.414720001</v>
      </c>
      <c r="W15" s="623">
        <v>12</v>
      </c>
      <c r="X15" s="620">
        <f t="shared" ref="X15:X16" si="26">V15/W15</f>
        <v>31239.4512266667</v>
      </c>
      <c r="Y15" s="620"/>
      <c r="Z15" s="478">
        <f t="shared" ref="Z15:Z16" si="27">X15</f>
        <v>31239.4512266667</v>
      </c>
    </row>
    <row r="16" ht="36" spans="1:26">
      <c r="A16" s="616">
        <v>5</v>
      </c>
      <c r="B16" s="11" t="s">
        <v>42</v>
      </c>
      <c r="C16" s="618">
        <v>248918.788888889</v>
      </c>
      <c r="D16" s="619">
        <v>12</v>
      </c>
      <c r="E16" s="620">
        <f t="shared" si="14"/>
        <v>2987025.46666667</v>
      </c>
      <c r="F16" s="620"/>
      <c r="G16" s="620">
        <v>245615.04</v>
      </c>
      <c r="H16" s="620"/>
      <c r="I16" s="620">
        <f t="shared" si="15"/>
        <v>2741410.42666667</v>
      </c>
      <c r="J16" s="620">
        <v>200000</v>
      </c>
      <c r="K16" s="620">
        <v>0.2</v>
      </c>
      <c r="L16" s="620">
        <f t="shared" si="16"/>
        <v>548282.085333334</v>
      </c>
      <c r="M16" s="620">
        <f t="shared" si="17"/>
        <v>748282.085333334</v>
      </c>
      <c r="N16" s="620">
        <f t="shared" si="18"/>
        <v>993897.125333334</v>
      </c>
      <c r="O16" s="620">
        <f t="shared" si="19"/>
        <v>1993128.34133333</v>
      </c>
      <c r="P16" s="620">
        <f t="shared" si="20"/>
        <v>21000</v>
      </c>
      <c r="Q16" s="620">
        <f t="shared" si="21"/>
        <v>33000</v>
      </c>
      <c r="R16" s="620">
        <f t="shared" si="22"/>
        <v>75000</v>
      </c>
      <c r="S16" s="620">
        <f t="shared" si="23"/>
        <v>95000</v>
      </c>
      <c r="T16" s="620">
        <f t="shared" si="24"/>
        <v>82556.9516800002</v>
      </c>
      <c r="U16" s="620"/>
      <c r="V16" s="620">
        <f t="shared" si="25"/>
        <v>306556.95168</v>
      </c>
      <c r="W16" s="623">
        <v>12</v>
      </c>
      <c r="X16" s="620">
        <f t="shared" si="26"/>
        <v>25546.41264</v>
      </c>
      <c r="Y16" s="620"/>
      <c r="Z16" s="478">
        <f t="shared" si="27"/>
        <v>25546.41264</v>
      </c>
    </row>
    <row r="17" ht="18" spans="1:26">
      <c r="A17" s="464"/>
      <c r="B17" s="11"/>
      <c r="C17" s="465"/>
      <c r="D17" s="466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7"/>
      <c r="R17" s="467"/>
      <c r="S17" s="467"/>
      <c r="T17" s="467"/>
      <c r="U17" s="467"/>
      <c r="V17" s="467"/>
      <c r="W17" s="474"/>
      <c r="X17" s="467"/>
      <c r="Y17" s="467"/>
      <c r="Z17" s="478"/>
    </row>
    <row r="18" ht="18" spans="1:26">
      <c r="A18" s="616">
        <v>7</v>
      </c>
      <c r="B18" s="18" t="s">
        <v>45</v>
      </c>
      <c r="C18" s="618">
        <v>374182.538888889</v>
      </c>
      <c r="D18" s="619">
        <v>12</v>
      </c>
      <c r="E18" s="620">
        <f t="shared" si="14"/>
        <v>4490190.46666667</v>
      </c>
      <c r="F18" s="620"/>
      <c r="G18" s="620">
        <v>281308.48</v>
      </c>
      <c r="H18" s="620"/>
      <c r="I18" s="620">
        <f t="shared" si="15"/>
        <v>4208881.98666667</v>
      </c>
      <c r="J18" s="620">
        <v>200000</v>
      </c>
      <c r="K18" s="620">
        <v>0.2</v>
      </c>
      <c r="L18" s="620">
        <f t="shared" ref="L18:L23" si="28">I18*K18</f>
        <v>841776.397333334</v>
      </c>
      <c r="M18" s="620">
        <f t="shared" ref="M18:M23" si="29">J18+L18</f>
        <v>1041776.39733333</v>
      </c>
      <c r="N18" s="620">
        <f t="shared" si="18"/>
        <v>1323084.87733333</v>
      </c>
      <c r="O18" s="620">
        <f t="shared" si="19"/>
        <v>3167105.58933333</v>
      </c>
      <c r="P18" s="620">
        <f t="shared" ref="P18:P23" si="30">IF(O18&lt;300000,0.07*O18,21000)</f>
        <v>21000</v>
      </c>
      <c r="Q18" s="620">
        <f t="shared" ref="Q18:Q23" si="31">IF((O18-300000)&lt;0,0,IF((O18-300000)&lt;300000,0.11*(O18-300000),33000))</f>
        <v>33000</v>
      </c>
      <c r="R18" s="620">
        <f t="shared" ref="R18:R23" si="32">IF((O18-600000)&lt;0,0,IF((O18-600000)&lt;500000,0.15*(O18-600000),75000))</f>
        <v>75000</v>
      </c>
      <c r="S18" s="620">
        <f t="shared" ref="S18:S23" si="33">IF((O18-1100000)&lt;0,0,IF((O18-1100000)&lt;500000,0.19*(O18-1100000),95000))</f>
        <v>95000</v>
      </c>
      <c r="T18" s="620">
        <f t="shared" ref="T18:T23" si="34">IF((O18-1600000)&lt;0,0,IF((O18-1600000)&lt;1600000,0.21*(O18-1600000),336000))</f>
        <v>329092.17376</v>
      </c>
      <c r="U18" s="467"/>
      <c r="V18" s="620">
        <f t="shared" ref="V18:V23" si="35">P18+Q18+R18+S18+T18+U18</f>
        <v>553092.17376</v>
      </c>
      <c r="W18" s="623">
        <v>12</v>
      </c>
      <c r="X18" s="620">
        <f t="shared" ref="X18:X23" si="36">V18/W18</f>
        <v>46091.01448</v>
      </c>
      <c r="Y18" s="620"/>
      <c r="Z18" s="478">
        <f t="shared" ref="Z18:Z23" si="37">X18</f>
        <v>46091.01448</v>
      </c>
    </row>
    <row r="19" ht="18" spans="1:26">
      <c r="A19" s="616"/>
      <c r="B19" s="11"/>
      <c r="C19" s="618"/>
      <c r="D19" s="619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467"/>
      <c r="V19" s="620"/>
      <c r="W19" s="623"/>
      <c r="X19" s="620"/>
      <c r="Y19" s="620"/>
      <c r="Z19" s="478"/>
    </row>
    <row r="20" ht="18" spans="1:26">
      <c r="A20" s="464">
        <v>9</v>
      </c>
      <c r="B20" s="11" t="s">
        <v>52</v>
      </c>
      <c r="C20" s="465">
        <v>374182.538888889</v>
      </c>
      <c r="D20" s="466">
        <v>12</v>
      </c>
      <c r="E20" s="467">
        <f t="shared" si="14"/>
        <v>4490190.46666667</v>
      </c>
      <c r="F20" s="467"/>
      <c r="G20" s="467">
        <v>209556.08</v>
      </c>
      <c r="H20" s="467"/>
      <c r="I20" s="467">
        <f t="shared" si="15"/>
        <v>4280634.38666667</v>
      </c>
      <c r="J20" s="467">
        <v>200000</v>
      </c>
      <c r="K20" s="467">
        <v>0.2</v>
      </c>
      <c r="L20" s="467">
        <f t="shared" si="28"/>
        <v>856126.877333334</v>
      </c>
      <c r="M20" s="467">
        <f t="shared" si="29"/>
        <v>1056126.87733333</v>
      </c>
      <c r="N20" s="467">
        <f t="shared" si="18"/>
        <v>1265682.95733333</v>
      </c>
      <c r="O20" s="467">
        <f t="shared" si="19"/>
        <v>3224507.50933333</v>
      </c>
      <c r="P20" s="467">
        <f t="shared" si="30"/>
        <v>21000</v>
      </c>
      <c r="Q20" s="467">
        <f t="shared" si="31"/>
        <v>33000</v>
      </c>
      <c r="R20" s="467">
        <f t="shared" si="32"/>
        <v>75000</v>
      </c>
      <c r="S20" s="467">
        <f t="shared" si="33"/>
        <v>95000</v>
      </c>
      <c r="T20" s="467">
        <f t="shared" si="34"/>
        <v>336000</v>
      </c>
      <c r="U20" s="467">
        <f t="shared" ref="U20" si="38">24%*(O20-3200000)</f>
        <v>5881.80224000037</v>
      </c>
      <c r="V20" s="467">
        <f t="shared" si="35"/>
        <v>565881.80224</v>
      </c>
      <c r="W20" s="474">
        <v>12</v>
      </c>
      <c r="X20" s="467">
        <f t="shared" si="36"/>
        <v>47156.8168533334</v>
      </c>
      <c r="Y20" s="467"/>
      <c r="Z20" s="478">
        <f t="shared" si="37"/>
        <v>47156.8168533334</v>
      </c>
    </row>
    <row r="21" ht="18" spans="1:26">
      <c r="A21" s="616">
        <v>10</v>
      </c>
      <c r="B21" s="18" t="s">
        <v>54</v>
      </c>
      <c r="C21" s="618">
        <v>233410.894444444</v>
      </c>
      <c r="D21" s="619">
        <v>12</v>
      </c>
      <c r="E21" s="620">
        <f t="shared" si="14"/>
        <v>2800930.73333333</v>
      </c>
      <c r="F21" s="620"/>
      <c r="G21" s="620">
        <v>209556.08</v>
      </c>
      <c r="H21" s="620"/>
      <c r="I21" s="620">
        <f t="shared" si="15"/>
        <v>2591374.65333333</v>
      </c>
      <c r="J21" s="620">
        <v>200000</v>
      </c>
      <c r="K21" s="620">
        <v>0.2</v>
      </c>
      <c r="L21" s="620">
        <f t="shared" si="28"/>
        <v>518274.930666666</v>
      </c>
      <c r="M21" s="620">
        <f t="shared" si="29"/>
        <v>718274.930666666</v>
      </c>
      <c r="N21" s="620">
        <f t="shared" si="18"/>
        <v>927831.010666666</v>
      </c>
      <c r="O21" s="620">
        <f t="shared" si="19"/>
        <v>1873099.72266666</v>
      </c>
      <c r="P21" s="620">
        <f t="shared" si="30"/>
        <v>21000</v>
      </c>
      <c r="Q21" s="620">
        <f t="shared" si="31"/>
        <v>33000</v>
      </c>
      <c r="R21" s="620">
        <f t="shared" si="32"/>
        <v>75000</v>
      </c>
      <c r="S21" s="620">
        <f t="shared" si="33"/>
        <v>95000</v>
      </c>
      <c r="T21" s="620">
        <f t="shared" si="34"/>
        <v>57350.9417599992</v>
      </c>
      <c r="U21" s="467"/>
      <c r="V21" s="620">
        <f t="shared" si="35"/>
        <v>281350.941759999</v>
      </c>
      <c r="W21" s="623">
        <v>12</v>
      </c>
      <c r="X21" s="620">
        <f t="shared" si="36"/>
        <v>23445.9118133333</v>
      </c>
      <c r="Y21" s="620"/>
      <c r="Z21" s="478">
        <f t="shared" si="37"/>
        <v>23445.9118133333</v>
      </c>
    </row>
    <row r="22" ht="18" spans="1:26">
      <c r="A22" s="464"/>
      <c r="B22" s="11"/>
      <c r="C22" s="465"/>
      <c r="D22" s="466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74"/>
      <c r="X22" s="467"/>
      <c r="Y22" s="467"/>
      <c r="Z22" s="478"/>
    </row>
    <row r="23" ht="18" spans="1:26">
      <c r="A23" s="616">
        <v>4</v>
      </c>
      <c r="B23" s="18" t="s">
        <v>57</v>
      </c>
      <c r="C23" s="618">
        <v>216305.833333333</v>
      </c>
      <c r="D23" s="619">
        <v>12</v>
      </c>
      <c r="E23" s="620">
        <f t="shared" ref="E23:E35" si="39">C23*D23</f>
        <v>2595670</v>
      </c>
      <c r="F23" s="620"/>
      <c r="G23" s="620">
        <v>374638.96</v>
      </c>
      <c r="H23" s="620"/>
      <c r="I23" s="620">
        <f t="shared" si="15"/>
        <v>2221031.04</v>
      </c>
      <c r="J23" s="620">
        <v>200000</v>
      </c>
      <c r="K23" s="620">
        <v>0.2</v>
      </c>
      <c r="L23" s="620">
        <f t="shared" si="28"/>
        <v>444206.207999999</v>
      </c>
      <c r="M23" s="620">
        <f t="shared" si="29"/>
        <v>644206.207999999</v>
      </c>
      <c r="N23" s="620">
        <f t="shared" si="18"/>
        <v>1018845.168</v>
      </c>
      <c r="O23" s="620">
        <f t="shared" si="19"/>
        <v>1576824.832</v>
      </c>
      <c r="P23" s="620">
        <f t="shared" si="30"/>
        <v>21000</v>
      </c>
      <c r="Q23" s="620">
        <f t="shared" si="31"/>
        <v>33000</v>
      </c>
      <c r="R23" s="620">
        <f t="shared" si="32"/>
        <v>75000</v>
      </c>
      <c r="S23" s="620">
        <f t="shared" si="33"/>
        <v>90596.7180799994</v>
      </c>
      <c r="T23" s="620">
        <f t="shared" si="34"/>
        <v>0</v>
      </c>
      <c r="U23" s="467"/>
      <c r="V23" s="620">
        <f t="shared" si="35"/>
        <v>219596.718079999</v>
      </c>
      <c r="W23" s="623">
        <v>12</v>
      </c>
      <c r="X23" s="620">
        <f t="shared" si="36"/>
        <v>18299.7265066666</v>
      </c>
      <c r="Y23" s="620"/>
      <c r="Z23" s="478">
        <f t="shared" si="37"/>
        <v>18299.7265066666</v>
      </c>
    </row>
    <row r="24" ht="18" spans="1:26">
      <c r="A24" s="616"/>
      <c r="B24" s="11"/>
      <c r="C24" s="618"/>
      <c r="D24" s="619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  <c r="R24" s="620"/>
      <c r="S24" s="620"/>
      <c r="T24" s="620"/>
      <c r="U24" s="467"/>
      <c r="V24" s="620"/>
      <c r="W24" s="623"/>
      <c r="X24" s="620"/>
      <c r="Y24" s="620"/>
      <c r="Z24" s="478"/>
    </row>
    <row r="25" ht="18" spans="1:26">
      <c r="A25" s="464">
        <v>6</v>
      </c>
      <c r="B25" s="11" t="s">
        <v>59</v>
      </c>
      <c r="C25" s="465">
        <v>337515.872222222</v>
      </c>
      <c r="D25" s="466">
        <v>12</v>
      </c>
      <c r="E25" s="467">
        <f t="shared" si="39"/>
        <v>4050190.46666666</v>
      </c>
      <c r="F25" s="467"/>
      <c r="G25" s="467">
        <v>209556.08</v>
      </c>
      <c r="H25" s="467"/>
      <c r="I25" s="467">
        <f t="shared" si="15"/>
        <v>3840634.38666666</v>
      </c>
      <c r="J25" s="467">
        <v>200000</v>
      </c>
      <c r="K25" s="467">
        <v>0.2</v>
      </c>
      <c r="L25" s="467">
        <f>I25*K25</f>
        <v>768126.877333333</v>
      </c>
      <c r="M25" s="467">
        <f>J25+L25</f>
        <v>968126.877333333</v>
      </c>
      <c r="N25" s="467">
        <f t="shared" si="18"/>
        <v>1177682.95733333</v>
      </c>
      <c r="O25" s="467">
        <f t="shared" si="19"/>
        <v>2872507.50933333</v>
      </c>
      <c r="P25" s="467">
        <f>IF(O25&lt;300000,0.07*O25,21000)</f>
        <v>21000</v>
      </c>
      <c r="Q25" s="467">
        <f>IF((O25-300000)&lt;0,0,IF((O25-300000)&lt;300000,0.11*(O25-300000),33000))</f>
        <v>33000</v>
      </c>
      <c r="R25" s="467">
        <f>IF((O25-600000)&lt;0,0,IF((O25-600000)&lt;500000,0.15*(O25-600000),75000))</f>
        <v>75000</v>
      </c>
      <c r="S25" s="467">
        <f>IF((O25-1100000)&lt;0,0,IF((O25-1100000)&lt;500000,0.19*(O25-1100000),95000))</f>
        <v>95000</v>
      </c>
      <c r="T25" s="467">
        <f>IF((O25-1600000)&lt;0,0,IF((O25-1600000)&lt;1600000,0.21*(O25-1600000),336000))</f>
        <v>267226.57696</v>
      </c>
      <c r="U25" s="467"/>
      <c r="V25" s="467">
        <f>P25+Q25+R25+S25+T25+U25</f>
        <v>491226.57696</v>
      </c>
      <c r="W25" s="474">
        <v>12</v>
      </c>
      <c r="X25" s="467">
        <f>V25/W25</f>
        <v>40935.54808</v>
      </c>
      <c r="Y25" s="467"/>
      <c r="Z25" s="478">
        <f>X25</f>
        <v>40935.54808</v>
      </c>
    </row>
    <row r="26" ht="18" spans="1:26">
      <c r="A26" s="616"/>
      <c r="B26" s="11"/>
      <c r="C26" s="618"/>
      <c r="D26" s="619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467"/>
      <c r="V26" s="620"/>
      <c r="W26" s="623"/>
      <c r="X26" s="620"/>
      <c r="Y26" s="620"/>
      <c r="Z26" s="478"/>
    </row>
    <row r="27" ht="18" spans="1:26">
      <c r="A27" s="616">
        <v>8</v>
      </c>
      <c r="B27" s="18" t="s">
        <v>62</v>
      </c>
      <c r="C27" s="618">
        <v>260955.933333333</v>
      </c>
      <c r="D27" s="619">
        <v>12</v>
      </c>
      <c r="E27" s="620">
        <f t="shared" si="39"/>
        <v>3131471.2</v>
      </c>
      <c r="F27" s="620"/>
      <c r="G27" s="620">
        <v>374638.96</v>
      </c>
      <c r="H27" s="620"/>
      <c r="I27" s="620">
        <f t="shared" si="15"/>
        <v>2756832.24</v>
      </c>
      <c r="J27" s="620">
        <v>200000</v>
      </c>
      <c r="K27" s="620">
        <v>0.2</v>
      </c>
      <c r="L27" s="620">
        <f t="shared" ref="L27:L29" si="40">I27*K27</f>
        <v>551366.447999999</v>
      </c>
      <c r="M27" s="620">
        <f t="shared" ref="M27:M29" si="41">J27+L27</f>
        <v>751366.447999999</v>
      </c>
      <c r="N27" s="620">
        <f t="shared" si="18"/>
        <v>1126005.408</v>
      </c>
      <c r="O27" s="620">
        <f t="shared" si="19"/>
        <v>2005465.792</v>
      </c>
      <c r="P27" s="620">
        <f t="shared" ref="P27:P29" si="42">IF(O27&lt;300000,0.07*O27,21000)</f>
        <v>21000</v>
      </c>
      <c r="Q27" s="620">
        <f t="shared" ref="Q27:Q29" si="43">IF((O27-300000)&lt;0,0,IF((O27-300000)&lt;300000,0.11*(O27-300000),33000))</f>
        <v>33000</v>
      </c>
      <c r="R27" s="620">
        <f t="shared" ref="R27:R29" si="44">IF((O27-600000)&lt;0,0,IF((O27-600000)&lt;500000,0.15*(O27-600000),75000))</f>
        <v>75000</v>
      </c>
      <c r="S27" s="620">
        <f t="shared" ref="S27:S29" si="45">IF((O27-1100000)&lt;0,0,IF((O27-1100000)&lt;500000,0.19*(O27-1100000),95000))</f>
        <v>95000</v>
      </c>
      <c r="T27" s="620">
        <f t="shared" ref="T27:T29" si="46">IF((O27-1600000)&lt;0,0,IF((O27-1600000)&lt;1600000,0.21*(O27-1600000),336000))</f>
        <v>85147.8163199993</v>
      </c>
      <c r="U27" s="467"/>
      <c r="V27" s="620">
        <f t="shared" ref="V27:V29" si="47">P27+Q27+R27+S27+T27+U27</f>
        <v>309147.816319999</v>
      </c>
      <c r="W27" s="623">
        <v>12</v>
      </c>
      <c r="X27" s="620">
        <f t="shared" ref="X27:X29" si="48">V27/W27</f>
        <v>25762.3180266666</v>
      </c>
      <c r="Y27" s="620"/>
      <c r="Z27" s="478">
        <f t="shared" ref="Z27:Z29" si="49">X27</f>
        <v>25762.3180266666</v>
      </c>
    </row>
    <row r="28" ht="36" spans="1:26">
      <c r="A28" s="464">
        <v>9</v>
      </c>
      <c r="B28" s="18" t="s">
        <v>64</v>
      </c>
      <c r="C28" s="465">
        <v>260955.933333333</v>
      </c>
      <c r="D28" s="466">
        <v>12</v>
      </c>
      <c r="E28" s="467">
        <f t="shared" si="39"/>
        <v>3131471.2</v>
      </c>
      <c r="F28" s="467"/>
      <c r="G28" s="467">
        <v>209556.08</v>
      </c>
      <c r="H28" s="467"/>
      <c r="I28" s="467">
        <f t="shared" si="15"/>
        <v>2921915.12</v>
      </c>
      <c r="J28" s="467">
        <v>200000</v>
      </c>
      <c r="K28" s="467">
        <v>0.2</v>
      </c>
      <c r="L28" s="467">
        <f t="shared" si="40"/>
        <v>584383.023999999</v>
      </c>
      <c r="M28" s="467">
        <f t="shared" si="41"/>
        <v>784383.023999999</v>
      </c>
      <c r="N28" s="467">
        <f t="shared" si="18"/>
        <v>993939.103999999</v>
      </c>
      <c r="O28" s="467">
        <f t="shared" si="19"/>
        <v>2137532.096</v>
      </c>
      <c r="P28" s="467">
        <f t="shared" si="42"/>
        <v>21000</v>
      </c>
      <c r="Q28" s="467">
        <f t="shared" si="43"/>
        <v>33000</v>
      </c>
      <c r="R28" s="467">
        <f t="shared" si="44"/>
        <v>75000</v>
      </c>
      <c r="S28" s="467">
        <f t="shared" si="45"/>
        <v>95000</v>
      </c>
      <c r="T28" s="467">
        <f t="shared" si="46"/>
        <v>112881.740159999</v>
      </c>
      <c r="U28" s="467"/>
      <c r="V28" s="467">
        <f t="shared" si="47"/>
        <v>336881.740159999</v>
      </c>
      <c r="W28" s="474">
        <v>12</v>
      </c>
      <c r="X28" s="467">
        <f t="shared" si="48"/>
        <v>28073.4783466666</v>
      </c>
      <c r="Y28" s="467"/>
      <c r="Z28" s="478">
        <f t="shared" si="49"/>
        <v>28073.4783466666</v>
      </c>
    </row>
    <row r="29" ht="18" spans="1:26">
      <c r="A29" s="616">
        <v>10</v>
      </c>
      <c r="B29" s="18" t="s">
        <v>65</v>
      </c>
      <c r="C29" s="618">
        <v>212191.722222222</v>
      </c>
      <c r="D29" s="619">
        <v>12</v>
      </c>
      <c r="E29" s="620">
        <f t="shared" si="39"/>
        <v>2546300.66666666</v>
      </c>
      <c r="F29" s="620"/>
      <c r="G29" s="620">
        <v>209556.08</v>
      </c>
      <c r="H29" s="620"/>
      <c r="I29" s="620">
        <f t="shared" si="15"/>
        <v>2336744.58666666</v>
      </c>
      <c r="J29" s="620">
        <v>200000</v>
      </c>
      <c r="K29" s="620">
        <v>0.2</v>
      </c>
      <c r="L29" s="620">
        <f t="shared" si="40"/>
        <v>467348.917333333</v>
      </c>
      <c r="M29" s="620">
        <f t="shared" si="41"/>
        <v>667348.917333333</v>
      </c>
      <c r="N29" s="620">
        <f t="shared" si="18"/>
        <v>876904.997333333</v>
      </c>
      <c r="O29" s="620">
        <f t="shared" si="19"/>
        <v>1669395.66933333</v>
      </c>
      <c r="P29" s="620">
        <f t="shared" si="42"/>
        <v>21000</v>
      </c>
      <c r="Q29" s="620">
        <f t="shared" si="43"/>
        <v>33000</v>
      </c>
      <c r="R29" s="620">
        <f t="shared" si="44"/>
        <v>75000</v>
      </c>
      <c r="S29" s="620">
        <f t="shared" si="45"/>
        <v>95000</v>
      </c>
      <c r="T29" s="620">
        <f t="shared" si="46"/>
        <v>14573.0905599995</v>
      </c>
      <c r="U29" s="467"/>
      <c r="V29" s="620">
        <f t="shared" si="47"/>
        <v>238573.090559999</v>
      </c>
      <c r="W29" s="623">
        <v>12</v>
      </c>
      <c r="X29" s="620">
        <f t="shared" si="48"/>
        <v>19881.09088</v>
      </c>
      <c r="Y29" s="620"/>
      <c r="Z29" s="478">
        <f t="shared" si="49"/>
        <v>19881.09088</v>
      </c>
    </row>
    <row r="30" ht="18" spans="1:26">
      <c r="A30" s="464"/>
      <c r="B30" s="11"/>
      <c r="C30" s="465"/>
      <c r="D30" s="466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74"/>
      <c r="X30" s="467"/>
      <c r="Y30" s="467"/>
      <c r="Z30" s="478"/>
    </row>
    <row r="31" ht="18" spans="1:26">
      <c r="A31" s="616">
        <v>7</v>
      </c>
      <c r="B31" s="18" t="s">
        <v>68</v>
      </c>
      <c r="C31" s="618">
        <v>196744.227777778</v>
      </c>
      <c r="D31" s="619">
        <v>12</v>
      </c>
      <c r="E31" s="620">
        <f t="shared" si="39"/>
        <v>2360930.73333334</v>
      </c>
      <c r="F31" s="620"/>
      <c r="G31" s="620">
        <v>281308.48</v>
      </c>
      <c r="H31" s="620"/>
      <c r="I31" s="620">
        <f t="shared" ref="I31:I35" si="50">E31-F31-G31-H31</f>
        <v>2079622.25333334</v>
      </c>
      <c r="J31" s="620">
        <v>200000</v>
      </c>
      <c r="K31" s="620">
        <v>0.2</v>
      </c>
      <c r="L31" s="620">
        <f t="shared" ref="L31:L35" si="51">I31*K31</f>
        <v>415924.450666667</v>
      </c>
      <c r="M31" s="620">
        <f t="shared" ref="M31:M35" si="52">J31+L31</f>
        <v>615924.450666667</v>
      </c>
      <c r="N31" s="620">
        <f t="shared" ref="N31:N35" si="53">F31+G31+H31+M31</f>
        <v>897232.930666667</v>
      </c>
      <c r="O31" s="620">
        <f t="shared" ref="O31:O35" si="54">E31-N31</f>
        <v>1463697.80266667</v>
      </c>
      <c r="P31" s="620">
        <f t="shared" ref="P31:P35" si="55">IF(O31&lt;300000,0.07*O31,21000)</f>
        <v>21000</v>
      </c>
      <c r="Q31" s="620">
        <f t="shared" ref="Q31:Q35" si="56">IF((O31-300000)&lt;0,0,IF((O31-300000)&lt;300000,0.11*(O31-300000),33000))</f>
        <v>33000</v>
      </c>
      <c r="R31" s="620">
        <f t="shared" ref="R31:R35" si="57">IF((O31-600000)&lt;0,0,IF((O31-600000)&lt;500000,0.15*(O31-600000),75000))</f>
        <v>75000</v>
      </c>
      <c r="S31" s="620">
        <f t="shared" ref="S31:S35" si="58">IF((O31-1100000)&lt;0,0,IF((O31-1100000)&lt;500000,0.19*(O31-1100000),95000))</f>
        <v>69102.5825066671</v>
      </c>
      <c r="T31" s="620">
        <f t="shared" ref="T31:T35" si="59">IF((O31-1600000)&lt;0,0,IF((O31-1600000)&lt;1600000,0.21*(O31-1600000),336000))</f>
        <v>0</v>
      </c>
      <c r="U31" s="467"/>
      <c r="V31" s="620">
        <f t="shared" ref="V31:V35" si="60">P31+Q31+R31+S31+T31+U31</f>
        <v>198102.582506667</v>
      </c>
      <c r="W31" s="623">
        <v>12</v>
      </c>
      <c r="X31" s="620">
        <f t="shared" ref="X31:X35" si="61">V31/W31</f>
        <v>16508.5485422223</v>
      </c>
      <c r="Y31" s="620"/>
      <c r="Z31" s="478">
        <f t="shared" ref="Z31:Z35" si="62">X31</f>
        <v>16508.5485422223</v>
      </c>
    </row>
    <row r="32" ht="18" spans="1:26">
      <c r="A32" s="616"/>
      <c r="B32" s="11"/>
      <c r="C32" s="618"/>
      <c r="D32" s="619"/>
      <c r="E32" s="620"/>
      <c r="F32" s="620"/>
      <c r="G32" s="620"/>
      <c r="H32" s="620"/>
      <c r="I32" s="620"/>
      <c r="J32" s="620"/>
      <c r="K32" s="620"/>
      <c r="L32" s="620"/>
      <c r="M32" s="620"/>
      <c r="N32" s="620"/>
      <c r="O32" s="620"/>
      <c r="P32" s="620"/>
      <c r="Q32" s="620"/>
      <c r="R32" s="620"/>
      <c r="S32" s="620"/>
      <c r="T32" s="620"/>
      <c r="U32" s="467"/>
      <c r="V32" s="620"/>
      <c r="W32" s="623"/>
      <c r="X32" s="620"/>
      <c r="Y32" s="620"/>
      <c r="Z32" s="478"/>
    </row>
    <row r="33" ht="18" spans="1:26">
      <c r="A33" s="464">
        <v>9</v>
      </c>
      <c r="B33" s="18" t="s">
        <v>72</v>
      </c>
      <c r="C33" s="465">
        <v>353029.67</v>
      </c>
      <c r="D33" s="466">
        <v>12</v>
      </c>
      <c r="E33" s="467">
        <f t="shared" si="39"/>
        <v>4236356.04</v>
      </c>
      <c r="F33" s="467"/>
      <c r="G33" s="467">
        <v>209556.08</v>
      </c>
      <c r="H33" s="467"/>
      <c r="I33" s="467">
        <f t="shared" si="50"/>
        <v>4026799.96</v>
      </c>
      <c r="J33" s="467">
        <v>200000</v>
      </c>
      <c r="K33" s="467">
        <v>0.2</v>
      </c>
      <c r="L33" s="467">
        <f t="shared" si="51"/>
        <v>805359.992</v>
      </c>
      <c r="M33" s="467">
        <f t="shared" si="52"/>
        <v>1005359.992</v>
      </c>
      <c r="N33" s="467">
        <f t="shared" si="53"/>
        <v>1214916.072</v>
      </c>
      <c r="O33" s="467">
        <f t="shared" si="54"/>
        <v>3021439.968</v>
      </c>
      <c r="P33" s="467">
        <f t="shared" si="55"/>
        <v>21000</v>
      </c>
      <c r="Q33" s="467">
        <f t="shared" si="56"/>
        <v>33000</v>
      </c>
      <c r="R33" s="467">
        <f t="shared" si="57"/>
        <v>75000</v>
      </c>
      <c r="S33" s="467">
        <f t="shared" si="58"/>
        <v>95000</v>
      </c>
      <c r="T33" s="467">
        <f t="shared" si="59"/>
        <v>298502.39328</v>
      </c>
      <c r="U33" s="467"/>
      <c r="V33" s="467">
        <f t="shared" si="60"/>
        <v>522502.39328</v>
      </c>
      <c r="W33" s="474">
        <v>12</v>
      </c>
      <c r="X33" s="467">
        <f t="shared" si="61"/>
        <v>43541.8661066667</v>
      </c>
      <c r="Y33" s="467"/>
      <c r="Z33" s="478">
        <f t="shared" si="62"/>
        <v>43541.8661066667</v>
      </c>
    </row>
    <row r="34" ht="18" spans="1:26">
      <c r="A34" s="616">
        <v>10</v>
      </c>
      <c r="B34" s="18" t="s">
        <v>74</v>
      </c>
      <c r="C34" s="618">
        <v>169915.469444444</v>
      </c>
      <c r="D34" s="619">
        <v>12</v>
      </c>
      <c r="E34" s="620">
        <f t="shared" si="39"/>
        <v>2038985.63333333</v>
      </c>
      <c r="F34" s="620"/>
      <c r="G34" s="620">
        <v>209556.08</v>
      </c>
      <c r="H34" s="620"/>
      <c r="I34" s="620">
        <f t="shared" si="50"/>
        <v>1829429.55333333</v>
      </c>
      <c r="J34" s="620">
        <v>200000</v>
      </c>
      <c r="K34" s="620">
        <v>0.2</v>
      </c>
      <c r="L34" s="620">
        <f t="shared" si="51"/>
        <v>365885.910666666</v>
      </c>
      <c r="M34" s="620">
        <f t="shared" si="52"/>
        <v>565885.910666666</v>
      </c>
      <c r="N34" s="620">
        <f t="shared" si="53"/>
        <v>775441.990666665</v>
      </c>
      <c r="O34" s="620">
        <f t="shared" si="54"/>
        <v>1263543.64266666</v>
      </c>
      <c r="P34" s="620">
        <f t="shared" si="55"/>
        <v>21000</v>
      </c>
      <c r="Q34" s="620">
        <f t="shared" si="56"/>
        <v>33000</v>
      </c>
      <c r="R34" s="620">
        <f t="shared" si="57"/>
        <v>75000</v>
      </c>
      <c r="S34" s="620">
        <f t="shared" si="58"/>
        <v>31073.2921066659</v>
      </c>
      <c r="T34" s="620">
        <f t="shared" si="59"/>
        <v>0</v>
      </c>
      <c r="U34" s="467"/>
      <c r="V34" s="620">
        <f t="shared" si="60"/>
        <v>160073.292106666</v>
      </c>
      <c r="W34" s="623">
        <v>12</v>
      </c>
      <c r="X34" s="620">
        <f t="shared" si="61"/>
        <v>13339.4410088888</v>
      </c>
      <c r="Y34" s="620"/>
      <c r="Z34" s="478">
        <f t="shared" si="62"/>
        <v>13339.4410088888</v>
      </c>
    </row>
    <row r="35" ht="18" spans="1:26">
      <c r="A35" s="464">
        <v>3</v>
      </c>
      <c r="B35" s="18" t="s">
        <v>76</v>
      </c>
      <c r="C35" s="465">
        <v>268287.583333333</v>
      </c>
      <c r="D35" s="466">
        <v>12</v>
      </c>
      <c r="E35" s="467">
        <f t="shared" si="39"/>
        <v>3219451</v>
      </c>
      <c r="F35" s="467"/>
      <c r="G35" s="467">
        <v>209556.08</v>
      </c>
      <c r="H35" s="467"/>
      <c r="I35" s="467">
        <f t="shared" si="50"/>
        <v>3009894.92</v>
      </c>
      <c r="J35" s="467">
        <v>200000</v>
      </c>
      <c r="K35" s="467">
        <v>0.2</v>
      </c>
      <c r="L35" s="467">
        <f t="shared" si="51"/>
        <v>601978.983999999</v>
      </c>
      <c r="M35" s="467">
        <f t="shared" si="52"/>
        <v>801978.983999999</v>
      </c>
      <c r="N35" s="467">
        <f t="shared" si="53"/>
        <v>1011535.064</v>
      </c>
      <c r="O35" s="467">
        <f t="shared" si="54"/>
        <v>2207915.936</v>
      </c>
      <c r="P35" s="467">
        <f t="shared" si="55"/>
        <v>21000</v>
      </c>
      <c r="Q35" s="467">
        <f t="shared" si="56"/>
        <v>33000</v>
      </c>
      <c r="R35" s="467">
        <f t="shared" si="57"/>
        <v>75000</v>
      </c>
      <c r="S35" s="467">
        <f t="shared" si="58"/>
        <v>95000</v>
      </c>
      <c r="T35" s="467">
        <f t="shared" si="59"/>
        <v>127662.346559999</v>
      </c>
      <c r="U35" s="467"/>
      <c r="V35" s="467">
        <f t="shared" si="60"/>
        <v>351662.346559999</v>
      </c>
      <c r="W35" s="474">
        <v>12</v>
      </c>
      <c r="X35" s="467">
        <f t="shared" si="61"/>
        <v>29305.1955466666</v>
      </c>
      <c r="Y35" s="467"/>
      <c r="Z35" s="478">
        <f t="shared" si="62"/>
        <v>29305.1955466666</v>
      </c>
    </row>
    <row r="37" ht="13" spans="22:26">
      <c r="V37" s="296" t="s">
        <v>166</v>
      </c>
      <c r="X37" s="710">
        <f>SUM(X6:X36)</f>
        <v>575190.051368888</v>
      </c>
      <c r="Y37" s="710">
        <f t="shared" ref="Y37:Z37" si="63">SUM(Y6:Y36)</f>
        <v>0</v>
      </c>
      <c r="Z37" s="710">
        <f t="shared" si="63"/>
        <v>575190.051368888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F14" sqref="F14"/>
    </sheetView>
  </sheetViews>
  <sheetFormatPr defaultColWidth="9" defaultRowHeight="12.5" outlineLevelRow="4"/>
  <cols>
    <col min="1" max="1" width="5.42727272727273" customWidth="1"/>
    <col min="2" max="2" width="23.4272727272727" customWidth="1"/>
    <col min="3" max="3" width="20.4272727272727" customWidth="1"/>
    <col min="5" max="5" width="12.1363636363636" customWidth="1"/>
    <col min="7" max="7" width="12.1363636363636" customWidth="1"/>
    <col min="10" max="10" width="12.1363636363636" customWidth="1"/>
    <col min="15" max="17" width="11" customWidth="1"/>
    <col min="18" max="19" width="12.1363636363636" customWidth="1"/>
  </cols>
  <sheetData>
    <row r="1" s="1" customFormat="1" ht="49.5" customHeight="1" spans="1:19">
      <c r="A1" s="281"/>
      <c r="B1" s="696" t="s">
        <v>2</v>
      </c>
      <c r="C1" s="697" t="s">
        <v>3</v>
      </c>
      <c r="D1" s="698" t="s">
        <v>4</v>
      </c>
      <c r="E1" s="699" t="s">
        <v>5</v>
      </c>
      <c r="F1" s="699" t="s">
        <v>6</v>
      </c>
      <c r="G1" s="699" t="s">
        <v>7</v>
      </c>
      <c r="H1" s="699" t="s">
        <v>7</v>
      </c>
      <c r="I1" s="699" t="s">
        <v>8</v>
      </c>
      <c r="J1" s="704" t="s">
        <v>9</v>
      </c>
      <c r="K1" s="699" t="s">
        <v>10</v>
      </c>
      <c r="L1" s="699" t="s">
        <v>11</v>
      </c>
      <c r="M1" s="699" t="s">
        <v>12</v>
      </c>
      <c r="N1" s="699" t="s">
        <v>13</v>
      </c>
      <c r="O1" s="705" t="s">
        <v>14</v>
      </c>
      <c r="P1" s="699" t="s">
        <v>15</v>
      </c>
      <c r="Q1" s="704" t="s">
        <v>16</v>
      </c>
      <c r="R1" s="707" t="s">
        <v>167</v>
      </c>
      <c r="S1" s="708" t="s">
        <v>168</v>
      </c>
    </row>
    <row r="2" s="1" customFormat="1" ht="17.25" customHeight="1" spans="1:19">
      <c r="A2" s="700"/>
      <c r="B2" s="700"/>
      <c r="C2" s="701"/>
      <c r="D2" s="701"/>
      <c r="E2" s="702" t="s">
        <v>19</v>
      </c>
      <c r="F2" s="702" t="s">
        <v>19</v>
      </c>
      <c r="G2" s="702" t="s">
        <v>19</v>
      </c>
      <c r="H2" s="702" t="s">
        <v>19</v>
      </c>
      <c r="I2" s="702" t="s">
        <v>19</v>
      </c>
      <c r="J2" s="706" t="s">
        <v>19</v>
      </c>
      <c r="K2" s="702" t="s">
        <v>19</v>
      </c>
      <c r="L2" s="702" t="s">
        <v>19</v>
      </c>
      <c r="M2" s="702" t="s">
        <v>19</v>
      </c>
      <c r="N2" s="702" t="s">
        <v>19</v>
      </c>
      <c r="O2" s="702" t="s">
        <v>19</v>
      </c>
      <c r="P2" s="702" t="s">
        <v>19</v>
      </c>
      <c r="Q2" s="706" t="s">
        <v>19</v>
      </c>
      <c r="R2" s="702" t="s">
        <v>19</v>
      </c>
      <c r="S2" s="706" t="s">
        <v>19</v>
      </c>
    </row>
    <row r="5" s="1" customFormat="1" ht="20.1" customHeight="1" spans="1:20">
      <c r="A5" s="703">
        <v>1</v>
      </c>
      <c r="B5" s="351" t="s">
        <v>39</v>
      </c>
      <c r="C5" s="86" t="s">
        <v>40</v>
      </c>
      <c r="D5" s="645" t="s">
        <v>41</v>
      </c>
      <c r="E5" s="647">
        <f>353512.5</f>
        <v>353512.5</v>
      </c>
      <c r="F5" s="646"/>
      <c r="G5" s="647">
        <f>110000</f>
        <v>110000</v>
      </c>
      <c r="H5" s="647"/>
      <c r="I5" s="646"/>
      <c r="J5" s="657">
        <f t="shared" ref="J5" si="0">SUM(E5:I5)</f>
        <v>463512.5</v>
      </c>
      <c r="K5" s="646"/>
      <c r="L5" s="646"/>
      <c r="M5" s="646"/>
      <c r="N5" s="646"/>
      <c r="O5" s="646">
        <v>62231.1146666667</v>
      </c>
      <c r="P5" s="646">
        <v>28281</v>
      </c>
      <c r="Q5" s="657">
        <f t="shared" ref="Q5" si="1">O5+N5+M5+L5+K5+P5</f>
        <v>90512.1146666667</v>
      </c>
      <c r="R5" s="646">
        <v>262318.46544</v>
      </c>
      <c r="S5" s="709">
        <v>262318.47</v>
      </c>
      <c r="T5" s="13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C15" sqref="C15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0" t="s">
        <v>2</v>
      </c>
      <c r="C4" s="691" t="s">
        <v>3</v>
      </c>
      <c r="D4" s="692" t="s">
        <v>4</v>
      </c>
      <c r="E4" s="682" t="s">
        <v>5</v>
      </c>
      <c r="F4" s="682" t="s">
        <v>7</v>
      </c>
      <c r="G4" s="682" t="s">
        <v>8</v>
      </c>
      <c r="H4" s="693" t="s">
        <v>9</v>
      </c>
      <c r="I4" s="682" t="s">
        <v>169</v>
      </c>
      <c r="J4" s="682" t="s">
        <v>15</v>
      </c>
      <c r="K4" s="694" t="s">
        <v>16</v>
      </c>
      <c r="L4" s="695" t="s">
        <v>170</v>
      </c>
    </row>
    <row r="5" s="1" customFormat="1" ht="37.5" customHeight="1" spans="1:13">
      <c r="A5" s="1">
        <v>1</v>
      </c>
      <c r="B5" s="351" t="s">
        <v>171</v>
      </c>
      <c r="C5" s="83" t="s">
        <v>172</v>
      </c>
      <c r="D5" s="15" t="s">
        <v>173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174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175</v>
      </c>
      <c r="C7" s="83" t="s">
        <v>176</v>
      </c>
      <c r="D7" s="15" t="s">
        <v>177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 t="e">
        <f>'APRIL 2025 NEW'!#REF!</f>
        <v>#REF!</v>
      </c>
      <c r="K7" s="510" t="e">
        <f>I7+J7</f>
        <v>#REF!</v>
      </c>
      <c r="L7" s="509" t="e">
        <f t="shared" si="1"/>
        <v>#REF!</v>
      </c>
    </row>
    <row r="8" ht="28.5" customHeight="1" spans="1:12">
      <c r="A8" s="1"/>
      <c r="B8" s="22" t="s">
        <v>33</v>
      </c>
      <c r="C8" s="12"/>
      <c r="D8" s="15"/>
      <c r="E8" s="85"/>
      <c r="F8" s="220"/>
      <c r="G8" s="85"/>
      <c r="H8" s="509"/>
      <c r="I8" s="85"/>
      <c r="J8" s="85"/>
      <c r="K8" s="510"/>
      <c r="L8" s="516" t="e">
        <f>SUM(L6:L7)</f>
        <v>#REF!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7" t="s">
        <v>178</v>
      </c>
      <c r="B1" s="687"/>
      <c r="C1" s="687"/>
      <c r="D1" s="687"/>
      <c r="E1" s="687"/>
      <c r="F1" s="687"/>
    </row>
    <row r="2" ht="48.95" customHeight="1" spans="1:6">
      <c r="A2" s="68" t="s">
        <v>20</v>
      </c>
      <c r="B2" s="42" t="s">
        <v>145</v>
      </c>
      <c r="C2" s="688" t="s">
        <v>4</v>
      </c>
      <c r="D2" s="259" t="s">
        <v>179</v>
      </c>
      <c r="E2" s="259" t="s">
        <v>180</v>
      </c>
      <c r="F2" s="259" t="s">
        <v>181</v>
      </c>
    </row>
    <row r="3" ht="30" customHeight="1" spans="1:6">
      <c r="A3" s="49">
        <v>1</v>
      </c>
      <c r="B3" s="43" t="s">
        <v>182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183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184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185</v>
      </c>
      <c r="C6" s="774" t="s">
        <v>186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187</v>
      </c>
      <c r="C7" s="774" t="s">
        <v>188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189</v>
      </c>
      <c r="C8" s="774" t="s">
        <v>188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190</v>
      </c>
      <c r="C9" s="774" t="s">
        <v>188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191</v>
      </c>
      <c r="C10" s="774" t="s">
        <v>188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33</v>
      </c>
      <c r="C11" s="42"/>
      <c r="D11" s="689">
        <f>SUM(D3:D10)</f>
        <v>4760000</v>
      </c>
      <c r="E11" s="689">
        <f t="shared" ref="E11:F11" si="3">SUM(E3:E10)</f>
        <v>725370.68</v>
      </c>
      <c r="F11" s="689">
        <f t="shared" si="3"/>
        <v>4034629.32</v>
      </c>
    </row>
    <row r="14" ht="52.5" spans="1:6">
      <c r="A14" s="68" t="s">
        <v>20</v>
      </c>
      <c r="B14" s="42" t="s">
        <v>145</v>
      </c>
      <c r="C14" s="688" t="s">
        <v>4</v>
      </c>
      <c r="D14" s="259" t="s">
        <v>179</v>
      </c>
      <c r="E14" s="259" t="s">
        <v>180</v>
      </c>
      <c r="F14" s="259" t="s">
        <v>181</v>
      </c>
    </row>
    <row r="15" ht="36" spans="2:6">
      <c r="B15" s="198" t="s">
        <v>192</v>
      </c>
      <c r="C15" s="774" t="s">
        <v>186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193</v>
      </c>
      <c r="C16" s="774" t="s">
        <v>194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33</v>
      </c>
      <c r="C17" s="42"/>
      <c r="D17" s="689">
        <f>SUM(D15:D16)</f>
        <v>840000</v>
      </c>
      <c r="E17" s="689">
        <f t="shared" ref="E17:F17" si="8">SUM(E15:E16)</f>
        <v>117459.55</v>
      </c>
      <c r="F17" s="689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818181818182" customWidth="1"/>
    <col min="3" max="3" width="17.1363636363636" customWidth="1"/>
    <col min="4" max="4" width="14.5727272727273" customWidth="1"/>
    <col min="5" max="5" width="15.5727272727273" customWidth="1"/>
    <col min="6" max="6" width="14.5727272727273" customWidth="1"/>
    <col min="8" max="8" width="15.5727272727273" customWidth="1"/>
    <col min="9" max="9" width="13.2818181818182" customWidth="1"/>
    <col min="10" max="10" width="9.85454545454546" customWidth="1"/>
    <col min="11" max="11" width="13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69" t="s">
        <v>20</v>
      </c>
      <c r="B1" s="90" t="s">
        <v>2</v>
      </c>
      <c r="C1" s="90" t="s">
        <v>3</v>
      </c>
      <c r="D1" s="670" t="s">
        <v>4</v>
      </c>
      <c r="E1" s="90" t="s">
        <v>195</v>
      </c>
      <c r="F1" s="670" t="s">
        <v>196</v>
      </c>
      <c r="G1" s="670" t="s">
        <v>197</v>
      </c>
      <c r="H1" s="670" t="s">
        <v>9</v>
      </c>
      <c r="I1" s="680" t="s">
        <v>101</v>
      </c>
      <c r="J1" s="680"/>
      <c r="K1" s="680"/>
      <c r="L1" s="680"/>
      <c r="M1" s="680"/>
      <c r="N1" s="681" t="s">
        <v>198</v>
      </c>
    </row>
    <row r="2" ht="54.95" customHeight="1" spans="1:14">
      <c r="A2" s="669"/>
      <c r="B2" s="90"/>
      <c r="C2" s="90"/>
      <c r="D2" s="90"/>
      <c r="E2" s="90"/>
      <c r="F2" s="670"/>
      <c r="G2" s="670"/>
      <c r="H2" s="90"/>
      <c r="I2" s="682" t="s">
        <v>199</v>
      </c>
      <c r="J2" s="682" t="s">
        <v>200</v>
      </c>
      <c r="K2" s="682" t="s">
        <v>201</v>
      </c>
      <c r="L2" s="682" t="s">
        <v>202</v>
      </c>
      <c r="M2" s="682" t="s">
        <v>16</v>
      </c>
      <c r="N2" s="681"/>
    </row>
    <row r="3" ht="17.5" spans="1:14">
      <c r="A3" s="9"/>
      <c r="B3" s="5"/>
      <c r="C3" s="5"/>
      <c r="D3" s="5"/>
      <c r="E3" s="5"/>
      <c r="F3" s="671"/>
      <c r="G3" s="671"/>
      <c r="H3" s="5"/>
      <c r="I3" s="671"/>
      <c r="J3" s="671"/>
      <c r="K3" s="671"/>
      <c r="L3" s="671"/>
      <c r="M3" s="671"/>
      <c r="N3" s="683"/>
    </row>
    <row r="4" ht="18" spans="1:14">
      <c r="A4" s="4"/>
      <c r="B4" s="4"/>
      <c r="C4" s="4"/>
      <c r="D4" s="4"/>
      <c r="E4" s="672" t="s">
        <v>19</v>
      </c>
      <c r="F4" s="672" t="s">
        <v>19</v>
      </c>
      <c r="G4" s="672" t="s">
        <v>19</v>
      </c>
      <c r="H4" s="672" t="s">
        <v>19</v>
      </c>
      <c r="I4" s="672" t="s">
        <v>19</v>
      </c>
      <c r="J4" s="672" t="s">
        <v>19</v>
      </c>
      <c r="K4" s="672" t="s">
        <v>19</v>
      </c>
      <c r="L4" s="672" t="s">
        <v>19</v>
      </c>
      <c r="M4" s="672" t="s">
        <v>19</v>
      </c>
      <c r="N4" s="684" t="s">
        <v>19</v>
      </c>
    </row>
    <row r="5" ht="18" spans="1:14">
      <c r="A5" s="4">
        <v>1</v>
      </c>
      <c r="B5" s="11" t="s">
        <v>203</v>
      </c>
      <c r="C5" s="43" t="s">
        <v>204</v>
      </c>
      <c r="D5" s="43" t="s">
        <v>30</v>
      </c>
      <c r="E5" s="673">
        <f>'[2]Annual &amp; Monthly'!$H$36</f>
        <v>218287.583333333</v>
      </c>
      <c r="F5" s="674">
        <v>50000</v>
      </c>
      <c r="G5" s="674"/>
      <c r="H5" s="675">
        <f t="shared" ref="H5:H12" si="0">E5+F5+G5</f>
        <v>268287.583333333</v>
      </c>
      <c r="I5" s="675">
        <f>50000</f>
        <v>50000</v>
      </c>
      <c r="J5" s="675"/>
      <c r="K5" s="675">
        <v>29305.1955466667</v>
      </c>
      <c r="L5" s="676">
        <f>218287.583333333*0.08</f>
        <v>17463.0066666666</v>
      </c>
      <c r="M5" s="676">
        <f>I5+J5+K5+L5</f>
        <v>96768.2022133333</v>
      </c>
      <c r="N5" s="685">
        <f t="shared" ref="N5:N12" si="1">H5-M5</f>
        <v>171519.38112</v>
      </c>
    </row>
    <row r="6" ht="18" spans="1:14">
      <c r="A6" s="4">
        <v>2</v>
      </c>
      <c r="B6" s="11" t="s">
        <v>183</v>
      </c>
      <c r="C6" s="43" t="s">
        <v>205</v>
      </c>
      <c r="D6" s="43" t="s">
        <v>47</v>
      </c>
      <c r="E6" s="673">
        <f>'[2]Annual &amp; Monthly'!$H$40</f>
        <v>390248.916666667</v>
      </c>
      <c r="F6" s="674">
        <f>70000</f>
        <v>70000</v>
      </c>
      <c r="G6" s="674"/>
      <c r="H6" s="676">
        <f t="shared" si="0"/>
        <v>460248.916666667</v>
      </c>
      <c r="I6" s="675">
        <v>50000</v>
      </c>
      <c r="J6" s="675"/>
      <c r="K6" s="675">
        <v>61040.2353066667</v>
      </c>
      <c r="L6" s="85">
        <f>390248.916666667*0.08</f>
        <v>31219.9133333334</v>
      </c>
      <c r="M6" s="676">
        <f t="shared" ref="M6:M12" si="2">I6+J6+K6+L6</f>
        <v>142260.14864</v>
      </c>
      <c r="N6" s="685">
        <f t="shared" si="1"/>
        <v>317988.768026667</v>
      </c>
    </row>
    <row r="7" ht="18" spans="1:14">
      <c r="A7" s="4">
        <v>3</v>
      </c>
      <c r="B7" s="11" t="s">
        <v>206</v>
      </c>
      <c r="C7" s="43" t="s">
        <v>207</v>
      </c>
      <c r="D7" s="43" t="s">
        <v>24</v>
      </c>
      <c r="E7" s="673">
        <f>'[2]Annual &amp; Monthly'!$H$37</f>
        <v>255849</v>
      </c>
      <c r="F7" s="674">
        <f>60000</f>
        <v>60000</v>
      </c>
      <c r="G7" s="674"/>
      <c r="H7" s="676">
        <f t="shared" si="0"/>
        <v>315849</v>
      </c>
      <c r="I7" s="675">
        <v>20000</v>
      </c>
      <c r="J7" s="675"/>
      <c r="K7" s="675">
        <v>36790.6881066667</v>
      </c>
      <c r="L7" s="676">
        <f>255849*0.08</f>
        <v>20467.92</v>
      </c>
      <c r="M7" s="676">
        <f t="shared" si="2"/>
        <v>77258.6081066667</v>
      </c>
      <c r="N7" s="685">
        <f t="shared" si="1"/>
        <v>238590.391893333</v>
      </c>
    </row>
    <row r="8" ht="36" spans="1:14">
      <c r="A8" s="4">
        <v>4</v>
      </c>
      <c r="B8" s="11" t="s">
        <v>208</v>
      </c>
      <c r="C8" s="43" t="s">
        <v>209</v>
      </c>
      <c r="D8" s="43" t="s">
        <v>30</v>
      </c>
      <c r="E8" s="673">
        <v>218287.583333333</v>
      </c>
      <c r="F8" s="674">
        <f>50000</f>
        <v>50000</v>
      </c>
      <c r="G8" s="674"/>
      <c r="H8" s="676">
        <f t="shared" si="0"/>
        <v>268287.583333333</v>
      </c>
      <c r="I8" s="675">
        <v>100000</v>
      </c>
      <c r="J8" s="675"/>
      <c r="K8" s="675">
        <v>29305.1955466667</v>
      </c>
      <c r="L8" s="676">
        <f>218287.583333333*0.08</f>
        <v>17463.0066666666</v>
      </c>
      <c r="M8" s="676">
        <f t="shared" si="2"/>
        <v>146768.202213333</v>
      </c>
      <c r="N8" s="685">
        <f t="shared" si="1"/>
        <v>121519.38112</v>
      </c>
    </row>
    <row r="9" ht="18" spans="1:14">
      <c r="A9" s="4">
        <v>5</v>
      </c>
      <c r="B9" s="11" t="s">
        <v>210</v>
      </c>
      <c r="C9" s="43" t="s">
        <v>211</v>
      </c>
      <c r="D9" s="43" t="s">
        <v>37</v>
      </c>
      <c r="E9" s="673">
        <f>'[2]Annual &amp; Monthly'!$H$38</f>
        <v>293029.666666667</v>
      </c>
      <c r="F9" s="674">
        <f>60000</f>
        <v>60000</v>
      </c>
      <c r="G9" s="674"/>
      <c r="H9" s="676">
        <f t="shared" si="0"/>
        <v>353029.666666667</v>
      </c>
      <c r="I9" s="675">
        <v>40000</v>
      </c>
      <c r="J9" s="675"/>
      <c r="K9" s="675">
        <v>42537.3319466667</v>
      </c>
      <c r="L9" s="676">
        <f>293029.666666667*0.08</f>
        <v>23442.3733333334</v>
      </c>
      <c r="M9" s="676">
        <f t="shared" si="2"/>
        <v>105979.70528</v>
      </c>
      <c r="N9" s="685">
        <f t="shared" si="1"/>
        <v>247049.961386667</v>
      </c>
    </row>
    <row r="10" ht="36" spans="1:14">
      <c r="A10" s="4">
        <v>6</v>
      </c>
      <c r="B10" s="11" t="s">
        <v>212</v>
      </c>
      <c r="C10" s="43" t="s">
        <v>213</v>
      </c>
      <c r="D10" s="43" t="s">
        <v>47</v>
      </c>
      <c r="E10" s="673">
        <v>390248.916666667</v>
      </c>
      <c r="F10" s="674">
        <f>120000</f>
        <v>120000</v>
      </c>
      <c r="G10" s="674"/>
      <c r="H10" s="676">
        <f t="shared" si="0"/>
        <v>510248.916666667</v>
      </c>
      <c r="I10" s="675"/>
      <c r="J10" s="675"/>
      <c r="K10" s="675">
        <v>70640.2353066667</v>
      </c>
      <c r="L10" s="85">
        <f>390248.916666667*0.08</f>
        <v>31219.9133333334</v>
      </c>
      <c r="M10" s="676">
        <f t="shared" si="2"/>
        <v>101860.14864</v>
      </c>
      <c r="N10" s="685">
        <f t="shared" si="1"/>
        <v>408388.768026667</v>
      </c>
    </row>
    <row r="11" ht="18" spans="1:14">
      <c r="A11" s="4">
        <v>7</v>
      </c>
      <c r="B11" s="11" t="s">
        <v>190</v>
      </c>
      <c r="C11" s="43" t="s">
        <v>214</v>
      </c>
      <c r="D11" s="43" t="s">
        <v>30</v>
      </c>
      <c r="E11" s="673">
        <f>218287.583333333</f>
        <v>218287.583333333</v>
      </c>
      <c r="F11" s="677">
        <f>50000</f>
        <v>50000</v>
      </c>
      <c r="G11" s="677"/>
      <c r="H11" s="676">
        <f t="shared" si="0"/>
        <v>268287.583333333</v>
      </c>
      <c r="I11" s="675"/>
      <c r="J11" s="675"/>
      <c r="K11" s="675">
        <v>29305.1955466666</v>
      </c>
      <c r="L11" s="676">
        <f t="shared" ref="L11:L12" si="3">218287.583333333*0.08</f>
        <v>17463.0066666666</v>
      </c>
      <c r="M11" s="676">
        <f t="shared" si="2"/>
        <v>46768.2022133332</v>
      </c>
      <c r="N11" s="685">
        <f t="shared" si="1"/>
        <v>221519.38112</v>
      </c>
    </row>
    <row r="12" ht="36" spans="1:14">
      <c r="A12" s="4">
        <v>8</v>
      </c>
      <c r="B12" s="11" t="s">
        <v>191</v>
      </c>
      <c r="C12" s="43" t="s">
        <v>214</v>
      </c>
      <c r="D12" s="43" t="s">
        <v>30</v>
      </c>
      <c r="E12" s="673">
        <f>218287.583333333</f>
        <v>218287.583333333</v>
      </c>
      <c r="F12" s="677">
        <f>50000</f>
        <v>50000</v>
      </c>
      <c r="G12" s="677"/>
      <c r="H12" s="676">
        <f t="shared" si="0"/>
        <v>268287.583333333</v>
      </c>
      <c r="I12" s="675"/>
      <c r="J12" s="675"/>
      <c r="K12" s="675">
        <v>29305.1955466666</v>
      </c>
      <c r="L12" s="676">
        <f t="shared" si="3"/>
        <v>17463.0066666666</v>
      </c>
      <c r="M12" s="676">
        <f t="shared" si="2"/>
        <v>46768.2022133332</v>
      </c>
      <c r="N12" s="685">
        <f t="shared" si="1"/>
        <v>221519.38112</v>
      </c>
    </row>
    <row r="13" ht="24" customHeight="1" spans="1:14">
      <c r="A13" s="10"/>
      <c r="B13" s="678" t="s">
        <v>33</v>
      </c>
      <c r="C13" s="20"/>
      <c r="D13" s="20"/>
      <c r="E13" s="679">
        <f>SUM(E5:E12)</f>
        <v>2202526.83333333</v>
      </c>
      <c r="F13" s="679">
        <f t="shared" ref="F13:N13" si="4">SUM(F5:F12)</f>
        <v>510000</v>
      </c>
      <c r="G13" s="679">
        <f t="shared" si="4"/>
        <v>0</v>
      </c>
      <c r="H13" s="679">
        <f t="shared" si="4"/>
        <v>2712526.83333333</v>
      </c>
      <c r="I13" s="679">
        <f t="shared" si="4"/>
        <v>260000</v>
      </c>
      <c r="J13" s="679">
        <f t="shared" si="4"/>
        <v>0</v>
      </c>
      <c r="K13" s="679">
        <f t="shared" si="4"/>
        <v>328229.272853333</v>
      </c>
      <c r="L13" s="679">
        <f t="shared" si="4"/>
        <v>176202.146666667</v>
      </c>
      <c r="M13" s="679">
        <f t="shared" si="4"/>
        <v>764431.41952</v>
      </c>
      <c r="N13" s="686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A4" workbookViewId="0">
      <selection activeCell="G16" sqref="G1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203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15" customFormat="1" ht="18" spans="1:29">
      <c r="A7" s="616">
        <v>4</v>
      </c>
      <c r="B7" s="11" t="s">
        <v>183</v>
      </c>
      <c r="C7" s="618">
        <v>460248.916666667</v>
      </c>
      <c r="D7" s="619">
        <v>12</v>
      </c>
      <c r="E7" s="620">
        <f t="shared" ref="E7:E13" si="13">C7*D7</f>
        <v>5522987</v>
      </c>
      <c r="F7" s="620"/>
      <c r="G7" s="620">
        <v>374638.96</v>
      </c>
      <c r="H7" s="620"/>
      <c r="I7" s="620">
        <f t="shared" si="0"/>
        <v>5148348.04</v>
      </c>
      <c r="J7" s="620">
        <v>200000</v>
      </c>
      <c r="K7" s="620">
        <v>0.2</v>
      </c>
      <c r="L7" s="620">
        <f t="shared" si="1"/>
        <v>1029669.608</v>
      </c>
      <c r="M7" s="620">
        <f t="shared" si="2"/>
        <v>1229669.608</v>
      </c>
      <c r="N7" s="620">
        <f t="shared" si="3"/>
        <v>1604308.568</v>
      </c>
      <c r="O7" s="620">
        <f t="shared" si="4"/>
        <v>3918678.432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336000</v>
      </c>
      <c r="U7" s="620">
        <f t="shared" ref="U7:U11" si="14">24%*(O7-3200000)</f>
        <v>172482.823680001</v>
      </c>
      <c r="V7" s="620">
        <f t="shared" si="10"/>
        <v>732482.823680001</v>
      </c>
      <c r="W7" s="623">
        <v>12</v>
      </c>
      <c r="X7" s="620">
        <f t="shared" si="11"/>
        <v>61040.2353066667</v>
      </c>
      <c r="Y7" s="620"/>
      <c r="Z7" s="478">
        <f t="shared" si="12"/>
        <v>61040.2353066667</v>
      </c>
      <c r="AA7" s="624"/>
      <c r="AB7" s="624"/>
      <c r="AC7" s="624"/>
    </row>
    <row r="8" s="615" customFormat="1" ht="18" spans="1:29">
      <c r="A8" s="616">
        <v>5</v>
      </c>
      <c r="B8" s="11" t="s">
        <v>206</v>
      </c>
      <c r="C8" s="618">
        <v>315849</v>
      </c>
      <c r="D8" s="619">
        <v>12</v>
      </c>
      <c r="E8" s="620">
        <f t="shared" si="13"/>
        <v>3790188</v>
      </c>
      <c r="F8" s="620"/>
      <c r="G8" s="620">
        <v>245615.04</v>
      </c>
      <c r="H8" s="620"/>
      <c r="I8" s="620">
        <f t="shared" si="0"/>
        <v>3544572.96</v>
      </c>
      <c r="J8" s="620">
        <v>200000</v>
      </c>
      <c r="K8" s="620">
        <v>0.2</v>
      </c>
      <c r="L8" s="620">
        <f t="shared" si="1"/>
        <v>708914.592</v>
      </c>
      <c r="M8" s="620">
        <f t="shared" si="2"/>
        <v>908914.592</v>
      </c>
      <c r="N8" s="620">
        <f t="shared" si="3"/>
        <v>1154529.632</v>
      </c>
      <c r="O8" s="620">
        <f t="shared" si="4"/>
        <v>2635658.368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217488.25728</v>
      </c>
      <c r="U8" s="620"/>
      <c r="V8" s="620">
        <f t="shared" si="10"/>
        <v>441488.25728</v>
      </c>
      <c r="W8" s="623">
        <v>12</v>
      </c>
      <c r="X8" s="620">
        <f t="shared" si="11"/>
        <v>36790.6881066667</v>
      </c>
      <c r="Y8" s="620"/>
      <c r="Z8" s="478">
        <f t="shared" si="12"/>
        <v>36790.6881066667</v>
      </c>
      <c r="AA8" s="624"/>
      <c r="AB8" s="624"/>
      <c r="AC8" s="624"/>
    </row>
    <row r="9" ht="18" spans="1:29">
      <c r="A9" s="464">
        <v>6</v>
      </c>
      <c r="B9" s="11" t="s">
        <v>208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15" customFormat="1" ht="18" spans="1:29">
      <c r="A10" s="616">
        <v>7</v>
      </c>
      <c r="B10" s="11" t="s">
        <v>210</v>
      </c>
      <c r="C10" s="618">
        <v>353029.666666667</v>
      </c>
      <c r="D10" s="619">
        <v>12</v>
      </c>
      <c r="E10" s="620">
        <f t="shared" si="13"/>
        <v>4236356</v>
      </c>
      <c r="F10" s="620"/>
      <c r="G10" s="620">
        <v>281308.48</v>
      </c>
      <c r="H10" s="620"/>
      <c r="I10" s="620">
        <f t="shared" si="0"/>
        <v>3955047.52</v>
      </c>
      <c r="J10" s="620">
        <v>200000</v>
      </c>
      <c r="K10" s="620">
        <v>0.2</v>
      </c>
      <c r="L10" s="620">
        <f t="shared" si="1"/>
        <v>791009.504000001</v>
      </c>
      <c r="M10" s="620">
        <f t="shared" si="2"/>
        <v>991009.504000001</v>
      </c>
      <c r="N10" s="620">
        <f t="shared" si="3"/>
        <v>1272317.984</v>
      </c>
      <c r="O10" s="620">
        <f t="shared" si="4"/>
        <v>2964038.016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95000</v>
      </c>
      <c r="T10" s="620">
        <f t="shared" si="9"/>
        <v>286447.983360001</v>
      </c>
      <c r="U10" s="620"/>
      <c r="V10" s="620">
        <f t="shared" si="10"/>
        <v>510447.983360001</v>
      </c>
      <c r="W10" s="623">
        <v>12</v>
      </c>
      <c r="X10" s="620">
        <f t="shared" si="11"/>
        <v>42537.3319466667</v>
      </c>
      <c r="Y10" s="620"/>
      <c r="Z10" s="478">
        <f t="shared" si="12"/>
        <v>42537.3319466667</v>
      </c>
      <c r="AA10" s="624"/>
      <c r="AB10" s="624"/>
      <c r="AC10" s="624"/>
    </row>
    <row r="11" s="615" customFormat="1" ht="18" spans="1:29">
      <c r="A11" s="616">
        <v>8</v>
      </c>
      <c r="B11" s="11" t="s">
        <v>212</v>
      </c>
      <c r="C11" s="618">
        <v>510248.916666667</v>
      </c>
      <c r="D11" s="619">
        <v>12</v>
      </c>
      <c r="E11" s="620">
        <f t="shared" si="13"/>
        <v>6122987</v>
      </c>
      <c r="F11" s="620"/>
      <c r="G11" s="620">
        <v>374638.96</v>
      </c>
      <c r="H11" s="620"/>
      <c r="I11" s="620">
        <f t="shared" si="0"/>
        <v>5748348.04</v>
      </c>
      <c r="J11" s="620">
        <v>200000</v>
      </c>
      <c r="K11" s="620">
        <v>0.2</v>
      </c>
      <c r="L11" s="620">
        <f t="shared" si="1"/>
        <v>1149669.608</v>
      </c>
      <c r="M11" s="620">
        <f t="shared" si="2"/>
        <v>1349669.608</v>
      </c>
      <c r="N11" s="620">
        <f t="shared" si="3"/>
        <v>1724308.568</v>
      </c>
      <c r="O11" s="620">
        <f t="shared" si="4"/>
        <v>4398678.432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95000</v>
      </c>
      <c r="T11" s="620">
        <f t="shared" si="9"/>
        <v>336000</v>
      </c>
      <c r="U11" s="620">
        <f t="shared" si="14"/>
        <v>287682.823680001</v>
      </c>
      <c r="V11" s="620">
        <f t="shared" si="10"/>
        <v>847682.823680001</v>
      </c>
      <c r="W11" s="623">
        <v>12</v>
      </c>
      <c r="X11" s="620">
        <f t="shared" si="11"/>
        <v>70640.2353066667</v>
      </c>
      <c r="Y11" s="620"/>
      <c r="Z11" s="478">
        <f t="shared" si="12"/>
        <v>70640.2353066667</v>
      </c>
      <c r="AA11" s="624"/>
      <c r="AB11" s="624"/>
      <c r="AC11" s="624"/>
    </row>
    <row r="12" ht="18" spans="1:29">
      <c r="A12" s="464">
        <v>9</v>
      </c>
      <c r="B12" s="11" t="s">
        <v>190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15" customFormat="1" ht="18" spans="1:29">
      <c r="A13" s="616">
        <v>10</v>
      </c>
      <c r="B13" s="11" t="s">
        <v>191</v>
      </c>
      <c r="C13" s="618">
        <v>268287.583333333</v>
      </c>
      <c r="D13" s="619">
        <v>12</v>
      </c>
      <c r="E13" s="620">
        <f t="shared" si="13"/>
        <v>3219451</v>
      </c>
      <c r="F13" s="620"/>
      <c r="G13" s="620">
        <v>209556.08</v>
      </c>
      <c r="H13" s="620"/>
      <c r="I13" s="620">
        <f t="shared" si="0"/>
        <v>3009894.92</v>
      </c>
      <c r="J13" s="620">
        <v>200000</v>
      </c>
      <c r="K13" s="620">
        <v>0.2</v>
      </c>
      <c r="L13" s="620">
        <f t="shared" si="1"/>
        <v>601978.983999999</v>
      </c>
      <c r="M13" s="620">
        <f t="shared" si="2"/>
        <v>801978.983999999</v>
      </c>
      <c r="N13" s="620">
        <f t="shared" si="3"/>
        <v>1011535.064</v>
      </c>
      <c r="O13" s="620">
        <f t="shared" si="4"/>
        <v>2207915.936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127662.346559999</v>
      </c>
      <c r="U13" s="620"/>
      <c r="V13" s="620">
        <f t="shared" si="10"/>
        <v>351662.346559999</v>
      </c>
      <c r="W13" s="623">
        <v>12</v>
      </c>
      <c r="X13" s="620">
        <f t="shared" si="11"/>
        <v>29305.1955466666</v>
      </c>
      <c r="Y13" s="620"/>
      <c r="Z13" s="478">
        <f t="shared" si="12"/>
        <v>29305.1955466666</v>
      </c>
      <c r="AA13" s="624"/>
      <c r="AB13" s="624"/>
      <c r="AC13" s="624"/>
    </row>
    <row r="14" ht="26.25" customHeight="1" spans="2:26">
      <c r="B14" s="496" t="s">
        <v>215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216</v>
      </c>
      <c r="D16" s="296">
        <v>12</v>
      </c>
      <c r="E16" s="479" t="s">
        <v>217</v>
      </c>
      <c r="F16" s="498"/>
    </row>
    <row r="17" ht="18" spans="1:26">
      <c r="A17" s="664"/>
      <c r="B17" s="11" t="s">
        <v>203</v>
      </c>
      <c r="C17" s="665">
        <f>218287.583333333*0.08</f>
        <v>17463.0066666666</v>
      </c>
      <c r="D17" s="666">
        <v>12</v>
      </c>
      <c r="E17" s="667">
        <f>C17*D17</f>
        <v>209556.08</v>
      </c>
      <c r="F17" s="499"/>
      <c r="Z17" s="494"/>
    </row>
    <row r="18" ht="18" spans="1:5">
      <c r="A18" s="664"/>
      <c r="B18" s="11" t="s">
        <v>183</v>
      </c>
      <c r="C18" s="646">
        <f>390248.916666667*0.08</f>
        <v>31219.9133333334</v>
      </c>
      <c r="D18" s="666">
        <v>12</v>
      </c>
      <c r="E18" s="667">
        <f t="shared" ref="E18:E24" si="15">C18*D18</f>
        <v>374638.96</v>
      </c>
    </row>
    <row r="19" ht="18" spans="1:5">
      <c r="A19" s="664"/>
      <c r="B19" s="11" t="s">
        <v>206</v>
      </c>
      <c r="C19" s="665">
        <f>255849*0.08</f>
        <v>20467.92</v>
      </c>
      <c r="D19" s="666">
        <v>12</v>
      </c>
      <c r="E19" s="667">
        <f t="shared" si="15"/>
        <v>245615.04</v>
      </c>
    </row>
    <row r="20" ht="18" spans="1:5">
      <c r="A20" s="664"/>
      <c r="B20" s="11" t="s">
        <v>208</v>
      </c>
      <c r="C20" s="665">
        <f>218287.583333333*0.08</f>
        <v>17463.0066666666</v>
      </c>
      <c r="D20" s="666">
        <v>12</v>
      </c>
      <c r="E20" s="667">
        <f t="shared" si="15"/>
        <v>209556.08</v>
      </c>
    </row>
    <row r="21" ht="18" spans="1:5">
      <c r="A21" s="664"/>
      <c r="B21" s="11" t="s">
        <v>210</v>
      </c>
      <c r="C21" s="665">
        <f>293029.666666667*0.08</f>
        <v>23442.3733333334</v>
      </c>
      <c r="D21" s="666">
        <v>12</v>
      </c>
      <c r="E21" s="667">
        <f t="shared" si="15"/>
        <v>281308.48</v>
      </c>
    </row>
    <row r="22" ht="18" spans="1:5">
      <c r="A22" s="664"/>
      <c r="B22" s="11" t="s">
        <v>212</v>
      </c>
      <c r="C22" s="646">
        <f>390248.916666667*0.08</f>
        <v>31219.9133333334</v>
      </c>
      <c r="D22" s="666">
        <v>12</v>
      </c>
      <c r="E22" s="667">
        <f t="shared" si="15"/>
        <v>374638.96</v>
      </c>
    </row>
    <row r="23" ht="18" spans="1:5">
      <c r="A23" s="664"/>
      <c r="B23" s="11" t="s">
        <v>190</v>
      </c>
      <c r="C23" s="665">
        <f t="shared" ref="C23:C24" si="16">218287.583333333*0.08</f>
        <v>17463.0066666666</v>
      </c>
      <c r="D23" s="666">
        <v>12</v>
      </c>
      <c r="E23" s="667">
        <f t="shared" si="15"/>
        <v>209556.08</v>
      </c>
    </row>
    <row r="24" ht="18" spans="1:5">
      <c r="A24" s="664"/>
      <c r="B24" s="11" t="s">
        <v>191</v>
      </c>
      <c r="C24" s="665">
        <f t="shared" si="16"/>
        <v>17463.0066666666</v>
      </c>
      <c r="D24" s="666">
        <v>12</v>
      </c>
      <c r="E24" s="667">
        <f t="shared" si="15"/>
        <v>209556.08</v>
      </c>
    </row>
    <row r="25" ht="15.5" spans="3:5">
      <c r="C25" s="668"/>
      <c r="D25" s="668"/>
      <c r="E25" s="668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42" t="s">
        <v>3</v>
      </c>
      <c r="D3" s="79" t="s">
        <v>4</v>
      </c>
      <c r="E3" s="643" t="s">
        <v>5</v>
      </c>
      <c r="F3" s="643" t="s">
        <v>6</v>
      </c>
      <c r="G3" s="643" t="s">
        <v>7</v>
      </c>
      <c r="H3" s="643" t="s">
        <v>7</v>
      </c>
      <c r="I3" s="643" t="s">
        <v>8</v>
      </c>
      <c r="J3" s="650" t="s">
        <v>9</v>
      </c>
      <c r="K3" s="643" t="s">
        <v>10</v>
      </c>
      <c r="L3" s="643" t="s">
        <v>11</v>
      </c>
      <c r="M3" s="643" t="s">
        <v>12</v>
      </c>
      <c r="N3" s="643" t="s">
        <v>13</v>
      </c>
      <c r="O3" s="651" t="s">
        <v>14</v>
      </c>
      <c r="P3" s="643" t="s">
        <v>15</v>
      </c>
      <c r="Q3" s="655" t="s">
        <v>16</v>
      </c>
      <c r="R3" s="319" t="s">
        <v>218</v>
      </c>
      <c r="S3" s="656" t="s">
        <v>219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95">
        <v>1</v>
      </c>
      <c r="B5" s="644" t="s">
        <v>220</v>
      </c>
      <c r="C5" s="86" t="s">
        <v>221</v>
      </c>
      <c r="D5" s="645" t="s">
        <v>222</v>
      </c>
      <c r="E5" s="646">
        <v>601396.833333333</v>
      </c>
      <c r="F5" s="646"/>
      <c r="G5" s="647">
        <f>160000</f>
        <v>160000</v>
      </c>
      <c r="H5" s="647"/>
      <c r="I5" s="652">
        <v>0</v>
      </c>
      <c r="J5" s="653">
        <f t="shared" ref="J5:J6" si="0">SUM(E5:I5)</f>
        <v>761396.833333333</v>
      </c>
      <c r="K5" s="646"/>
      <c r="L5" s="646"/>
      <c r="M5" s="646"/>
      <c r="N5" s="646">
        <v>0</v>
      </c>
      <c r="O5" s="646">
        <v>124854.858666667</v>
      </c>
      <c r="P5" s="646"/>
      <c r="Q5" s="657">
        <f t="shared" ref="Q5:Q8" si="1">O5+N5+M5+L5+K5+P5</f>
        <v>124854.858666667</v>
      </c>
      <c r="R5" s="646">
        <v>636541.974666667</v>
      </c>
      <c r="S5" s="653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223</v>
      </c>
      <c r="C6" s="83" t="s">
        <v>224</v>
      </c>
      <c r="D6" s="95" t="s">
        <v>225</v>
      </c>
      <c r="E6" s="646">
        <v>620675.583333333</v>
      </c>
      <c r="F6" s="646"/>
      <c r="G6" s="647">
        <v>160000</v>
      </c>
      <c r="H6" s="647"/>
      <c r="I6" s="652">
        <v>0</v>
      </c>
      <c r="J6" s="653">
        <f t="shared" si="0"/>
        <v>780675.583333333</v>
      </c>
      <c r="K6" s="646"/>
      <c r="L6" s="646">
        <f>50000</f>
        <v>50000</v>
      </c>
      <c r="M6" s="646">
        <f>59583.33</f>
        <v>59583.33</v>
      </c>
      <c r="N6" s="646"/>
      <c r="O6" s="646">
        <f>128556.38</f>
        <v>128556.38</v>
      </c>
      <c r="P6" s="646"/>
      <c r="Q6" s="657">
        <f t="shared" si="1"/>
        <v>238139.71</v>
      </c>
      <c r="R6" s="646">
        <v>542535.873333333</v>
      </c>
      <c r="S6" s="653">
        <f t="shared" si="2"/>
        <v>542535.873333333</v>
      </c>
      <c r="T6" s="13"/>
    </row>
    <row r="7" s="641" customFormat="1" ht="29.1" customHeight="1" spans="1:20">
      <c r="A7" s="95">
        <v>3</v>
      </c>
      <c r="B7" s="644" t="s">
        <v>226</v>
      </c>
      <c r="C7" s="83" t="s">
        <v>227</v>
      </c>
      <c r="D7" s="645" t="s">
        <v>228</v>
      </c>
      <c r="E7" s="646">
        <v>582118.083333333</v>
      </c>
      <c r="F7" s="646"/>
      <c r="G7" s="647"/>
      <c r="H7" s="647">
        <f>80000</f>
        <v>80000</v>
      </c>
      <c r="I7" s="646">
        <v>0</v>
      </c>
      <c r="J7" s="653">
        <f t="shared" ref="J7" si="3">SUM(E7:I7)</f>
        <v>662118.083333333</v>
      </c>
      <c r="K7" s="646"/>
      <c r="L7" s="646">
        <f>100000</f>
        <v>100000</v>
      </c>
      <c r="M7" s="646">
        <f>103000</f>
        <v>103000</v>
      </c>
      <c r="N7" s="646">
        <v>0</v>
      </c>
      <c r="O7" s="646">
        <v>105793.338666667</v>
      </c>
      <c r="P7" s="646"/>
      <c r="Q7" s="657">
        <f t="shared" si="1"/>
        <v>308793.338666667</v>
      </c>
      <c r="R7" s="646">
        <v>353324.744666667</v>
      </c>
      <c r="S7" s="653">
        <f t="shared" si="2"/>
        <v>353324.744666666</v>
      </c>
      <c r="T7" s="658"/>
    </row>
    <row r="8" s="641" customFormat="1" ht="20.1" customHeight="1" spans="1:20">
      <c r="A8" s="95">
        <v>4</v>
      </c>
      <c r="B8" s="648" t="s">
        <v>229</v>
      </c>
      <c r="C8" s="83" t="s">
        <v>230</v>
      </c>
      <c r="D8" s="645" t="s">
        <v>231</v>
      </c>
      <c r="E8" s="646">
        <v>762373.166666667</v>
      </c>
      <c r="F8" s="646"/>
      <c r="G8" s="647"/>
      <c r="H8" s="647">
        <v>90000</v>
      </c>
      <c r="I8" s="646"/>
      <c r="J8" s="653">
        <f t="shared" ref="J8" si="4">SUM(E8:I8)</f>
        <v>852373.166666667</v>
      </c>
      <c r="K8" s="646"/>
      <c r="L8" s="654">
        <v>50000</v>
      </c>
      <c r="M8" s="654">
        <v>200000</v>
      </c>
      <c r="O8" s="646">
        <v>142322.314666667</v>
      </c>
      <c r="P8" s="646"/>
      <c r="Q8" s="657">
        <f t="shared" si="1"/>
        <v>392322.314666667</v>
      </c>
      <c r="R8" s="646">
        <v>460050.852</v>
      </c>
      <c r="S8" s="653">
        <f t="shared" si="2"/>
        <v>460050.852</v>
      </c>
      <c r="T8" s="658"/>
    </row>
    <row r="9" ht="29.1" customHeight="1" spans="5:19">
      <c r="E9" s="649">
        <f>SUM(E5:E8)</f>
        <v>2566563.66666667</v>
      </c>
      <c r="F9" s="649">
        <f t="shared" ref="F9:S9" si="5">SUM(F5:F8)</f>
        <v>0</v>
      </c>
      <c r="G9" s="649">
        <f t="shared" si="5"/>
        <v>320000</v>
      </c>
      <c r="H9" s="649">
        <f t="shared" si="5"/>
        <v>170000</v>
      </c>
      <c r="I9" s="649">
        <f t="shared" si="5"/>
        <v>0</v>
      </c>
      <c r="J9" s="649">
        <f t="shared" si="5"/>
        <v>3056563.66666667</v>
      </c>
      <c r="K9" s="649">
        <f t="shared" si="5"/>
        <v>0</v>
      </c>
      <c r="L9" s="649">
        <f t="shared" si="5"/>
        <v>200000</v>
      </c>
      <c r="M9" s="649">
        <f t="shared" si="5"/>
        <v>362583.33</v>
      </c>
      <c r="N9" s="649">
        <f t="shared" si="5"/>
        <v>0</v>
      </c>
      <c r="O9" s="649">
        <f t="shared" si="5"/>
        <v>501526.892000001</v>
      </c>
      <c r="P9" s="649">
        <f t="shared" si="5"/>
        <v>0</v>
      </c>
      <c r="Q9" s="649">
        <f t="shared" si="5"/>
        <v>1064110.222</v>
      </c>
      <c r="R9" s="649">
        <f t="shared" si="5"/>
        <v>1992453.44466667</v>
      </c>
      <c r="S9" s="649">
        <f t="shared" si="5"/>
        <v>1992453.44466667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11</v>
      </c>
      <c r="M3" s="218" t="s">
        <v>12</v>
      </c>
      <c r="N3" s="218" t="s">
        <v>13</v>
      </c>
      <c r="O3" s="24" t="s">
        <v>14</v>
      </c>
      <c r="P3" s="218" t="s">
        <v>15</v>
      </c>
      <c r="Q3" s="506" t="s">
        <v>16</v>
      </c>
      <c r="R3" s="80" t="s">
        <v>218</v>
      </c>
      <c r="S3" s="640" t="s">
        <v>219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10">
        <v>6</v>
      </c>
      <c r="B5" s="18" t="s">
        <v>232</v>
      </c>
      <c r="C5" s="17" t="s">
        <v>233</v>
      </c>
      <c r="D5" s="10" t="s">
        <v>234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235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633">
        <v>540000</v>
      </c>
      <c r="F7" s="13"/>
    </row>
    <row r="8" customHeight="1" spans="1:6">
      <c r="A8" s="10">
        <v>2</v>
      </c>
      <c r="B8" s="11" t="s">
        <v>239</v>
      </c>
      <c r="C8" s="12" t="s">
        <v>240</v>
      </c>
      <c r="D8" s="10" t="s">
        <v>234</v>
      </c>
      <c r="E8" s="633">
        <v>180000</v>
      </c>
      <c r="F8" s="13"/>
    </row>
    <row r="9" customHeight="1" spans="1:6">
      <c r="A9" s="10">
        <v>3</v>
      </c>
      <c r="B9" s="14" t="s">
        <v>241</v>
      </c>
      <c r="C9" s="4" t="s">
        <v>242</v>
      </c>
      <c r="D9" s="10" t="s">
        <v>234</v>
      </c>
      <c r="E9" s="633">
        <v>180000</v>
      </c>
      <c r="F9" s="13"/>
    </row>
    <row r="10" customHeight="1" spans="1:6">
      <c r="A10" s="10">
        <v>4</v>
      </c>
      <c r="B10" s="11" t="s">
        <v>243</v>
      </c>
      <c r="C10" s="17" t="s">
        <v>244</v>
      </c>
      <c r="D10" s="10" t="s">
        <v>234</v>
      </c>
      <c r="E10" s="633">
        <v>180000</v>
      </c>
      <c r="F10" s="13"/>
    </row>
    <row r="11" customHeight="1" spans="1:6">
      <c r="A11" s="10">
        <v>5</v>
      </c>
      <c r="B11" s="14" t="s">
        <v>245</v>
      </c>
      <c r="C11" s="4" t="s">
        <v>246</v>
      </c>
      <c r="D11" s="10" t="s">
        <v>234</v>
      </c>
      <c r="E11" s="633">
        <v>180000</v>
      </c>
      <c r="F11" s="13"/>
    </row>
    <row r="12" customHeight="1" spans="1:6">
      <c r="A12" s="10">
        <v>6</v>
      </c>
      <c r="B12" s="18" t="s">
        <v>232</v>
      </c>
      <c r="C12" s="17" t="s">
        <v>233</v>
      </c>
      <c r="D12" s="10" t="s">
        <v>234</v>
      </c>
      <c r="E12" s="633">
        <v>180000</v>
      </c>
      <c r="F12" s="13"/>
    </row>
    <row r="13" customHeight="1" spans="1:6">
      <c r="A13" s="10">
        <v>7</v>
      </c>
      <c r="B13" s="11" t="s">
        <v>247</v>
      </c>
      <c r="C13" s="12" t="s">
        <v>248</v>
      </c>
      <c r="D13" s="15" t="s">
        <v>249</v>
      </c>
      <c r="E13" s="633">
        <v>126000</v>
      </c>
      <c r="F13" s="13"/>
    </row>
    <row r="14" customHeight="1" spans="1:6">
      <c r="A14" s="10">
        <v>8</v>
      </c>
      <c r="B14" s="11" t="s">
        <v>250</v>
      </c>
      <c r="C14" s="4" t="s">
        <v>251</v>
      </c>
      <c r="D14" s="10" t="s">
        <v>228</v>
      </c>
      <c r="E14" s="633">
        <v>126000</v>
      </c>
      <c r="F14" s="13"/>
    </row>
    <row r="15" customHeight="1" spans="1:6">
      <c r="A15" s="10">
        <v>9</v>
      </c>
      <c r="B15" s="11" t="s">
        <v>252</v>
      </c>
      <c r="C15" s="4" t="s">
        <v>253</v>
      </c>
      <c r="D15" s="15" t="s">
        <v>254</v>
      </c>
      <c r="E15" s="633">
        <v>90000</v>
      </c>
      <c r="F15" s="13"/>
    </row>
    <row r="16" customHeight="1" spans="1:6">
      <c r="A16" s="10">
        <v>10</v>
      </c>
      <c r="B16" s="14" t="s">
        <v>255</v>
      </c>
      <c r="C16" s="17" t="s">
        <v>256</v>
      </c>
      <c r="D16" s="15" t="s">
        <v>257</v>
      </c>
      <c r="E16" s="633">
        <v>90000</v>
      </c>
      <c r="F16" s="13"/>
    </row>
    <row r="17" customHeight="1" spans="1:6">
      <c r="A17" s="10">
        <v>11</v>
      </c>
      <c r="B17" s="11" t="s">
        <v>258</v>
      </c>
      <c r="C17" s="4" t="s">
        <v>259</v>
      </c>
      <c r="D17" s="10" t="s">
        <v>260</v>
      </c>
      <c r="E17" s="633">
        <v>90000</v>
      </c>
      <c r="F17" s="13"/>
    </row>
    <row r="18" customHeight="1" spans="1:5">
      <c r="A18" s="10">
        <v>12</v>
      </c>
      <c r="B18" s="11" t="s">
        <v>261</v>
      </c>
      <c r="C18" s="4" t="s">
        <v>262</v>
      </c>
      <c r="D18" s="10" t="s">
        <v>263</v>
      </c>
      <c r="E18" s="633">
        <v>90000</v>
      </c>
    </row>
    <row r="19" customHeight="1" spans="1:6">
      <c r="A19" s="10">
        <v>13</v>
      </c>
      <c r="B19" s="11" t="s">
        <v>264</v>
      </c>
      <c r="C19" s="12" t="s">
        <v>265</v>
      </c>
      <c r="D19" s="15" t="s">
        <v>266</v>
      </c>
      <c r="E19" s="633">
        <v>90000</v>
      </c>
      <c r="F19" s="13"/>
    </row>
    <row r="20" customHeight="1" spans="1:6">
      <c r="A20" s="10">
        <v>14</v>
      </c>
      <c r="B20" s="18" t="s">
        <v>267</v>
      </c>
      <c r="C20" s="4" t="s">
        <v>268</v>
      </c>
      <c r="D20" s="15" t="s">
        <v>269</v>
      </c>
      <c r="E20" s="633">
        <v>90000</v>
      </c>
      <c r="F20" s="13"/>
    </row>
    <row r="21" ht="18.75" customHeight="1" spans="1:6">
      <c r="A21" s="10">
        <v>15</v>
      </c>
      <c r="B21" s="11" t="s">
        <v>270</v>
      </c>
      <c r="C21" s="12" t="s">
        <v>50</v>
      </c>
      <c r="D21" s="15" t="s">
        <v>271</v>
      </c>
      <c r="E21" s="633">
        <v>68000</v>
      </c>
      <c r="F21" s="13"/>
    </row>
    <row r="22" customHeight="1" spans="1:6">
      <c r="A22" s="10">
        <v>16</v>
      </c>
      <c r="B22" s="14" t="s">
        <v>272</v>
      </c>
      <c r="C22" s="17" t="s">
        <v>273</v>
      </c>
      <c r="D22" s="10" t="s">
        <v>41</v>
      </c>
      <c r="E22" s="633">
        <v>68000</v>
      </c>
      <c r="F22" s="13"/>
    </row>
    <row r="23" ht="21.6" customHeight="1" spans="1:6">
      <c r="A23" s="10">
        <v>17</v>
      </c>
      <c r="B23" s="11" t="s">
        <v>274</v>
      </c>
      <c r="C23" s="17" t="s">
        <v>275</v>
      </c>
      <c r="D23" s="15" t="s">
        <v>41</v>
      </c>
      <c r="E23" s="633">
        <v>68000</v>
      </c>
      <c r="F23" s="13"/>
    </row>
    <row r="24" customHeight="1" spans="1:6">
      <c r="A24" s="10">
        <v>18</v>
      </c>
      <c r="B24" s="14" t="s">
        <v>276</v>
      </c>
      <c r="C24" s="17" t="s">
        <v>277</v>
      </c>
      <c r="D24" s="10" t="s">
        <v>37</v>
      </c>
      <c r="E24" s="633">
        <v>68000</v>
      </c>
      <c r="F24" s="13"/>
    </row>
    <row r="25" ht="18.75" customHeight="1" spans="1:6">
      <c r="A25" s="10">
        <v>19</v>
      </c>
      <c r="B25" s="4" t="s">
        <v>278</v>
      </c>
      <c r="C25" s="4" t="s">
        <v>176</v>
      </c>
      <c r="D25" s="10" t="s">
        <v>279</v>
      </c>
      <c r="E25" s="633">
        <v>54000</v>
      </c>
      <c r="F25" s="13"/>
    </row>
    <row r="26" ht="18.75" customHeight="1" spans="1:6">
      <c r="A26" s="10">
        <v>20</v>
      </c>
      <c r="B26" s="18" t="s">
        <v>280</v>
      </c>
      <c r="C26" s="12" t="s">
        <v>176</v>
      </c>
      <c r="D26" s="15" t="s">
        <v>279</v>
      </c>
      <c r="E26" s="633">
        <v>54000</v>
      </c>
      <c r="F26" s="13"/>
    </row>
    <row r="27" customHeight="1" spans="1:6">
      <c r="A27" s="10">
        <v>21</v>
      </c>
      <c r="B27" s="11" t="s">
        <v>281</v>
      </c>
      <c r="C27" s="17" t="s">
        <v>273</v>
      </c>
      <c r="D27" s="10" t="s">
        <v>279</v>
      </c>
      <c r="E27" s="633">
        <v>54000</v>
      </c>
      <c r="F27" s="13"/>
    </row>
    <row r="28" ht="18.75" customHeight="1" spans="1:6">
      <c r="A28" s="10">
        <v>22</v>
      </c>
      <c r="B28" s="18" t="s">
        <v>282</v>
      </c>
      <c r="C28" s="12" t="s">
        <v>27</v>
      </c>
      <c r="D28" s="15" t="s">
        <v>283</v>
      </c>
      <c r="E28" s="633">
        <v>54000</v>
      </c>
      <c r="F28" s="13"/>
    </row>
    <row r="29" ht="18.75" customHeight="1" spans="1:6">
      <c r="A29" s="10">
        <v>23</v>
      </c>
      <c r="B29" s="18" t="s">
        <v>284</v>
      </c>
      <c r="C29" s="4" t="s">
        <v>285</v>
      </c>
      <c r="D29" s="10" t="s">
        <v>24</v>
      </c>
      <c r="E29" s="633">
        <v>54000</v>
      </c>
      <c r="F29" s="13"/>
    </row>
    <row r="30" ht="18.75" customHeight="1" spans="1:6">
      <c r="A30" s="10">
        <v>24</v>
      </c>
      <c r="B30" s="18" t="s">
        <v>286</v>
      </c>
      <c r="C30" s="4" t="s">
        <v>285</v>
      </c>
      <c r="D30" s="10" t="s">
        <v>24</v>
      </c>
      <c r="E30" s="633">
        <v>54000</v>
      </c>
      <c r="F30" s="13"/>
    </row>
    <row r="31" ht="18.75" customHeight="1" spans="1:6">
      <c r="A31" s="10">
        <v>25</v>
      </c>
      <c r="B31" s="18" t="s">
        <v>287</v>
      </c>
      <c r="C31" s="17" t="s">
        <v>288</v>
      </c>
      <c r="D31" s="15" t="s">
        <v>279</v>
      </c>
      <c r="E31" s="633">
        <v>54000</v>
      </c>
      <c r="F31" s="13"/>
    </row>
    <row r="32" ht="18.75" customHeight="1" spans="1:6">
      <c r="A32" s="10">
        <v>26</v>
      </c>
      <c r="B32" s="18" t="s">
        <v>289</v>
      </c>
      <c r="C32" s="4" t="s">
        <v>290</v>
      </c>
      <c r="D32" s="10" t="s">
        <v>291</v>
      </c>
      <c r="E32" s="633">
        <v>54000</v>
      </c>
      <c r="F32" s="13"/>
    </row>
    <row r="33" ht="18.75" customHeight="1" spans="1:6">
      <c r="A33" s="10">
        <v>27</v>
      </c>
      <c r="B33" s="18" t="s">
        <v>292</v>
      </c>
      <c r="C33" s="12" t="s">
        <v>293</v>
      </c>
      <c r="D33" s="15" t="s">
        <v>294</v>
      </c>
      <c r="E33" s="633">
        <v>54000</v>
      </c>
      <c r="F33" s="13"/>
    </row>
    <row r="34" ht="21" customHeight="1" spans="1:6">
      <c r="A34" s="10"/>
      <c r="B34" s="20" t="s">
        <v>33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34"/>
      <c r="F35" s="13"/>
    </row>
    <row r="36" ht="18.75" customHeight="1" spans="1:6">
      <c r="A36" s="10"/>
      <c r="B36" s="20" t="s">
        <v>34</v>
      </c>
      <c r="C36" s="4"/>
      <c r="D36" s="15"/>
      <c r="E36" s="633"/>
      <c r="F36" s="13"/>
    </row>
    <row r="37" ht="18.75" customHeight="1" spans="1:6">
      <c r="A37" s="10">
        <v>1</v>
      </c>
      <c r="B37" s="18" t="s">
        <v>295</v>
      </c>
      <c r="C37" s="4" t="s">
        <v>296</v>
      </c>
      <c r="D37" s="10" t="s">
        <v>297</v>
      </c>
      <c r="E37" s="633">
        <v>270000</v>
      </c>
      <c r="F37" s="13"/>
    </row>
    <row r="38" ht="18.75" customHeight="1" spans="1:6">
      <c r="A38" s="10">
        <v>2</v>
      </c>
      <c r="B38" s="18" t="s">
        <v>298</v>
      </c>
      <c r="C38" s="4" t="s">
        <v>299</v>
      </c>
      <c r="D38" s="10" t="s">
        <v>37</v>
      </c>
      <c r="E38" s="633">
        <v>68000</v>
      </c>
      <c r="F38" s="13"/>
    </row>
    <row r="39" ht="18.75" customHeight="1" spans="1:6">
      <c r="A39" s="10">
        <v>3</v>
      </c>
      <c r="B39" s="11" t="s">
        <v>300</v>
      </c>
      <c r="C39" s="4" t="s">
        <v>299</v>
      </c>
      <c r="D39" s="15" t="s">
        <v>301</v>
      </c>
      <c r="E39" s="633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33"/>
      <c r="F41" s="13"/>
    </row>
    <row r="42" customHeight="1" spans="1:6">
      <c r="A42" s="10"/>
      <c r="B42" s="23" t="s">
        <v>38</v>
      </c>
      <c r="C42" s="5"/>
      <c r="D42" s="24"/>
      <c r="E42" s="633"/>
      <c r="F42" s="13"/>
    </row>
    <row r="43" customHeight="1" spans="1:6">
      <c r="A43" s="10">
        <v>1</v>
      </c>
      <c r="B43" s="11" t="s">
        <v>302</v>
      </c>
      <c r="C43" s="4" t="s">
        <v>303</v>
      </c>
      <c r="D43" s="10" t="s">
        <v>297</v>
      </c>
      <c r="E43" s="633">
        <v>270000</v>
      </c>
      <c r="F43" s="13"/>
    </row>
    <row r="44" customHeight="1" spans="1:6">
      <c r="A44" s="10">
        <v>2</v>
      </c>
      <c r="B44" s="11" t="s">
        <v>304</v>
      </c>
      <c r="C44" s="4" t="s">
        <v>305</v>
      </c>
      <c r="D44" s="10" t="s">
        <v>249</v>
      </c>
      <c r="E44" s="633">
        <v>126000</v>
      </c>
      <c r="F44" s="13"/>
    </row>
    <row r="45" customHeight="1" spans="1:6">
      <c r="A45" s="10">
        <v>3</v>
      </c>
      <c r="B45" s="11" t="s">
        <v>306</v>
      </c>
      <c r="C45" s="4" t="s">
        <v>307</v>
      </c>
      <c r="D45" s="10" t="s">
        <v>308</v>
      </c>
      <c r="E45" s="633">
        <v>180000</v>
      </c>
      <c r="F45" s="13"/>
    </row>
    <row r="46" customHeight="1" spans="1:6">
      <c r="A46" s="10">
        <v>4</v>
      </c>
      <c r="B46" s="11" t="s">
        <v>309</v>
      </c>
      <c r="C46" s="4" t="s">
        <v>310</v>
      </c>
      <c r="D46" s="10" t="s">
        <v>249</v>
      </c>
      <c r="E46" s="633">
        <v>126000</v>
      </c>
      <c r="F46" s="13"/>
    </row>
    <row r="47" customHeight="1" spans="1:6">
      <c r="A47" s="10">
        <v>5</v>
      </c>
      <c r="B47" s="11" t="s">
        <v>311</v>
      </c>
      <c r="C47" s="4" t="s">
        <v>310</v>
      </c>
      <c r="D47" s="10" t="s">
        <v>249</v>
      </c>
      <c r="E47" s="633">
        <v>126000</v>
      </c>
      <c r="F47" s="13"/>
    </row>
    <row r="48" customHeight="1" spans="1:6">
      <c r="A48" s="10">
        <v>6</v>
      </c>
      <c r="B48" s="11" t="s">
        <v>312</v>
      </c>
      <c r="C48" s="4" t="s">
        <v>310</v>
      </c>
      <c r="D48" s="10" t="s">
        <v>228</v>
      </c>
      <c r="E48" s="633">
        <v>126000</v>
      </c>
      <c r="F48" s="13"/>
    </row>
    <row r="49" customHeight="1" spans="1:6">
      <c r="A49" s="10">
        <v>7</v>
      </c>
      <c r="B49" s="14" t="s">
        <v>313</v>
      </c>
      <c r="C49" s="4" t="s">
        <v>256</v>
      </c>
      <c r="D49" s="16" t="s">
        <v>257</v>
      </c>
      <c r="E49" s="633">
        <v>90000</v>
      </c>
      <c r="F49" s="13"/>
    </row>
    <row r="50" customHeight="1" spans="1:6">
      <c r="A50" s="10">
        <v>8</v>
      </c>
      <c r="B50" s="11" t="s">
        <v>314</v>
      </c>
      <c r="C50" s="4" t="s">
        <v>63</v>
      </c>
      <c r="D50" s="10" t="s">
        <v>301</v>
      </c>
      <c r="E50" s="633">
        <v>68000</v>
      </c>
      <c r="F50" s="13"/>
    </row>
    <row r="51" customHeight="1" spans="1:6">
      <c r="A51" s="10">
        <v>9</v>
      </c>
      <c r="B51" s="11" t="s">
        <v>315</v>
      </c>
      <c r="C51" s="4" t="s">
        <v>63</v>
      </c>
      <c r="D51" s="10" t="s">
        <v>283</v>
      </c>
      <c r="E51" s="633">
        <v>54000</v>
      </c>
      <c r="F51" s="13"/>
    </row>
    <row r="52" customHeight="1" spans="1:6">
      <c r="A52" s="10">
        <v>10</v>
      </c>
      <c r="B52" s="11" t="s">
        <v>316</v>
      </c>
      <c r="C52" s="4" t="s">
        <v>63</v>
      </c>
      <c r="D52" s="10" t="s">
        <v>283</v>
      </c>
      <c r="E52" s="633">
        <v>54000</v>
      </c>
      <c r="F52" s="13"/>
    </row>
    <row r="53" customHeight="1" spans="1:6">
      <c r="A53" s="10">
        <v>11</v>
      </c>
      <c r="B53" s="11" t="s">
        <v>317</v>
      </c>
      <c r="C53" s="4" t="s">
        <v>63</v>
      </c>
      <c r="D53" s="10" t="s">
        <v>283</v>
      </c>
      <c r="E53" s="633">
        <v>54000</v>
      </c>
      <c r="F53" s="13"/>
    </row>
    <row r="54" ht="25.5" customHeight="1" spans="1:6">
      <c r="A54" s="10"/>
      <c r="B54" s="20" t="s">
        <v>33</v>
      </c>
      <c r="C54" s="21">
        <v>11</v>
      </c>
      <c r="D54" s="21"/>
      <c r="E54" s="635">
        <f>SUM(E43:E53)</f>
        <v>1274000</v>
      </c>
      <c r="F54" s="13"/>
    </row>
    <row r="55" customHeight="1" spans="1:6">
      <c r="A55" s="10"/>
      <c r="B55" s="22"/>
      <c r="C55" s="21"/>
      <c r="D55" s="21"/>
      <c r="E55" s="636"/>
      <c r="F55" s="13"/>
    </row>
    <row r="56" customHeight="1" spans="1:6">
      <c r="A56" s="10"/>
      <c r="B56" s="20" t="s">
        <v>318</v>
      </c>
      <c r="C56" s="21"/>
      <c r="D56" s="21"/>
      <c r="E56" s="636"/>
      <c r="F56" s="13"/>
    </row>
    <row r="57" customHeight="1" spans="1:6">
      <c r="A57" s="10">
        <v>1</v>
      </c>
      <c r="B57" s="11" t="s">
        <v>319</v>
      </c>
      <c r="C57" s="12" t="s">
        <v>320</v>
      </c>
      <c r="D57" s="15" t="s">
        <v>297</v>
      </c>
      <c r="E57" s="633">
        <v>270000</v>
      </c>
      <c r="F57" s="13"/>
    </row>
    <row r="58" customHeight="1" spans="1:6">
      <c r="A58" s="10">
        <v>2</v>
      </c>
      <c r="B58" s="11" t="s">
        <v>321</v>
      </c>
      <c r="C58" s="12" t="s">
        <v>322</v>
      </c>
      <c r="D58" s="15" t="s">
        <v>225</v>
      </c>
      <c r="E58" s="633">
        <v>126000</v>
      </c>
      <c r="F58" s="13"/>
    </row>
    <row r="59" customHeight="1" spans="1:6">
      <c r="A59" s="10"/>
      <c r="B59" s="20" t="s">
        <v>33</v>
      </c>
      <c r="C59" s="21">
        <v>2</v>
      </c>
      <c r="D59" s="21"/>
      <c r="E59" s="635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6"/>
      <c r="F60" s="13"/>
    </row>
    <row r="61" customHeight="1" spans="1:6">
      <c r="A61" s="10"/>
      <c r="B61" s="20" t="s">
        <v>44</v>
      </c>
      <c r="C61" s="21"/>
      <c r="D61" s="21"/>
      <c r="E61" s="636"/>
      <c r="F61" s="13"/>
    </row>
    <row r="62" customHeight="1" spans="1:6">
      <c r="A62" s="10">
        <v>1</v>
      </c>
      <c r="B62" s="11" t="s">
        <v>323</v>
      </c>
      <c r="C62" s="17" t="s">
        <v>324</v>
      </c>
      <c r="D62" s="10" t="s">
        <v>297</v>
      </c>
      <c r="E62" s="633">
        <v>270000</v>
      </c>
      <c r="F62" s="13"/>
    </row>
    <row r="63" customHeight="1" spans="1:6">
      <c r="A63" s="10">
        <v>2</v>
      </c>
      <c r="B63" s="351" t="s">
        <v>325</v>
      </c>
      <c r="C63" s="17" t="s">
        <v>326</v>
      </c>
      <c r="D63" s="15" t="s">
        <v>327</v>
      </c>
      <c r="E63" s="633">
        <v>126000</v>
      </c>
      <c r="F63" s="13"/>
    </row>
    <row r="64" customHeight="1" spans="1:6">
      <c r="A64" s="10">
        <v>3</v>
      </c>
      <c r="B64" s="11" t="s">
        <v>328</v>
      </c>
      <c r="C64" s="4" t="s">
        <v>256</v>
      </c>
      <c r="D64" s="10" t="s">
        <v>260</v>
      </c>
      <c r="E64" s="633">
        <v>90000</v>
      </c>
      <c r="F64" s="13"/>
    </row>
    <row r="65" customHeight="1" spans="1:6">
      <c r="A65" s="10">
        <v>4</v>
      </c>
      <c r="B65" s="18" t="s">
        <v>329</v>
      </c>
      <c r="C65" s="17" t="s">
        <v>46</v>
      </c>
      <c r="D65" s="15" t="s">
        <v>266</v>
      </c>
      <c r="E65" s="633">
        <v>90000</v>
      </c>
      <c r="F65" s="13"/>
    </row>
    <row r="66" customHeight="1" spans="1:6">
      <c r="A66" s="10">
        <v>5</v>
      </c>
      <c r="B66" s="14" t="s">
        <v>330</v>
      </c>
      <c r="C66" s="17" t="s">
        <v>256</v>
      </c>
      <c r="D66" s="15" t="s">
        <v>254</v>
      </c>
      <c r="E66" s="633">
        <v>90000</v>
      </c>
      <c r="F66" s="13"/>
    </row>
    <row r="67" customHeight="1" spans="1:6">
      <c r="A67" s="10">
        <v>7</v>
      </c>
      <c r="B67" s="11" t="s">
        <v>331</v>
      </c>
      <c r="C67" s="4" t="s">
        <v>63</v>
      </c>
      <c r="D67" s="10" t="s">
        <v>332</v>
      </c>
      <c r="E67" s="633">
        <v>68000</v>
      </c>
      <c r="F67" s="13"/>
    </row>
    <row r="68" customHeight="1" spans="1:6">
      <c r="A68" s="10">
        <v>8</v>
      </c>
      <c r="B68" s="11" t="s">
        <v>333</v>
      </c>
      <c r="C68" s="17" t="s">
        <v>275</v>
      </c>
      <c r="D68" s="10" t="s">
        <v>332</v>
      </c>
      <c r="E68" s="633">
        <v>68000</v>
      </c>
      <c r="F68" s="13"/>
    </row>
    <row r="69" customHeight="1" spans="1:6">
      <c r="A69" s="10">
        <v>9</v>
      </c>
      <c r="B69" s="11" t="s">
        <v>334</v>
      </c>
      <c r="C69" s="17" t="s">
        <v>275</v>
      </c>
      <c r="D69" s="10" t="s">
        <v>332</v>
      </c>
      <c r="E69" s="633">
        <v>68000</v>
      </c>
      <c r="F69" s="13"/>
    </row>
    <row r="70" customHeight="1" spans="1:6">
      <c r="A70" s="10">
        <v>10</v>
      </c>
      <c r="B70" s="11" t="s">
        <v>335</v>
      </c>
      <c r="C70" s="4" t="s">
        <v>336</v>
      </c>
      <c r="D70" s="10" t="s">
        <v>271</v>
      </c>
      <c r="E70" s="633">
        <v>68000</v>
      </c>
      <c r="F70" s="13"/>
    </row>
    <row r="71" ht="21.6" customHeight="1" spans="1:5">
      <c r="A71" s="10">
        <v>11</v>
      </c>
      <c r="B71" s="11" t="s">
        <v>337</v>
      </c>
      <c r="C71" s="4" t="s">
        <v>63</v>
      </c>
      <c r="D71" s="10" t="s">
        <v>301</v>
      </c>
      <c r="E71" s="633">
        <v>68000</v>
      </c>
    </row>
    <row r="72" ht="27" customHeight="1" spans="1:6">
      <c r="A72" s="10"/>
      <c r="B72" s="20" t="s">
        <v>33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6"/>
      <c r="F73" s="13"/>
    </row>
    <row r="74" customHeight="1" spans="1:6">
      <c r="A74" s="10"/>
      <c r="B74" s="20" t="s">
        <v>51</v>
      </c>
      <c r="C74" s="21"/>
      <c r="D74" s="21"/>
      <c r="E74" s="636"/>
      <c r="F74" s="13"/>
    </row>
    <row r="75" customHeight="1" spans="1:6">
      <c r="A75" s="10">
        <v>1</v>
      </c>
      <c r="B75" s="11" t="s">
        <v>338</v>
      </c>
      <c r="C75" s="4" t="s">
        <v>339</v>
      </c>
      <c r="D75" s="10" t="s">
        <v>297</v>
      </c>
      <c r="E75" s="633">
        <v>270000</v>
      </c>
      <c r="F75" s="13"/>
    </row>
    <row r="76" customHeight="1" spans="1:6">
      <c r="A76" s="10">
        <v>2</v>
      </c>
      <c r="B76" s="14" t="s">
        <v>220</v>
      </c>
      <c r="C76" s="4" t="s">
        <v>221</v>
      </c>
      <c r="D76" s="15" t="s">
        <v>222</v>
      </c>
      <c r="E76" s="633">
        <v>126000</v>
      </c>
      <c r="F76" s="13"/>
    </row>
    <row r="77" customHeight="1" spans="1:6">
      <c r="A77" s="10">
        <v>3</v>
      </c>
      <c r="B77" s="18" t="s">
        <v>223</v>
      </c>
      <c r="C77" s="12" t="s">
        <v>224</v>
      </c>
      <c r="D77" s="10" t="s">
        <v>225</v>
      </c>
      <c r="E77" s="633">
        <v>126000</v>
      </c>
      <c r="F77" s="13"/>
    </row>
    <row r="78" customHeight="1" spans="1:6">
      <c r="A78" s="10">
        <v>4</v>
      </c>
      <c r="B78" s="11" t="s">
        <v>340</v>
      </c>
      <c r="C78" s="4" t="s">
        <v>341</v>
      </c>
      <c r="D78" s="15" t="s">
        <v>342</v>
      </c>
      <c r="E78" s="633">
        <v>90000</v>
      </c>
      <c r="F78" s="13"/>
    </row>
    <row r="79" customHeight="1" spans="1:6">
      <c r="A79" s="10">
        <v>5</v>
      </c>
      <c r="B79" s="11" t="s">
        <v>343</v>
      </c>
      <c r="C79" s="4" t="s">
        <v>344</v>
      </c>
      <c r="D79" s="10" t="s">
        <v>345</v>
      </c>
      <c r="E79" s="633">
        <v>68000</v>
      </c>
      <c r="F79" s="13"/>
    </row>
    <row r="80" customHeight="1" spans="1:6">
      <c r="A80" s="10">
        <v>6</v>
      </c>
      <c r="B80" s="11" t="s">
        <v>346</v>
      </c>
      <c r="C80" s="4" t="s">
        <v>344</v>
      </c>
      <c r="D80" s="10" t="s">
        <v>283</v>
      </c>
      <c r="E80" s="633">
        <v>54000</v>
      </c>
      <c r="F80" s="13"/>
    </row>
    <row r="81" customHeight="1" spans="1:6">
      <c r="A81" s="10">
        <v>7</v>
      </c>
      <c r="B81" s="11" t="s">
        <v>347</v>
      </c>
      <c r="C81" s="4" t="s">
        <v>348</v>
      </c>
      <c r="D81" s="10" t="s">
        <v>294</v>
      </c>
      <c r="E81" s="633">
        <v>54000</v>
      </c>
      <c r="F81" s="13"/>
    </row>
    <row r="82" customHeight="1" spans="1:6">
      <c r="A82" s="10"/>
      <c r="B82" s="20" t="s">
        <v>33</v>
      </c>
      <c r="C82" s="21">
        <v>7</v>
      </c>
      <c r="D82" s="21"/>
      <c r="E82" s="635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33"/>
      <c r="F83" s="13"/>
    </row>
    <row r="84" customHeight="1" spans="1:6">
      <c r="A84" s="10"/>
      <c r="B84" s="20" t="s">
        <v>56</v>
      </c>
      <c r="C84" s="25"/>
      <c r="D84" s="21"/>
      <c r="E84" s="633"/>
      <c r="F84" s="13"/>
    </row>
    <row r="85" customHeight="1" spans="1:6">
      <c r="A85" s="10">
        <v>1</v>
      </c>
      <c r="B85" s="11" t="s">
        <v>349</v>
      </c>
      <c r="C85" s="4" t="s">
        <v>310</v>
      </c>
      <c r="D85" s="10" t="s">
        <v>249</v>
      </c>
      <c r="E85" s="633">
        <v>126000</v>
      </c>
      <c r="F85" s="13"/>
    </row>
    <row r="86" customHeight="1" spans="1:6">
      <c r="A86" s="10">
        <v>2</v>
      </c>
      <c r="B86" s="11" t="s">
        <v>350</v>
      </c>
      <c r="C86" s="4" t="s">
        <v>310</v>
      </c>
      <c r="D86" s="10" t="s">
        <v>249</v>
      </c>
      <c r="E86" s="633">
        <v>126000</v>
      </c>
      <c r="F86" s="13"/>
    </row>
    <row r="87" customHeight="1" spans="1:6">
      <c r="A87" s="10">
        <v>3</v>
      </c>
      <c r="B87" s="11" t="s">
        <v>351</v>
      </c>
      <c r="C87" s="4" t="s">
        <v>310</v>
      </c>
      <c r="D87" s="10" t="s">
        <v>228</v>
      </c>
      <c r="E87" s="633">
        <v>126000</v>
      </c>
      <c r="F87" s="13"/>
    </row>
    <row r="88" ht="21.6" customHeight="1" spans="1:6">
      <c r="A88" s="10">
        <v>4</v>
      </c>
      <c r="B88" s="11" t="s">
        <v>352</v>
      </c>
      <c r="C88" s="4" t="s">
        <v>353</v>
      </c>
      <c r="D88" s="15" t="s">
        <v>263</v>
      </c>
      <c r="E88" s="633">
        <v>90000</v>
      </c>
      <c r="F88" s="13"/>
    </row>
    <row r="89" ht="21.6" customHeight="1" spans="1:6">
      <c r="A89" s="10">
        <v>5</v>
      </c>
      <c r="B89" s="11" t="s">
        <v>354</v>
      </c>
      <c r="C89" s="12" t="s">
        <v>46</v>
      </c>
      <c r="D89" s="15" t="s">
        <v>266</v>
      </c>
      <c r="E89" s="633">
        <v>90000</v>
      </c>
      <c r="F89" s="13"/>
    </row>
    <row r="90" ht="21.6" customHeight="1" spans="1:6">
      <c r="A90" s="10">
        <v>6</v>
      </c>
      <c r="B90" s="11" t="s">
        <v>355</v>
      </c>
      <c r="C90" s="12" t="s">
        <v>256</v>
      </c>
      <c r="D90" s="15" t="s">
        <v>356</v>
      </c>
      <c r="E90" s="633">
        <v>90000</v>
      </c>
      <c r="F90" s="13"/>
    </row>
    <row r="91" ht="21.6" customHeight="1" spans="1:6">
      <c r="A91" s="10">
        <v>7</v>
      </c>
      <c r="B91" s="11" t="s">
        <v>357</v>
      </c>
      <c r="C91" s="17" t="s">
        <v>275</v>
      </c>
      <c r="D91" s="15" t="s">
        <v>332</v>
      </c>
      <c r="E91" s="633">
        <v>68000</v>
      </c>
      <c r="F91" s="13"/>
    </row>
    <row r="92" ht="21.6" customHeight="1" spans="1:6">
      <c r="A92" s="10">
        <v>8</v>
      </c>
      <c r="B92" s="11" t="s">
        <v>358</v>
      </c>
      <c r="C92" s="17" t="s">
        <v>46</v>
      </c>
      <c r="D92" s="15" t="s">
        <v>47</v>
      </c>
      <c r="E92" s="633">
        <v>90000</v>
      </c>
      <c r="F92" s="13"/>
    </row>
    <row r="93" ht="21.6" customHeight="1" spans="1:6">
      <c r="A93" s="10">
        <v>9</v>
      </c>
      <c r="B93" s="11" t="s">
        <v>359</v>
      </c>
      <c r="C93" s="4" t="s">
        <v>360</v>
      </c>
      <c r="D93" s="10" t="s">
        <v>301</v>
      </c>
      <c r="E93" s="633">
        <v>68000</v>
      </c>
      <c r="F93" s="13"/>
    </row>
    <row r="94" ht="21.6" customHeight="1" spans="1:6">
      <c r="A94" s="10">
        <v>10</v>
      </c>
      <c r="B94" s="11" t="s">
        <v>361</v>
      </c>
      <c r="C94" s="17" t="s">
        <v>362</v>
      </c>
      <c r="D94" s="15" t="s">
        <v>291</v>
      </c>
      <c r="E94" s="633">
        <v>54000</v>
      </c>
      <c r="F94" s="13"/>
    </row>
    <row r="95" customHeight="1" spans="1:6">
      <c r="A95" s="10"/>
      <c r="B95" s="20" t="s">
        <v>33</v>
      </c>
      <c r="C95" s="21">
        <v>11</v>
      </c>
      <c r="D95" s="21"/>
      <c r="E95" s="635">
        <f>SUM(E85:E94)</f>
        <v>928000</v>
      </c>
      <c r="F95" s="13"/>
    </row>
    <row r="96" customHeight="1" spans="1:6">
      <c r="A96" s="10"/>
      <c r="B96" s="22"/>
      <c r="C96" s="21"/>
      <c r="D96" s="21"/>
      <c r="E96" s="636"/>
      <c r="F96" s="13"/>
    </row>
    <row r="97" customHeight="1" spans="1:6">
      <c r="A97" s="10"/>
      <c r="B97" s="20" t="s">
        <v>58</v>
      </c>
      <c r="C97" s="21"/>
      <c r="D97" s="21"/>
      <c r="E97" s="636"/>
      <c r="F97" s="13"/>
    </row>
    <row r="98" customHeight="1" spans="1:6">
      <c r="A98" s="10">
        <v>1</v>
      </c>
      <c r="B98" s="14" t="s">
        <v>363</v>
      </c>
      <c r="C98" s="4" t="s">
        <v>364</v>
      </c>
      <c r="D98" s="16" t="s">
        <v>365</v>
      </c>
      <c r="E98" s="633">
        <v>270000</v>
      </c>
      <c r="F98" s="13"/>
    </row>
    <row r="99" customHeight="1" spans="1:6">
      <c r="A99" s="10">
        <v>2</v>
      </c>
      <c r="B99" s="11" t="s">
        <v>366</v>
      </c>
      <c r="C99" s="4" t="s">
        <v>367</v>
      </c>
      <c r="D99" s="15" t="s">
        <v>342</v>
      </c>
      <c r="E99" s="633">
        <v>90000</v>
      </c>
      <c r="F99" s="13"/>
    </row>
    <row r="100" customHeight="1" spans="1:6">
      <c r="A100" s="10">
        <v>3</v>
      </c>
      <c r="B100" s="11" t="s">
        <v>368</v>
      </c>
      <c r="C100" s="4" t="s">
        <v>369</v>
      </c>
      <c r="D100" s="15" t="s">
        <v>271</v>
      </c>
      <c r="E100" s="633">
        <v>68000</v>
      </c>
      <c r="F100" s="13"/>
    </row>
    <row r="101" customHeight="1" spans="1:6">
      <c r="A101" s="10">
        <v>4</v>
      </c>
      <c r="B101" s="11" t="s">
        <v>370</v>
      </c>
      <c r="C101" s="4" t="s">
        <v>371</v>
      </c>
      <c r="D101" s="15" t="s">
        <v>301</v>
      </c>
      <c r="E101" s="633">
        <v>68000</v>
      </c>
      <c r="F101" s="13"/>
    </row>
    <row r="102" customHeight="1" spans="1:6">
      <c r="A102" s="4"/>
      <c r="B102" s="20" t="s">
        <v>33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6"/>
      <c r="F103" s="13"/>
    </row>
    <row r="104" customHeight="1" spans="1:6">
      <c r="A104" s="4"/>
      <c r="B104" s="20" t="s">
        <v>372</v>
      </c>
      <c r="C104" s="4"/>
      <c r="D104" s="4"/>
      <c r="E104" s="637"/>
      <c r="F104" s="13"/>
    </row>
    <row r="105" customHeight="1" spans="1:6">
      <c r="A105" s="4">
        <v>1</v>
      </c>
      <c r="B105" s="11" t="s">
        <v>373</v>
      </c>
      <c r="C105" s="12" t="s">
        <v>374</v>
      </c>
      <c r="D105" s="15" t="s">
        <v>297</v>
      </c>
      <c r="E105" s="633">
        <v>270000</v>
      </c>
      <c r="F105" s="13"/>
    </row>
    <row r="106" customHeight="1" spans="1:6">
      <c r="A106" s="4">
        <v>2</v>
      </c>
      <c r="B106" s="11" t="s">
        <v>375</v>
      </c>
      <c r="C106" s="4" t="s">
        <v>376</v>
      </c>
      <c r="D106" s="16" t="s">
        <v>231</v>
      </c>
      <c r="E106" s="633">
        <v>180000</v>
      </c>
      <c r="F106" s="13"/>
    </row>
    <row r="107" customHeight="1" spans="1:6">
      <c r="A107" s="4">
        <v>3</v>
      </c>
      <c r="B107" s="11" t="s">
        <v>377</v>
      </c>
      <c r="C107" s="4" t="s">
        <v>378</v>
      </c>
      <c r="D107" s="10" t="s">
        <v>263</v>
      </c>
      <c r="E107" s="633">
        <v>90000</v>
      </c>
      <c r="F107" s="13"/>
    </row>
    <row r="108" customHeight="1" spans="1:6">
      <c r="A108" s="4">
        <v>4</v>
      </c>
      <c r="B108" s="11" t="s">
        <v>379</v>
      </c>
      <c r="C108" s="4" t="s">
        <v>378</v>
      </c>
      <c r="D108" s="10" t="s">
        <v>263</v>
      </c>
      <c r="E108" s="633">
        <v>90000</v>
      </c>
      <c r="F108" s="13"/>
    </row>
    <row r="109" customHeight="1" spans="1:6">
      <c r="A109" s="4">
        <v>5</v>
      </c>
      <c r="B109" s="11" t="s">
        <v>380</v>
      </c>
      <c r="C109" s="4" t="s">
        <v>381</v>
      </c>
      <c r="D109" s="15" t="s">
        <v>382</v>
      </c>
      <c r="E109" s="633">
        <v>54000</v>
      </c>
      <c r="F109" s="13"/>
    </row>
    <row r="110" customHeight="1" spans="1:6">
      <c r="A110" s="4">
        <v>6</v>
      </c>
      <c r="B110" s="18" t="s">
        <v>383</v>
      </c>
      <c r="C110" s="4" t="s">
        <v>381</v>
      </c>
      <c r="D110" s="10" t="s">
        <v>384</v>
      </c>
      <c r="E110" s="633">
        <v>54000</v>
      </c>
      <c r="F110" s="13"/>
    </row>
    <row r="111" customHeight="1" spans="1:6">
      <c r="A111" s="4">
        <v>7</v>
      </c>
      <c r="B111" s="18" t="s">
        <v>385</v>
      </c>
      <c r="C111" s="4" t="s">
        <v>381</v>
      </c>
      <c r="D111" s="15" t="s">
        <v>291</v>
      </c>
      <c r="E111" s="633">
        <v>54000</v>
      </c>
      <c r="F111" s="13"/>
    </row>
    <row r="112" ht="25.5" customHeight="1" spans="1:6">
      <c r="A112" s="4"/>
      <c r="B112" s="20" t="s">
        <v>33</v>
      </c>
      <c r="C112" s="21">
        <v>7</v>
      </c>
      <c r="D112" s="4"/>
      <c r="E112" s="638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8"/>
      <c r="F113" s="13"/>
    </row>
    <row r="114" customHeight="1" spans="1:6">
      <c r="A114" s="10"/>
      <c r="B114" s="20" t="s">
        <v>61</v>
      </c>
      <c r="C114" s="21"/>
      <c r="D114" s="21"/>
      <c r="E114" s="636"/>
      <c r="F114" s="13"/>
    </row>
    <row r="115" customHeight="1" spans="1:6">
      <c r="A115" s="10">
        <v>1</v>
      </c>
      <c r="B115" s="14" t="s">
        <v>386</v>
      </c>
      <c r="C115" s="4" t="s">
        <v>310</v>
      </c>
      <c r="D115" s="10" t="s">
        <v>327</v>
      </c>
      <c r="E115" s="633">
        <v>126000</v>
      </c>
      <c r="F115" s="13"/>
    </row>
    <row r="116" ht="18.75" customHeight="1" spans="1:6">
      <c r="A116" s="10">
        <v>2</v>
      </c>
      <c r="B116" s="11" t="s">
        <v>387</v>
      </c>
      <c r="C116" s="4" t="s">
        <v>388</v>
      </c>
      <c r="D116" s="15" t="s">
        <v>271</v>
      </c>
      <c r="E116" s="633">
        <v>68000</v>
      </c>
      <c r="F116" s="13"/>
    </row>
    <row r="117" customHeight="1" spans="1:6">
      <c r="A117" s="10">
        <v>3</v>
      </c>
      <c r="B117" s="11" t="s">
        <v>389</v>
      </c>
      <c r="C117" s="12" t="s">
        <v>390</v>
      </c>
      <c r="D117" s="15" t="s">
        <v>391</v>
      </c>
      <c r="E117" s="633">
        <v>68000</v>
      </c>
      <c r="F117" s="13"/>
    </row>
    <row r="118" ht="24.75" customHeight="1" spans="1:6">
      <c r="A118" s="4"/>
      <c r="B118" s="20" t="s">
        <v>33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9"/>
      <c r="F119" s="13"/>
    </row>
    <row r="120" customHeight="1" spans="1:6">
      <c r="A120" s="4"/>
      <c r="B120" s="20" t="s">
        <v>67</v>
      </c>
      <c r="C120" s="21"/>
      <c r="D120" s="21"/>
      <c r="E120" s="633"/>
      <c r="F120" s="13"/>
    </row>
    <row r="121" customHeight="1" spans="1:6">
      <c r="A121" s="4">
        <v>1</v>
      </c>
      <c r="B121" s="11" t="s">
        <v>392</v>
      </c>
      <c r="C121" s="12" t="s">
        <v>393</v>
      </c>
      <c r="D121" s="15" t="s">
        <v>297</v>
      </c>
      <c r="E121" s="633">
        <v>270000</v>
      </c>
      <c r="F121" s="13"/>
    </row>
    <row r="122" customHeight="1" spans="1:6">
      <c r="A122" s="4">
        <v>2</v>
      </c>
      <c r="B122" s="11" t="s">
        <v>128</v>
      </c>
      <c r="C122" s="12" t="s">
        <v>394</v>
      </c>
      <c r="D122" s="15" t="s">
        <v>308</v>
      </c>
      <c r="E122" s="633">
        <v>180000</v>
      </c>
      <c r="F122" s="13"/>
    </row>
    <row r="123" customHeight="1" spans="1:6">
      <c r="A123" s="4">
        <v>3</v>
      </c>
      <c r="B123" s="14" t="s">
        <v>395</v>
      </c>
      <c r="C123" s="12" t="s">
        <v>227</v>
      </c>
      <c r="D123" s="15" t="s">
        <v>249</v>
      </c>
      <c r="E123" s="633">
        <v>126000</v>
      </c>
      <c r="F123" s="13"/>
    </row>
    <row r="124" customHeight="1" spans="1:6">
      <c r="A124" s="4">
        <v>4</v>
      </c>
      <c r="B124" s="14" t="s">
        <v>226</v>
      </c>
      <c r="C124" s="12" t="s">
        <v>227</v>
      </c>
      <c r="D124" s="15" t="s">
        <v>228</v>
      </c>
      <c r="E124" s="633">
        <v>126000</v>
      </c>
      <c r="F124" s="13"/>
    </row>
    <row r="125" customHeight="1" spans="1:6">
      <c r="A125" s="4">
        <v>5</v>
      </c>
      <c r="B125" s="11" t="s">
        <v>396</v>
      </c>
      <c r="C125" s="12" t="s">
        <v>397</v>
      </c>
      <c r="D125" s="15" t="s">
        <v>257</v>
      </c>
      <c r="E125" s="633">
        <v>90000</v>
      </c>
      <c r="F125" s="13"/>
    </row>
    <row r="126" customHeight="1" spans="1:6">
      <c r="A126" s="4">
        <v>6</v>
      </c>
      <c r="B126" s="11" t="s">
        <v>398</v>
      </c>
      <c r="C126" s="12" t="s">
        <v>399</v>
      </c>
      <c r="D126" s="15" t="s">
        <v>260</v>
      </c>
      <c r="E126" s="633">
        <v>90000</v>
      </c>
      <c r="F126" s="13"/>
    </row>
    <row r="127" customHeight="1" spans="1:6">
      <c r="A127" s="4">
        <v>7</v>
      </c>
      <c r="B127" s="11" t="s">
        <v>400</v>
      </c>
      <c r="C127" s="12" t="s">
        <v>397</v>
      </c>
      <c r="D127" s="15" t="s">
        <v>342</v>
      </c>
      <c r="E127" s="633">
        <v>90000</v>
      </c>
      <c r="F127" s="13"/>
    </row>
    <row r="128" customHeight="1" spans="1:6">
      <c r="A128" s="4">
        <v>8</v>
      </c>
      <c r="B128" s="11" t="s">
        <v>401</v>
      </c>
      <c r="C128" s="12" t="s">
        <v>402</v>
      </c>
      <c r="D128" s="10" t="s">
        <v>279</v>
      </c>
      <c r="E128" s="633">
        <v>54000</v>
      </c>
      <c r="F128" s="13"/>
    </row>
    <row r="129" customHeight="1" spans="1:6">
      <c r="A129" s="4">
        <v>9</v>
      </c>
      <c r="B129" s="18" t="s">
        <v>403</v>
      </c>
      <c r="C129" s="12" t="s">
        <v>404</v>
      </c>
      <c r="D129" s="15" t="s">
        <v>294</v>
      </c>
      <c r="E129" s="633">
        <v>54000</v>
      </c>
      <c r="F129" s="13"/>
    </row>
    <row r="130" customHeight="1" spans="1:6">
      <c r="A130" s="4">
        <v>10</v>
      </c>
      <c r="B130" s="18" t="s">
        <v>405</v>
      </c>
      <c r="C130" s="12" t="s">
        <v>69</v>
      </c>
      <c r="D130" s="15" t="s">
        <v>294</v>
      </c>
      <c r="E130" s="633">
        <v>54000</v>
      </c>
      <c r="F130" s="13"/>
    </row>
    <row r="131" ht="28.5" customHeight="1" spans="1:6">
      <c r="A131" s="4"/>
      <c r="B131" s="20" t="s">
        <v>33</v>
      </c>
      <c r="C131" s="26" t="s">
        <v>406</v>
      </c>
      <c r="D131" s="15"/>
      <c r="E131" s="636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6"/>
      <c r="F132" s="13"/>
    </row>
    <row r="133" customHeight="1" spans="1:6">
      <c r="A133" s="4"/>
      <c r="B133" s="20" t="s">
        <v>71</v>
      </c>
      <c r="C133" s="12"/>
      <c r="D133" s="15"/>
      <c r="E133" s="633"/>
      <c r="F133" s="13"/>
    </row>
    <row r="134" customHeight="1" spans="1:6">
      <c r="A134" s="27">
        <v>1</v>
      </c>
      <c r="B134" s="11" t="s">
        <v>407</v>
      </c>
      <c r="C134" s="12" t="s">
        <v>408</v>
      </c>
      <c r="D134" s="15" t="s">
        <v>297</v>
      </c>
      <c r="E134" s="633">
        <v>270000</v>
      </c>
      <c r="F134" s="13"/>
    </row>
    <row r="135" customHeight="1" spans="1:6">
      <c r="A135" s="27">
        <v>2</v>
      </c>
      <c r="B135" s="11" t="s">
        <v>229</v>
      </c>
      <c r="C135" s="12" t="s">
        <v>230</v>
      </c>
      <c r="D135" s="15" t="s">
        <v>231</v>
      </c>
      <c r="E135" s="633">
        <v>180000</v>
      </c>
      <c r="F135" s="13"/>
    </row>
    <row r="136" customHeight="1" spans="1:6">
      <c r="A136" s="27">
        <v>3</v>
      </c>
      <c r="B136" s="14" t="s">
        <v>409</v>
      </c>
      <c r="C136" s="4" t="s">
        <v>410</v>
      </c>
      <c r="D136" s="16" t="s">
        <v>231</v>
      </c>
      <c r="E136" s="633">
        <v>180000</v>
      </c>
      <c r="F136" s="13"/>
    </row>
    <row r="137" customHeight="1" spans="1:6">
      <c r="A137" s="27">
        <v>4</v>
      </c>
      <c r="B137" s="11" t="s">
        <v>411</v>
      </c>
      <c r="C137" s="12" t="s">
        <v>412</v>
      </c>
      <c r="D137" s="15" t="s">
        <v>254</v>
      </c>
      <c r="E137" s="633">
        <v>90000</v>
      </c>
      <c r="F137" s="13"/>
    </row>
    <row r="138" customHeight="1" spans="1:6">
      <c r="A138" s="27">
        <v>5</v>
      </c>
      <c r="B138" s="11" t="s">
        <v>413</v>
      </c>
      <c r="C138" s="4" t="s">
        <v>414</v>
      </c>
      <c r="D138" s="15" t="s">
        <v>254</v>
      </c>
      <c r="E138" s="633">
        <v>90000</v>
      </c>
      <c r="F138" s="13"/>
    </row>
    <row r="139" customHeight="1" spans="1:6">
      <c r="A139" s="27">
        <v>6</v>
      </c>
      <c r="B139" s="11" t="s">
        <v>415</v>
      </c>
      <c r="C139" s="4" t="s">
        <v>414</v>
      </c>
      <c r="D139" s="15" t="s">
        <v>254</v>
      </c>
      <c r="E139" s="633">
        <v>90000</v>
      </c>
      <c r="F139" s="13"/>
    </row>
    <row r="140" customHeight="1" spans="1:6">
      <c r="A140" s="27">
        <v>7</v>
      </c>
      <c r="B140" s="11" t="s">
        <v>416</v>
      </c>
      <c r="C140" s="12" t="s">
        <v>417</v>
      </c>
      <c r="D140" s="15" t="s">
        <v>391</v>
      </c>
      <c r="E140" s="633">
        <v>68000</v>
      </c>
      <c r="F140" s="13"/>
    </row>
    <row r="141" customHeight="1" spans="1:6">
      <c r="A141" s="27">
        <v>8</v>
      </c>
      <c r="B141" s="11" t="s">
        <v>418</v>
      </c>
      <c r="C141" s="12" t="s">
        <v>417</v>
      </c>
      <c r="D141" s="15" t="s">
        <v>391</v>
      </c>
      <c r="E141" s="633">
        <v>68000</v>
      </c>
      <c r="F141" s="13"/>
    </row>
    <row r="142" customHeight="1" spans="1:6">
      <c r="A142" s="27">
        <v>9</v>
      </c>
      <c r="B142" s="11" t="s">
        <v>419</v>
      </c>
      <c r="C142" s="4" t="s">
        <v>420</v>
      </c>
      <c r="D142" s="15" t="s">
        <v>391</v>
      </c>
      <c r="E142" s="633">
        <v>68000</v>
      </c>
      <c r="F142" s="13"/>
    </row>
    <row r="143" customHeight="1" spans="1:6">
      <c r="A143" s="27">
        <v>10</v>
      </c>
      <c r="B143" s="11" t="s">
        <v>421</v>
      </c>
      <c r="C143" s="12" t="s">
        <v>422</v>
      </c>
      <c r="D143" s="15" t="s">
        <v>271</v>
      </c>
      <c r="E143" s="633">
        <v>68000</v>
      </c>
      <c r="F143" s="13"/>
    </row>
    <row r="144" customHeight="1" spans="1:6">
      <c r="A144" s="27">
        <v>11</v>
      </c>
      <c r="B144" s="11" t="s">
        <v>423</v>
      </c>
      <c r="C144" s="12" t="s">
        <v>424</v>
      </c>
      <c r="D144" s="15" t="s">
        <v>332</v>
      </c>
      <c r="E144" s="633">
        <v>68000</v>
      </c>
      <c r="F144" s="13"/>
    </row>
    <row r="145" customHeight="1" spans="1:6">
      <c r="A145" s="27">
        <v>12</v>
      </c>
      <c r="B145" s="11" t="s">
        <v>425</v>
      </c>
      <c r="C145" s="12" t="s">
        <v>426</v>
      </c>
      <c r="D145" s="15" t="s">
        <v>391</v>
      </c>
      <c r="E145" s="633">
        <v>68000</v>
      </c>
      <c r="F145" s="13"/>
    </row>
    <row r="146" customHeight="1" spans="1:6">
      <c r="A146" s="27">
        <v>13</v>
      </c>
      <c r="B146" s="18" t="s">
        <v>427</v>
      </c>
      <c r="C146" s="4" t="s">
        <v>428</v>
      </c>
      <c r="D146" s="15" t="s">
        <v>41</v>
      </c>
      <c r="E146" s="633">
        <v>68000</v>
      </c>
      <c r="F146" s="13"/>
    </row>
    <row r="147" customHeight="1" spans="1:6">
      <c r="A147" s="27">
        <v>14</v>
      </c>
      <c r="B147" s="11" t="s">
        <v>429</v>
      </c>
      <c r="C147" s="4" t="s">
        <v>430</v>
      </c>
      <c r="D147" s="15" t="s">
        <v>345</v>
      </c>
      <c r="E147" s="633">
        <v>68000</v>
      </c>
      <c r="F147" s="13"/>
    </row>
    <row r="148" customHeight="1" spans="1:6">
      <c r="A148" s="27">
        <v>15</v>
      </c>
      <c r="B148" s="11" t="s">
        <v>431</v>
      </c>
      <c r="C148" s="4" t="s">
        <v>430</v>
      </c>
      <c r="D148" s="15" t="s">
        <v>432</v>
      </c>
      <c r="E148" s="633">
        <v>68000</v>
      </c>
      <c r="F148" s="13"/>
    </row>
    <row r="149" customHeight="1" spans="1:6">
      <c r="A149" s="27">
        <v>16</v>
      </c>
      <c r="B149" s="11" t="s">
        <v>433</v>
      </c>
      <c r="C149" s="4" t="s">
        <v>430</v>
      </c>
      <c r="D149" s="15" t="s">
        <v>432</v>
      </c>
      <c r="E149" s="633">
        <v>68000</v>
      </c>
      <c r="F149" s="13"/>
    </row>
    <row r="150" customHeight="1" spans="1:6">
      <c r="A150" s="27">
        <v>17</v>
      </c>
      <c r="B150" s="11" t="s">
        <v>434</v>
      </c>
      <c r="C150" s="12" t="s">
        <v>435</v>
      </c>
      <c r="D150" s="15" t="s">
        <v>301</v>
      </c>
      <c r="E150" s="633">
        <v>68000</v>
      </c>
      <c r="F150" s="13"/>
    </row>
    <row r="151" customHeight="1" spans="1:6">
      <c r="A151" s="27">
        <v>18</v>
      </c>
      <c r="B151" s="11" t="s">
        <v>436</v>
      </c>
      <c r="C151" s="12" t="s">
        <v>437</v>
      </c>
      <c r="D151" s="10" t="s">
        <v>283</v>
      </c>
      <c r="E151" s="633">
        <v>54000</v>
      </c>
      <c r="F151" s="13"/>
    </row>
    <row r="152" customHeight="1" spans="1:6">
      <c r="A152" s="27">
        <v>19</v>
      </c>
      <c r="B152" s="11" t="s">
        <v>438</v>
      </c>
      <c r="C152" s="12" t="s">
        <v>439</v>
      </c>
      <c r="D152" s="15" t="s">
        <v>345</v>
      </c>
      <c r="E152" s="633">
        <v>68000</v>
      </c>
      <c r="F152" s="13"/>
    </row>
    <row r="153" customHeight="1" spans="1:6">
      <c r="A153" s="27">
        <v>20</v>
      </c>
      <c r="B153" s="11" t="s">
        <v>440</v>
      </c>
      <c r="C153" s="12" t="s">
        <v>441</v>
      </c>
      <c r="D153" s="15" t="s">
        <v>279</v>
      </c>
      <c r="E153" s="633">
        <v>54000</v>
      </c>
      <c r="F153" s="13"/>
    </row>
    <row r="154" customHeight="1" spans="1:6">
      <c r="A154" s="27">
        <v>21</v>
      </c>
      <c r="B154" s="11" t="s">
        <v>442</v>
      </c>
      <c r="C154" s="12" t="s">
        <v>443</v>
      </c>
      <c r="D154" s="15" t="s">
        <v>345</v>
      </c>
      <c r="E154" s="633">
        <v>68000</v>
      </c>
      <c r="F154" s="13"/>
    </row>
    <row r="155" customHeight="1" spans="1:6">
      <c r="A155" s="27">
        <v>22</v>
      </c>
      <c r="B155" s="11" t="s">
        <v>444</v>
      </c>
      <c r="C155" s="12" t="s">
        <v>445</v>
      </c>
      <c r="D155" s="15" t="s">
        <v>279</v>
      </c>
      <c r="E155" s="633">
        <v>54000</v>
      </c>
      <c r="F155" s="13"/>
    </row>
    <row r="156" customHeight="1" spans="1:6">
      <c r="A156" s="27">
        <v>23</v>
      </c>
      <c r="B156" s="18" t="s">
        <v>446</v>
      </c>
      <c r="C156" s="12" t="s">
        <v>447</v>
      </c>
      <c r="D156" s="15" t="s">
        <v>24</v>
      </c>
      <c r="E156" s="633">
        <v>54000</v>
      </c>
      <c r="F156" s="13"/>
    </row>
    <row r="157" customHeight="1" spans="1:6">
      <c r="A157" s="27">
        <v>24</v>
      </c>
      <c r="B157" s="18" t="s">
        <v>448</v>
      </c>
      <c r="C157" s="12" t="s">
        <v>449</v>
      </c>
      <c r="D157" s="15" t="s">
        <v>294</v>
      </c>
      <c r="E157" s="633">
        <v>54000</v>
      </c>
      <c r="F157" s="13"/>
    </row>
    <row r="158" customHeight="1" spans="1:6">
      <c r="A158" s="27">
        <v>25</v>
      </c>
      <c r="B158" s="18" t="s">
        <v>450</v>
      </c>
      <c r="C158" s="12" t="s">
        <v>451</v>
      </c>
      <c r="D158" s="15" t="s">
        <v>294</v>
      </c>
      <c r="E158" s="633">
        <v>54000</v>
      </c>
      <c r="F158" s="13"/>
    </row>
    <row r="159" customHeight="1" spans="1:6">
      <c r="A159" s="27">
        <v>26</v>
      </c>
      <c r="B159" s="18" t="s">
        <v>452</v>
      </c>
      <c r="C159" s="12" t="s">
        <v>453</v>
      </c>
      <c r="D159" s="15" t="s">
        <v>294</v>
      </c>
      <c r="E159" s="633">
        <v>54000</v>
      </c>
      <c r="F159" s="13"/>
    </row>
    <row r="160" customHeight="1" spans="1:6">
      <c r="A160" s="27">
        <v>27</v>
      </c>
      <c r="B160" s="18" t="s">
        <v>454</v>
      </c>
      <c r="C160" s="12" t="s">
        <v>455</v>
      </c>
      <c r="D160" s="15" t="s">
        <v>291</v>
      </c>
      <c r="E160" s="633">
        <v>54000</v>
      </c>
      <c r="F160" s="13"/>
    </row>
    <row r="161" customHeight="1" spans="1:6">
      <c r="A161" s="27">
        <v>28</v>
      </c>
      <c r="B161" s="18" t="s">
        <v>456</v>
      </c>
      <c r="C161" s="12" t="s">
        <v>451</v>
      </c>
      <c r="D161" s="15" t="s">
        <v>294</v>
      </c>
      <c r="E161" s="633">
        <v>54000</v>
      </c>
      <c r="F161" s="13"/>
    </row>
    <row r="162" customHeight="1" spans="1:6">
      <c r="A162" s="27">
        <v>29</v>
      </c>
      <c r="B162" s="11" t="s">
        <v>457</v>
      </c>
      <c r="C162" s="12" t="s">
        <v>458</v>
      </c>
      <c r="D162" s="15" t="s">
        <v>459</v>
      </c>
      <c r="E162" s="633">
        <v>36000</v>
      </c>
      <c r="F162" s="13"/>
    </row>
    <row r="163" customHeight="1" spans="1:6">
      <c r="A163" s="27">
        <v>30</v>
      </c>
      <c r="B163" s="11" t="s">
        <v>460</v>
      </c>
      <c r="C163" s="12" t="s">
        <v>458</v>
      </c>
      <c r="D163" s="15" t="s">
        <v>459</v>
      </c>
      <c r="E163" s="633">
        <v>36000</v>
      </c>
      <c r="F163" s="13"/>
    </row>
    <row r="164" customHeight="1" spans="1:6">
      <c r="A164" s="27">
        <v>31</v>
      </c>
      <c r="B164" s="11" t="s">
        <v>461</v>
      </c>
      <c r="C164" s="12" t="s">
        <v>458</v>
      </c>
      <c r="D164" s="15" t="s">
        <v>459</v>
      </c>
      <c r="E164" s="633">
        <v>36000</v>
      </c>
      <c r="F164" s="13"/>
    </row>
    <row r="165" customHeight="1" spans="1:6">
      <c r="A165" s="27">
        <v>32</v>
      </c>
      <c r="B165" s="11" t="s">
        <v>462</v>
      </c>
      <c r="C165" s="12" t="s">
        <v>458</v>
      </c>
      <c r="D165" s="15" t="s">
        <v>459</v>
      </c>
      <c r="E165" s="633">
        <v>36000</v>
      </c>
      <c r="F165" s="13"/>
    </row>
    <row r="166" customHeight="1" spans="1:6">
      <c r="A166" s="27">
        <v>33</v>
      </c>
      <c r="B166" s="11" t="s">
        <v>463</v>
      </c>
      <c r="C166" s="12" t="s">
        <v>458</v>
      </c>
      <c r="D166" s="15" t="s">
        <v>459</v>
      </c>
      <c r="E166" s="633">
        <v>36000</v>
      </c>
      <c r="F166" s="13"/>
    </row>
    <row r="167" customHeight="1" spans="1:6">
      <c r="A167" s="27">
        <v>34</v>
      </c>
      <c r="B167" s="11" t="s">
        <v>464</v>
      </c>
      <c r="C167" s="12" t="s">
        <v>458</v>
      </c>
      <c r="D167" s="15" t="s">
        <v>465</v>
      </c>
      <c r="E167" s="633">
        <v>36000</v>
      </c>
      <c r="F167" s="13"/>
    </row>
    <row r="168" customHeight="1" spans="1:6">
      <c r="A168" s="27">
        <v>35</v>
      </c>
      <c r="B168" s="11" t="s">
        <v>466</v>
      </c>
      <c r="C168" s="12" t="s">
        <v>458</v>
      </c>
      <c r="D168" s="15" t="s">
        <v>465</v>
      </c>
      <c r="E168" s="633">
        <v>36000</v>
      </c>
      <c r="F168" s="13"/>
    </row>
    <row r="169" customHeight="1" spans="1:6">
      <c r="A169" s="27">
        <v>36</v>
      </c>
      <c r="B169" s="14" t="s">
        <v>467</v>
      </c>
      <c r="C169" s="12" t="s">
        <v>458</v>
      </c>
      <c r="D169" s="15" t="s">
        <v>465</v>
      </c>
      <c r="E169" s="633">
        <v>36000</v>
      </c>
      <c r="F169" s="13"/>
    </row>
    <row r="170" customHeight="1" spans="1:6">
      <c r="A170" s="27">
        <v>37</v>
      </c>
      <c r="B170" s="11" t="s">
        <v>468</v>
      </c>
      <c r="C170" s="12" t="s">
        <v>458</v>
      </c>
      <c r="D170" s="15" t="s">
        <v>465</v>
      </c>
      <c r="E170" s="633">
        <v>36000</v>
      </c>
      <c r="F170" s="13"/>
    </row>
    <row r="171" customHeight="1" spans="1:6">
      <c r="A171" s="27">
        <v>38</v>
      </c>
      <c r="B171" s="18" t="s">
        <v>469</v>
      </c>
      <c r="C171" s="12" t="s">
        <v>458</v>
      </c>
      <c r="D171" s="15" t="s">
        <v>465</v>
      </c>
      <c r="E171" s="633">
        <v>36000</v>
      </c>
      <c r="F171" s="13"/>
    </row>
    <row r="172" customHeight="1" spans="1:6">
      <c r="A172" s="27">
        <v>39</v>
      </c>
      <c r="B172" s="18" t="s">
        <v>470</v>
      </c>
      <c r="C172" s="12" t="s">
        <v>458</v>
      </c>
      <c r="D172" s="15" t="s">
        <v>465</v>
      </c>
      <c r="E172" s="633">
        <v>36000</v>
      </c>
      <c r="F172" s="13"/>
    </row>
    <row r="173" customHeight="1" spans="1:6">
      <c r="A173" s="27">
        <v>40</v>
      </c>
      <c r="B173" s="11" t="s">
        <v>471</v>
      </c>
      <c r="C173" s="12" t="s">
        <v>472</v>
      </c>
      <c r="D173" s="15" t="s">
        <v>473</v>
      </c>
      <c r="E173" s="633">
        <v>36000</v>
      </c>
      <c r="F173" s="13"/>
    </row>
    <row r="174" customHeight="1" spans="1:6">
      <c r="A174" s="27">
        <v>41</v>
      </c>
      <c r="B174" s="11" t="s">
        <v>474</v>
      </c>
      <c r="C174" s="12" t="s">
        <v>472</v>
      </c>
      <c r="D174" s="15" t="s">
        <v>473</v>
      </c>
      <c r="E174" s="633">
        <v>36000</v>
      </c>
      <c r="F174" s="13"/>
    </row>
    <row r="175" customHeight="1" spans="1:6">
      <c r="A175" s="27">
        <v>42</v>
      </c>
      <c r="B175" s="18" t="s">
        <v>475</v>
      </c>
      <c r="C175" s="12" t="s">
        <v>472</v>
      </c>
      <c r="D175" s="15" t="s">
        <v>476</v>
      </c>
      <c r="E175" s="633">
        <v>36000</v>
      </c>
      <c r="F175" s="13"/>
    </row>
    <row r="176" customHeight="1" spans="1:6">
      <c r="A176" s="27">
        <v>43</v>
      </c>
      <c r="B176" s="11" t="s">
        <v>477</v>
      </c>
      <c r="C176" s="12" t="s">
        <v>478</v>
      </c>
      <c r="D176" s="15" t="s">
        <v>479</v>
      </c>
      <c r="E176" s="633">
        <v>36000</v>
      </c>
      <c r="F176" s="13"/>
    </row>
    <row r="177" customHeight="1" spans="1:6">
      <c r="A177" s="27">
        <v>44</v>
      </c>
      <c r="B177" s="11" t="s">
        <v>480</v>
      </c>
      <c r="C177" s="12" t="s">
        <v>481</v>
      </c>
      <c r="D177" s="15" t="s">
        <v>482</v>
      </c>
      <c r="E177" s="633">
        <v>36000</v>
      </c>
      <c r="F177" s="13"/>
    </row>
    <row r="178" customHeight="1" spans="1:6">
      <c r="A178" s="27">
        <v>45</v>
      </c>
      <c r="B178" s="11" t="s">
        <v>483</v>
      </c>
      <c r="C178" s="12" t="s">
        <v>481</v>
      </c>
      <c r="D178" s="15" t="s">
        <v>482</v>
      </c>
      <c r="E178" s="633">
        <v>36000</v>
      </c>
      <c r="F178" s="13"/>
    </row>
    <row r="179" customHeight="1" spans="1:6">
      <c r="A179" s="27">
        <v>46</v>
      </c>
      <c r="B179" s="11" t="s">
        <v>484</v>
      </c>
      <c r="C179" s="12" t="s">
        <v>481</v>
      </c>
      <c r="D179" s="15" t="s">
        <v>482</v>
      </c>
      <c r="E179" s="633">
        <v>36000</v>
      </c>
      <c r="F179" s="13"/>
    </row>
    <row r="180" customHeight="1" spans="1:6">
      <c r="A180" s="27">
        <v>47</v>
      </c>
      <c r="B180" s="11" t="s">
        <v>485</v>
      </c>
      <c r="C180" s="12" t="s">
        <v>481</v>
      </c>
      <c r="D180" s="15" t="s">
        <v>482</v>
      </c>
      <c r="E180" s="633">
        <v>36000</v>
      </c>
      <c r="F180" s="13"/>
    </row>
    <row r="181" customHeight="1" spans="1:6">
      <c r="A181" s="27">
        <v>48</v>
      </c>
      <c r="B181" s="11" t="s">
        <v>486</v>
      </c>
      <c r="C181" s="12" t="s">
        <v>481</v>
      </c>
      <c r="D181" s="15" t="s">
        <v>482</v>
      </c>
      <c r="E181" s="633">
        <v>36000</v>
      </c>
      <c r="F181" s="13"/>
    </row>
    <row r="182" customHeight="1" spans="1:6">
      <c r="A182" s="27">
        <v>49</v>
      </c>
      <c r="B182" s="18" t="s">
        <v>487</v>
      </c>
      <c r="C182" s="12" t="s">
        <v>481</v>
      </c>
      <c r="D182" s="15" t="s">
        <v>482</v>
      </c>
      <c r="E182" s="633">
        <v>36000</v>
      </c>
      <c r="F182" s="13"/>
    </row>
    <row r="183" customHeight="1" spans="1:6">
      <c r="A183" s="27">
        <v>50</v>
      </c>
      <c r="B183" s="18" t="s">
        <v>488</v>
      </c>
      <c r="C183" s="12" t="s">
        <v>481</v>
      </c>
      <c r="D183" s="15" t="s">
        <v>482</v>
      </c>
      <c r="E183" s="633">
        <v>36000</v>
      </c>
      <c r="F183" s="13"/>
    </row>
    <row r="184" customHeight="1" spans="1:6">
      <c r="A184" s="27">
        <v>51</v>
      </c>
      <c r="B184" s="11" t="s">
        <v>489</v>
      </c>
      <c r="C184" s="12" t="s">
        <v>478</v>
      </c>
      <c r="D184" s="15" t="s">
        <v>482</v>
      </c>
      <c r="E184" s="633">
        <v>36000</v>
      </c>
      <c r="F184" s="13"/>
    </row>
    <row r="185" customHeight="1" spans="1:6">
      <c r="A185" s="27">
        <v>52</v>
      </c>
      <c r="B185" s="11" t="s">
        <v>490</v>
      </c>
      <c r="C185" s="12" t="s">
        <v>478</v>
      </c>
      <c r="D185" s="15" t="s">
        <v>482</v>
      </c>
      <c r="E185" s="633">
        <v>36000</v>
      </c>
      <c r="F185" s="13"/>
    </row>
    <row r="186" customHeight="1" spans="1:6">
      <c r="A186" s="27">
        <v>53</v>
      </c>
      <c r="B186" s="18" t="s">
        <v>491</v>
      </c>
      <c r="C186" s="12" t="s">
        <v>172</v>
      </c>
      <c r="D186" s="15" t="s">
        <v>492</v>
      </c>
      <c r="E186" s="633">
        <v>36000</v>
      </c>
      <c r="F186" s="13"/>
    </row>
    <row r="187" customHeight="1" spans="1:6">
      <c r="A187" s="27">
        <v>54</v>
      </c>
      <c r="B187" s="18" t="s">
        <v>493</v>
      </c>
      <c r="C187" s="12" t="s">
        <v>481</v>
      </c>
      <c r="D187" s="15" t="s">
        <v>494</v>
      </c>
      <c r="E187" s="633">
        <v>36000</v>
      </c>
      <c r="F187" s="13"/>
    </row>
    <row r="188" customHeight="1" spans="1:6">
      <c r="A188" s="27">
        <v>55</v>
      </c>
      <c r="B188" s="18" t="s">
        <v>495</v>
      </c>
      <c r="C188" s="12" t="s">
        <v>496</v>
      </c>
      <c r="D188" s="15" t="s">
        <v>497</v>
      </c>
      <c r="E188" s="633">
        <v>36000</v>
      </c>
      <c r="F188" s="13"/>
    </row>
    <row r="189" customHeight="1" spans="1:6">
      <c r="A189" s="27">
        <v>56</v>
      </c>
      <c r="B189" s="18" t="s">
        <v>498</v>
      </c>
      <c r="C189" s="12" t="s">
        <v>496</v>
      </c>
      <c r="D189" s="15" t="s">
        <v>497</v>
      </c>
      <c r="E189" s="633">
        <v>36000</v>
      </c>
      <c r="F189" s="13"/>
    </row>
    <row r="190" customHeight="1" spans="1:6">
      <c r="A190" s="27">
        <v>57</v>
      </c>
      <c r="B190" s="18" t="s">
        <v>499</v>
      </c>
      <c r="C190" s="12" t="s">
        <v>496</v>
      </c>
      <c r="D190" s="15" t="s">
        <v>497</v>
      </c>
      <c r="E190" s="633">
        <v>36000</v>
      </c>
      <c r="F190" s="13"/>
    </row>
    <row r="191" customHeight="1" spans="1:6">
      <c r="A191" s="27">
        <v>58</v>
      </c>
      <c r="B191" s="18" t="s">
        <v>500</v>
      </c>
      <c r="C191" s="12" t="s">
        <v>501</v>
      </c>
      <c r="D191" s="15" t="s">
        <v>502</v>
      </c>
      <c r="E191" s="633">
        <v>36000</v>
      </c>
      <c r="F191" s="13"/>
    </row>
    <row r="192" customHeight="1" spans="1:6">
      <c r="A192" s="27">
        <v>59</v>
      </c>
      <c r="B192" s="18" t="s">
        <v>503</v>
      </c>
      <c r="C192" s="12" t="s">
        <v>501</v>
      </c>
      <c r="D192" s="15" t="s">
        <v>502</v>
      </c>
      <c r="E192" s="633">
        <v>36000</v>
      </c>
      <c r="F192" s="13"/>
    </row>
    <row r="193" ht="30.75" customHeight="1" spans="1:6">
      <c r="A193" s="27"/>
      <c r="B193" s="8" t="s">
        <v>33</v>
      </c>
      <c r="C193" s="28" t="s">
        <v>504</v>
      </c>
      <c r="D193" s="29"/>
      <c r="E193" s="635">
        <f t="shared" ref="E193" si="7">SUM(E134:E192)</f>
        <v>3386000</v>
      </c>
      <c r="F193" s="13"/>
    </row>
    <row r="194" ht="35.25" customHeight="1" spans="1:6">
      <c r="A194" s="4"/>
      <c r="B194" s="30" t="s">
        <v>80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30">
        <v>1</v>
      </c>
      <c r="B2" s="630" t="s">
        <v>505</v>
      </c>
      <c r="C2" s="631">
        <f>'Welfare June'!E194</f>
        <v>13858000</v>
      </c>
      <c r="D2" s="630"/>
      <c r="E2" s="630"/>
    </row>
    <row r="3" ht="20.5" spans="1:5">
      <c r="A3" s="630">
        <v>2</v>
      </c>
      <c r="B3" s="630" t="s">
        <v>207</v>
      </c>
      <c r="C3" s="631">
        <f>'[3]CONTRACT Welfare'!$E$26</f>
        <v>1688000</v>
      </c>
      <c r="D3" s="630"/>
      <c r="E3" s="630"/>
    </row>
    <row r="4" ht="20.5" spans="1:5">
      <c r="A4" s="630">
        <v>3</v>
      </c>
      <c r="B4" s="630" t="s">
        <v>506</v>
      </c>
      <c r="C4" s="631">
        <f>'[3]CAS. SABB. NYSC Welfare'!$D$58</f>
        <v>1791000</v>
      </c>
      <c r="D4" s="630"/>
      <c r="E4" s="630"/>
    </row>
    <row r="5" ht="20.5" spans="1:5">
      <c r="A5" s="630">
        <v>4</v>
      </c>
      <c r="B5" s="630" t="s">
        <v>507</v>
      </c>
      <c r="C5" s="631">
        <f>'[3]CONSULTANCY Welfare'!$D$31</f>
        <v>1746000</v>
      </c>
      <c r="D5" s="630"/>
      <c r="E5" s="630"/>
    </row>
    <row r="6" ht="20.5" spans="1:5">
      <c r="A6" s="630">
        <v>5</v>
      </c>
      <c r="B6" s="630" t="s">
        <v>508</v>
      </c>
      <c r="C6" s="631">
        <f>'[3]Welfare Others'!$C$92</f>
        <v>1225000</v>
      </c>
      <c r="D6" s="630"/>
      <c r="E6" s="630"/>
    </row>
    <row r="7" ht="27" customHeight="1" spans="1:5">
      <c r="A7" s="630"/>
      <c r="B7" s="630"/>
      <c r="C7" s="632">
        <f>SUM(C2:C6)</f>
        <v>20308000</v>
      </c>
      <c r="D7" s="630"/>
      <c r="E7" s="630"/>
    </row>
    <row r="8" ht="20.5" spans="1:5">
      <c r="A8" s="630"/>
      <c r="B8" s="630"/>
      <c r="C8" s="630"/>
      <c r="D8" s="630"/>
      <c r="E8" s="630"/>
    </row>
    <row r="9" ht="20.5" spans="1:5">
      <c r="A9" s="630"/>
      <c r="B9" s="630"/>
      <c r="C9" s="630"/>
      <c r="D9" s="630"/>
      <c r="E9" s="630"/>
    </row>
    <row r="10" ht="20.5" spans="1:5">
      <c r="A10" s="630"/>
      <c r="B10" s="630"/>
      <c r="C10" s="630"/>
      <c r="D10" s="630"/>
      <c r="E10" s="630"/>
    </row>
    <row r="11" ht="20.5" spans="1:5">
      <c r="A11" s="630"/>
      <c r="B11" s="630"/>
      <c r="C11" s="630"/>
      <c r="D11" s="630"/>
      <c r="E11" s="630"/>
    </row>
    <row r="12" ht="20.5" spans="1:5">
      <c r="A12" s="630"/>
      <c r="B12" s="630"/>
      <c r="C12" s="630"/>
      <c r="D12" s="630"/>
      <c r="E12" s="630"/>
    </row>
    <row r="13" ht="20.5" spans="1:5">
      <c r="A13" s="630"/>
      <c r="B13" s="630"/>
      <c r="C13" s="630"/>
      <c r="D13" s="630"/>
      <c r="E13" s="630"/>
    </row>
    <row r="14" ht="20.5" spans="1:5">
      <c r="A14" s="630"/>
      <c r="B14" s="630"/>
      <c r="C14" s="630"/>
      <c r="D14" s="630"/>
      <c r="E14" s="630"/>
    </row>
    <row r="15" ht="20.5" spans="1:5">
      <c r="A15" s="630"/>
      <c r="B15" s="630"/>
      <c r="C15" s="630"/>
      <c r="D15" s="630"/>
      <c r="E15" s="630"/>
    </row>
    <row r="16" ht="20.5" spans="1:5">
      <c r="A16" s="630"/>
      <c r="B16" s="630"/>
      <c r="C16" s="630"/>
      <c r="D16" s="630"/>
      <c r="E16" s="630"/>
    </row>
    <row r="17" ht="20.5" spans="1:5">
      <c r="A17" s="630"/>
      <c r="B17" s="630"/>
      <c r="C17" s="630"/>
      <c r="D17" s="630"/>
      <c r="E17" s="630"/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8" t="s">
        <v>509</v>
      </c>
      <c r="E1" s="629" t="s">
        <v>510</v>
      </c>
      <c r="F1" s="629" t="s">
        <v>511</v>
      </c>
      <c r="G1" s="629" t="s">
        <v>512</v>
      </c>
      <c r="H1" s="629" t="s">
        <v>513</v>
      </c>
      <c r="I1" s="629" t="s">
        <v>514</v>
      </c>
    </row>
    <row r="2" s="1" customFormat="1" ht="33" customHeight="1" spans="1:9">
      <c r="A2" s="18" t="s">
        <v>223</v>
      </c>
      <c r="B2" s="18" t="s">
        <v>224</v>
      </c>
      <c r="C2" s="10" t="s">
        <v>225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515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4" t="s">
        <v>516</v>
      </c>
      <c r="Q4" s="24" t="s">
        <v>511</v>
      </c>
      <c r="R4" s="218" t="s">
        <v>15</v>
      </c>
      <c r="S4" s="347" t="s">
        <v>16</v>
      </c>
      <c r="T4" s="80" t="s">
        <v>517</v>
      </c>
      <c r="U4" s="321" t="s">
        <v>518</v>
      </c>
    </row>
    <row r="5" ht="17.25" customHeight="1" spans="3:21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82" t="s">
        <v>19</v>
      </c>
      <c r="S5" s="449" t="s">
        <v>19</v>
      </c>
      <c r="T5" s="82" t="s">
        <v>19</v>
      </c>
      <c r="U5" s="230" t="s">
        <v>19</v>
      </c>
    </row>
    <row r="6" customHeight="1" spans="1:21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239</v>
      </c>
      <c r="C7" s="12" t="s">
        <v>240</v>
      </c>
      <c r="D7" s="10" t="s">
        <v>234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241</v>
      </c>
      <c r="C8" s="4" t="s">
        <v>242</v>
      </c>
      <c r="D8" s="10" t="s">
        <v>234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245</v>
      </c>
      <c r="C9" s="4" t="s">
        <v>246</v>
      </c>
      <c r="D9" s="10" t="s">
        <v>234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'[4]OCTOBER 2023 '!$D$193</f>
        <v>230499.8</v>
      </c>
      <c r="N9" s="85">
        <v>1066.32925</v>
      </c>
      <c r="O9" s="85">
        <v>159207.527610667</v>
      </c>
      <c r="P9" s="85">
        <f>'March New PAYE '!Z10</f>
        <v>178407.527610667</v>
      </c>
      <c r="Q9" s="85">
        <f t="shared" si="3"/>
        <v>19200.0000000003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232</v>
      </c>
      <c r="C10" s="10" t="s">
        <v>233</v>
      </c>
      <c r="D10" s="10" t="s">
        <v>234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19199.9999999997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349</v>
      </c>
      <c r="C11" s="4" t="s">
        <v>310</v>
      </c>
      <c r="D11" s="10" t="s">
        <v>249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250</v>
      </c>
      <c r="C12" s="4" t="s">
        <v>251</v>
      </c>
      <c r="D12" s="10" t="s">
        <v>228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258</v>
      </c>
      <c r="C13" s="4" t="s">
        <v>259</v>
      </c>
      <c r="D13" s="10" t="s">
        <v>260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267</v>
      </c>
      <c r="C14" s="4" t="s">
        <v>268</v>
      </c>
      <c r="D14" s="15" t="s">
        <v>269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272</v>
      </c>
      <c r="C15" s="17" t="s">
        <v>273</v>
      </c>
      <c r="D15" s="10" t="s">
        <v>41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276</v>
      </c>
      <c r="C16" s="17" t="s">
        <v>277</v>
      </c>
      <c r="D16" s="10" t="s">
        <v>37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33</v>
      </c>
      <c r="C17" s="28" t="s">
        <v>406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1441037.18469867</v>
      </c>
      <c r="Q17" s="93">
        <f t="shared" si="5"/>
        <v>191999.999999999</v>
      </c>
      <c r="R17" s="93">
        <v>1130905.06</v>
      </c>
      <c r="S17" s="627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519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S4" workbookViewId="0">
      <selection activeCell="U6" sqref="U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  <c r="AA4" s="477"/>
      <c r="AB4" s="477" t="s">
        <v>520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236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s="615" customFormat="1" ht="18" spans="1:31">
      <c r="A7" s="616">
        <v>4</v>
      </c>
      <c r="B7" s="617" t="s">
        <v>239</v>
      </c>
      <c r="C7" s="618">
        <f>852373.166666667+100000</f>
        <v>952373.166666667</v>
      </c>
      <c r="D7" s="619">
        <v>12</v>
      </c>
      <c r="E7" s="620">
        <f t="shared" ref="E7:E32" si="14">C7*D7</f>
        <v>11428478</v>
      </c>
      <c r="F7" s="620"/>
      <c r="G7" s="620">
        <v>731878.24</v>
      </c>
      <c r="H7" s="620"/>
      <c r="I7" s="620">
        <f t="shared" si="0"/>
        <v>10696599.76</v>
      </c>
      <c r="J7" s="620">
        <v>200000</v>
      </c>
      <c r="K7" s="620">
        <v>0.2</v>
      </c>
      <c r="L7" s="620">
        <f t="shared" si="1"/>
        <v>2139319.952</v>
      </c>
      <c r="M7" s="620">
        <f t="shared" si="2"/>
        <v>2339319.952</v>
      </c>
      <c r="N7" s="620">
        <f t="shared" si="3"/>
        <v>3071198.192</v>
      </c>
      <c r="O7" s="620">
        <f t="shared" si="4"/>
        <v>8357279.808</v>
      </c>
      <c r="P7" s="620">
        <f t="shared" si="5"/>
        <v>21000</v>
      </c>
      <c r="Q7" s="620">
        <f t="shared" si="6"/>
        <v>33000</v>
      </c>
      <c r="R7" s="620">
        <f t="shared" si="7"/>
        <v>75000</v>
      </c>
      <c r="S7" s="620">
        <f t="shared" si="8"/>
        <v>95000</v>
      </c>
      <c r="T7" s="620">
        <f t="shared" si="9"/>
        <v>336000</v>
      </c>
      <c r="U7" s="620">
        <f t="shared" si="10"/>
        <v>1237747.15392</v>
      </c>
      <c r="V7" s="620">
        <f t="shared" si="11"/>
        <v>1797747.15392</v>
      </c>
      <c r="W7" s="623">
        <v>12</v>
      </c>
      <c r="X7" s="620">
        <f t="shared" si="12"/>
        <v>149812.262826667</v>
      </c>
      <c r="Y7" s="620"/>
      <c r="Z7" s="620">
        <f t="shared" si="13"/>
        <v>149812.262826667</v>
      </c>
      <c r="AA7" s="624">
        <v>82627.9514186667</v>
      </c>
      <c r="AB7" s="624">
        <f t="shared" ref="AB7:AB32" si="15">Z7-AA7</f>
        <v>67184.311408</v>
      </c>
      <c r="AC7" s="624"/>
      <c r="AD7" s="624"/>
      <c r="AE7" s="624"/>
    </row>
    <row r="8" s="615" customFormat="1" ht="18" spans="1:31">
      <c r="A8" s="616">
        <v>5</v>
      </c>
      <c r="B8" s="621" t="s">
        <v>241</v>
      </c>
      <c r="C8" s="618">
        <f>1052373.16666667+100000</f>
        <v>1152373.16666667</v>
      </c>
      <c r="D8" s="619">
        <v>12</v>
      </c>
      <c r="E8" s="620">
        <f t="shared" si="14"/>
        <v>13828478</v>
      </c>
      <c r="F8" s="620"/>
      <c r="G8" s="620">
        <v>0</v>
      </c>
      <c r="H8" s="620"/>
      <c r="I8" s="620">
        <f t="shared" si="0"/>
        <v>13828478</v>
      </c>
      <c r="J8" s="620">
        <v>200000</v>
      </c>
      <c r="K8" s="620">
        <v>0.2</v>
      </c>
      <c r="L8" s="620">
        <f t="shared" si="1"/>
        <v>2765695.60000001</v>
      </c>
      <c r="M8" s="620">
        <f t="shared" si="2"/>
        <v>2965695.60000001</v>
      </c>
      <c r="N8" s="620">
        <f t="shared" si="3"/>
        <v>2965695.60000001</v>
      </c>
      <c r="O8" s="620">
        <f t="shared" si="4"/>
        <v>10862782.4</v>
      </c>
      <c r="P8" s="620">
        <f t="shared" si="5"/>
        <v>21000</v>
      </c>
      <c r="Q8" s="620">
        <f t="shared" si="6"/>
        <v>33000</v>
      </c>
      <c r="R8" s="620">
        <f t="shared" si="7"/>
        <v>75000</v>
      </c>
      <c r="S8" s="620">
        <f t="shared" si="8"/>
        <v>95000</v>
      </c>
      <c r="T8" s="620">
        <f t="shared" si="9"/>
        <v>336000</v>
      </c>
      <c r="U8" s="620">
        <f t="shared" si="10"/>
        <v>1839067.77600001</v>
      </c>
      <c r="V8" s="620">
        <f t="shared" si="11"/>
        <v>2399067.77600001</v>
      </c>
      <c r="W8" s="623">
        <v>12</v>
      </c>
      <c r="X8" s="620">
        <f t="shared" si="12"/>
        <v>199922.314666667</v>
      </c>
      <c r="Y8" s="620"/>
      <c r="Z8" s="620">
        <f t="shared" si="13"/>
        <v>199922.314666667</v>
      </c>
      <c r="AA8" s="624">
        <v>121027.951418667</v>
      </c>
      <c r="AB8" s="624">
        <f t="shared" si="15"/>
        <v>78894.3632480003</v>
      </c>
      <c r="AC8" s="624"/>
      <c r="AD8" s="624"/>
      <c r="AE8" s="624"/>
    </row>
    <row r="9" ht="18" spans="1:31">
      <c r="A9" s="464">
        <v>6</v>
      </c>
      <c r="B9" s="11" t="s">
        <v>243</v>
      </c>
      <c r="C9" s="465">
        <v>942373.166666667</v>
      </c>
      <c r="D9" s="466">
        <v>12</v>
      </c>
      <c r="E9" s="467">
        <f t="shared" si="14"/>
        <v>11308478</v>
      </c>
      <c r="F9" s="467">
        <f>'[5]JANUARY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s="615" customFormat="1" ht="18" spans="1:31">
      <c r="A10" s="616">
        <v>7</v>
      </c>
      <c r="B10" s="621" t="s">
        <v>245</v>
      </c>
      <c r="C10" s="618">
        <f>1002373.16666667+100000</f>
        <v>1102373.16666667</v>
      </c>
      <c r="D10" s="619">
        <v>12</v>
      </c>
      <c r="E10" s="620">
        <f t="shared" si="14"/>
        <v>13228478</v>
      </c>
      <c r="F10" s="620">
        <f>'[5]JANUARY 2024'!$V$10*12</f>
        <v>12795.951</v>
      </c>
      <c r="G10" s="620">
        <v>731878.24</v>
      </c>
      <c r="H10" s="620"/>
      <c r="I10" s="620">
        <f t="shared" si="0"/>
        <v>12483803.809</v>
      </c>
      <c r="J10" s="620">
        <v>200000</v>
      </c>
      <c r="K10" s="620">
        <v>0.2</v>
      </c>
      <c r="L10" s="620">
        <f t="shared" si="1"/>
        <v>2496760.76180001</v>
      </c>
      <c r="M10" s="620">
        <f t="shared" si="2"/>
        <v>2696760.76180001</v>
      </c>
      <c r="N10" s="620">
        <f t="shared" si="3"/>
        <v>3441434.95280001</v>
      </c>
      <c r="O10" s="620">
        <f t="shared" si="4"/>
        <v>9787043.04720003</v>
      </c>
      <c r="P10" s="620">
        <f t="shared" si="5"/>
        <v>21000</v>
      </c>
      <c r="Q10" s="620">
        <f t="shared" si="6"/>
        <v>33000</v>
      </c>
      <c r="R10" s="620">
        <f t="shared" si="7"/>
        <v>75000</v>
      </c>
      <c r="S10" s="620">
        <f t="shared" si="8"/>
        <v>95000</v>
      </c>
      <c r="T10" s="620">
        <f t="shared" si="9"/>
        <v>336000</v>
      </c>
      <c r="U10" s="620">
        <f t="shared" si="10"/>
        <v>1580890.33132801</v>
      </c>
      <c r="V10" s="620">
        <f t="shared" si="11"/>
        <v>2140890.33132801</v>
      </c>
      <c r="W10" s="623">
        <v>12</v>
      </c>
      <c r="X10" s="620">
        <f t="shared" si="12"/>
        <v>178407.527610667</v>
      </c>
      <c r="Y10" s="620"/>
      <c r="Z10" s="620">
        <f t="shared" si="13"/>
        <v>178407.527610667</v>
      </c>
      <c r="AA10" s="624">
        <v>111223.216202667</v>
      </c>
      <c r="AB10" s="624">
        <f t="shared" si="15"/>
        <v>67184.3114080003</v>
      </c>
      <c r="AC10" s="624"/>
      <c r="AD10" s="624"/>
      <c r="AE10" s="624"/>
    </row>
    <row r="11" s="615" customFormat="1" ht="18" spans="1:31">
      <c r="A11" s="616">
        <v>8</v>
      </c>
      <c r="B11" s="622" t="s">
        <v>232</v>
      </c>
      <c r="C11" s="618">
        <f>952373.166666667+100000</f>
        <v>1052373.16666667</v>
      </c>
      <c r="D11" s="619">
        <v>12</v>
      </c>
      <c r="E11" s="620">
        <f t="shared" si="14"/>
        <v>12628478</v>
      </c>
      <c r="F11" s="620"/>
      <c r="G11" s="620">
        <v>0</v>
      </c>
      <c r="H11" s="620"/>
      <c r="I11" s="620">
        <f t="shared" si="0"/>
        <v>12628478</v>
      </c>
      <c r="J11" s="620">
        <v>200000</v>
      </c>
      <c r="K11" s="620">
        <v>0.2</v>
      </c>
      <c r="L11" s="620">
        <f t="shared" si="1"/>
        <v>2525695.6</v>
      </c>
      <c r="M11" s="620">
        <f t="shared" si="2"/>
        <v>2725695.6</v>
      </c>
      <c r="N11" s="620">
        <f t="shared" si="3"/>
        <v>2725695.6</v>
      </c>
      <c r="O11" s="620">
        <f t="shared" si="4"/>
        <v>9902782.4</v>
      </c>
      <c r="P11" s="620">
        <f t="shared" si="5"/>
        <v>21000</v>
      </c>
      <c r="Q11" s="620">
        <f t="shared" si="6"/>
        <v>33000</v>
      </c>
      <c r="R11" s="620">
        <f t="shared" si="7"/>
        <v>75000</v>
      </c>
      <c r="S11" s="620">
        <f t="shared" si="8"/>
        <v>95000</v>
      </c>
      <c r="T11" s="620">
        <f t="shared" si="9"/>
        <v>336000</v>
      </c>
      <c r="U11" s="620">
        <f t="shared" si="10"/>
        <v>1608667.776</v>
      </c>
      <c r="V11" s="620">
        <f t="shared" si="11"/>
        <v>2168667.776</v>
      </c>
      <c r="W11" s="623">
        <v>12</v>
      </c>
      <c r="X11" s="620">
        <f t="shared" si="12"/>
        <v>180722.314666667</v>
      </c>
      <c r="Y11" s="620"/>
      <c r="Z11" s="620">
        <f t="shared" si="13"/>
        <v>180722.314666667</v>
      </c>
      <c r="AA11" s="624">
        <v>101827.951418667</v>
      </c>
      <c r="AB11" s="624">
        <f t="shared" si="15"/>
        <v>78894.3632479997</v>
      </c>
      <c r="AC11" s="624"/>
      <c r="AD11" s="624"/>
      <c r="AE11" s="624"/>
    </row>
    <row r="12" ht="18" spans="1:31">
      <c r="A12" s="464">
        <v>9</v>
      </c>
      <c r="B12" s="11" t="s">
        <v>247</v>
      </c>
      <c r="C12" s="465">
        <v>750675.583333333</v>
      </c>
      <c r="D12" s="466">
        <v>12</v>
      </c>
      <c r="E12" s="467">
        <f t="shared" si="14"/>
        <v>9008107</v>
      </c>
      <c r="F12" s="467">
        <f>'[5]JANUARY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s="615" customFormat="1" ht="18" spans="1:31">
      <c r="A13" s="616">
        <v>10</v>
      </c>
      <c r="B13" s="617" t="s">
        <v>250</v>
      </c>
      <c r="C13" s="618">
        <f>842118.083333333+100000</f>
        <v>942118.083333333</v>
      </c>
      <c r="D13" s="619">
        <v>12</v>
      </c>
      <c r="E13" s="620">
        <f t="shared" si="14"/>
        <v>11305417</v>
      </c>
      <c r="F13" s="620">
        <f>'[5]JANUARY 2024'!$V$14*12</f>
        <v>9305.952</v>
      </c>
      <c r="G13" s="620">
        <v>558833.36</v>
      </c>
      <c r="H13" s="620"/>
      <c r="I13" s="620">
        <f t="shared" si="0"/>
        <v>10737277.688</v>
      </c>
      <c r="J13" s="620">
        <v>200000</v>
      </c>
      <c r="K13" s="620">
        <v>0.2</v>
      </c>
      <c r="L13" s="620">
        <f t="shared" si="1"/>
        <v>2147455.5376</v>
      </c>
      <c r="M13" s="620">
        <f t="shared" si="2"/>
        <v>2347455.5376</v>
      </c>
      <c r="N13" s="620">
        <f t="shared" si="3"/>
        <v>2915594.8496</v>
      </c>
      <c r="O13" s="620">
        <f t="shared" si="4"/>
        <v>8389822.1504</v>
      </c>
      <c r="P13" s="620">
        <f t="shared" si="5"/>
        <v>21000</v>
      </c>
      <c r="Q13" s="620">
        <f t="shared" si="6"/>
        <v>33000</v>
      </c>
      <c r="R13" s="620">
        <f t="shared" si="7"/>
        <v>75000</v>
      </c>
      <c r="S13" s="620">
        <f t="shared" si="8"/>
        <v>95000</v>
      </c>
      <c r="T13" s="620">
        <f t="shared" si="9"/>
        <v>336000</v>
      </c>
      <c r="U13" s="620">
        <f t="shared" si="10"/>
        <v>1245557.316096</v>
      </c>
      <c r="V13" s="620">
        <f t="shared" si="11"/>
        <v>1805557.316096</v>
      </c>
      <c r="W13" s="623">
        <v>12</v>
      </c>
      <c r="X13" s="620">
        <f t="shared" si="12"/>
        <v>150463.109674667</v>
      </c>
      <c r="Y13" s="620"/>
      <c r="Z13" s="620">
        <f t="shared" si="13"/>
        <v>150463.109674667</v>
      </c>
      <c r="AA13" s="624">
        <v>94625.7820586667</v>
      </c>
      <c r="AB13" s="624">
        <f t="shared" si="15"/>
        <v>55837.3276159999</v>
      </c>
      <c r="AC13" s="624"/>
      <c r="AD13" s="624"/>
      <c r="AE13" s="624"/>
    </row>
    <row r="14" ht="18" spans="1:31">
      <c r="A14" s="464">
        <v>11</v>
      </c>
      <c r="B14" s="11" t="s">
        <v>252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255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s="615" customFormat="1" ht="18" spans="1:31">
      <c r="A16" s="616">
        <v>13</v>
      </c>
      <c r="B16" s="617" t="s">
        <v>258</v>
      </c>
      <c r="C16" s="618">
        <f>732746.5+100000</f>
        <v>832746.5</v>
      </c>
      <c r="D16" s="619">
        <v>12</v>
      </c>
      <c r="E16" s="620">
        <f t="shared" si="14"/>
        <v>9992958</v>
      </c>
      <c r="F16" s="620"/>
      <c r="G16" s="620">
        <v>425036.64</v>
      </c>
      <c r="H16" s="620"/>
      <c r="I16" s="620">
        <f t="shared" si="0"/>
        <v>9567921.36</v>
      </c>
      <c r="J16" s="620">
        <v>200000</v>
      </c>
      <c r="K16" s="620">
        <v>0.2</v>
      </c>
      <c r="L16" s="620">
        <f t="shared" si="1"/>
        <v>1913584.272</v>
      </c>
      <c r="M16" s="620">
        <f t="shared" si="2"/>
        <v>2113584.272</v>
      </c>
      <c r="N16" s="620">
        <f t="shared" si="3"/>
        <v>2538620.912</v>
      </c>
      <c r="O16" s="620">
        <f t="shared" si="4"/>
        <v>7454337.088</v>
      </c>
      <c r="P16" s="620">
        <f t="shared" si="5"/>
        <v>21000</v>
      </c>
      <c r="Q16" s="620">
        <f t="shared" si="6"/>
        <v>33000</v>
      </c>
      <c r="R16" s="620">
        <f t="shared" si="7"/>
        <v>75000</v>
      </c>
      <c r="S16" s="620">
        <f t="shared" si="8"/>
        <v>95000</v>
      </c>
      <c r="T16" s="620">
        <f t="shared" si="9"/>
        <v>336000</v>
      </c>
      <c r="U16" s="620">
        <f t="shared" si="10"/>
        <v>1021040.90112</v>
      </c>
      <c r="V16" s="620">
        <f t="shared" si="11"/>
        <v>1581040.90112</v>
      </c>
      <c r="W16" s="623">
        <v>12</v>
      </c>
      <c r="X16" s="620">
        <f t="shared" si="12"/>
        <v>131753.408426667</v>
      </c>
      <c r="Y16" s="620"/>
      <c r="Z16" s="620">
        <f t="shared" si="13"/>
        <v>131753.408426667</v>
      </c>
      <c r="AA16" s="624">
        <v>46666.6666666667</v>
      </c>
      <c r="AB16" s="624">
        <f t="shared" si="15"/>
        <v>85086.74176</v>
      </c>
      <c r="AC16" s="624"/>
      <c r="AD16" s="624"/>
      <c r="AE16" s="624"/>
    </row>
    <row r="17" ht="18" spans="1:31">
      <c r="A17" s="464">
        <v>14</v>
      </c>
      <c r="B17" s="11" t="s">
        <v>261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264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s="615" customFormat="1" ht="18" spans="1:31">
      <c r="A19" s="616">
        <v>16</v>
      </c>
      <c r="B19" s="622" t="s">
        <v>267</v>
      </c>
      <c r="C19" s="618">
        <f>636026.916666667+100000</f>
        <v>736026.916666667</v>
      </c>
      <c r="D19" s="619">
        <v>12</v>
      </c>
      <c r="E19" s="620">
        <f t="shared" si="14"/>
        <v>8832323</v>
      </c>
      <c r="F19" s="620">
        <f>618.53*12</f>
        <v>7422.36</v>
      </c>
      <c r="G19" s="620">
        <v>399385.84</v>
      </c>
      <c r="H19" s="620"/>
      <c r="I19" s="620">
        <f t="shared" si="0"/>
        <v>8425514.8</v>
      </c>
      <c r="J19" s="620">
        <v>200000</v>
      </c>
      <c r="K19" s="620">
        <v>0.2</v>
      </c>
      <c r="L19" s="620">
        <f t="shared" si="1"/>
        <v>1685102.96</v>
      </c>
      <c r="M19" s="620">
        <f t="shared" si="2"/>
        <v>1885102.96</v>
      </c>
      <c r="N19" s="620">
        <f t="shared" si="3"/>
        <v>2291911.16</v>
      </c>
      <c r="O19" s="620">
        <f t="shared" si="4"/>
        <v>6540411.84</v>
      </c>
      <c r="P19" s="620">
        <f t="shared" si="5"/>
        <v>21000</v>
      </c>
      <c r="Q19" s="620">
        <f t="shared" si="6"/>
        <v>33000</v>
      </c>
      <c r="R19" s="620">
        <f t="shared" si="7"/>
        <v>75000</v>
      </c>
      <c r="S19" s="620">
        <f t="shared" si="8"/>
        <v>95000</v>
      </c>
      <c r="T19" s="620">
        <f t="shared" si="9"/>
        <v>336000</v>
      </c>
      <c r="U19" s="620">
        <f t="shared" si="10"/>
        <v>801698.841600001</v>
      </c>
      <c r="V19" s="620">
        <f t="shared" si="11"/>
        <v>1361698.8416</v>
      </c>
      <c r="W19" s="623">
        <v>12</v>
      </c>
      <c r="X19" s="620">
        <f t="shared" si="12"/>
        <v>113474.903466667</v>
      </c>
      <c r="Y19" s="620"/>
      <c r="Z19" s="620">
        <f t="shared" si="13"/>
        <v>113474.903466667</v>
      </c>
      <c r="AA19" s="624">
        <v>46666.6666666667</v>
      </c>
      <c r="AB19" s="624">
        <f t="shared" si="15"/>
        <v>66808.2368</v>
      </c>
      <c r="AC19" s="624"/>
      <c r="AD19" s="624"/>
      <c r="AE19" s="624"/>
    </row>
    <row r="20" ht="18" spans="1:31">
      <c r="A20" s="464">
        <v>17</v>
      </c>
      <c r="B20" s="11" t="s">
        <v>270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s="615" customFormat="1" ht="18" spans="1:31">
      <c r="A21" s="616">
        <v>18</v>
      </c>
      <c r="B21" s="621" t="s">
        <v>272</v>
      </c>
      <c r="C21" s="618">
        <f>553512.5+100000</f>
        <v>653512.5</v>
      </c>
      <c r="D21" s="619">
        <v>12</v>
      </c>
      <c r="E21" s="620">
        <f t="shared" si="14"/>
        <v>7842150</v>
      </c>
      <c r="F21" s="620"/>
      <c r="G21" s="620">
        <v>339372</v>
      </c>
      <c r="H21" s="620"/>
      <c r="I21" s="620">
        <f t="shared" si="0"/>
        <v>7502778</v>
      </c>
      <c r="J21" s="620">
        <v>200000</v>
      </c>
      <c r="K21" s="620">
        <v>0.2</v>
      </c>
      <c r="L21" s="620">
        <f t="shared" si="1"/>
        <v>1500555.6</v>
      </c>
      <c r="M21" s="620">
        <f t="shared" si="2"/>
        <v>1700555.6</v>
      </c>
      <c r="N21" s="620">
        <f t="shared" si="3"/>
        <v>2039927.6</v>
      </c>
      <c r="O21" s="620">
        <f t="shared" si="4"/>
        <v>5802222.4</v>
      </c>
      <c r="P21" s="620">
        <f t="shared" si="5"/>
        <v>21000</v>
      </c>
      <c r="Q21" s="620">
        <f t="shared" si="6"/>
        <v>33000</v>
      </c>
      <c r="R21" s="620">
        <f t="shared" si="7"/>
        <v>75000</v>
      </c>
      <c r="S21" s="620">
        <f t="shared" si="8"/>
        <v>95000</v>
      </c>
      <c r="T21" s="620">
        <f t="shared" si="9"/>
        <v>336000</v>
      </c>
      <c r="U21" s="620">
        <f t="shared" si="10"/>
        <v>624533.376</v>
      </c>
      <c r="V21" s="620">
        <f t="shared" si="11"/>
        <v>1184533.376</v>
      </c>
      <c r="W21" s="623">
        <v>12</v>
      </c>
      <c r="X21" s="620">
        <f t="shared" si="12"/>
        <v>98711.1146666667</v>
      </c>
      <c r="Y21" s="620"/>
      <c r="Z21" s="620">
        <f t="shared" si="13"/>
        <v>98711.1146666667</v>
      </c>
      <c r="AA21" s="624">
        <v>46666.6666666667</v>
      </c>
      <c r="AB21" s="624">
        <f t="shared" si="15"/>
        <v>52044.448</v>
      </c>
      <c r="AC21" s="624"/>
      <c r="AD21" s="624"/>
      <c r="AE21" s="624"/>
    </row>
    <row r="22" ht="18" spans="1:31">
      <c r="A22" s="464">
        <v>19</v>
      </c>
      <c r="B22" s="11" t="s">
        <v>274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s="615" customFormat="1" ht="18" spans="1:31">
      <c r="A23" s="616">
        <v>20</v>
      </c>
      <c r="B23" s="621" t="s">
        <v>276</v>
      </c>
      <c r="C23" s="618">
        <f>453029.666666667+100000</f>
        <v>553029.666666667</v>
      </c>
      <c r="D23" s="619">
        <v>12</v>
      </c>
      <c r="E23" s="620">
        <f t="shared" si="14"/>
        <v>6636356</v>
      </c>
      <c r="F23" s="620"/>
      <c r="G23" s="620">
        <v>281308.48</v>
      </c>
      <c r="H23" s="620"/>
      <c r="I23" s="620">
        <f t="shared" si="0"/>
        <v>6355047.52</v>
      </c>
      <c r="J23" s="620">
        <v>200000</v>
      </c>
      <c r="K23" s="620">
        <v>0.2</v>
      </c>
      <c r="L23" s="620">
        <f t="shared" si="1"/>
        <v>1271009.504</v>
      </c>
      <c r="M23" s="620">
        <f t="shared" si="2"/>
        <v>1471009.504</v>
      </c>
      <c r="N23" s="620">
        <f t="shared" si="3"/>
        <v>1752317.984</v>
      </c>
      <c r="O23" s="620">
        <f t="shared" si="4"/>
        <v>4884038.016</v>
      </c>
      <c r="P23" s="620">
        <f t="shared" si="5"/>
        <v>21000</v>
      </c>
      <c r="Q23" s="620">
        <f t="shared" si="6"/>
        <v>33000</v>
      </c>
      <c r="R23" s="620">
        <f t="shared" si="7"/>
        <v>75000</v>
      </c>
      <c r="S23" s="620">
        <f t="shared" si="8"/>
        <v>95000</v>
      </c>
      <c r="T23" s="620">
        <f t="shared" si="9"/>
        <v>336000</v>
      </c>
      <c r="U23" s="620">
        <f t="shared" si="10"/>
        <v>404169.123840001</v>
      </c>
      <c r="V23" s="620">
        <f t="shared" si="11"/>
        <v>964169.123840001</v>
      </c>
      <c r="W23" s="623">
        <v>12</v>
      </c>
      <c r="X23" s="620">
        <f t="shared" si="12"/>
        <v>80347.4269866667</v>
      </c>
      <c r="Y23" s="620"/>
      <c r="Z23" s="620">
        <f t="shared" si="13"/>
        <v>80347.4269866667</v>
      </c>
      <c r="AA23" s="624">
        <v>42371.8157286667</v>
      </c>
      <c r="AB23" s="624">
        <f t="shared" si="15"/>
        <v>37975.611258</v>
      </c>
      <c r="AC23" s="624"/>
      <c r="AD23" s="624"/>
      <c r="AE23" s="624"/>
    </row>
    <row r="24" ht="18" spans="1:31">
      <c r="A24" s="464">
        <v>21</v>
      </c>
      <c r="B24" s="4" t="s">
        <v>278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280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281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282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284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286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287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289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292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34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295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298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300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38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302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304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306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309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311</v>
      </c>
      <c r="C44" s="467">
        <v>780675.583333333</v>
      </c>
      <c r="D44" s="466">
        <v>12</v>
      </c>
      <c r="E44" s="467">
        <f t="shared" si="34"/>
        <v>9368107</v>
      </c>
      <c r="F44" s="467">
        <f>'[5]JANUARY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312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313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314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315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316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317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318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521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321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44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323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325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328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329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330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331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333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334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335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337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51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338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220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223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340</v>
      </c>
      <c r="C73" s="467">
        <v>596622.25</v>
      </c>
      <c r="D73" s="466">
        <v>12</v>
      </c>
      <c r="E73" s="467">
        <f t="shared" si="55"/>
        <v>7159467</v>
      </c>
      <c r="F73" s="467">
        <f>'[5]JANUARY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343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346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347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33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56</v>
      </c>
      <c r="C79" s="467"/>
      <c r="Z79" s="481"/>
      <c r="AB79" s="296" t="s">
        <v>522</v>
      </c>
      <c r="AC79" s="479"/>
      <c r="AD79" s="479"/>
      <c r="AE79" s="479"/>
    </row>
    <row r="80" s="615" customFormat="1" ht="18" spans="1:31">
      <c r="A80" s="616">
        <v>68</v>
      </c>
      <c r="B80" s="617" t="s">
        <v>349</v>
      </c>
      <c r="C80" s="620">
        <f>880675.583333333+100000</f>
        <v>980675.583333333</v>
      </c>
      <c r="D80" s="619">
        <v>12</v>
      </c>
      <c r="E80" s="620">
        <f>C80*D80</f>
        <v>11768107</v>
      </c>
      <c r="F80" s="620"/>
      <c r="G80" s="625">
        <v>595848.56</v>
      </c>
      <c r="H80" s="626"/>
      <c r="I80" s="620">
        <f t="shared" ref="I80:I89" si="67">E80-F80-G80-H80</f>
        <v>11172258.44</v>
      </c>
      <c r="J80" s="620">
        <v>200000</v>
      </c>
      <c r="K80" s="620">
        <v>0.2</v>
      </c>
      <c r="L80" s="620">
        <f t="shared" ref="L80:L89" si="68">I80*K80</f>
        <v>2234451.688</v>
      </c>
      <c r="M80" s="620">
        <f t="shared" ref="M80:M89" si="69">J80+L80</f>
        <v>2434451.688</v>
      </c>
      <c r="N80" s="620">
        <f t="shared" ref="N80:N89" si="70">F80+G80+H80+M80</f>
        <v>3030300.248</v>
      </c>
      <c r="O80" s="620">
        <f t="shared" ref="O80:O89" si="71">E80-N80</f>
        <v>8737806.752</v>
      </c>
      <c r="P80" s="620">
        <f t="shared" ref="P80:P89" si="72">IF(O80&lt;300000,0.07*O80,21000)</f>
        <v>21000</v>
      </c>
      <c r="Q80" s="620">
        <f t="shared" ref="Q80:Q89" si="73">IF((O80-300000)&lt;0,0,IF((O80-300000)&lt;300000,0.11*(O80-300000),33000))</f>
        <v>33000</v>
      </c>
      <c r="R80" s="620">
        <f t="shared" ref="R80:R89" si="74">IF((O80-600000)&lt;0,0,IF((O80-600000)&lt;500000,0.15*(O80-600000),75000))</f>
        <v>75000</v>
      </c>
      <c r="S80" s="620">
        <f t="shared" ref="S80:S89" si="75">IF((O80-1100000)&lt;0,0,IF((O80-1100000)&lt;500000,0.19*(O80-1100000),95000))</f>
        <v>95000</v>
      </c>
      <c r="T80" s="620">
        <f t="shared" ref="T80:T89" si="76">IF((O80-1600000)&lt;0,0,IF((O80-1600000)&lt;1600000,0.21*(O80-1600000),336000))</f>
        <v>336000</v>
      </c>
      <c r="U80" s="620">
        <f t="shared" ref="U80:U88" si="77">24%*(O80-3200000)</f>
        <v>1329073.62048</v>
      </c>
      <c r="V80" s="620">
        <f t="shared" ref="V80:V89" si="78">P80+Q80+R80+S80+T80+U80</f>
        <v>1889073.62048</v>
      </c>
      <c r="W80" s="623">
        <v>12</v>
      </c>
      <c r="X80" s="620">
        <f t="shared" ref="X80:X89" si="79">V80/W80</f>
        <v>157422.801706667</v>
      </c>
      <c r="Y80" s="626"/>
      <c r="Z80" s="620">
        <f t="shared" ref="Z80:Z89" si="80">X80</f>
        <v>157422.801706667</v>
      </c>
      <c r="AA80" s="620">
        <v>99156.9391466667</v>
      </c>
      <c r="AB80" s="624">
        <f>Z80-AA80</f>
        <v>58265.8625599999</v>
      </c>
      <c r="AC80" s="624" t="s">
        <v>349</v>
      </c>
      <c r="AD80" s="624"/>
      <c r="AE80" s="624"/>
    </row>
    <row r="81" ht="18" spans="1:31">
      <c r="A81" s="464">
        <v>69</v>
      </c>
      <c r="B81" s="11" t="s">
        <v>350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'[5]JANUARY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350</v>
      </c>
      <c r="AD81" s="479"/>
      <c r="AE81" s="479"/>
    </row>
    <row r="82" ht="36" spans="1:31">
      <c r="A82" s="464">
        <v>70</v>
      </c>
      <c r="B82" s="11" t="s">
        <v>351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351</v>
      </c>
      <c r="AD82" s="479"/>
      <c r="AE82" s="479"/>
    </row>
    <row r="83" ht="18" spans="1:31">
      <c r="A83" s="464">
        <v>71</v>
      </c>
      <c r="B83" s="11" t="s">
        <v>352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352</v>
      </c>
      <c r="AD83" s="479"/>
      <c r="AE83" s="479"/>
    </row>
    <row r="84" ht="18" spans="1:31">
      <c r="A84" s="464">
        <v>72</v>
      </c>
      <c r="B84" s="11" t="s">
        <v>354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354</v>
      </c>
      <c r="AD84" s="479"/>
      <c r="AE84" s="479"/>
    </row>
    <row r="85" ht="36" spans="1:31">
      <c r="A85" s="464">
        <v>73</v>
      </c>
      <c r="B85" s="11" t="s">
        <v>355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355</v>
      </c>
      <c r="AD85" s="479"/>
      <c r="AE85" s="479"/>
    </row>
    <row r="86" ht="18" spans="1:31">
      <c r="A86" s="464">
        <v>74</v>
      </c>
      <c r="B86" s="11" t="s">
        <v>357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357</v>
      </c>
      <c r="AD86" s="479"/>
      <c r="AE86" s="479"/>
    </row>
    <row r="87" ht="24" customHeight="1" spans="1:31">
      <c r="A87" s="464">
        <v>75</v>
      </c>
      <c r="B87" s="11" t="s">
        <v>358</v>
      </c>
      <c r="C87" s="467">
        <v>510248.916666667</v>
      </c>
      <c r="D87" s="466">
        <v>12</v>
      </c>
      <c r="E87" s="467">
        <f t="shared" si="81"/>
        <v>6122987</v>
      </c>
      <c r="F87" s="467">
        <f>'[5]JANUARY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358</v>
      </c>
      <c r="AD87" s="479"/>
      <c r="AE87" s="479"/>
    </row>
    <row r="88" ht="18" spans="1:31">
      <c r="A88" s="464">
        <v>76</v>
      </c>
      <c r="B88" s="11" t="s">
        <v>359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359</v>
      </c>
      <c r="AD88" s="479"/>
      <c r="AE88" s="479"/>
    </row>
    <row r="89" ht="18" spans="1:31">
      <c r="A89" s="464"/>
      <c r="B89" s="11" t="s">
        <v>361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361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58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363</v>
      </c>
      <c r="C93" s="467">
        <v>1452042.67</v>
      </c>
      <c r="D93" s="466">
        <v>12</v>
      </c>
      <c r="E93" s="467">
        <f>C93*D93</f>
        <v>17424512.04</v>
      </c>
      <c r="F93" s="467">
        <f>'[5]JANUARY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78">
        <f>X93</f>
        <v>236486.748679467</v>
      </c>
      <c r="AA93" s="479">
        <v>82423.2162026667</v>
      </c>
      <c r="AB93" s="479">
        <f>Z93-AA93</f>
        <v>154063.5324768</v>
      </c>
      <c r="AC93" s="479" t="s">
        <v>363</v>
      </c>
      <c r="AD93" s="479"/>
      <c r="AE93" s="479"/>
    </row>
    <row r="94" ht="18" spans="1:31">
      <c r="A94" s="464">
        <v>80</v>
      </c>
      <c r="B94" s="11" t="s">
        <v>366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366</v>
      </c>
      <c r="AD94" s="479"/>
      <c r="AE94" s="479"/>
    </row>
    <row r="95" ht="18" spans="1:31">
      <c r="A95" s="464">
        <v>81</v>
      </c>
      <c r="B95" s="11" t="s">
        <v>368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368</v>
      </c>
      <c r="AD95" s="479"/>
      <c r="AE95" s="479"/>
    </row>
    <row r="96" ht="18" spans="1:31">
      <c r="A96" s="464"/>
      <c r="B96" s="11" t="s">
        <v>370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370</v>
      </c>
      <c r="AD96" s="479"/>
      <c r="AE96" s="479"/>
    </row>
    <row r="97" ht="17.5" spans="1:31">
      <c r="A97" s="464"/>
      <c r="B97" s="20" t="s">
        <v>33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372</v>
      </c>
      <c r="C99" s="467"/>
      <c r="G99" s="296">
        <v>0</v>
      </c>
      <c r="Z99" s="481"/>
      <c r="AB99" s="296" t="s">
        <v>520</v>
      </c>
      <c r="AC99" s="479"/>
      <c r="AD99" s="479"/>
      <c r="AE99" s="479"/>
    </row>
    <row r="100" ht="18" spans="1:31">
      <c r="A100" s="464">
        <v>85</v>
      </c>
      <c r="B100" s="11" t="s">
        <v>373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373</v>
      </c>
      <c r="AD100" s="479"/>
      <c r="AE100" s="479"/>
    </row>
    <row r="101" ht="18" spans="1:31">
      <c r="A101" s="464">
        <v>86</v>
      </c>
      <c r="B101" s="11" t="s">
        <v>375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'[5]JANUARY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375</v>
      </c>
      <c r="AD101" s="479"/>
      <c r="AE101" s="479"/>
    </row>
    <row r="102" ht="18" spans="1:31">
      <c r="A102" s="464">
        <v>87</v>
      </c>
      <c r="B102" s="11" t="s">
        <v>377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'[5]JANUARY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377</v>
      </c>
      <c r="AD102" s="479"/>
      <c r="AE102" s="479"/>
    </row>
    <row r="103" ht="18" spans="1:31">
      <c r="A103" s="464">
        <v>88</v>
      </c>
      <c r="B103" s="11" t="s">
        <v>379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379</v>
      </c>
      <c r="AD103" s="479"/>
      <c r="AE103" s="479"/>
    </row>
    <row r="104" ht="18" spans="1:31">
      <c r="A104" s="464">
        <v>89</v>
      </c>
      <c r="B104" s="11" t="s">
        <v>380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380</v>
      </c>
      <c r="AD104" s="479"/>
      <c r="AE104" s="479"/>
    </row>
    <row r="105" ht="36" spans="1:31">
      <c r="A105" s="464"/>
      <c r="B105" s="18" t="s">
        <v>383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383</v>
      </c>
      <c r="AD105" s="479"/>
      <c r="AE105" s="479"/>
    </row>
    <row r="106" ht="18" spans="1:31">
      <c r="A106" s="464"/>
      <c r="B106" s="18" t="s">
        <v>385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385</v>
      </c>
      <c r="AD106" s="479"/>
      <c r="AE106" s="479"/>
    </row>
    <row r="107" ht="17.5" spans="1:31">
      <c r="A107" s="464"/>
      <c r="B107" s="20" t="s">
        <v>33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61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386</v>
      </c>
      <c r="C110" s="467">
        <v>761396.833333333</v>
      </c>
      <c r="D110" s="466">
        <v>12</v>
      </c>
      <c r="E110" s="467">
        <f>C110*D110</f>
        <v>9136762</v>
      </c>
      <c r="F110" s="467">
        <f>'[5]JANUARY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387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389</v>
      </c>
      <c r="C112" s="473">
        <v>450086.5</v>
      </c>
      <c r="D112" s="466">
        <v>12</v>
      </c>
      <c r="E112" s="467">
        <f t="shared" si="104"/>
        <v>5401038</v>
      </c>
      <c r="F112" s="467">
        <f>'[5]JANUARY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67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392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128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395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226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396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398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400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401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403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405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33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71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407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229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409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411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413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415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416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418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419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421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423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425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427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429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431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433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434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436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438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440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442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444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446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448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450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452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454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456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457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460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461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462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463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464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466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467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468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469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470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471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474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475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477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480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483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484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485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486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487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488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489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490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491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493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495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498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499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500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503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523</v>
      </c>
      <c r="C188" s="491">
        <f>SUM(C6:C187)</f>
        <v>80811797.3894384</v>
      </c>
      <c r="D188" s="492"/>
      <c r="E188" s="493"/>
      <c r="F188" s="494">
        <f>SUM(F6:F187)</f>
        <v>276375.747</v>
      </c>
      <c r="G188" s="494">
        <f>SUM(G6:G187)</f>
        <v>55339851.6032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139208884.235259</v>
      </c>
      <c r="W188" s="494"/>
      <c r="X188" s="494">
        <f t="shared" ref="X188" si="137">SUM(X6:X187)</f>
        <v>11600740.3529383</v>
      </c>
      <c r="Y188" s="494"/>
      <c r="Z188" s="494">
        <f t="shared" ref="Z188" si="138">SUM(Z6:Z187)</f>
        <v>11600740.3529383</v>
      </c>
      <c r="AA188" s="495"/>
      <c r="AB188" s="495"/>
    </row>
    <row r="189" ht="26.25" customHeight="1" spans="2:28">
      <c r="B189" s="496" t="s">
        <v>215</v>
      </c>
      <c r="C189" s="491"/>
      <c r="D189" s="492"/>
      <c r="E189" s="492"/>
      <c r="F189" s="497">
        <f>F188/12</f>
        <v>23031.31225</v>
      </c>
      <c r="G189" s="497">
        <f>G188/12</f>
        <v>4611654.30026666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11600740.3529383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524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347" t="s">
        <v>16</v>
      </c>
      <c r="R4" s="80" t="s">
        <v>517</v>
      </c>
      <c r="S4" s="321" t="s">
        <v>518</v>
      </c>
    </row>
    <row r="5" ht="17.25" customHeight="1" spans="3:19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449" t="s">
        <v>19</v>
      </c>
      <c r="R5" s="82" t="s">
        <v>19</v>
      </c>
      <c r="S5" s="230" t="s">
        <v>19</v>
      </c>
    </row>
    <row r="6" customHeight="1" spans="1:20">
      <c r="A6" s="10"/>
      <c r="B6" s="20" t="s">
        <v>58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363</v>
      </c>
      <c r="C7" s="4" t="s">
        <v>364</v>
      </c>
      <c r="D7" s="16" t="s">
        <v>231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363</v>
      </c>
      <c r="C8" s="4" t="s">
        <v>364</v>
      </c>
      <c r="D8" s="15" t="s">
        <v>365</v>
      </c>
      <c r="E8" s="85">
        <f>'[2]Annual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511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525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526</v>
      </c>
      <c r="F5" s="218" t="s">
        <v>527</v>
      </c>
      <c r="G5" s="218" t="s">
        <v>528</v>
      </c>
      <c r="H5" s="218" t="s">
        <v>529</v>
      </c>
      <c r="I5" s="218" t="s">
        <v>511</v>
      </c>
    </row>
    <row r="6" ht="17.25" customHeight="1" spans="3:9"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</row>
    <row r="7" ht="20.1" customHeight="1" spans="1:9">
      <c r="A7" s="9" t="s">
        <v>20</v>
      </c>
      <c r="B7" s="8" t="s">
        <v>21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236</v>
      </c>
      <c r="C8" s="12" t="s">
        <v>237</v>
      </c>
      <c r="D8" s="12" t="s">
        <v>238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239</v>
      </c>
      <c r="C9" s="12" t="s">
        <v>240</v>
      </c>
      <c r="D9" s="10" t="s">
        <v>234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241</v>
      </c>
      <c r="C10" s="4" t="s">
        <v>242</v>
      </c>
      <c r="D10" s="10" t="s">
        <v>234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243</v>
      </c>
      <c r="C11" s="17" t="s">
        <v>244</v>
      </c>
      <c r="D11" s="10" t="s">
        <v>234</v>
      </c>
      <c r="E11" s="85">
        <f>'[6]NASS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245</v>
      </c>
      <c r="C12" s="4" t="s">
        <v>530</v>
      </c>
      <c r="D12" s="10" t="s">
        <v>234</v>
      </c>
      <c r="E12" s="85">
        <f>'[6]NASS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232</v>
      </c>
      <c r="C13" s="10" t="s">
        <v>233</v>
      </c>
      <c r="D13" s="10" t="s">
        <v>234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247</v>
      </c>
      <c r="C14" s="12" t="s">
        <v>248</v>
      </c>
      <c r="D14" s="15" t="s">
        <v>249</v>
      </c>
      <c r="E14" s="85">
        <f>'[6]NASS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250</v>
      </c>
      <c r="C15" s="4" t="s">
        <v>251</v>
      </c>
      <c r="D15" s="10" t="s">
        <v>228</v>
      </c>
      <c r="E15" s="85">
        <f>'[6]NASS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252</v>
      </c>
      <c r="C16" s="4" t="s">
        <v>253</v>
      </c>
      <c r="D16" s="15" t="s">
        <v>254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255</v>
      </c>
      <c r="C17" s="17" t="s">
        <v>256</v>
      </c>
      <c r="D17" s="15" t="s">
        <v>257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258</v>
      </c>
      <c r="C18" s="4" t="s">
        <v>259</v>
      </c>
      <c r="D18" s="10" t="s">
        <v>260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261</v>
      </c>
      <c r="C19" s="4" t="s">
        <v>262</v>
      </c>
      <c r="D19" s="10" t="s">
        <v>263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264</v>
      </c>
      <c r="C20" s="12" t="s">
        <v>265</v>
      </c>
      <c r="D20" s="15" t="s">
        <v>266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267</v>
      </c>
      <c r="C21" s="4" t="s">
        <v>531</v>
      </c>
      <c r="D21" s="15" t="s">
        <v>269</v>
      </c>
      <c r="E21" s="85">
        <f>'[6]NASS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270</v>
      </c>
      <c r="C22" s="12" t="s">
        <v>50</v>
      </c>
      <c r="D22" s="15" t="s">
        <v>271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272</v>
      </c>
      <c r="C23" s="17" t="s">
        <v>532</v>
      </c>
      <c r="D23" s="10" t="s">
        <v>41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274</v>
      </c>
      <c r="C24" s="17" t="s">
        <v>275</v>
      </c>
      <c r="D24" s="15" t="s">
        <v>41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276</v>
      </c>
      <c r="C25" s="17" t="s">
        <v>277</v>
      </c>
      <c r="D25" s="10" t="s">
        <v>37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278</v>
      </c>
      <c r="C26" s="4" t="s">
        <v>176</v>
      </c>
      <c r="D26" s="10" t="s">
        <v>279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280</v>
      </c>
      <c r="C27" s="12" t="s">
        <v>176</v>
      </c>
      <c r="D27" s="15" t="s">
        <v>279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281</v>
      </c>
      <c r="C28" s="17" t="s">
        <v>273</v>
      </c>
      <c r="D28" s="10" t="s">
        <v>279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282</v>
      </c>
      <c r="C29" s="12" t="s">
        <v>27</v>
      </c>
      <c r="D29" s="15" t="s">
        <v>283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284</v>
      </c>
      <c r="C30" s="4" t="s">
        <v>285</v>
      </c>
      <c r="D30" s="10" t="s">
        <v>24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286</v>
      </c>
      <c r="C31" s="4" t="s">
        <v>285</v>
      </c>
      <c r="D31" s="10" t="s">
        <v>24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287</v>
      </c>
      <c r="C32" s="17" t="s">
        <v>288</v>
      </c>
      <c r="D32" s="15" t="s">
        <v>279</v>
      </c>
      <c r="E32" s="85">
        <f>'[7]NASS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289</v>
      </c>
      <c r="C33" s="4" t="s">
        <v>290</v>
      </c>
      <c r="D33" s="10" t="s">
        <v>291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292</v>
      </c>
      <c r="C34" s="12" t="s">
        <v>293</v>
      </c>
      <c r="D34" s="15" t="s">
        <v>294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33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46087.3333333333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34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295</v>
      </c>
      <c r="C38" s="4" t="s">
        <v>296</v>
      </c>
      <c r="D38" s="10" t="s">
        <v>297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298</v>
      </c>
      <c r="C39" s="4" t="s">
        <v>533</v>
      </c>
      <c r="D39" s="10" t="s">
        <v>37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300</v>
      </c>
      <c r="C40" s="12" t="s">
        <v>534</v>
      </c>
      <c r="D40" s="15" t="s">
        <v>301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38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302</v>
      </c>
      <c r="C44" s="4" t="s">
        <v>303</v>
      </c>
      <c r="D44" s="10" t="s">
        <v>297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304</v>
      </c>
      <c r="C45" s="4" t="s">
        <v>305</v>
      </c>
      <c r="D45" s="10" t="s">
        <v>249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306</v>
      </c>
      <c r="C46" s="4" t="s">
        <v>307</v>
      </c>
      <c r="D46" s="10" t="s">
        <v>308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309</v>
      </c>
      <c r="C47" s="4" t="s">
        <v>310</v>
      </c>
      <c r="D47" s="10" t="s">
        <v>249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311</v>
      </c>
      <c r="C48" s="4" t="s">
        <v>310</v>
      </c>
      <c r="D48" s="10" t="s">
        <v>249</v>
      </c>
      <c r="E48" s="85">
        <f>'[6]NASS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312</v>
      </c>
      <c r="C49" s="4" t="s">
        <v>310</v>
      </c>
      <c r="D49" s="10" t="s">
        <v>228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313</v>
      </c>
      <c r="C50" s="4" t="s">
        <v>256</v>
      </c>
      <c r="D50" s="16" t="s">
        <v>257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314</v>
      </c>
      <c r="C51" s="4" t="s">
        <v>63</v>
      </c>
      <c r="D51" s="10" t="s">
        <v>301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315</v>
      </c>
      <c r="C52" s="4" t="s">
        <v>63</v>
      </c>
      <c r="D52" s="10" t="s">
        <v>283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316</v>
      </c>
      <c r="C53" s="4" t="s">
        <v>63</v>
      </c>
      <c r="D53" s="10" t="s">
        <v>283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317</v>
      </c>
      <c r="C54" s="4" t="s">
        <v>63</v>
      </c>
      <c r="D54" s="10" t="s">
        <v>283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33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318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319</v>
      </c>
      <c r="C58" s="12" t="s">
        <v>320</v>
      </c>
      <c r="D58" s="15" t="s">
        <v>297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321</v>
      </c>
      <c r="C59" s="12" t="s">
        <v>322</v>
      </c>
      <c r="D59" s="15" t="s">
        <v>225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33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44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323</v>
      </c>
      <c r="C63" s="17" t="s">
        <v>324</v>
      </c>
      <c r="D63" s="10" t="s">
        <v>297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325</v>
      </c>
      <c r="C64" s="17" t="s">
        <v>326</v>
      </c>
      <c r="D64" s="15" t="s">
        <v>327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328</v>
      </c>
      <c r="C65" s="4" t="s">
        <v>256</v>
      </c>
      <c r="D65" s="10" t="s">
        <v>260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329</v>
      </c>
      <c r="C66" s="17" t="s">
        <v>46</v>
      </c>
      <c r="D66" s="15" t="s">
        <v>266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330</v>
      </c>
      <c r="C67" s="17" t="s">
        <v>256</v>
      </c>
      <c r="D67" s="15" t="s">
        <v>254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331</v>
      </c>
      <c r="C68" s="4" t="s">
        <v>63</v>
      </c>
      <c r="D68" s="10" t="s">
        <v>332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333</v>
      </c>
      <c r="C69" s="17" t="s">
        <v>275</v>
      </c>
      <c r="D69" s="10" t="s">
        <v>332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334</v>
      </c>
      <c r="C70" s="17" t="s">
        <v>275</v>
      </c>
      <c r="D70" s="10" t="s">
        <v>332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335</v>
      </c>
      <c r="C71" s="4" t="s">
        <v>336</v>
      </c>
      <c r="D71" s="10" t="s">
        <v>271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337</v>
      </c>
      <c r="C72" s="4" t="s">
        <v>63</v>
      </c>
      <c r="D72" s="10" t="s">
        <v>301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33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51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338</v>
      </c>
      <c r="C76" s="4" t="s">
        <v>339</v>
      </c>
      <c r="D76" s="10" t="s">
        <v>297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220</v>
      </c>
      <c r="C77" s="4" t="s">
        <v>221</v>
      </c>
      <c r="D77" s="15" t="s">
        <v>222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223</v>
      </c>
      <c r="C78" s="12" t="s">
        <v>224</v>
      </c>
      <c r="D78" s="10" t="s">
        <v>225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340</v>
      </c>
      <c r="C79" s="4" t="s">
        <v>341</v>
      </c>
      <c r="D79" s="15" t="s">
        <v>342</v>
      </c>
      <c r="E79" s="85">
        <f>'[6]NASS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343</v>
      </c>
      <c r="C80" s="4" t="s">
        <v>344</v>
      </c>
      <c r="D80" s="10" t="s">
        <v>345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346</v>
      </c>
      <c r="C81" s="4" t="s">
        <v>344</v>
      </c>
      <c r="D81" s="10" t="s">
        <v>283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347</v>
      </c>
      <c r="C82" s="4" t="s">
        <v>348</v>
      </c>
      <c r="D82" s="10" t="s">
        <v>294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33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56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349</v>
      </c>
      <c r="C86" s="4" t="s">
        <v>310</v>
      </c>
      <c r="D86" s="10" t="s">
        <v>249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350</v>
      </c>
      <c r="C87" s="4" t="s">
        <v>310</v>
      </c>
      <c r="D87" s="10" t="s">
        <v>249</v>
      </c>
      <c r="E87" s="85">
        <f>'[6]NASS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351</v>
      </c>
      <c r="C88" s="4" t="s">
        <v>310</v>
      </c>
      <c r="D88" s="10" t="s">
        <v>228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352</v>
      </c>
      <c r="C89" s="4" t="s">
        <v>353</v>
      </c>
      <c r="D89" s="15" t="s">
        <v>263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354</v>
      </c>
      <c r="C90" s="12" t="s">
        <v>46</v>
      </c>
      <c r="D90" s="15" t="s">
        <v>266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355</v>
      </c>
      <c r="C91" s="12" t="s">
        <v>256</v>
      </c>
      <c r="D91" s="15" t="s">
        <v>356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357</v>
      </c>
      <c r="C92" s="17" t="s">
        <v>275</v>
      </c>
      <c r="D92" s="15" t="s">
        <v>332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358</v>
      </c>
      <c r="C93" s="17" t="s">
        <v>46</v>
      </c>
      <c r="D93" s="15" t="s">
        <v>47</v>
      </c>
      <c r="E93" s="85">
        <f>'[6]NASS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359</v>
      </c>
      <c r="C94" s="4" t="s">
        <v>360</v>
      </c>
      <c r="D94" s="10" t="s">
        <v>301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361</v>
      </c>
      <c r="C95" s="17" t="s">
        <v>362</v>
      </c>
      <c r="D95" s="15" t="s">
        <v>291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33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58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363</v>
      </c>
      <c r="C99" s="4" t="s">
        <v>364</v>
      </c>
      <c r="D99" s="16" t="s">
        <v>231</v>
      </c>
      <c r="E99" s="85">
        <f>'[6]NASS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366</v>
      </c>
      <c r="C100" s="4" t="s">
        <v>367</v>
      </c>
      <c r="D100" s="15" t="s">
        <v>342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368</v>
      </c>
      <c r="C101" s="4" t="s">
        <v>369</v>
      </c>
      <c r="D101" s="15" t="s">
        <v>271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370</v>
      </c>
      <c r="C102" s="4" t="s">
        <v>371</v>
      </c>
      <c r="D102" s="15" t="s">
        <v>301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33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372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373</v>
      </c>
      <c r="C106" s="12" t="s">
        <v>374</v>
      </c>
      <c r="D106" s="15" t="s">
        <v>297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375</v>
      </c>
      <c r="C107" s="4" t="s">
        <v>376</v>
      </c>
      <c r="D107" s="16" t="s">
        <v>231</v>
      </c>
      <c r="E107" s="85">
        <f>'[6]NASS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377</v>
      </c>
      <c r="C108" s="4" t="s">
        <v>378</v>
      </c>
      <c r="D108" s="10" t="s">
        <v>263</v>
      </c>
      <c r="E108" s="85">
        <f>'[6]NASS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379</v>
      </c>
      <c r="C109" s="4" t="s">
        <v>378</v>
      </c>
      <c r="D109" s="10" t="s">
        <v>263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380</v>
      </c>
      <c r="C110" s="4" t="s">
        <v>381</v>
      </c>
      <c r="D110" s="15" t="s">
        <v>382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383</v>
      </c>
      <c r="C111" s="4" t="s">
        <v>381</v>
      </c>
      <c r="D111" s="10" t="s">
        <v>384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385</v>
      </c>
      <c r="C112" s="4" t="s">
        <v>381</v>
      </c>
      <c r="D112" s="15" t="s">
        <v>291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33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61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386</v>
      </c>
      <c r="C116" s="4" t="s">
        <v>310</v>
      </c>
      <c r="D116" s="10" t="s">
        <v>327</v>
      </c>
      <c r="E116" s="85">
        <f>'[6]NASS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387</v>
      </c>
      <c r="C117" s="4" t="s">
        <v>388</v>
      </c>
      <c r="D117" s="15" t="s">
        <v>271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389</v>
      </c>
      <c r="C118" s="12" t="s">
        <v>390</v>
      </c>
      <c r="D118" s="15" t="s">
        <v>391</v>
      </c>
      <c r="E118" s="85">
        <f>'[6]NASS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33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67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392</v>
      </c>
      <c r="C122" s="12" t="s">
        <v>393</v>
      </c>
      <c r="D122" s="15" t="s">
        <v>297</v>
      </c>
      <c r="E122" s="85">
        <f>'[6]NASS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128</v>
      </c>
      <c r="C123" s="12" t="s">
        <v>394</v>
      </c>
      <c r="D123" s="15" t="s">
        <v>308</v>
      </c>
      <c r="E123" s="85">
        <f>'[6]NASS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395</v>
      </c>
      <c r="C124" s="12" t="s">
        <v>227</v>
      </c>
      <c r="D124" s="15" t="s">
        <v>249</v>
      </c>
      <c r="E124" s="85">
        <f>'[6]NASS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226</v>
      </c>
      <c r="C125" s="12" t="s">
        <v>227</v>
      </c>
      <c r="D125" s="15" t="s">
        <v>228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396</v>
      </c>
      <c r="C126" s="12" t="s">
        <v>397</v>
      </c>
      <c r="D126" s="15" t="s">
        <v>257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398</v>
      </c>
      <c r="C127" s="12" t="s">
        <v>399</v>
      </c>
      <c r="D127" s="15" t="s">
        <v>260</v>
      </c>
      <c r="E127" s="85">
        <f>'[6]NASS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400</v>
      </c>
      <c r="C128" s="12" t="s">
        <v>397</v>
      </c>
      <c r="D128" s="15" t="s">
        <v>342</v>
      </c>
      <c r="E128" s="85">
        <f>'[6]NASS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401</v>
      </c>
      <c r="C129" s="12" t="s">
        <v>402</v>
      </c>
      <c r="D129" s="10" t="s">
        <v>279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403</v>
      </c>
      <c r="C130" s="12" t="s">
        <v>404</v>
      </c>
      <c r="D130" s="15" t="s">
        <v>294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405</v>
      </c>
      <c r="C131" s="12" t="s">
        <v>69</v>
      </c>
      <c r="D131" s="15" t="s">
        <v>294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33</v>
      </c>
      <c r="C132" s="26" t="s">
        <v>406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71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407</v>
      </c>
      <c r="C135" s="12" t="s">
        <v>408</v>
      </c>
      <c r="D135" s="15" t="s">
        <v>297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229</v>
      </c>
      <c r="C136" s="12" t="s">
        <v>230</v>
      </c>
      <c r="D136" s="15" t="s">
        <v>231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409</v>
      </c>
      <c r="C137" s="4" t="s">
        <v>410</v>
      </c>
      <c r="D137" s="16" t="s">
        <v>231</v>
      </c>
      <c r="E137" s="85">
        <f>'[6]NASS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411</v>
      </c>
      <c r="C138" s="12" t="s">
        <v>412</v>
      </c>
      <c r="D138" s="15" t="s">
        <v>254</v>
      </c>
      <c r="E138" s="85">
        <f>'[6]NASS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413</v>
      </c>
      <c r="C139" s="4" t="s">
        <v>414</v>
      </c>
      <c r="D139" s="15" t="s">
        <v>254</v>
      </c>
      <c r="E139" s="85">
        <f>'[6]NASS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415</v>
      </c>
      <c r="C140" s="4" t="s">
        <v>414</v>
      </c>
      <c r="D140" s="15" t="s">
        <v>254</v>
      </c>
      <c r="E140" s="85">
        <f>'[6]NASS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416</v>
      </c>
      <c r="C141" s="12" t="s">
        <v>417</v>
      </c>
      <c r="D141" s="15" t="s">
        <v>391</v>
      </c>
      <c r="E141" s="85">
        <f>'[6]NASS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418</v>
      </c>
      <c r="C142" s="12" t="s">
        <v>417</v>
      </c>
      <c r="D142" s="15" t="s">
        <v>391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419</v>
      </c>
      <c r="C143" s="4" t="s">
        <v>420</v>
      </c>
      <c r="D143" s="15" t="s">
        <v>391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421</v>
      </c>
      <c r="C144" s="12" t="s">
        <v>422</v>
      </c>
      <c r="D144" s="15" t="s">
        <v>271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423</v>
      </c>
      <c r="C145" s="12" t="s">
        <v>424</v>
      </c>
      <c r="D145" s="15" t="s">
        <v>332</v>
      </c>
      <c r="E145" s="85">
        <f>'[6]NASS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425</v>
      </c>
      <c r="C146" s="12" t="s">
        <v>426</v>
      </c>
      <c r="D146" s="15" t="s">
        <v>391</v>
      </c>
      <c r="E146" s="85">
        <f>'[6]NASS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427</v>
      </c>
      <c r="C147" s="4" t="s">
        <v>428</v>
      </c>
      <c r="D147" s="15" t="s">
        <v>41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429</v>
      </c>
      <c r="C148" s="4" t="s">
        <v>430</v>
      </c>
      <c r="D148" s="15" t="s">
        <v>345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431</v>
      </c>
      <c r="C149" s="4" t="s">
        <v>430</v>
      </c>
      <c r="D149" s="15" t="s">
        <v>432</v>
      </c>
      <c r="E149" s="220">
        <f>'[6]NASS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433</v>
      </c>
      <c r="C150" s="4" t="s">
        <v>430</v>
      </c>
      <c r="D150" s="15" t="s">
        <v>432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434</v>
      </c>
      <c r="C151" s="12" t="s">
        <v>435</v>
      </c>
      <c r="D151" s="15" t="s">
        <v>301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436</v>
      </c>
      <c r="C152" s="12" t="s">
        <v>437</v>
      </c>
      <c r="D152" s="10" t="s">
        <v>283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438</v>
      </c>
      <c r="C153" s="12" t="s">
        <v>439</v>
      </c>
      <c r="D153" s="15" t="s">
        <v>345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440</v>
      </c>
      <c r="C154" s="12" t="s">
        <v>441</v>
      </c>
      <c r="D154" s="15" t="s">
        <v>279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442</v>
      </c>
      <c r="C155" s="12" t="s">
        <v>443</v>
      </c>
      <c r="D155" s="15" t="s">
        <v>345</v>
      </c>
      <c r="E155" s="220">
        <f>'[6]NASS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444</v>
      </c>
      <c r="C156" s="12" t="s">
        <v>445</v>
      </c>
      <c r="D156" s="15" t="s">
        <v>279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446</v>
      </c>
      <c r="C157" s="12" t="s">
        <v>447</v>
      </c>
      <c r="D157" s="15" t="s">
        <v>24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448</v>
      </c>
      <c r="C158" s="12" t="s">
        <v>449</v>
      </c>
      <c r="D158" s="15" t="s">
        <v>294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450</v>
      </c>
      <c r="C159" s="12" t="s">
        <v>451</v>
      </c>
      <c r="D159" s="15" t="s">
        <v>294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452</v>
      </c>
      <c r="C160" s="12" t="s">
        <v>453</v>
      </c>
      <c r="D160" s="15" t="s">
        <v>294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454</v>
      </c>
      <c r="C161" s="12" t="s">
        <v>455</v>
      </c>
      <c r="D161" s="15" t="s">
        <v>291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456</v>
      </c>
      <c r="C162" s="12" t="s">
        <v>451</v>
      </c>
      <c r="D162" s="15" t="s">
        <v>294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457</v>
      </c>
      <c r="C163" s="12" t="s">
        <v>458</v>
      </c>
      <c r="D163" s="15" t="s">
        <v>459</v>
      </c>
      <c r="E163" s="226">
        <f>'[6]NASS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460</v>
      </c>
      <c r="C164" s="12" t="s">
        <v>458</v>
      </c>
      <c r="D164" s="15" t="s">
        <v>459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461</v>
      </c>
      <c r="C165" s="12" t="s">
        <v>458</v>
      </c>
      <c r="D165" s="15" t="s">
        <v>459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462</v>
      </c>
      <c r="C166" s="12" t="s">
        <v>458</v>
      </c>
      <c r="D166" s="15" t="s">
        <v>459</v>
      </c>
      <c r="E166" s="226">
        <f>'[6]NASS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463</v>
      </c>
      <c r="C167" s="12" t="s">
        <v>458</v>
      </c>
      <c r="D167" s="15" t="s">
        <v>459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464</v>
      </c>
      <c r="C168" s="12" t="s">
        <v>458</v>
      </c>
      <c r="D168" s="15" t="s">
        <v>465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466</v>
      </c>
      <c r="C169" s="12" t="s">
        <v>458</v>
      </c>
      <c r="D169" s="15" t="s">
        <v>465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467</v>
      </c>
      <c r="C170" s="12" t="s">
        <v>458</v>
      </c>
      <c r="D170" s="15" t="s">
        <v>465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468</v>
      </c>
      <c r="C171" s="12" t="s">
        <v>458</v>
      </c>
      <c r="D171" s="15" t="s">
        <v>465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469</v>
      </c>
      <c r="C172" s="12" t="s">
        <v>458</v>
      </c>
      <c r="D172" s="15" t="s">
        <v>465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470</v>
      </c>
      <c r="C173" s="12" t="s">
        <v>458</v>
      </c>
      <c r="D173" s="15" t="s">
        <v>465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471</v>
      </c>
      <c r="C174" s="12" t="s">
        <v>472</v>
      </c>
      <c r="D174" s="15" t="s">
        <v>473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474</v>
      </c>
      <c r="C175" s="12" t="s">
        <v>472</v>
      </c>
      <c r="D175" s="15" t="s">
        <v>473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475</v>
      </c>
      <c r="C176" s="12" t="s">
        <v>472</v>
      </c>
      <c r="D176" s="15" t="s">
        <v>476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477</v>
      </c>
      <c r="C177" s="12" t="s">
        <v>478</v>
      </c>
      <c r="D177" s="15" t="s">
        <v>479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480</v>
      </c>
      <c r="C178" s="12" t="s">
        <v>481</v>
      </c>
      <c r="D178" s="15" t="s">
        <v>482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483</v>
      </c>
      <c r="C179" s="12" t="s">
        <v>481</v>
      </c>
      <c r="D179" s="15" t="s">
        <v>482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484</v>
      </c>
      <c r="C180" s="12" t="s">
        <v>481</v>
      </c>
      <c r="D180" s="15" t="s">
        <v>482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485</v>
      </c>
      <c r="C181" s="12" t="s">
        <v>481</v>
      </c>
      <c r="D181" s="15" t="s">
        <v>482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486</v>
      </c>
      <c r="C182" s="12" t="s">
        <v>481</v>
      </c>
      <c r="D182" s="15" t="s">
        <v>482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487</v>
      </c>
      <c r="C183" s="12" t="s">
        <v>481</v>
      </c>
      <c r="D183" s="15" t="s">
        <v>482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488</v>
      </c>
      <c r="C184" s="12" t="s">
        <v>481</v>
      </c>
      <c r="D184" s="15" t="s">
        <v>482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489</v>
      </c>
      <c r="C185" s="12" t="s">
        <v>478</v>
      </c>
      <c r="D185" s="15" t="s">
        <v>482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490</v>
      </c>
      <c r="C186" s="12" t="s">
        <v>478</v>
      </c>
      <c r="D186" s="15" t="s">
        <v>482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491</v>
      </c>
      <c r="C187" s="12" t="s">
        <v>172</v>
      </c>
      <c r="D187" s="15" t="s">
        <v>492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493</v>
      </c>
      <c r="C188" s="12" t="s">
        <v>481</v>
      </c>
      <c r="D188" s="15" t="s">
        <v>494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495</v>
      </c>
      <c r="C189" s="12" t="s">
        <v>496</v>
      </c>
      <c r="D189" s="15" t="s">
        <v>497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498</v>
      </c>
      <c r="C190" s="12" t="s">
        <v>496</v>
      </c>
      <c r="D190" s="15" t="s">
        <v>497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499</v>
      </c>
      <c r="C191" s="12" t="s">
        <v>496</v>
      </c>
      <c r="D191" s="15" t="s">
        <v>497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500</v>
      </c>
      <c r="C192" s="12" t="s">
        <v>501</v>
      </c>
      <c r="D192" s="15" t="s">
        <v>502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503</v>
      </c>
      <c r="C193" s="12" t="s">
        <v>501</v>
      </c>
      <c r="D193" s="15" t="s">
        <v>502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33</v>
      </c>
      <c r="C194" s="28" t="s">
        <v>504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80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535</v>
      </c>
      <c r="E1" s="610" t="s">
        <v>14</v>
      </c>
      <c r="F1" s="611"/>
      <c r="G1" s="611"/>
    </row>
    <row r="2" ht="36" customHeight="1" spans="1:7">
      <c r="A2" s="18" t="s">
        <v>292</v>
      </c>
      <c r="B2" s="12" t="s">
        <v>293</v>
      </c>
      <c r="C2" s="612" t="s">
        <v>30</v>
      </c>
      <c r="D2" s="610">
        <f>'[5]JANUARY 2024'!$R$33</f>
        <v>173329.0495</v>
      </c>
      <c r="E2" s="610">
        <f>'[5]JANUARY 2024'!$W$33</f>
        <v>16512.6821906667</v>
      </c>
      <c r="F2" s="611"/>
      <c r="G2" s="611"/>
    </row>
    <row r="3" ht="36" spans="1:7">
      <c r="A3" s="18" t="s">
        <v>292</v>
      </c>
      <c r="B3" s="12" t="s">
        <v>293</v>
      </c>
      <c r="C3" s="612" t="s">
        <v>294</v>
      </c>
      <c r="D3" s="610">
        <f>'[5]JANUARY 2024'!$R$38</f>
        <v>176816.1</v>
      </c>
      <c r="E3" s="610">
        <f>'[5]JANUARY 2024'!$W$38</f>
        <v>17042.7138666667</v>
      </c>
      <c r="F3" s="611"/>
      <c r="G3" s="611"/>
    </row>
    <row r="4" ht="25.5" customHeight="1" spans="1:7">
      <c r="A4" s="294" t="s">
        <v>520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536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132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82"/>
    </row>
    <row r="7" customHeight="1" spans="1:5">
      <c r="A7" s="10">
        <v>1</v>
      </c>
      <c r="B7" s="11" t="s">
        <v>236</v>
      </c>
      <c r="C7" s="12" t="s">
        <v>237</v>
      </c>
      <c r="D7" s="12" t="s">
        <v>238</v>
      </c>
      <c r="E7" s="85">
        <v>540000</v>
      </c>
    </row>
    <row r="8" customHeight="1" spans="1:5">
      <c r="A8" s="10">
        <v>2</v>
      </c>
      <c r="B8" s="11" t="s">
        <v>239</v>
      </c>
      <c r="C8" s="12" t="s">
        <v>240</v>
      </c>
      <c r="D8" s="10" t="s">
        <v>234</v>
      </c>
      <c r="E8" s="85">
        <v>180000</v>
      </c>
    </row>
    <row r="9" customHeight="1" spans="1:5">
      <c r="A9" s="10">
        <v>3</v>
      </c>
      <c r="B9" s="14" t="s">
        <v>241</v>
      </c>
      <c r="C9" s="4" t="s">
        <v>242</v>
      </c>
      <c r="D9" s="10" t="s">
        <v>234</v>
      </c>
      <c r="E9" s="85">
        <v>180000</v>
      </c>
    </row>
    <row r="10" customHeight="1" spans="1:5">
      <c r="A10" s="10">
        <v>4</v>
      </c>
      <c r="B10" s="11" t="s">
        <v>243</v>
      </c>
      <c r="C10" s="17" t="s">
        <v>244</v>
      </c>
      <c r="D10" s="10" t="s">
        <v>234</v>
      </c>
      <c r="E10" s="85">
        <v>180000</v>
      </c>
    </row>
    <row r="11" customHeight="1" spans="1:5">
      <c r="A11" s="10">
        <v>5</v>
      </c>
      <c r="B11" s="14" t="s">
        <v>245</v>
      </c>
      <c r="C11" s="4" t="s">
        <v>246</v>
      </c>
      <c r="D11" s="10" t="s">
        <v>234</v>
      </c>
      <c r="E11" s="85">
        <v>180000</v>
      </c>
    </row>
    <row r="12" customHeight="1" spans="1:5">
      <c r="A12" s="10">
        <v>6</v>
      </c>
      <c r="B12" s="18" t="s">
        <v>232</v>
      </c>
      <c r="C12" s="10" t="s">
        <v>233</v>
      </c>
      <c r="D12" s="10" t="s">
        <v>234</v>
      </c>
      <c r="E12" s="85">
        <v>180000</v>
      </c>
    </row>
    <row r="13" customHeight="1" spans="1:5">
      <c r="A13" s="10">
        <v>7</v>
      </c>
      <c r="B13" s="11" t="s">
        <v>247</v>
      </c>
      <c r="C13" s="12" t="s">
        <v>248</v>
      </c>
      <c r="D13" s="15" t="s">
        <v>249</v>
      </c>
      <c r="E13" s="85">
        <v>126000</v>
      </c>
    </row>
    <row r="14" customHeight="1" spans="1:5">
      <c r="A14" s="10">
        <v>8</v>
      </c>
      <c r="B14" s="11" t="s">
        <v>250</v>
      </c>
      <c r="C14" s="4" t="s">
        <v>251</v>
      </c>
      <c r="D14" s="10" t="s">
        <v>228</v>
      </c>
      <c r="E14" s="85">
        <v>126000</v>
      </c>
    </row>
    <row r="15" customHeight="1" spans="1:5">
      <c r="A15" s="10">
        <v>9</v>
      </c>
      <c r="B15" s="11" t="s">
        <v>252</v>
      </c>
      <c r="C15" s="4" t="s">
        <v>253</v>
      </c>
      <c r="D15" s="15" t="s">
        <v>254</v>
      </c>
      <c r="E15" s="85">
        <v>90000</v>
      </c>
    </row>
    <row r="16" customHeight="1" spans="1:5">
      <c r="A16" s="10">
        <v>10</v>
      </c>
      <c r="B16" s="14" t="s">
        <v>255</v>
      </c>
      <c r="C16" s="17" t="s">
        <v>256</v>
      </c>
      <c r="D16" s="15" t="s">
        <v>257</v>
      </c>
      <c r="E16" s="85">
        <v>90000</v>
      </c>
    </row>
    <row r="17" customHeight="1" spans="1:5">
      <c r="A17" s="10">
        <v>11</v>
      </c>
      <c r="B17" s="11" t="s">
        <v>258</v>
      </c>
      <c r="C17" s="4" t="s">
        <v>259</v>
      </c>
      <c r="D17" s="10" t="s">
        <v>260</v>
      </c>
      <c r="E17" s="85">
        <v>90000</v>
      </c>
    </row>
    <row r="18" customHeight="1" spans="1:5">
      <c r="A18" s="10">
        <v>12</v>
      </c>
      <c r="B18" s="11" t="s">
        <v>261</v>
      </c>
      <c r="C18" s="4" t="s">
        <v>262</v>
      </c>
      <c r="D18" s="10" t="s">
        <v>263</v>
      </c>
      <c r="E18" s="85">
        <v>90000</v>
      </c>
    </row>
    <row r="19" customHeight="1" spans="1:5">
      <c r="A19" s="10">
        <v>13</v>
      </c>
      <c r="B19" s="11" t="s">
        <v>264</v>
      </c>
      <c r="C19" s="12" t="s">
        <v>265</v>
      </c>
      <c r="D19" s="15" t="s">
        <v>266</v>
      </c>
      <c r="E19" s="85">
        <v>90000</v>
      </c>
    </row>
    <row r="20" customHeight="1" spans="1:5">
      <c r="A20" s="10">
        <v>14</v>
      </c>
      <c r="B20" s="18" t="s">
        <v>267</v>
      </c>
      <c r="C20" s="4" t="s">
        <v>268</v>
      </c>
      <c r="D20" s="15" t="s">
        <v>269</v>
      </c>
      <c r="E20" s="85">
        <v>90000</v>
      </c>
    </row>
    <row r="21" ht="18.75" customHeight="1" spans="1:5">
      <c r="A21" s="10">
        <v>15</v>
      </c>
      <c r="B21" s="11" t="s">
        <v>270</v>
      </c>
      <c r="C21" s="12" t="s">
        <v>50</v>
      </c>
      <c r="D21" s="15" t="s">
        <v>271</v>
      </c>
      <c r="E21" s="85">
        <v>68000</v>
      </c>
    </row>
    <row r="22" customHeight="1" spans="1:5">
      <c r="A22" s="10">
        <v>16</v>
      </c>
      <c r="B22" s="14" t="s">
        <v>272</v>
      </c>
      <c r="C22" s="17" t="s">
        <v>273</v>
      </c>
      <c r="D22" s="10" t="s">
        <v>41</v>
      </c>
      <c r="E22" s="85">
        <v>68000</v>
      </c>
    </row>
    <row r="23" ht="21.6" customHeight="1" spans="1:5">
      <c r="A23" s="10">
        <v>17</v>
      </c>
      <c r="B23" s="11" t="s">
        <v>274</v>
      </c>
      <c r="C23" s="17" t="s">
        <v>275</v>
      </c>
      <c r="D23" s="15" t="s">
        <v>41</v>
      </c>
      <c r="E23" s="85">
        <v>68000</v>
      </c>
    </row>
    <row r="24" customHeight="1" spans="1:5">
      <c r="A24" s="10">
        <v>18</v>
      </c>
      <c r="B24" s="14" t="s">
        <v>276</v>
      </c>
      <c r="C24" s="17" t="s">
        <v>277</v>
      </c>
      <c r="D24" s="10" t="s">
        <v>37</v>
      </c>
      <c r="E24" s="85">
        <v>68000</v>
      </c>
    </row>
    <row r="25" ht="18.75" customHeight="1" spans="1:5">
      <c r="A25" s="10">
        <v>19</v>
      </c>
      <c r="B25" s="4" t="s">
        <v>278</v>
      </c>
      <c r="C25" s="4" t="s">
        <v>176</v>
      </c>
      <c r="D25" s="10" t="s">
        <v>279</v>
      </c>
      <c r="E25" s="85">
        <v>54000</v>
      </c>
    </row>
    <row r="26" ht="18.75" customHeight="1" spans="1:5">
      <c r="A26" s="10">
        <v>20</v>
      </c>
      <c r="B26" s="18" t="s">
        <v>280</v>
      </c>
      <c r="C26" s="12" t="s">
        <v>176</v>
      </c>
      <c r="D26" s="15" t="s">
        <v>279</v>
      </c>
      <c r="E26" s="85">
        <v>54000</v>
      </c>
    </row>
    <row r="27" customHeight="1" spans="1:5">
      <c r="A27" s="10">
        <v>21</v>
      </c>
      <c r="B27" s="11" t="s">
        <v>281</v>
      </c>
      <c r="C27" s="17" t="s">
        <v>273</v>
      </c>
      <c r="D27" s="10" t="s">
        <v>279</v>
      </c>
      <c r="E27" s="85">
        <v>54000</v>
      </c>
    </row>
    <row r="28" ht="18.75" customHeight="1" spans="1:5">
      <c r="A28" s="10">
        <v>22</v>
      </c>
      <c r="B28" s="18" t="s">
        <v>282</v>
      </c>
      <c r="C28" s="12" t="s">
        <v>27</v>
      </c>
      <c r="D28" s="15" t="s">
        <v>283</v>
      </c>
      <c r="E28" s="85">
        <v>54000</v>
      </c>
    </row>
    <row r="29" ht="18.75" customHeight="1" spans="1:5">
      <c r="A29" s="10">
        <v>23</v>
      </c>
      <c r="B29" s="18" t="s">
        <v>284</v>
      </c>
      <c r="C29" s="4" t="s">
        <v>285</v>
      </c>
      <c r="D29" s="10" t="s">
        <v>24</v>
      </c>
      <c r="E29" s="85">
        <v>54000</v>
      </c>
    </row>
    <row r="30" ht="18.75" customHeight="1" spans="1:5">
      <c r="A30" s="10">
        <v>24</v>
      </c>
      <c r="B30" s="18" t="s">
        <v>286</v>
      </c>
      <c r="C30" s="4" t="s">
        <v>285</v>
      </c>
      <c r="D30" s="10" t="s">
        <v>24</v>
      </c>
      <c r="E30" s="85">
        <v>54000</v>
      </c>
    </row>
    <row r="31" ht="18.75" customHeight="1" spans="1:5">
      <c r="A31" s="10">
        <v>25</v>
      </c>
      <c r="B31" s="18" t="s">
        <v>287</v>
      </c>
      <c r="C31" s="17" t="s">
        <v>288</v>
      </c>
      <c r="D31" s="15" t="s">
        <v>279</v>
      </c>
      <c r="E31" s="85">
        <v>54000</v>
      </c>
    </row>
    <row r="32" ht="18.75" customHeight="1" spans="1:5">
      <c r="A32" s="10">
        <v>26</v>
      </c>
      <c r="B32" s="18" t="s">
        <v>289</v>
      </c>
      <c r="C32" s="4" t="s">
        <v>290</v>
      </c>
      <c r="D32" s="10" t="s">
        <v>291</v>
      </c>
      <c r="E32" s="85">
        <v>54000</v>
      </c>
    </row>
    <row r="33" ht="18.75" customHeight="1" spans="1:5">
      <c r="A33" s="10">
        <v>27</v>
      </c>
      <c r="B33" s="18" t="s">
        <v>292</v>
      </c>
      <c r="C33" s="12" t="s">
        <v>293</v>
      </c>
      <c r="D33" s="15" t="s">
        <v>294</v>
      </c>
      <c r="E33" s="85">
        <v>54000</v>
      </c>
    </row>
    <row r="34" ht="26.25" customHeight="1" spans="1:5">
      <c r="A34" s="10"/>
      <c r="B34" s="20" t="s">
        <v>33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34</v>
      </c>
      <c r="C36" s="4"/>
      <c r="D36" s="15"/>
      <c r="E36" s="85"/>
    </row>
    <row r="37" ht="18.75" customHeight="1" spans="1:5">
      <c r="A37" s="10">
        <v>1</v>
      </c>
      <c r="B37" s="18" t="s">
        <v>295</v>
      </c>
      <c r="C37" s="4" t="s">
        <v>296</v>
      </c>
      <c r="D37" s="10" t="s">
        <v>297</v>
      </c>
      <c r="E37" s="85">
        <v>270000</v>
      </c>
    </row>
    <row r="38" ht="18.75" customHeight="1" spans="1:5">
      <c r="A38" s="10">
        <v>2</v>
      </c>
      <c r="B38" s="18" t="s">
        <v>298</v>
      </c>
      <c r="C38" s="4" t="s">
        <v>537</v>
      </c>
      <c r="D38" s="10" t="s">
        <v>37</v>
      </c>
      <c r="E38" s="85">
        <v>68000</v>
      </c>
    </row>
    <row r="39" ht="18.75" customHeight="1" spans="1:5">
      <c r="A39" s="10">
        <v>3</v>
      </c>
      <c r="B39" s="11" t="s">
        <v>300</v>
      </c>
      <c r="C39" s="12" t="s">
        <v>534</v>
      </c>
      <c r="D39" s="15" t="s">
        <v>301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38</v>
      </c>
      <c r="C42" s="5"/>
      <c r="D42" s="24"/>
      <c r="E42" s="221"/>
    </row>
    <row r="43" customHeight="1" spans="1:5">
      <c r="A43" s="10">
        <v>1</v>
      </c>
      <c r="B43" s="11" t="s">
        <v>302</v>
      </c>
      <c r="C43" s="4" t="s">
        <v>303</v>
      </c>
      <c r="D43" s="10" t="s">
        <v>297</v>
      </c>
      <c r="E43" s="85">
        <v>270000</v>
      </c>
    </row>
    <row r="44" customHeight="1" spans="1:5">
      <c r="A44" s="10">
        <v>2</v>
      </c>
      <c r="B44" s="11" t="s">
        <v>304</v>
      </c>
      <c r="C44" s="4" t="s">
        <v>305</v>
      </c>
      <c r="D44" s="10" t="s">
        <v>249</v>
      </c>
      <c r="E44" s="85">
        <v>126000</v>
      </c>
    </row>
    <row r="45" customHeight="1" spans="1:5">
      <c r="A45" s="10">
        <v>3</v>
      </c>
      <c r="B45" s="11" t="s">
        <v>306</v>
      </c>
      <c r="C45" s="4" t="s">
        <v>307</v>
      </c>
      <c r="D45" s="10" t="s">
        <v>308</v>
      </c>
      <c r="E45" s="85">
        <v>180000</v>
      </c>
    </row>
    <row r="46" customHeight="1" spans="1:5">
      <c r="A46" s="10">
        <v>4</v>
      </c>
      <c r="B46" s="11" t="s">
        <v>309</v>
      </c>
      <c r="C46" s="4" t="s">
        <v>310</v>
      </c>
      <c r="D46" s="10" t="s">
        <v>249</v>
      </c>
      <c r="E46" s="85">
        <v>126000</v>
      </c>
    </row>
    <row r="47" customHeight="1" spans="1:5">
      <c r="A47" s="10">
        <v>5</v>
      </c>
      <c r="B47" s="11" t="s">
        <v>311</v>
      </c>
      <c r="C47" s="4" t="s">
        <v>310</v>
      </c>
      <c r="D47" s="10" t="s">
        <v>249</v>
      </c>
      <c r="E47" s="85">
        <v>126000</v>
      </c>
    </row>
    <row r="48" customHeight="1" spans="1:5">
      <c r="A48" s="10">
        <v>6</v>
      </c>
      <c r="B48" s="11" t="s">
        <v>312</v>
      </c>
      <c r="C48" s="4" t="s">
        <v>310</v>
      </c>
      <c r="D48" s="10" t="s">
        <v>228</v>
      </c>
      <c r="E48" s="85">
        <v>126000</v>
      </c>
    </row>
    <row r="49" customHeight="1" spans="1:5">
      <c r="A49" s="10">
        <v>7</v>
      </c>
      <c r="B49" s="14" t="s">
        <v>313</v>
      </c>
      <c r="C49" s="4" t="s">
        <v>256</v>
      </c>
      <c r="D49" s="16" t="s">
        <v>257</v>
      </c>
      <c r="E49" s="85">
        <v>90000</v>
      </c>
    </row>
    <row r="50" customHeight="1" spans="1:5">
      <c r="A50" s="10">
        <v>8</v>
      </c>
      <c r="B50" s="11" t="s">
        <v>314</v>
      </c>
      <c r="C50" s="4" t="s">
        <v>63</v>
      </c>
      <c r="D50" s="10" t="s">
        <v>301</v>
      </c>
      <c r="E50" s="85">
        <v>68000</v>
      </c>
    </row>
    <row r="51" customHeight="1" spans="1:5">
      <c r="A51" s="10">
        <v>9</v>
      </c>
      <c r="B51" s="11" t="s">
        <v>315</v>
      </c>
      <c r="C51" s="4" t="s">
        <v>63</v>
      </c>
      <c r="D51" s="10" t="s">
        <v>283</v>
      </c>
      <c r="E51" s="85">
        <v>54000</v>
      </c>
    </row>
    <row r="52" customHeight="1" spans="1:5">
      <c r="A52" s="10">
        <v>10</v>
      </c>
      <c r="B52" s="11" t="s">
        <v>316</v>
      </c>
      <c r="C52" s="4" t="s">
        <v>63</v>
      </c>
      <c r="D52" s="10" t="s">
        <v>283</v>
      </c>
      <c r="E52" s="85">
        <v>54000</v>
      </c>
    </row>
    <row r="53" customHeight="1" spans="1:5">
      <c r="A53" s="10">
        <v>11</v>
      </c>
      <c r="B53" s="11" t="s">
        <v>317</v>
      </c>
      <c r="C53" s="4" t="s">
        <v>63</v>
      </c>
      <c r="D53" s="10" t="s">
        <v>283</v>
      </c>
      <c r="E53" s="85">
        <v>54000</v>
      </c>
    </row>
    <row r="54" ht="25.5" customHeight="1" spans="1:5">
      <c r="A54" s="10"/>
      <c r="B54" s="20" t="s">
        <v>33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318</v>
      </c>
      <c r="C56" s="21"/>
      <c r="D56" s="21"/>
      <c r="E56" s="146"/>
    </row>
    <row r="57" customHeight="1" spans="1:5">
      <c r="A57" s="10">
        <v>1</v>
      </c>
      <c r="B57" s="11" t="s">
        <v>319</v>
      </c>
      <c r="C57" s="12" t="s">
        <v>320</v>
      </c>
      <c r="D57" s="15" t="s">
        <v>297</v>
      </c>
      <c r="E57" s="85">
        <v>270000</v>
      </c>
    </row>
    <row r="58" customHeight="1" spans="1:5">
      <c r="A58" s="10">
        <v>2</v>
      </c>
      <c r="B58" s="11" t="s">
        <v>321</v>
      </c>
      <c r="C58" s="12" t="s">
        <v>322</v>
      </c>
      <c r="D58" s="15" t="s">
        <v>225</v>
      </c>
      <c r="E58" s="85">
        <v>126000</v>
      </c>
    </row>
    <row r="59" customHeight="1" spans="1:5">
      <c r="A59" s="10"/>
      <c r="B59" s="20" t="s">
        <v>33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44</v>
      </c>
      <c r="C61" s="21"/>
      <c r="D61" s="21"/>
      <c r="E61" s="146"/>
    </row>
    <row r="62" customHeight="1" spans="1:5">
      <c r="A62" s="10">
        <v>1</v>
      </c>
      <c r="B62" s="11" t="s">
        <v>323</v>
      </c>
      <c r="C62" s="17" t="s">
        <v>324</v>
      </c>
      <c r="D62" s="10" t="s">
        <v>297</v>
      </c>
      <c r="E62" s="85">
        <v>270000</v>
      </c>
    </row>
    <row r="63" customHeight="1" spans="1:5">
      <c r="A63" s="10">
        <v>2</v>
      </c>
      <c r="B63" s="351" t="s">
        <v>325</v>
      </c>
      <c r="C63" s="17" t="s">
        <v>326</v>
      </c>
      <c r="D63" s="15" t="s">
        <v>327</v>
      </c>
      <c r="E63" s="85">
        <v>126000</v>
      </c>
    </row>
    <row r="64" customHeight="1" spans="1:5">
      <c r="A64" s="10">
        <v>3</v>
      </c>
      <c r="B64" s="11" t="s">
        <v>328</v>
      </c>
      <c r="C64" s="4" t="s">
        <v>256</v>
      </c>
      <c r="D64" s="10" t="s">
        <v>260</v>
      </c>
      <c r="E64" s="85">
        <v>90000</v>
      </c>
    </row>
    <row r="65" customHeight="1" spans="1:5">
      <c r="A65" s="10">
        <v>4</v>
      </c>
      <c r="B65" s="18" t="s">
        <v>329</v>
      </c>
      <c r="C65" s="17" t="s">
        <v>46</v>
      </c>
      <c r="D65" s="15" t="s">
        <v>266</v>
      </c>
      <c r="E65" s="85">
        <v>90000</v>
      </c>
    </row>
    <row r="66" customHeight="1" spans="1:5">
      <c r="A66" s="10">
        <v>5</v>
      </c>
      <c r="B66" s="14" t="s">
        <v>330</v>
      </c>
      <c r="C66" s="17" t="s">
        <v>256</v>
      </c>
      <c r="D66" s="15" t="s">
        <v>254</v>
      </c>
      <c r="E66" s="85">
        <v>90000</v>
      </c>
    </row>
    <row r="67" customHeight="1" spans="1:5">
      <c r="A67" s="10">
        <v>7</v>
      </c>
      <c r="B67" s="11" t="s">
        <v>331</v>
      </c>
      <c r="C67" s="4" t="s">
        <v>63</v>
      </c>
      <c r="D67" s="10" t="s">
        <v>332</v>
      </c>
      <c r="E67" s="85">
        <v>68000</v>
      </c>
    </row>
    <row r="68" customHeight="1" spans="1:5">
      <c r="A68" s="10">
        <v>8</v>
      </c>
      <c r="B68" s="11" t="s">
        <v>333</v>
      </c>
      <c r="C68" s="17" t="s">
        <v>275</v>
      </c>
      <c r="D68" s="10" t="s">
        <v>332</v>
      </c>
      <c r="E68" s="85">
        <v>68000</v>
      </c>
    </row>
    <row r="69" customHeight="1" spans="1:5">
      <c r="A69" s="10">
        <v>9</v>
      </c>
      <c r="B69" s="11" t="s">
        <v>334</v>
      </c>
      <c r="C69" s="17" t="s">
        <v>275</v>
      </c>
      <c r="D69" s="10" t="s">
        <v>332</v>
      </c>
      <c r="E69" s="85">
        <v>68000</v>
      </c>
    </row>
    <row r="70" customHeight="1" spans="1:5">
      <c r="A70" s="10">
        <v>10</v>
      </c>
      <c r="B70" s="11" t="s">
        <v>335</v>
      </c>
      <c r="C70" s="4" t="s">
        <v>336</v>
      </c>
      <c r="D70" s="10" t="s">
        <v>271</v>
      </c>
      <c r="E70" s="85">
        <v>68000</v>
      </c>
    </row>
    <row r="71" ht="21.6" customHeight="1" spans="1:5">
      <c r="A71" s="10">
        <v>11</v>
      </c>
      <c r="B71" s="11" t="s">
        <v>337</v>
      </c>
      <c r="C71" s="4" t="s">
        <v>63</v>
      </c>
      <c r="D71" s="10" t="s">
        <v>301</v>
      </c>
      <c r="E71" s="85">
        <v>68000</v>
      </c>
    </row>
    <row r="72" ht="27" customHeight="1" spans="1:5">
      <c r="A72" s="10"/>
      <c r="B72" s="20" t="s">
        <v>33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51</v>
      </c>
      <c r="C74" s="21"/>
      <c r="D74" s="21"/>
      <c r="E74" s="146"/>
    </row>
    <row r="75" customHeight="1" spans="1:5">
      <c r="A75" s="10">
        <v>1</v>
      </c>
      <c r="B75" s="11" t="s">
        <v>338</v>
      </c>
      <c r="C75" s="4" t="s">
        <v>339</v>
      </c>
      <c r="D75" s="10" t="s">
        <v>297</v>
      </c>
      <c r="E75" s="85">
        <v>270000</v>
      </c>
    </row>
    <row r="76" customHeight="1" spans="1:5">
      <c r="A76" s="10">
        <v>2</v>
      </c>
      <c r="B76" s="14" t="s">
        <v>220</v>
      </c>
      <c r="C76" s="4" t="s">
        <v>221</v>
      </c>
      <c r="D76" s="15" t="s">
        <v>222</v>
      </c>
      <c r="E76" s="85">
        <v>126000</v>
      </c>
    </row>
    <row r="77" customHeight="1" spans="1:5">
      <c r="A77" s="10">
        <v>3</v>
      </c>
      <c r="B77" s="18" t="s">
        <v>223</v>
      </c>
      <c r="C77" s="12" t="s">
        <v>224</v>
      </c>
      <c r="D77" s="10" t="s">
        <v>225</v>
      </c>
      <c r="E77" s="85">
        <v>126000</v>
      </c>
    </row>
    <row r="78" customHeight="1" spans="1:5">
      <c r="A78" s="10">
        <v>4</v>
      </c>
      <c r="B78" s="11" t="s">
        <v>340</v>
      </c>
      <c r="C78" s="4" t="s">
        <v>341</v>
      </c>
      <c r="D78" s="15" t="s">
        <v>342</v>
      </c>
      <c r="E78" s="85">
        <v>90000</v>
      </c>
    </row>
    <row r="79" customHeight="1" spans="1:5">
      <c r="A79" s="10">
        <v>5</v>
      </c>
      <c r="B79" s="11" t="s">
        <v>343</v>
      </c>
      <c r="C79" s="4" t="s">
        <v>344</v>
      </c>
      <c r="D79" s="10" t="s">
        <v>345</v>
      </c>
      <c r="E79" s="85">
        <v>68000</v>
      </c>
    </row>
    <row r="80" customHeight="1" spans="1:5">
      <c r="A80" s="10">
        <v>6</v>
      </c>
      <c r="B80" s="11" t="s">
        <v>346</v>
      </c>
      <c r="C80" s="4" t="s">
        <v>344</v>
      </c>
      <c r="D80" s="10" t="s">
        <v>283</v>
      </c>
      <c r="E80" s="85">
        <v>54000</v>
      </c>
    </row>
    <row r="81" customHeight="1" spans="1:5">
      <c r="A81" s="10">
        <v>7</v>
      </c>
      <c r="B81" s="11" t="s">
        <v>347</v>
      </c>
      <c r="C81" s="4" t="s">
        <v>348</v>
      </c>
      <c r="D81" s="10" t="s">
        <v>294</v>
      </c>
      <c r="E81" s="85">
        <v>54000</v>
      </c>
    </row>
    <row r="82" customHeight="1" spans="1:5">
      <c r="A82" s="10"/>
      <c r="B82" s="20" t="s">
        <v>33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56</v>
      </c>
      <c r="C84" s="25"/>
      <c r="D84" s="21"/>
      <c r="E84" s="146"/>
    </row>
    <row r="85" customHeight="1" spans="1:5">
      <c r="A85" s="10">
        <v>1</v>
      </c>
      <c r="B85" s="11" t="s">
        <v>349</v>
      </c>
      <c r="C85" s="4" t="s">
        <v>310</v>
      </c>
      <c r="D85" s="10" t="s">
        <v>249</v>
      </c>
      <c r="E85" s="85">
        <v>126000</v>
      </c>
    </row>
    <row r="86" customHeight="1" spans="1:5">
      <c r="A86" s="10">
        <v>2</v>
      </c>
      <c r="B86" s="11" t="s">
        <v>350</v>
      </c>
      <c r="C86" s="4" t="s">
        <v>310</v>
      </c>
      <c r="D86" s="10" t="s">
        <v>249</v>
      </c>
      <c r="E86" s="85">
        <v>126000</v>
      </c>
    </row>
    <row r="87" customHeight="1" spans="1:5">
      <c r="A87" s="10">
        <v>3</v>
      </c>
      <c r="B87" s="11" t="s">
        <v>351</v>
      </c>
      <c r="C87" s="4" t="s">
        <v>310</v>
      </c>
      <c r="D87" s="10" t="s">
        <v>228</v>
      </c>
      <c r="E87" s="85">
        <v>126000</v>
      </c>
    </row>
    <row r="88" ht="21.6" customHeight="1" spans="1:5">
      <c r="A88" s="10">
        <v>4</v>
      </c>
      <c r="B88" s="11" t="s">
        <v>352</v>
      </c>
      <c r="C88" s="4" t="s">
        <v>353</v>
      </c>
      <c r="D88" s="15" t="s">
        <v>263</v>
      </c>
      <c r="E88" s="85">
        <v>90000</v>
      </c>
    </row>
    <row r="89" ht="21.6" customHeight="1" spans="1:5">
      <c r="A89" s="10">
        <v>5</v>
      </c>
      <c r="B89" s="11" t="s">
        <v>354</v>
      </c>
      <c r="C89" s="12" t="s">
        <v>46</v>
      </c>
      <c r="D89" s="15" t="s">
        <v>266</v>
      </c>
      <c r="E89" s="85">
        <v>90000</v>
      </c>
    </row>
    <row r="90" ht="21.6" customHeight="1" spans="1:5">
      <c r="A90" s="10">
        <v>6</v>
      </c>
      <c r="B90" s="11" t="s">
        <v>355</v>
      </c>
      <c r="C90" s="12" t="s">
        <v>256</v>
      </c>
      <c r="D90" s="15" t="s">
        <v>356</v>
      </c>
      <c r="E90" s="85">
        <v>90000</v>
      </c>
    </row>
    <row r="91" ht="21.6" customHeight="1" spans="1:5">
      <c r="A91" s="10">
        <v>7</v>
      </c>
      <c r="B91" s="11" t="s">
        <v>357</v>
      </c>
      <c r="C91" s="17" t="s">
        <v>275</v>
      </c>
      <c r="D91" s="15" t="s">
        <v>332</v>
      </c>
      <c r="E91" s="85">
        <v>68000</v>
      </c>
    </row>
    <row r="92" ht="21.6" customHeight="1" spans="1:5">
      <c r="A92" s="10">
        <v>8</v>
      </c>
      <c r="B92" s="11" t="s">
        <v>358</v>
      </c>
      <c r="C92" s="17" t="s">
        <v>46</v>
      </c>
      <c r="D92" s="15" t="s">
        <v>47</v>
      </c>
      <c r="E92" s="85">
        <v>90000</v>
      </c>
    </row>
    <row r="93" ht="21.6" customHeight="1" spans="1:5">
      <c r="A93" s="10">
        <v>9</v>
      </c>
      <c r="B93" s="11" t="s">
        <v>359</v>
      </c>
      <c r="C93" s="4" t="s">
        <v>360</v>
      </c>
      <c r="D93" s="10" t="s">
        <v>301</v>
      </c>
      <c r="E93" s="220">
        <v>66000</v>
      </c>
    </row>
    <row r="94" ht="21.6" customHeight="1" spans="1:5">
      <c r="A94" s="10">
        <v>10</v>
      </c>
      <c r="B94" s="11" t="s">
        <v>361</v>
      </c>
      <c r="C94" s="17" t="s">
        <v>362</v>
      </c>
      <c r="D94" s="15" t="s">
        <v>291</v>
      </c>
      <c r="E94" s="220">
        <v>54000</v>
      </c>
    </row>
    <row r="95" customHeight="1" spans="1:5">
      <c r="A95" s="10"/>
      <c r="B95" s="20" t="s">
        <v>33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58</v>
      </c>
      <c r="C97" s="21"/>
      <c r="D97" s="21"/>
      <c r="E97" s="146"/>
    </row>
    <row r="98" customHeight="1" spans="1:5">
      <c r="A98" s="10">
        <v>1</v>
      </c>
      <c r="B98" s="14" t="s">
        <v>363</v>
      </c>
      <c r="C98" s="4" t="s">
        <v>364</v>
      </c>
      <c r="D98" s="16" t="s">
        <v>365</v>
      </c>
      <c r="E98" s="85">
        <v>270000</v>
      </c>
    </row>
    <row r="99" customHeight="1" spans="1:5">
      <c r="A99" s="10">
        <v>2</v>
      </c>
      <c r="B99" s="11" t="s">
        <v>366</v>
      </c>
      <c r="C99" s="4" t="s">
        <v>367</v>
      </c>
      <c r="D99" s="15" t="s">
        <v>342</v>
      </c>
      <c r="E99" s="85">
        <v>90000</v>
      </c>
    </row>
    <row r="100" customHeight="1" spans="1:5">
      <c r="A100" s="10">
        <v>3</v>
      </c>
      <c r="B100" s="11" t="s">
        <v>368</v>
      </c>
      <c r="C100" s="4" t="s">
        <v>369</v>
      </c>
      <c r="D100" s="15" t="s">
        <v>271</v>
      </c>
      <c r="E100" s="85">
        <v>68000</v>
      </c>
    </row>
    <row r="101" customHeight="1" spans="1:5">
      <c r="A101" s="10">
        <v>4</v>
      </c>
      <c r="B101" s="11" t="s">
        <v>370</v>
      </c>
      <c r="C101" s="4" t="s">
        <v>371</v>
      </c>
      <c r="D101" s="15" t="s">
        <v>301</v>
      </c>
      <c r="E101" s="85">
        <v>68000</v>
      </c>
    </row>
    <row r="102" customHeight="1" spans="1:5">
      <c r="A102" s="4"/>
      <c r="B102" s="20" t="s">
        <v>33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372</v>
      </c>
      <c r="C104" s="4"/>
      <c r="D104" s="4"/>
      <c r="E104" s="4"/>
    </row>
    <row r="105" customHeight="1" spans="1:5">
      <c r="A105" s="4">
        <v>1</v>
      </c>
      <c r="B105" s="11" t="s">
        <v>373</v>
      </c>
      <c r="C105" s="12" t="s">
        <v>374</v>
      </c>
      <c r="D105" s="15" t="s">
        <v>297</v>
      </c>
      <c r="E105" s="85">
        <v>270000</v>
      </c>
    </row>
    <row r="106" customHeight="1" spans="1:5">
      <c r="A106" s="4">
        <v>2</v>
      </c>
      <c r="B106" s="11" t="s">
        <v>375</v>
      </c>
      <c r="C106" s="4" t="s">
        <v>376</v>
      </c>
      <c r="D106" s="16" t="s">
        <v>231</v>
      </c>
      <c r="E106" s="85">
        <v>180000</v>
      </c>
    </row>
    <row r="107" customHeight="1" spans="1:5">
      <c r="A107" s="4">
        <v>3</v>
      </c>
      <c r="B107" s="11" t="s">
        <v>377</v>
      </c>
      <c r="C107" s="4" t="s">
        <v>378</v>
      </c>
      <c r="D107" s="10" t="s">
        <v>263</v>
      </c>
      <c r="E107" s="85">
        <v>90000</v>
      </c>
    </row>
    <row r="108" customHeight="1" spans="1:5">
      <c r="A108" s="4">
        <v>4</v>
      </c>
      <c r="B108" s="11" t="s">
        <v>379</v>
      </c>
      <c r="C108" s="4" t="s">
        <v>378</v>
      </c>
      <c r="D108" s="10" t="s">
        <v>263</v>
      </c>
      <c r="E108" s="85">
        <v>90000</v>
      </c>
    </row>
    <row r="109" customHeight="1" spans="1:5">
      <c r="A109" s="4">
        <v>5</v>
      </c>
      <c r="B109" s="11" t="s">
        <v>380</v>
      </c>
      <c r="C109" s="4" t="s">
        <v>381</v>
      </c>
      <c r="D109" s="15" t="s">
        <v>382</v>
      </c>
      <c r="E109" s="220">
        <v>54000</v>
      </c>
    </row>
    <row r="110" customHeight="1" spans="1:5">
      <c r="A110" s="4">
        <v>6</v>
      </c>
      <c r="B110" s="18" t="s">
        <v>383</v>
      </c>
      <c r="C110" s="4" t="s">
        <v>381</v>
      </c>
      <c r="D110" s="10" t="s">
        <v>384</v>
      </c>
      <c r="E110" s="220">
        <v>54000</v>
      </c>
    </row>
    <row r="111" customHeight="1" spans="1:5">
      <c r="A111" s="4">
        <v>7</v>
      </c>
      <c r="B111" s="18" t="s">
        <v>385</v>
      </c>
      <c r="C111" s="4" t="s">
        <v>381</v>
      </c>
      <c r="D111" s="15" t="s">
        <v>291</v>
      </c>
      <c r="E111" s="220">
        <v>54000</v>
      </c>
    </row>
    <row r="112" ht="25.5" customHeight="1" spans="1:5">
      <c r="A112" s="4"/>
      <c r="B112" s="20" t="s">
        <v>33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61</v>
      </c>
      <c r="C114" s="21"/>
      <c r="D114" s="21"/>
      <c r="E114" s="146"/>
    </row>
    <row r="115" customHeight="1" spans="1:5">
      <c r="A115" s="10">
        <v>1</v>
      </c>
      <c r="B115" s="14" t="s">
        <v>386</v>
      </c>
      <c r="C115" s="4" t="s">
        <v>310</v>
      </c>
      <c r="D115" s="10" t="s">
        <v>327</v>
      </c>
      <c r="E115" s="85">
        <v>126000</v>
      </c>
    </row>
    <row r="116" ht="18.75" customHeight="1" spans="1:5">
      <c r="A116" s="10">
        <v>2</v>
      </c>
      <c r="B116" s="11" t="s">
        <v>387</v>
      </c>
      <c r="C116" s="4" t="s">
        <v>388</v>
      </c>
      <c r="D116" s="15" t="s">
        <v>271</v>
      </c>
      <c r="E116" s="85">
        <v>68000</v>
      </c>
    </row>
    <row r="117" customHeight="1" spans="1:5">
      <c r="A117" s="10">
        <v>3</v>
      </c>
      <c r="B117" s="11" t="s">
        <v>389</v>
      </c>
      <c r="C117" s="12" t="s">
        <v>390</v>
      </c>
      <c r="D117" s="15" t="s">
        <v>391</v>
      </c>
      <c r="E117" s="85">
        <v>68000</v>
      </c>
    </row>
    <row r="118" ht="24.75" customHeight="1" spans="1:5">
      <c r="A118" s="4"/>
      <c r="B118" s="20" t="s">
        <v>33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67</v>
      </c>
      <c r="C120" s="21"/>
      <c r="D120" s="21"/>
      <c r="E120" s="146"/>
    </row>
    <row r="121" customHeight="1" spans="1:5">
      <c r="A121" s="4">
        <v>1</v>
      </c>
      <c r="B121" s="11" t="s">
        <v>392</v>
      </c>
      <c r="C121" s="12" t="s">
        <v>393</v>
      </c>
      <c r="D121" s="15" t="s">
        <v>297</v>
      </c>
      <c r="E121" s="85">
        <v>270000</v>
      </c>
    </row>
    <row r="122" customHeight="1" spans="1:5">
      <c r="A122" s="4">
        <v>2</v>
      </c>
      <c r="B122" s="11" t="s">
        <v>128</v>
      </c>
      <c r="C122" s="12" t="s">
        <v>394</v>
      </c>
      <c r="D122" s="15" t="s">
        <v>308</v>
      </c>
      <c r="E122" s="85">
        <v>180000</v>
      </c>
    </row>
    <row r="123" customHeight="1" spans="1:5">
      <c r="A123" s="4">
        <v>3</v>
      </c>
      <c r="B123" s="14" t="s">
        <v>395</v>
      </c>
      <c r="C123" s="12" t="s">
        <v>227</v>
      </c>
      <c r="D123" s="15" t="s">
        <v>249</v>
      </c>
      <c r="E123" s="85">
        <v>126000</v>
      </c>
    </row>
    <row r="124" customHeight="1" spans="1:5">
      <c r="A124" s="4">
        <v>4</v>
      </c>
      <c r="B124" s="14" t="s">
        <v>226</v>
      </c>
      <c r="C124" s="12" t="s">
        <v>227</v>
      </c>
      <c r="D124" s="15" t="s">
        <v>228</v>
      </c>
      <c r="E124" s="85">
        <v>126000</v>
      </c>
    </row>
    <row r="125" customHeight="1" spans="1:5">
      <c r="A125" s="4">
        <v>5</v>
      </c>
      <c r="B125" s="11" t="s">
        <v>396</v>
      </c>
      <c r="C125" s="12" t="s">
        <v>397</v>
      </c>
      <c r="D125" s="15" t="s">
        <v>257</v>
      </c>
      <c r="E125" s="85">
        <v>90000</v>
      </c>
    </row>
    <row r="126" customHeight="1" spans="1:5">
      <c r="A126" s="4">
        <v>6</v>
      </c>
      <c r="B126" s="11" t="s">
        <v>398</v>
      </c>
      <c r="C126" s="12" t="s">
        <v>399</v>
      </c>
      <c r="D126" s="15" t="s">
        <v>260</v>
      </c>
      <c r="E126" s="85">
        <v>90000</v>
      </c>
    </row>
    <row r="127" customHeight="1" spans="1:5">
      <c r="A127" s="4">
        <v>7</v>
      </c>
      <c r="B127" s="11" t="s">
        <v>400</v>
      </c>
      <c r="C127" s="12" t="s">
        <v>397</v>
      </c>
      <c r="D127" s="15" t="s">
        <v>342</v>
      </c>
      <c r="E127" s="85">
        <v>90000</v>
      </c>
    </row>
    <row r="128" customHeight="1" spans="1:5">
      <c r="A128" s="4">
        <v>8</v>
      </c>
      <c r="B128" s="11" t="s">
        <v>401</v>
      </c>
      <c r="C128" s="12" t="s">
        <v>402</v>
      </c>
      <c r="D128" s="10" t="s">
        <v>279</v>
      </c>
      <c r="E128" s="85">
        <v>54000</v>
      </c>
    </row>
    <row r="129" customHeight="1" spans="1:5">
      <c r="A129" s="4">
        <v>9</v>
      </c>
      <c r="B129" s="18" t="s">
        <v>403</v>
      </c>
      <c r="C129" s="12" t="s">
        <v>404</v>
      </c>
      <c r="D129" s="15" t="s">
        <v>294</v>
      </c>
      <c r="E129" s="85">
        <v>54000</v>
      </c>
    </row>
    <row r="130" customHeight="1" spans="1:5">
      <c r="A130" s="4">
        <v>10</v>
      </c>
      <c r="B130" s="18" t="s">
        <v>405</v>
      </c>
      <c r="C130" s="12" t="s">
        <v>69</v>
      </c>
      <c r="D130" s="15" t="s">
        <v>294</v>
      </c>
      <c r="E130" s="85">
        <v>54000</v>
      </c>
    </row>
    <row r="131" ht="28.5" customHeight="1" spans="1:5">
      <c r="A131" s="4"/>
      <c r="B131" s="20" t="s">
        <v>33</v>
      </c>
      <c r="C131" s="26" t="s">
        <v>406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71</v>
      </c>
      <c r="C133" s="12"/>
      <c r="D133" s="15"/>
      <c r="E133" s="85"/>
    </row>
    <row r="134" customHeight="1" spans="1:5">
      <c r="A134" s="27">
        <v>1</v>
      </c>
      <c r="B134" s="11" t="s">
        <v>407</v>
      </c>
      <c r="C134" s="12" t="s">
        <v>408</v>
      </c>
      <c r="D134" s="15" t="s">
        <v>297</v>
      </c>
      <c r="E134" s="85">
        <v>270000</v>
      </c>
    </row>
    <row r="135" customHeight="1" spans="1:5">
      <c r="A135" s="27">
        <v>2</v>
      </c>
      <c r="B135" s="11" t="s">
        <v>229</v>
      </c>
      <c r="C135" s="12" t="s">
        <v>230</v>
      </c>
      <c r="D135" s="15" t="s">
        <v>231</v>
      </c>
      <c r="E135" s="85">
        <v>180000</v>
      </c>
    </row>
    <row r="136" customHeight="1" spans="1:5">
      <c r="A136" s="27">
        <v>3</v>
      </c>
      <c r="B136" s="14" t="s">
        <v>409</v>
      </c>
      <c r="C136" s="4" t="s">
        <v>410</v>
      </c>
      <c r="D136" s="16" t="s">
        <v>231</v>
      </c>
      <c r="E136" s="85">
        <v>180000</v>
      </c>
    </row>
    <row r="137" customHeight="1" spans="1:5">
      <c r="A137" s="27">
        <v>4</v>
      </c>
      <c r="B137" s="11" t="s">
        <v>411</v>
      </c>
      <c r="C137" s="12" t="s">
        <v>412</v>
      </c>
      <c r="D137" s="15" t="s">
        <v>254</v>
      </c>
      <c r="E137" s="85">
        <v>90000</v>
      </c>
    </row>
    <row r="138" customHeight="1" spans="1:5">
      <c r="A138" s="27">
        <v>5</v>
      </c>
      <c r="B138" s="11" t="s">
        <v>413</v>
      </c>
      <c r="C138" s="4" t="s">
        <v>414</v>
      </c>
      <c r="D138" s="15" t="s">
        <v>254</v>
      </c>
      <c r="E138" s="85">
        <v>90000</v>
      </c>
    </row>
    <row r="139" customHeight="1" spans="1:5">
      <c r="A139" s="27">
        <v>6</v>
      </c>
      <c r="B139" s="11" t="s">
        <v>415</v>
      </c>
      <c r="C139" s="4" t="s">
        <v>414</v>
      </c>
      <c r="D139" s="15" t="s">
        <v>254</v>
      </c>
      <c r="E139" s="85">
        <v>90000</v>
      </c>
    </row>
    <row r="140" customHeight="1" spans="1:5">
      <c r="A140" s="27">
        <v>7</v>
      </c>
      <c r="B140" s="11" t="s">
        <v>416</v>
      </c>
      <c r="C140" s="12" t="s">
        <v>417</v>
      </c>
      <c r="D140" s="15" t="s">
        <v>391</v>
      </c>
      <c r="E140" s="85">
        <v>68000</v>
      </c>
    </row>
    <row r="141" customHeight="1" spans="1:5">
      <c r="A141" s="27">
        <v>8</v>
      </c>
      <c r="B141" s="11" t="s">
        <v>418</v>
      </c>
      <c r="C141" s="12" t="s">
        <v>417</v>
      </c>
      <c r="D141" s="15" t="s">
        <v>391</v>
      </c>
      <c r="E141" s="85">
        <v>68000</v>
      </c>
    </row>
    <row r="142" customHeight="1" spans="1:5">
      <c r="A142" s="27">
        <v>9</v>
      </c>
      <c r="B142" s="11" t="s">
        <v>419</v>
      </c>
      <c r="C142" s="4" t="s">
        <v>420</v>
      </c>
      <c r="D142" s="15" t="s">
        <v>391</v>
      </c>
      <c r="E142" s="85">
        <v>68000</v>
      </c>
    </row>
    <row r="143" customHeight="1" spans="1:5">
      <c r="A143" s="27">
        <v>10</v>
      </c>
      <c r="B143" s="11" t="s">
        <v>421</v>
      </c>
      <c r="C143" s="12" t="s">
        <v>422</v>
      </c>
      <c r="D143" s="15" t="s">
        <v>271</v>
      </c>
      <c r="E143" s="85">
        <v>68000</v>
      </c>
    </row>
    <row r="144" customHeight="1" spans="1:5">
      <c r="A144" s="27">
        <v>11</v>
      </c>
      <c r="B144" s="11" t="s">
        <v>423</v>
      </c>
      <c r="C144" s="12" t="s">
        <v>424</v>
      </c>
      <c r="D144" s="15" t="s">
        <v>332</v>
      </c>
      <c r="E144" s="85">
        <v>68000</v>
      </c>
    </row>
    <row r="145" customHeight="1" spans="1:5">
      <c r="A145" s="27">
        <v>12</v>
      </c>
      <c r="B145" s="11" t="s">
        <v>425</v>
      </c>
      <c r="C145" s="12" t="s">
        <v>426</v>
      </c>
      <c r="D145" s="15" t="s">
        <v>391</v>
      </c>
      <c r="E145" s="85">
        <v>68000</v>
      </c>
    </row>
    <row r="146" customHeight="1" spans="1:5">
      <c r="A146" s="27">
        <v>13</v>
      </c>
      <c r="B146" s="18" t="s">
        <v>427</v>
      </c>
      <c r="C146" s="4" t="s">
        <v>428</v>
      </c>
      <c r="D146" s="15" t="s">
        <v>41</v>
      </c>
      <c r="E146" s="85">
        <v>68000</v>
      </c>
    </row>
    <row r="147" customHeight="1" spans="1:5">
      <c r="A147" s="27">
        <v>14</v>
      </c>
      <c r="B147" s="11" t="s">
        <v>429</v>
      </c>
      <c r="C147" s="4" t="s">
        <v>430</v>
      </c>
      <c r="D147" s="15" t="s">
        <v>345</v>
      </c>
      <c r="E147" s="85">
        <v>68000</v>
      </c>
    </row>
    <row r="148" customHeight="1" spans="1:5">
      <c r="A148" s="27">
        <v>15</v>
      </c>
      <c r="B148" s="11" t="s">
        <v>431</v>
      </c>
      <c r="C148" s="4" t="s">
        <v>430</v>
      </c>
      <c r="D148" s="15" t="s">
        <v>432</v>
      </c>
      <c r="E148" s="85">
        <v>68000</v>
      </c>
    </row>
    <row r="149" customHeight="1" spans="1:5">
      <c r="A149" s="27">
        <v>16</v>
      </c>
      <c r="B149" s="11" t="s">
        <v>433</v>
      </c>
      <c r="C149" s="4" t="s">
        <v>430</v>
      </c>
      <c r="D149" s="15" t="s">
        <v>432</v>
      </c>
      <c r="E149" s="85">
        <v>68000</v>
      </c>
    </row>
    <row r="150" customHeight="1" spans="1:5">
      <c r="A150" s="27">
        <v>17</v>
      </c>
      <c r="B150" s="11" t="s">
        <v>434</v>
      </c>
      <c r="C150" s="12" t="s">
        <v>435</v>
      </c>
      <c r="D150" s="15" t="s">
        <v>301</v>
      </c>
      <c r="E150" s="85">
        <v>68000</v>
      </c>
    </row>
    <row r="151" customHeight="1" spans="1:5">
      <c r="A151" s="27">
        <v>18</v>
      </c>
      <c r="B151" s="11" t="s">
        <v>436</v>
      </c>
      <c r="C151" s="12" t="s">
        <v>437</v>
      </c>
      <c r="D151" s="10" t="s">
        <v>283</v>
      </c>
      <c r="E151" s="85">
        <v>54000</v>
      </c>
    </row>
    <row r="152" customHeight="1" spans="1:5">
      <c r="A152" s="27">
        <v>19</v>
      </c>
      <c r="B152" s="11" t="s">
        <v>438</v>
      </c>
      <c r="C152" s="12" t="s">
        <v>439</v>
      </c>
      <c r="D152" s="15" t="s">
        <v>345</v>
      </c>
      <c r="E152" s="220">
        <v>68000</v>
      </c>
    </row>
    <row r="153" customHeight="1" spans="1:5">
      <c r="A153" s="27">
        <v>20</v>
      </c>
      <c r="B153" s="11" t="s">
        <v>440</v>
      </c>
      <c r="C153" s="12" t="s">
        <v>441</v>
      </c>
      <c r="D153" s="15" t="s">
        <v>279</v>
      </c>
      <c r="E153" s="220">
        <v>54000</v>
      </c>
    </row>
    <row r="154" customHeight="1" spans="1:5">
      <c r="A154" s="27">
        <v>21</v>
      </c>
      <c r="B154" s="11" t="s">
        <v>442</v>
      </c>
      <c r="C154" s="12" t="s">
        <v>443</v>
      </c>
      <c r="D154" s="15" t="s">
        <v>345</v>
      </c>
      <c r="E154" s="220">
        <v>68000</v>
      </c>
    </row>
    <row r="155" customHeight="1" spans="1:5">
      <c r="A155" s="27">
        <v>22</v>
      </c>
      <c r="B155" s="11" t="s">
        <v>444</v>
      </c>
      <c r="C155" s="12" t="s">
        <v>445</v>
      </c>
      <c r="D155" s="15" t="s">
        <v>279</v>
      </c>
      <c r="E155" s="220">
        <v>54000</v>
      </c>
    </row>
    <row r="156" customHeight="1" spans="1:5">
      <c r="A156" s="27">
        <v>23</v>
      </c>
      <c r="B156" s="18" t="s">
        <v>446</v>
      </c>
      <c r="C156" s="12" t="s">
        <v>447</v>
      </c>
      <c r="D156" s="15" t="s">
        <v>24</v>
      </c>
      <c r="E156" s="220">
        <v>54000</v>
      </c>
    </row>
    <row r="157" customHeight="1" spans="1:5">
      <c r="A157" s="27">
        <v>24</v>
      </c>
      <c r="B157" s="18" t="s">
        <v>448</v>
      </c>
      <c r="C157" s="12" t="s">
        <v>449</v>
      </c>
      <c r="D157" s="15" t="s">
        <v>294</v>
      </c>
      <c r="E157" s="220">
        <v>54000</v>
      </c>
    </row>
    <row r="158" customHeight="1" spans="1:5">
      <c r="A158" s="27">
        <v>25</v>
      </c>
      <c r="B158" s="18" t="s">
        <v>450</v>
      </c>
      <c r="C158" s="12" t="s">
        <v>451</v>
      </c>
      <c r="D158" s="15" t="s">
        <v>294</v>
      </c>
      <c r="E158" s="220">
        <v>54000</v>
      </c>
    </row>
    <row r="159" customHeight="1" spans="1:5">
      <c r="A159" s="27">
        <v>26</v>
      </c>
      <c r="B159" s="18" t="s">
        <v>452</v>
      </c>
      <c r="C159" s="12" t="s">
        <v>453</v>
      </c>
      <c r="D159" s="15" t="s">
        <v>294</v>
      </c>
      <c r="E159" s="220">
        <v>54000</v>
      </c>
    </row>
    <row r="160" customHeight="1" spans="1:5">
      <c r="A160" s="27">
        <v>27</v>
      </c>
      <c r="B160" s="18" t="s">
        <v>454</v>
      </c>
      <c r="C160" s="12" t="s">
        <v>455</v>
      </c>
      <c r="D160" s="15" t="s">
        <v>291</v>
      </c>
      <c r="E160" s="220">
        <v>54000</v>
      </c>
    </row>
    <row r="161" customHeight="1" spans="1:5">
      <c r="A161" s="27">
        <v>28</v>
      </c>
      <c r="B161" s="18" t="s">
        <v>456</v>
      </c>
      <c r="C161" s="12" t="s">
        <v>451</v>
      </c>
      <c r="D161" s="15" t="s">
        <v>294</v>
      </c>
      <c r="E161" s="220">
        <v>54000</v>
      </c>
    </row>
    <row r="162" customHeight="1" spans="1:5">
      <c r="A162" s="27">
        <v>29</v>
      </c>
      <c r="B162" s="11" t="s">
        <v>457</v>
      </c>
      <c r="C162" s="12" t="s">
        <v>458</v>
      </c>
      <c r="D162" s="15" t="s">
        <v>459</v>
      </c>
      <c r="E162" s="226">
        <v>36000</v>
      </c>
    </row>
    <row r="163" customHeight="1" spans="1:5">
      <c r="A163" s="27">
        <v>30</v>
      </c>
      <c r="B163" s="11" t="s">
        <v>460</v>
      </c>
      <c r="C163" s="12" t="s">
        <v>458</v>
      </c>
      <c r="D163" s="15" t="s">
        <v>459</v>
      </c>
      <c r="E163" s="226">
        <v>36000</v>
      </c>
    </row>
    <row r="164" customHeight="1" spans="1:5">
      <c r="A164" s="27">
        <v>31</v>
      </c>
      <c r="B164" s="11" t="s">
        <v>461</v>
      </c>
      <c r="C164" s="12" t="s">
        <v>458</v>
      </c>
      <c r="D164" s="15" t="s">
        <v>459</v>
      </c>
      <c r="E164" s="226">
        <v>36000</v>
      </c>
    </row>
    <row r="165" customHeight="1" spans="1:5">
      <c r="A165" s="27">
        <v>32</v>
      </c>
      <c r="B165" s="11" t="s">
        <v>462</v>
      </c>
      <c r="C165" s="12" t="s">
        <v>458</v>
      </c>
      <c r="D165" s="15" t="s">
        <v>459</v>
      </c>
      <c r="E165" s="226">
        <v>36000</v>
      </c>
    </row>
    <row r="166" customHeight="1" spans="1:5">
      <c r="A166" s="27">
        <v>33</v>
      </c>
      <c r="B166" s="11" t="s">
        <v>463</v>
      </c>
      <c r="C166" s="12" t="s">
        <v>458</v>
      </c>
      <c r="D166" s="15" t="s">
        <v>459</v>
      </c>
      <c r="E166" s="226">
        <v>36000</v>
      </c>
    </row>
    <row r="167" customHeight="1" spans="1:5">
      <c r="A167" s="27">
        <v>34</v>
      </c>
      <c r="B167" s="11" t="s">
        <v>464</v>
      </c>
      <c r="C167" s="12" t="s">
        <v>458</v>
      </c>
      <c r="D167" s="15" t="s">
        <v>465</v>
      </c>
      <c r="E167" s="226">
        <v>36000</v>
      </c>
    </row>
    <row r="168" customHeight="1" spans="1:5">
      <c r="A168" s="27">
        <v>35</v>
      </c>
      <c r="B168" s="11" t="s">
        <v>466</v>
      </c>
      <c r="C168" s="12" t="s">
        <v>458</v>
      </c>
      <c r="D168" s="15" t="s">
        <v>465</v>
      </c>
      <c r="E168" s="226">
        <v>36000</v>
      </c>
    </row>
    <row r="169" customHeight="1" spans="1:5">
      <c r="A169" s="27">
        <v>36</v>
      </c>
      <c r="B169" s="14" t="s">
        <v>467</v>
      </c>
      <c r="C169" s="12" t="s">
        <v>458</v>
      </c>
      <c r="D169" s="15" t="s">
        <v>465</v>
      </c>
      <c r="E169" s="226">
        <v>36000</v>
      </c>
    </row>
    <row r="170" customHeight="1" spans="1:5">
      <c r="A170" s="27">
        <v>37</v>
      </c>
      <c r="B170" s="11" t="s">
        <v>468</v>
      </c>
      <c r="C170" s="12" t="s">
        <v>458</v>
      </c>
      <c r="D170" s="15" t="s">
        <v>465</v>
      </c>
      <c r="E170" s="226">
        <v>36000</v>
      </c>
    </row>
    <row r="171" customHeight="1" spans="1:5">
      <c r="A171" s="27">
        <v>38</v>
      </c>
      <c r="B171" s="18" t="s">
        <v>469</v>
      </c>
      <c r="C171" s="12" t="s">
        <v>458</v>
      </c>
      <c r="D171" s="15" t="s">
        <v>465</v>
      </c>
      <c r="E171" s="226">
        <v>36000</v>
      </c>
    </row>
    <row r="172" customHeight="1" spans="1:5">
      <c r="A172" s="27">
        <v>39</v>
      </c>
      <c r="B172" s="18" t="s">
        <v>470</v>
      </c>
      <c r="C172" s="12" t="s">
        <v>458</v>
      </c>
      <c r="D172" s="15" t="s">
        <v>465</v>
      </c>
      <c r="E172" s="226">
        <v>36000</v>
      </c>
    </row>
    <row r="173" customHeight="1" spans="1:5">
      <c r="A173" s="27">
        <v>40</v>
      </c>
      <c r="B173" s="11" t="s">
        <v>471</v>
      </c>
      <c r="C173" s="12" t="s">
        <v>472</v>
      </c>
      <c r="D173" s="15" t="s">
        <v>473</v>
      </c>
      <c r="E173" s="226">
        <v>36000</v>
      </c>
    </row>
    <row r="174" customHeight="1" spans="1:5">
      <c r="A174" s="27">
        <v>41</v>
      </c>
      <c r="B174" s="11" t="s">
        <v>474</v>
      </c>
      <c r="C174" s="12" t="s">
        <v>472</v>
      </c>
      <c r="D174" s="15" t="s">
        <v>473</v>
      </c>
      <c r="E174" s="226">
        <v>36000</v>
      </c>
    </row>
    <row r="175" customHeight="1" spans="1:5">
      <c r="A175" s="27">
        <v>42</v>
      </c>
      <c r="B175" s="18" t="s">
        <v>475</v>
      </c>
      <c r="C175" s="12" t="s">
        <v>472</v>
      </c>
      <c r="D175" s="15" t="s">
        <v>476</v>
      </c>
      <c r="E175" s="226">
        <v>36000</v>
      </c>
    </row>
    <row r="176" customHeight="1" spans="1:5">
      <c r="A176" s="27">
        <v>43</v>
      </c>
      <c r="B176" s="11" t="s">
        <v>477</v>
      </c>
      <c r="C176" s="12" t="s">
        <v>478</v>
      </c>
      <c r="D176" s="15" t="s">
        <v>479</v>
      </c>
      <c r="E176" s="85">
        <v>36000</v>
      </c>
    </row>
    <row r="177" customHeight="1" spans="1:5">
      <c r="A177" s="27">
        <v>44</v>
      </c>
      <c r="B177" s="11" t="s">
        <v>480</v>
      </c>
      <c r="C177" s="12" t="s">
        <v>481</v>
      </c>
      <c r="D177" s="15" t="s">
        <v>482</v>
      </c>
      <c r="E177" s="85">
        <v>36000</v>
      </c>
    </row>
    <row r="178" customHeight="1" spans="1:5">
      <c r="A178" s="27">
        <v>45</v>
      </c>
      <c r="B178" s="11" t="s">
        <v>483</v>
      </c>
      <c r="C178" s="12" t="s">
        <v>481</v>
      </c>
      <c r="D178" s="15" t="s">
        <v>482</v>
      </c>
      <c r="E178" s="85">
        <v>36000</v>
      </c>
    </row>
    <row r="179" customHeight="1" spans="1:5">
      <c r="A179" s="27">
        <v>46</v>
      </c>
      <c r="B179" s="11" t="s">
        <v>484</v>
      </c>
      <c r="C179" s="12" t="s">
        <v>481</v>
      </c>
      <c r="D179" s="15" t="s">
        <v>482</v>
      </c>
      <c r="E179" s="85">
        <v>36000</v>
      </c>
    </row>
    <row r="180" customHeight="1" spans="1:5">
      <c r="A180" s="27">
        <v>47</v>
      </c>
      <c r="B180" s="11" t="s">
        <v>485</v>
      </c>
      <c r="C180" s="12" t="s">
        <v>481</v>
      </c>
      <c r="D180" s="15" t="s">
        <v>482</v>
      </c>
      <c r="E180" s="85">
        <v>36000</v>
      </c>
    </row>
    <row r="181" customHeight="1" spans="1:5">
      <c r="A181" s="27">
        <v>48</v>
      </c>
      <c r="B181" s="11" t="s">
        <v>486</v>
      </c>
      <c r="C181" s="12" t="s">
        <v>481</v>
      </c>
      <c r="D181" s="15" t="s">
        <v>482</v>
      </c>
      <c r="E181" s="85">
        <v>36000</v>
      </c>
    </row>
    <row r="182" customHeight="1" spans="1:5">
      <c r="A182" s="27">
        <v>49</v>
      </c>
      <c r="B182" s="18" t="s">
        <v>487</v>
      </c>
      <c r="C182" s="12" t="s">
        <v>481</v>
      </c>
      <c r="D182" s="15" t="s">
        <v>482</v>
      </c>
      <c r="E182" s="85">
        <v>36000</v>
      </c>
    </row>
    <row r="183" customHeight="1" spans="1:5">
      <c r="A183" s="27">
        <v>50</v>
      </c>
      <c r="B183" s="18" t="s">
        <v>488</v>
      </c>
      <c r="C183" s="12" t="s">
        <v>481</v>
      </c>
      <c r="D183" s="15" t="s">
        <v>482</v>
      </c>
      <c r="E183" s="85">
        <v>36000</v>
      </c>
    </row>
    <row r="184" customHeight="1" spans="1:5">
      <c r="A184" s="27">
        <v>51</v>
      </c>
      <c r="B184" s="11" t="s">
        <v>489</v>
      </c>
      <c r="C184" s="12" t="s">
        <v>478</v>
      </c>
      <c r="D184" s="15" t="s">
        <v>482</v>
      </c>
      <c r="E184" s="85">
        <v>36000</v>
      </c>
    </row>
    <row r="185" customHeight="1" spans="1:5">
      <c r="A185" s="27">
        <v>52</v>
      </c>
      <c r="B185" s="11" t="s">
        <v>490</v>
      </c>
      <c r="C185" s="12" t="s">
        <v>478</v>
      </c>
      <c r="D185" s="15" t="s">
        <v>482</v>
      </c>
      <c r="E185" s="85">
        <v>36000</v>
      </c>
    </row>
    <row r="186" customHeight="1" spans="1:5">
      <c r="A186" s="27">
        <v>53</v>
      </c>
      <c r="B186" s="18" t="s">
        <v>491</v>
      </c>
      <c r="C186" s="12" t="s">
        <v>172</v>
      </c>
      <c r="D186" s="15" t="s">
        <v>492</v>
      </c>
      <c r="E186" s="85">
        <v>36000</v>
      </c>
    </row>
    <row r="187" customHeight="1" spans="1:5">
      <c r="A187" s="27">
        <v>54</v>
      </c>
      <c r="B187" s="18" t="s">
        <v>493</v>
      </c>
      <c r="C187" s="12" t="s">
        <v>481</v>
      </c>
      <c r="D187" s="15" t="s">
        <v>494</v>
      </c>
      <c r="E187" s="85">
        <v>36000</v>
      </c>
    </row>
    <row r="188" customHeight="1" spans="1:5">
      <c r="A188" s="27">
        <v>55</v>
      </c>
      <c r="B188" s="18" t="s">
        <v>495</v>
      </c>
      <c r="C188" s="12" t="s">
        <v>496</v>
      </c>
      <c r="D188" s="15" t="s">
        <v>497</v>
      </c>
      <c r="E188" s="85">
        <v>36000</v>
      </c>
    </row>
    <row r="189" customHeight="1" spans="1:5">
      <c r="A189" s="27">
        <v>56</v>
      </c>
      <c r="B189" s="18" t="s">
        <v>498</v>
      </c>
      <c r="C189" s="12" t="s">
        <v>496</v>
      </c>
      <c r="D189" s="15" t="s">
        <v>497</v>
      </c>
      <c r="E189" s="85">
        <v>36000</v>
      </c>
    </row>
    <row r="190" customHeight="1" spans="1:5">
      <c r="A190" s="27">
        <v>57</v>
      </c>
      <c r="B190" s="18" t="s">
        <v>499</v>
      </c>
      <c r="C190" s="12" t="s">
        <v>496</v>
      </c>
      <c r="D190" s="15" t="s">
        <v>497</v>
      </c>
      <c r="E190" s="85">
        <v>36000</v>
      </c>
    </row>
    <row r="191" customHeight="1" spans="1:5">
      <c r="A191" s="27">
        <v>58</v>
      </c>
      <c r="B191" s="18" t="s">
        <v>500</v>
      </c>
      <c r="C191" s="12" t="s">
        <v>501</v>
      </c>
      <c r="D191" s="15" t="s">
        <v>502</v>
      </c>
      <c r="E191" s="85">
        <v>36000</v>
      </c>
    </row>
    <row r="192" customHeight="1" spans="1:5">
      <c r="A192" s="27">
        <v>59</v>
      </c>
      <c r="B192" s="18" t="s">
        <v>503</v>
      </c>
      <c r="C192" s="12" t="s">
        <v>501</v>
      </c>
      <c r="D192" s="15" t="s">
        <v>502</v>
      </c>
      <c r="E192" s="85">
        <v>36000</v>
      </c>
    </row>
    <row r="193" ht="30.75" customHeight="1" spans="1:5">
      <c r="A193" s="27"/>
      <c r="B193" s="8" t="s">
        <v>33</v>
      </c>
      <c r="C193" s="28" t="s">
        <v>504</v>
      </c>
      <c r="D193" s="29"/>
      <c r="E193" s="93">
        <f>SUM(E134:E192)</f>
        <v>3386000</v>
      </c>
    </row>
    <row r="194" ht="42.75" customHeight="1" spans="1:5">
      <c r="A194" s="4"/>
      <c r="B194" s="30" t="s">
        <v>80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538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195</v>
      </c>
      <c r="F4" s="218" t="s">
        <v>539</v>
      </c>
      <c r="G4" s="218" t="s">
        <v>540</v>
      </c>
      <c r="H4" s="218" t="s">
        <v>541</v>
      </c>
      <c r="I4" s="218" t="s">
        <v>8</v>
      </c>
      <c r="J4" s="505" t="s">
        <v>542</v>
      </c>
      <c r="K4" s="505" t="s">
        <v>543</v>
      </c>
      <c r="L4" s="505" t="s">
        <v>544</v>
      </c>
      <c r="M4" s="506" t="s">
        <v>545</v>
      </c>
      <c r="N4" s="568" t="s">
        <v>546</v>
      </c>
      <c r="O4" s="568" t="s">
        <v>547</v>
      </c>
      <c r="P4" s="569"/>
      <c r="Q4" s="587" t="s">
        <v>548</v>
      </c>
    </row>
    <row r="5" ht="17.25" customHeight="1" spans="3:17">
      <c r="C5" s="8"/>
      <c r="D5" s="8"/>
      <c r="L5" s="369" t="s">
        <v>549</v>
      </c>
      <c r="O5" s="570" t="s">
        <v>550</v>
      </c>
      <c r="P5" s="571"/>
      <c r="Q5" s="369" t="s">
        <v>551</v>
      </c>
    </row>
    <row r="6" ht="20.1" customHeight="1" spans="1:17">
      <c r="A6" s="9" t="s">
        <v>20</v>
      </c>
      <c r="B6" s="8" t="s">
        <v>21</v>
      </c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  <c r="J6" s="82" t="s">
        <v>19</v>
      </c>
      <c r="K6" s="82" t="s">
        <v>19</v>
      </c>
      <c r="L6" s="82" t="s">
        <v>19</v>
      </c>
      <c r="M6" s="82" t="s">
        <v>19</v>
      </c>
      <c r="N6" s="572" t="s">
        <v>19</v>
      </c>
      <c r="O6" s="572" t="s">
        <v>19</v>
      </c>
      <c r="P6" s="573"/>
      <c r="Q6" s="588" t="s">
        <v>19</v>
      </c>
    </row>
    <row r="7" ht="20.1" customHeight="1" spans="1:17">
      <c r="A7" s="10">
        <v>1</v>
      </c>
      <c r="B7" s="11" t="s">
        <v>236</v>
      </c>
      <c r="C7" s="12" t="s">
        <v>237</v>
      </c>
      <c r="D7" s="12" t="s">
        <v>238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239</v>
      </c>
      <c r="C8" s="12" t="s">
        <v>240</v>
      </c>
      <c r="D8" s="10" t="s">
        <v>234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241</v>
      </c>
      <c r="C9" s="4" t="s">
        <v>242</v>
      </c>
      <c r="D9" s="10" t="s">
        <v>234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243</v>
      </c>
      <c r="C10" s="17" t="s">
        <v>244</v>
      </c>
      <c r="D10" s="10" t="s">
        <v>234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245</v>
      </c>
      <c r="C11" s="4" t="s">
        <v>530</v>
      </c>
      <c r="D11" s="10" t="s">
        <v>234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232</v>
      </c>
      <c r="C12" s="10" t="s">
        <v>233</v>
      </c>
      <c r="D12" s="10" t="s">
        <v>234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247</v>
      </c>
      <c r="C13" s="12" t="s">
        <v>248</v>
      </c>
      <c r="D13" s="15" t="s">
        <v>249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250</v>
      </c>
      <c r="C14" s="4" t="s">
        <v>251</v>
      </c>
      <c r="D14" s="10" t="s">
        <v>228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252</v>
      </c>
      <c r="C15" s="4" t="s">
        <v>253</v>
      </c>
      <c r="D15" s="15" t="s">
        <v>254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255</v>
      </c>
      <c r="C16" s="17" t="s">
        <v>256</v>
      </c>
      <c r="D16" s="15" t="s">
        <v>257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258</v>
      </c>
      <c r="C17" s="4" t="s">
        <v>259</v>
      </c>
      <c r="D17" s="10" t="s">
        <v>260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261</v>
      </c>
      <c r="C18" s="4" t="s">
        <v>262</v>
      </c>
      <c r="D18" s="10" t="s">
        <v>263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264</v>
      </c>
      <c r="C19" s="12" t="s">
        <v>265</v>
      </c>
      <c r="D19" s="15" t="s">
        <v>266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267</v>
      </c>
      <c r="C20" s="4" t="s">
        <v>531</v>
      </c>
      <c r="D20" s="15" t="s">
        <v>269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270</v>
      </c>
      <c r="C21" s="12" t="s">
        <v>50</v>
      </c>
      <c r="D21" s="15" t="s">
        <v>271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272</v>
      </c>
      <c r="C22" s="17" t="s">
        <v>532</v>
      </c>
      <c r="D22" s="10" t="s">
        <v>41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274</v>
      </c>
      <c r="C23" s="17" t="s">
        <v>275</v>
      </c>
      <c r="D23" s="15" t="s">
        <v>41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276</v>
      </c>
      <c r="C24" s="17" t="s">
        <v>277</v>
      </c>
      <c r="D24" s="10" t="s">
        <v>37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278</v>
      </c>
      <c r="C25" s="4" t="s">
        <v>176</v>
      </c>
      <c r="D25" s="10" t="s">
        <v>279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280</v>
      </c>
      <c r="C26" s="12" t="s">
        <v>176</v>
      </c>
      <c r="D26" s="15" t="s">
        <v>279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281</v>
      </c>
      <c r="C27" s="17" t="s">
        <v>273</v>
      </c>
      <c r="D27" s="10" t="s">
        <v>279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282</v>
      </c>
      <c r="C28" s="12" t="s">
        <v>27</v>
      </c>
      <c r="D28" s="15" t="s">
        <v>283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284</v>
      </c>
      <c r="C29" s="4" t="s">
        <v>285</v>
      </c>
      <c r="D29" s="10" t="s">
        <v>24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286</v>
      </c>
      <c r="C30" s="4" t="s">
        <v>285</v>
      </c>
      <c r="D30" s="10" t="s">
        <v>24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287</v>
      </c>
      <c r="C31" s="17" t="s">
        <v>288</v>
      </c>
      <c r="D31" s="15" t="s">
        <v>279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289</v>
      </c>
      <c r="C32" s="4" t="s">
        <v>290</v>
      </c>
      <c r="D32" s="10" t="s">
        <v>291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292</v>
      </c>
      <c r="C33" s="12" t="s">
        <v>293</v>
      </c>
      <c r="D33" s="15" t="s">
        <v>294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33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34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295</v>
      </c>
      <c r="C37" s="4" t="s">
        <v>296</v>
      </c>
      <c r="D37" s="10" t="s">
        <v>297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298</v>
      </c>
      <c r="C38" s="4" t="s">
        <v>533</v>
      </c>
      <c r="D38" s="10" t="s">
        <v>37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300</v>
      </c>
      <c r="C39" s="12" t="s">
        <v>534</v>
      </c>
      <c r="D39" s="15" t="s">
        <v>301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38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302</v>
      </c>
      <c r="C43" s="4" t="s">
        <v>303</v>
      </c>
      <c r="D43" s="10" t="s">
        <v>297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304</v>
      </c>
      <c r="C44" s="4" t="s">
        <v>305</v>
      </c>
      <c r="D44" s="10" t="s">
        <v>249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306</v>
      </c>
      <c r="C45" s="4" t="s">
        <v>307</v>
      </c>
      <c r="D45" s="10" t="s">
        <v>308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309</v>
      </c>
      <c r="C46" s="4" t="s">
        <v>310</v>
      </c>
      <c r="D46" s="10" t="s">
        <v>249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311</v>
      </c>
      <c r="C47" s="4" t="s">
        <v>310</v>
      </c>
      <c r="D47" s="10" t="s">
        <v>249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312</v>
      </c>
      <c r="C48" s="4" t="s">
        <v>310</v>
      </c>
      <c r="D48" s="10" t="s">
        <v>228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313</v>
      </c>
      <c r="C49" s="4" t="s">
        <v>256</v>
      </c>
      <c r="D49" s="16" t="s">
        <v>257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314</v>
      </c>
      <c r="C50" s="4" t="s">
        <v>63</v>
      </c>
      <c r="D50" s="10" t="s">
        <v>301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315</v>
      </c>
      <c r="C51" s="4" t="s">
        <v>63</v>
      </c>
      <c r="D51" s="10" t="s">
        <v>283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316</v>
      </c>
      <c r="C52" s="4" t="s">
        <v>63</v>
      </c>
      <c r="D52" s="10" t="s">
        <v>283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317</v>
      </c>
      <c r="C53" s="4" t="s">
        <v>63</v>
      </c>
      <c r="D53" s="10" t="s">
        <v>283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33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318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319</v>
      </c>
      <c r="C57" s="12" t="s">
        <v>320</v>
      </c>
      <c r="D57" s="15" t="s">
        <v>297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321</v>
      </c>
      <c r="C58" s="12" t="s">
        <v>322</v>
      </c>
      <c r="D58" s="15" t="s">
        <v>225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33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44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323</v>
      </c>
      <c r="C62" s="17" t="s">
        <v>324</v>
      </c>
      <c r="D62" s="10" t="s">
        <v>297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325</v>
      </c>
      <c r="C63" s="17" t="s">
        <v>326</v>
      </c>
      <c r="D63" s="15" t="s">
        <v>327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328</v>
      </c>
      <c r="C64" s="4" t="s">
        <v>256</v>
      </c>
      <c r="D64" s="10" t="s">
        <v>260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329</v>
      </c>
      <c r="C65" s="17" t="s">
        <v>46</v>
      </c>
      <c r="D65" s="15" t="s">
        <v>266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330</v>
      </c>
      <c r="C66" s="17" t="s">
        <v>256</v>
      </c>
      <c r="D66" s="15" t="s">
        <v>254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331</v>
      </c>
      <c r="C67" s="4" t="s">
        <v>63</v>
      </c>
      <c r="D67" s="10" t="s">
        <v>332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333</v>
      </c>
      <c r="C68" s="17" t="s">
        <v>275</v>
      </c>
      <c r="D68" s="10" t="s">
        <v>332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334</v>
      </c>
      <c r="C69" s="17" t="s">
        <v>275</v>
      </c>
      <c r="D69" s="10" t="s">
        <v>332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335</v>
      </c>
      <c r="C70" s="4" t="s">
        <v>336</v>
      </c>
      <c r="D70" s="10" t="s">
        <v>271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337</v>
      </c>
      <c r="C71" s="4" t="s">
        <v>63</v>
      </c>
      <c r="D71" s="10" t="s">
        <v>301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33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51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338</v>
      </c>
      <c r="C75" s="4" t="s">
        <v>339</v>
      </c>
      <c r="D75" s="10" t="s">
        <v>297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220</v>
      </c>
      <c r="C76" s="4" t="s">
        <v>221</v>
      </c>
      <c r="D76" s="15" t="s">
        <v>222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223</v>
      </c>
      <c r="C77" s="12" t="s">
        <v>224</v>
      </c>
      <c r="D77" s="10" t="s">
        <v>225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340</v>
      </c>
      <c r="C78" s="4" t="s">
        <v>341</v>
      </c>
      <c r="D78" s="15" t="s">
        <v>342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343</v>
      </c>
      <c r="C79" s="4" t="s">
        <v>344</v>
      </c>
      <c r="D79" s="10" t="s">
        <v>345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346</v>
      </c>
      <c r="C80" s="4" t="s">
        <v>344</v>
      </c>
      <c r="D80" s="10" t="s">
        <v>283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347</v>
      </c>
      <c r="C81" s="4" t="s">
        <v>348</v>
      </c>
      <c r="D81" s="10" t="s">
        <v>294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33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56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349</v>
      </c>
      <c r="C85" s="4" t="s">
        <v>310</v>
      </c>
      <c r="D85" s="10" t="s">
        <v>249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350</v>
      </c>
      <c r="C86" s="4" t="s">
        <v>310</v>
      </c>
      <c r="D86" s="10" t="s">
        <v>249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351</v>
      </c>
      <c r="C87" s="4" t="s">
        <v>310</v>
      </c>
      <c r="D87" s="10" t="s">
        <v>228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352</v>
      </c>
      <c r="C88" s="4" t="s">
        <v>353</v>
      </c>
      <c r="D88" s="15" t="s">
        <v>263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354</v>
      </c>
      <c r="C89" s="12" t="s">
        <v>46</v>
      </c>
      <c r="D89" s="15" t="s">
        <v>266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355</v>
      </c>
      <c r="C90" s="12" t="s">
        <v>256</v>
      </c>
      <c r="D90" s="15" t="s">
        <v>356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357</v>
      </c>
      <c r="C91" s="17" t="s">
        <v>275</v>
      </c>
      <c r="D91" s="15" t="s">
        <v>332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358</v>
      </c>
      <c r="C92" s="17" t="s">
        <v>46</v>
      </c>
      <c r="D92" s="15" t="s">
        <v>47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359</v>
      </c>
      <c r="C93" s="4" t="s">
        <v>360</v>
      </c>
      <c r="D93" s="10" t="s">
        <v>301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361</v>
      </c>
      <c r="C94" s="17" t="s">
        <v>362</v>
      </c>
      <c r="D94" s="15" t="s">
        <v>291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33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58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363</v>
      </c>
      <c r="C98" s="4" t="s">
        <v>364</v>
      </c>
      <c r="D98" s="16" t="s">
        <v>231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366</v>
      </c>
      <c r="C99" s="4" t="s">
        <v>367</v>
      </c>
      <c r="D99" s="15" t="s">
        <v>342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368</v>
      </c>
      <c r="C100" s="4" t="s">
        <v>369</v>
      </c>
      <c r="D100" s="15" t="s">
        <v>271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370</v>
      </c>
      <c r="C101" s="4" t="s">
        <v>371</v>
      </c>
      <c r="D101" s="15" t="s">
        <v>301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33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372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373</v>
      </c>
      <c r="C105" s="12" t="s">
        <v>374</v>
      </c>
      <c r="D105" s="15" t="s">
        <v>297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375</v>
      </c>
      <c r="C106" s="4" t="s">
        <v>376</v>
      </c>
      <c r="D106" s="16" t="s">
        <v>231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377</v>
      </c>
      <c r="C107" s="4" t="s">
        <v>378</v>
      </c>
      <c r="D107" s="10" t="s">
        <v>263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379</v>
      </c>
      <c r="C108" s="4" t="s">
        <v>378</v>
      </c>
      <c r="D108" s="10" t="s">
        <v>263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380</v>
      </c>
      <c r="C109" s="4" t="s">
        <v>381</v>
      </c>
      <c r="D109" s="15" t="s">
        <v>382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383</v>
      </c>
      <c r="C110" s="4" t="s">
        <v>381</v>
      </c>
      <c r="D110" s="10" t="s">
        <v>384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385</v>
      </c>
      <c r="C111" s="4" t="s">
        <v>381</v>
      </c>
      <c r="D111" s="15" t="s">
        <v>291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33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61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386</v>
      </c>
      <c r="C115" s="4" t="s">
        <v>310</v>
      </c>
      <c r="D115" s="10" t="s">
        <v>327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387</v>
      </c>
      <c r="C116" s="4" t="s">
        <v>388</v>
      </c>
      <c r="D116" s="15" t="s">
        <v>271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389</v>
      </c>
      <c r="C117" s="12" t="s">
        <v>390</v>
      </c>
      <c r="D117" s="15" t="s">
        <v>391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33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67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392</v>
      </c>
      <c r="C121" s="12" t="s">
        <v>393</v>
      </c>
      <c r="D121" s="15" t="s">
        <v>297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128</v>
      </c>
      <c r="C122" s="12" t="s">
        <v>394</v>
      </c>
      <c r="D122" s="15" t="s">
        <v>308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395</v>
      </c>
      <c r="C123" s="12" t="s">
        <v>227</v>
      </c>
      <c r="D123" s="15" t="s">
        <v>249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226</v>
      </c>
      <c r="C124" s="12" t="s">
        <v>227</v>
      </c>
      <c r="D124" s="15" t="s">
        <v>228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396</v>
      </c>
      <c r="C125" s="12" t="s">
        <v>397</v>
      </c>
      <c r="D125" s="15" t="s">
        <v>257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398</v>
      </c>
      <c r="C126" s="12" t="s">
        <v>399</v>
      </c>
      <c r="D126" s="15" t="s">
        <v>260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400</v>
      </c>
      <c r="C127" s="12" t="s">
        <v>397</v>
      </c>
      <c r="D127" s="15" t="s">
        <v>342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401</v>
      </c>
      <c r="C128" s="12" t="s">
        <v>402</v>
      </c>
      <c r="D128" s="10" t="s">
        <v>279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403</v>
      </c>
      <c r="C129" s="12" t="s">
        <v>404</v>
      </c>
      <c r="D129" s="15" t="s">
        <v>294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405</v>
      </c>
      <c r="C130" s="12" t="s">
        <v>69</v>
      </c>
      <c r="D130" s="15" t="s">
        <v>294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33</v>
      </c>
      <c r="C131" s="26" t="s">
        <v>406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71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407</v>
      </c>
      <c r="C134" s="12" t="s">
        <v>408</v>
      </c>
      <c r="D134" s="15" t="s">
        <v>297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229</v>
      </c>
      <c r="C135" s="12" t="s">
        <v>230</v>
      </c>
      <c r="D135" s="15" t="s">
        <v>231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409</v>
      </c>
      <c r="C136" s="4" t="s">
        <v>410</v>
      </c>
      <c r="D136" s="16" t="s">
        <v>231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411</v>
      </c>
      <c r="C137" s="12" t="s">
        <v>412</v>
      </c>
      <c r="D137" s="15" t="s">
        <v>254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413</v>
      </c>
      <c r="C138" s="4" t="s">
        <v>414</v>
      </c>
      <c r="D138" s="15" t="s">
        <v>254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415</v>
      </c>
      <c r="C139" s="4" t="s">
        <v>414</v>
      </c>
      <c r="D139" s="15" t="s">
        <v>254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416</v>
      </c>
      <c r="C140" s="12" t="s">
        <v>417</v>
      </c>
      <c r="D140" s="15" t="s">
        <v>391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418</v>
      </c>
      <c r="C141" s="12" t="s">
        <v>417</v>
      </c>
      <c r="D141" s="15" t="s">
        <v>391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419</v>
      </c>
      <c r="C142" s="4" t="s">
        <v>420</v>
      </c>
      <c r="D142" s="15" t="s">
        <v>391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421</v>
      </c>
      <c r="C143" s="12" t="s">
        <v>422</v>
      </c>
      <c r="D143" s="15" t="s">
        <v>271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423</v>
      </c>
      <c r="C144" s="12" t="s">
        <v>424</v>
      </c>
      <c r="D144" s="15" t="s">
        <v>332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425</v>
      </c>
      <c r="C145" s="12" t="s">
        <v>426</v>
      </c>
      <c r="D145" s="15" t="s">
        <v>391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427</v>
      </c>
      <c r="C146" s="4" t="s">
        <v>428</v>
      </c>
      <c r="D146" s="15" t="s">
        <v>41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429</v>
      </c>
      <c r="C147" s="4" t="s">
        <v>430</v>
      </c>
      <c r="D147" s="15" t="s">
        <v>345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431</v>
      </c>
      <c r="C148" s="4" t="s">
        <v>430</v>
      </c>
      <c r="D148" s="15" t="s">
        <v>432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433</v>
      </c>
      <c r="C149" s="4" t="s">
        <v>430</v>
      </c>
      <c r="D149" s="15" t="s">
        <v>432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434</v>
      </c>
      <c r="C150" s="12" t="s">
        <v>435</v>
      </c>
      <c r="D150" s="15" t="s">
        <v>301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436</v>
      </c>
      <c r="C151" s="12" t="s">
        <v>437</v>
      </c>
      <c r="D151" s="10" t="s">
        <v>283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438</v>
      </c>
      <c r="C152" s="12" t="s">
        <v>439</v>
      </c>
      <c r="D152" s="15" t="s">
        <v>345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440</v>
      </c>
      <c r="C153" s="12" t="s">
        <v>441</v>
      </c>
      <c r="D153" s="15" t="s">
        <v>279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442</v>
      </c>
      <c r="C154" s="12" t="s">
        <v>443</v>
      </c>
      <c r="D154" s="15" t="s">
        <v>345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444</v>
      </c>
      <c r="C155" s="12" t="s">
        <v>445</v>
      </c>
      <c r="D155" s="15" t="s">
        <v>279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446</v>
      </c>
      <c r="C156" s="12" t="s">
        <v>447</v>
      </c>
      <c r="D156" s="15" t="s">
        <v>24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448</v>
      </c>
      <c r="C157" s="12" t="s">
        <v>449</v>
      </c>
      <c r="D157" s="15" t="s">
        <v>294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450</v>
      </c>
      <c r="C158" s="12" t="s">
        <v>451</v>
      </c>
      <c r="D158" s="15" t="s">
        <v>294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452</v>
      </c>
      <c r="C159" s="12" t="s">
        <v>453</v>
      </c>
      <c r="D159" s="15" t="s">
        <v>294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454</v>
      </c>
      <c r="C160" s="12" t="s">
        <v>455</v>
      </c>
      <c r="D160" s="15" t="s">
        <v>291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456</v>
      </c>
      <c r="C161" s="12" t="s">
        <v>451</v>
      </c>
      <c r="D161" s="15" t="s">
        <v>294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457</v>
      </c>
      <c r="C162" s="12" t="s">
        <v>458</v>
      </c>
      <c r="D162" s="15" t="s">
        <v>459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460</v>
      </c>
      <c r="C163" s="12" t="s">
        <v>458</v>
      </c>
      <c r="D163" s="15" t="s">
        <v>459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461</v>
      </c>
      <c r="C164" s="12" t="s">
        <v>458</v>
      </c>
      <c r="D164" s="15" t="s">
        <v>459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462</v>
      </c>
      <c r="C165" s="12" t="s">
        <v>458</v>
      </c>
      <c r="D165" s="15" t="s">
        <v>459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463</v>
      </c>
      <c r="C166" s="12" t="s">
        <v>458</v>
      </c>
      <c r="D166" s="15" t="s">
        <v>459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464</v>
      </c>
      <c r="C167" s="12" t="s">
        <v>458</v>
      </c>
      <c r="D167" s="15" t="s">
        <v>465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466</v>
      </c>
      <c r="C168" s="12" t="s">
        <v>458</v>
      </c>
      <c r="D168" s="15" t="s">
        <v>465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467</v>
      </c>
      <c r="C169" s="12" t="s">
        <v>458</v>
      </c>
      <c r="D169" s="15" t="s">
        <v>465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468</v>
      </c>
      <c r="C170" s="12" t="s">
        <v>458</v>
      </c>
      <c r="D170" s="15" t="s">
        <v>465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469</v>
      </c>
      <c r="C171" s="12" t="s">
        <v>458</v>
      </c>
      <c r="D171" s="15" t="s">
        <v>465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470</v>
      </c>
      <c r="C172" s="12" t="s">
        <v>458</v>
      </c>
      <c r="D172" s="15" t="s">
        <v>465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471</v>
      </c>
      <c r="C173" s="12" t="s">
        <v>472</v>
      </c>
      <c r="D173" s="15" t="s">
        <v>473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474</v>
      </c>
      <c r="C174" s="12" t="s">
        <v>472</v>
      </c>
      <c r="D174" s="15" t="s">
        <v>473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475</v>
      </c>
      <c r="C175" s="12" t="s">
        <v>472</v>
      </c>
      <c r="D175" s="15" t="s">
        <v>476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477</v>
      </c>
      <c r="C176" s="12" t="s">
        <v>478</v>
      </c>
      <c r="D176" s="15" t="s">
        <v>479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480</v>
      </c>
      <c r="C177" s="12" t="s">
        <v>481</v>
      </c>
      <c r="D177" s="15" t="s">
        <v>482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483</v>
      </c>
      <c r="C178" s="12" t="s">
        <v>481</v>
      </c>
      <c r="D178" s="15" t="s">
        <v>482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484</v>
      </c>
      <c r="C179" s="12" t="s">
        <v>481</v>
      </c>
      <c r="D179" s="15" t="s">
        <v>482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485</v>
      </c>
      <c r="C180" s="12" t="s">
        <v>481</v>
      </c>
      <c r="D180" s="15" t="s">
        <v>482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486</v>
      </c>
      <c r="C181" s="12" t="s">
        <v>481</v>
      </c>
      <c r="D181" s="15" t="s">
        <v>482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487</v>
      </c>
      <c r="C182" s="12" t="s">
        <v>481</v>
      </c>
      <c r="D182" s="15" t="s">
        <v>482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488</v>
      </c>
      <c r="C183" s="12" t="s">
        <v>481</v>
      </c>
      <c r="D183" s="15" t="s">
        <v>482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489</v>
      </c>
      <c r="C184" s="12" t="s">
        <v>478</v>
      </c>
      <c r="D184" s="15" t="s">
        <v>482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490</v>
      </c>
      <c r="C185" s="12" t="s">
        <v>478</v>
      </c>
      <c r="D185" s="15" t="s">
        <v>482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491</v>
      </c>
      <c r="C186" s="12" t="s">
        <v>172</v>
      </c>
      <c r="D186" s="15" t="s">
        <v>492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493</v>
      </c>
      <c r="C187" s="12" t="s">
        <v>481</v>
      </c>
      <c r="D187" s="15" t="s">
        <v>494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495</v>
      </c>
      <c r="C188" s="12" t="s">
        <v>496</v>
      </c>
      <c r="D188" s="15" t="s">
        <v>497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498</v>
      </c>
      <c r="C189" s="12" t="s">
        <v>496</v>
      </c>
      <c r="D189" s="15" t="s">
        <v>497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499</v>
      </c>
      <c r="C190" s="12" t="s">
        <v>496</v>
      </c>
      <c r="D190" s="15" t="s">
        <v>497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500</v>
      </c>
      <c r="C191" s="12" t="s">
        <v>501</v>
      </c>
      <c r="D191" s="15" t="s">
        <v>502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503</v>
      </c>
      <c r="C192" s="12" t="s">
        <v>501</v>
      </c>
      <c r="D192" s="15" t="s">
        <v>502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33</v>
      </c>
      <c r="C193" s="28" t="s">
        <v>504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80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552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142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143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144</v>
      </c>
      <c r="B4" s="542" t="s">
        <v>145</v>
      </c>
      <c r="C4" s="543" t="s">
        <v>146</v>
      </c>
      <c r="D4" s="542" t="s">
        <v>147</v>
      </c>
      <c r="E4" s="543" t="s">
        <v>148</v>
      </c>
      <c r="F4" s="543" t="s">
        <v>149</v>
      </c>
      <c r="G4" s="543" t="s">
        <v>150</v>
      </c>
      <c r="H4" s="543" t="s">
        <v>151</v>
      </c>
      <c r="I4" s="543" t="s">
        <v>152</v>
      </c>
      <c r="J4" s="543"/>
      <c r="K4" s="543"/>
      <c r="L4" s="543"/>
      <c r="M4" s="543" t="s">
        <v>153</v>
      </c>
      <c r="N4" s="543" t="s">
        <v>154</v>
      </c>
      <c r="O4" s="543" t="s">
        <v>155</v>
      </c>
      <c r="P4" s="543" t="s">
        <v>156</v>
      </c>
      <c r="Q4" s="543" t="s">
        <v>157</v>
      </c>
      <c r="R4" s="543" t="s">
        <v>158</v>
      </c>
      <c r="S4" s="543" t="s">
        <v>159</v>
      </c>
      <c r="T4" s="543" t="s">
        <v>160</v>
      </c>
      <c r="U4" s="543" t="s">
        <v>161</v>
      </c>
      <c r="V4" s="543" t="s">
        <v>162</v>
      </c>
      <c r="W4" s="543"/>
      <c r="X4" s="543" t="s">
        <v>163</v>
      </c>
      <c r="Y4" s="543" t="s">
        <v>164</v>
      </c>
      <c r="Z4" s="543" t="s">
        <v>165</v>
      </c>
      <c r="AA4" s="551"/>
      <c r="AB4" s="551" t="s">
        <v>520</v>
      </c>
    </row>
    <row r="5" ht="17.5" spans="1:31">
      <c r="A5" s="544">
        <v>1</v>
      </c>
      <c r="B5" s="8" t="s">
        <v>21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236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239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241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243</v>
      </c>
      <c r="C9" s="465">
        <v>631465.02475</v>
      </c>
      <c r="D9" s="466">
        <v>12</v>
      </c>
      <c r="E9" s="467">
        <f t="shared" si="14"/>
        <v>7577580.297</v>
      </c>
      <c r="F9" s="467">
        <f>'[5]JANUARY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245</v>
      </c>
      <c r="C10" s="465">
        <v>691465.02475</v>
      </c>
      <c r="D10" s="466">
        <v>12</v>
      </c>
      <c r="E10" s="467">
        <f t="shared" si="14"/>
        <v>8297580.297</v>
      </c>
      <c r="F10" s="467">
        <f>'[5]JANUARY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232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247</v>
      </c>
      <c r="C12" s="465">
        <v>497553.5025</v>
      </c>
      <c r="D12" s="466">
        <v>12</v>
      </c>
      <c r="E12" s="467">
        <f t="shared" si="14"/>
        <v>5970642.03</v>
      </c>
      <c r="F12" s="467">
        <f>'[5]JANUARY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250</v>
      </c>
      <c r="C13" s="465">
        <v>604729.222</v>
      </c>
      <c r="D13" s="466">
        <v>12</v>
      </c>
      <c r="E13" s="467">
        <f t="shared" si="14"/>
        <v>7256750.664</v>
      </c>
      <c r="F13" s="467">
        <f>'[5]JANUARY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252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255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258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261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264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267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270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272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274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553</v>
      </c>
      <c r="AD22" s="213"/>
      <c r="AE22" s="213"/>
    </row>
    <row r="23" ht="18" spans="1:31">
      <c r="A23" s="544">
        <v>20</v>
      </c>
      <c r="B23" s="14" t="s">
        <v>276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278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280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281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282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284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286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287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289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292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34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295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298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300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38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302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304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306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309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311</v>
      </c>
      <c r="C44" s="467">
        <v>527553.5025</v>
      </c>
      <c r="D44" s="466">
        <v>12</v>
      </c>
      <c r="E44" s="467">
        <f t="shared" si="35"/>
        <v>6330642.03</v>
      </c>
      <c r="F44" s="470">
        <f>'[5]JANUARY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312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313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314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315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316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317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318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319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321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44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323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325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328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329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330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331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333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334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335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337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51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338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220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223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340</v>
      </c>
      <c r="C73" s="467">
        <v>405272.06375</v>
      </c>
      <c r="D73" s="466">
        <v>12</v>
      </c>
      <c r="E73" s="467">
        <f t="shared" si="53"/>
        <v>4863264.765</v>
      </c>
      <c r="F73" s="467">
        <f>'[5]JANUARY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343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346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347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33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56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522</v>
      </c>
      <c r="AC79" s="213"/>
      <c r="AD79" s="213"/>
      <c r="AE79" s="213"/>
    </row>
    <row r="80" ht="18" spans="1:31">
      <c r="A80" s="544">
        <v>68</v>
      </c>
      <c r="B80" s="11" t="s">
        <v>349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349</v>
      </c>
      <c r="AD80" s="213"/>
      <c r="AE80" s="213"/>
    </row>
    <row r="81" s="537" customFormat="1" ht="18" spans="1:31">
      <c r="A81" s="548">
        <v>69</v>
      </c>
      <c r="B81" s="11" t="s">
        <v>350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'[5]JANUARY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350</v>
      </c>
      <c r="AD81" s="556"/>
      <c r="AE81" s="556"/>
    </row>
    <row r="82" s="537" customFormat="1" ht="36" spans="1:31">
      <c r="A82" s="548">
        <v>70</v>
      </c>
      <c r="B82" s="11" t="s">
        <v>351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351</v>
      </c>
      <c r="AD82" s="556"/>
      <c r="AE82" s="556"/>
    </row>
    <row r="83" ht="18" spans="1:31">
      <c r="A83" s="544">
        <v>71</v>
      </c>
      <c r="B83" s="11" t="s">
        <v>352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352</v>
      </c>
      <c r="AD83" s="213"/>
      <c r="AE83" s="213"/>
    </row>
    <row r="84" ht="18" spans="1:31">
      <c r="A84" s="544">
        <v>72</v>
      </c>
      <c r="B84" s="11" t="s">
        <v>354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354</v>
      </c>
      <c r="AD84" s="213"/>
      <c r="AE84" s="213"/>
    </row>
    <row r="85" s="537" customFormat="1" ht="36" spans="1:31">
      <c r="A85" s="548">
        <v>73</v>
      </c>
      <c r="B85" s="11" t="s">
        <v>355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355</v>
      </c>
      <c r="AD85" s="556"/>
      <c r="AE85" s="556"/>
    </row>
    <row r="86" ht="18" spans="1:31">
      <c r="A86" s="544">
        <v>74</v>
      </c>
      <c r="B86" s="11" t="s">
        <v>357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357</v>
      </c>
      <c r="AD86" s="213"/>
      <c r="AE86" s="213"/>
    </row>
    <row r="87" ht="24" customHeight="1" spans="1:31">
      <c r="A87" s="544">
        <v>75</v>
      </c>
      <c r="B87" s="11" t="s">
        <v>358</v>
      </c>
      <c r="C87" s="467">
        <v>346713.03325</v>
      </c>
      <c r="D87" s="466">
        <v>12</v>
      </c>
      <c r="E87" s="467">
        <f t="shared" si="82"/>
        <v>4160556.399</v>
      </c>
      <c r="F87" s="467">
        <f>'[5]JANUARY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358</v>
      </c>
      <c r="AD87" s="213"/>
      <c r="AE87" s="213"/>
    </row>
    <row r="88" ht="18" spans="1:31">
      <c r="A88" s="544">
        <v>76</v>
      </c>
      <c r="B88" s="11" t="s">
        <v>359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359</v>
      </c>
      <c r="AD88" s="213"/>
      <c r="AE88" s="213"/>
    </row>
    <row r="89" ht="18" spans="1:31">
      <c r="A89" s="544"/>
      <c r="B89" s="11" t="s">
        <v>361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361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58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363</v>
      </c>
      <c r="C93" s="467">
        <v>541465.02475</v>
      </c>
      <c r="D93" s="466">
        <v>12</v>
      </c>
      <c r="E93" s="467">
        <f>C93*D93</f>
        <v>6497580.297</v>
      </c>
      <c r="F93" s="467">
        <f>'[5]JANUARY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363</v>
      </c>
      <c r="AD93" s="556"/>
      <c r="AE93" s="556"/>
    </row>
    <row r="94" ht="18" spans="1:31">
      <c r="A94" s="544">
        <v>80</v>
      </c>
      <c r="B94" s="11" t="s">
        <v>366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366</v>
      </c>
      <c r="AD94" s="213"/>
      <c r="AE94" s="213"/>
    </row>
    <row r="95" ht="18" spans="1:31">
      <c r="A95" s="544">
        <v>81</v>
      </c>
      <c r="B95" s="11" t="s">
        <v>368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368</v>
      </c>
      <c r="AD95" s="213"/>
      <c r="AE95" s="213"/>
    </row>
    <row r="96" ht="18" spans="1:31">
      <c r="A96" s="544"/>
      <c r="B96" s="11" t="s">
        <v>370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370</v>
      </c>
      <c r="AD96" s="213"/>
      <c r="AE96" s="213"/>
    </row>
    <row r="97" ht="17.5" spans="1:31">
      <c r="A97" s="544"/>
      <c r="B97" s="20" t="s">
        <v>33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372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520</v>
      </c>
      <c r="AC99" s="213"/>
      <c r="AD99" s="213"/>
      <c r="AE99" s="213"/>
    </row>
    <row r="100" ht="18" spans="1:31">
      <c r="A100" s="544">
        <v>85</v>
      </c>
      <c r="B100" s="11" t="s">
        <v>373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373</v>
      </c>
      <c r="AD100" s="213"/>
      <c r="AE100" s="213"/>
    </row>
    <row r="101" ht="18" spans="1:31">
      <c r="A101" s="544">
        <v>86</v>
      </c>
      <c r="B101" s="11" t="s">
        <v>375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'[5]JANUARY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375</v>
      </c>
      <c r="AD101" s="213"/>
      <c r="AE101" s="213"/>
    </row>
    <row r="102" ht="18" spans="1:31">
      <c r="A102" s="544">
        <v>87</v>
      </c>
      <c r="B102" s="11" t="s">
        <v>377</v>
      </c>
      <c r="C102" s="467">
        <v>418096.016025</v>
      </c>
      <c r="D102" s="466">
        <v>12</v>
      </c>
      <c r="E102" s="467">
        <f t="shared" si="101"/>
        <v>5017152.1923</v>
      </c>
      <c r="F102" s="467">
        <f>'[5]JANUARY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377</v>
      </c>
      <c r="AD102" s="213"/>
      <c r="AE102" s="213"/>
    </row>
    <row r="103" ht="18" spans="1:31">
      <c r="A103" s="544">
        <v>88</v>
      </c>
      <c r="B103" s="11" t="s">
        <v>379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379</v>
      </c>
      <c r="AD103" s="213"/>
      <c r="AE103" s="213"/>
    </row>
    <row r="104" ht="18" spans="1:31">
      <c r="A104" s="544">
        <v>89</v>
      </c>
      <c r="B104" s="11" t="s">
        <v>380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380</v>
      </c>
      <c r="AD104" s="213"/>
      <c r="AE104" s="213"/>
    </row>
    <row r="105" ht="36" spans="1:31">
      <c r="A105" s="544"/>
      <c r="B105" s="18" t="s">
        <v>383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383</v>
      </c>
      <c r="AD105" s="213"/>
      <c r="AE105" s="213"/>
    </row>
    <row r="106" ht="18" spans="1:31">
      <c r="A106" s="544"/>
      <c r="B106" s="18" t="s">
        <v>385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385</v>
      </c>
      <c r="AD106" s="213"/>
      <c r="AE106" s="213"/>
    </row>
    <row r="107" ht="17.5" spans="1:31">
      <c r="A107" s="544"/>
      <c r="B107" s="20" t="s">
        <v>33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61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386</v>
      </c>
      <c r="C110" s="467">
        <v>516137.05</v>
      </c>
      <c r="D110" s="466">
        <v>12</v>
      </c>
      <c r="E110" s="467">
        <f>C110*D110</f>
        <v>6193644.6</v>
      </c>
      <c r="F110" s="467">
        <f>'[5]JANUARY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387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389</v>
      </c>
      <c r="C112" s="473">
        <v>286619.99875</v>
      </c>
      <c r="D112" s="466">
        <v>12</v>
      </c>
      <c r="E112" s="467">
        <f t="shared" si="104"/>
        <v>3439439.985</v>
      </c>
      <c r="F112" s="467">
        <f>'[5]JANUARY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67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392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128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395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226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396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398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400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401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403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405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33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71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407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229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409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411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413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415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416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418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419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421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423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425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427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429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431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433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434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436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438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440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442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444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446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448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450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452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454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456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457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460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461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462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463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464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466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467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468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469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470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471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474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475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477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480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483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484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485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486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487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488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489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490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491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493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495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498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499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500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503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554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555</v>
      </c>
      <c r="AB190" s="563">
        <f>AB81+AB82+AB83+AB84+AB86+AB88+AB89+AB94+AB95+AB96+AB102+AB103+AB104+AB105+AB106</f>
        <v>-351613.557404481</v>
      </c>
    </row>
    <row r="191" ht="14" spans="24:28">
      <c r="X191" s="294" t="s">
        <v>556</v>
      </c>
      <c r="AB191" s="564">
        <f>AB87+AB85+AB74+AB61+AB21+AB19+AB18+AB16+AB15</f>
        <v>126852.23813</v>
      </c>
    </row>
    <row r="192" ht="14" spans="24:28">
      <c r="X192" s="294" t="s">
        <v>557</v>
      </c>
      <c r="AB192" s="565">
        <f>SUM(AB190:AB191)</f>
        <v>-224761.319274481</v>
      </c>
    </row>
    <row r="193" ht="14" spans="24:28">
      <c r="X193" s="294" t="s">
        <v>558</v>
      </c>
      <c r="AB193" s="566">
        <f>-6517.49</f>
        <v>-6517.49</v>
      </c>
    </row>
    <row r="194" ht="24.75" customHeight="1" spans="24:28">
      <c r="X194" s="294" t="s">
        <v>166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20</v>
      </c>
      <c r="B2" s="528" t="s">
        <v>145</v>
      </c>
      <c r="C2" s="529" t="s">
        <v>559</v>
      </c>
      <c r="D2" s="529" t="s">
        <v>560</v>
      </c>
      <c r="E2" s="529" t="s">
        <v>561</v>
      </c>
      <c r="F2" s="530"/>
    </row>
    <row r="3" ht="18.5" spans="1:6">
      <c r="A3" s="528"/>
      <c r="B3" s="528"/>
      <c r="C3" s="529" t="s">
        <v>19</v>
      </c>
      <c r="D3" s="529" t="s">
        <v>19</v>
      </c>
      <c r="E3" s="529" t="s">
        <v>19</v>
      </c>
      <c r="F3" s="530"/>
    </row>
    <row r="4" ht="18.5" spans="1:6">
      <c r="A4" s="531">
        <v>1</v>
      </c>
      <c r="B4" s="532" t="s">
        <v>350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351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352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354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357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359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361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366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368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370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377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379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380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383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385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33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562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195</v>
      </c>
      <c r="F4" s="218" t="s">
        <v>539</v>
      </c>
      <c r="G4" s="218" t="s">
        <v>540</v>
      </c>
      <c r="H4" s="218" t="s">
        <v>541</v>
      </c>
      <c r="I4" s="218" t="s">
        <v>8</v>
      </c>
      <c r="J4" s="505" t="s">
        <v>542</v>
      </c>
      <c r="K4" s="505" t="s">
        <v>543</v>
      </c>
      <c r="L4" s="505" t="s">
        <v>544</v>
      </c>
      <c r="M4" s="506" t="s">
        <v>545</v>
      </c>
      <c r="N4" s="506" t="s">
        <v>546</v>
      </c>
      <c r="O4" s="506" t="s">
        <v>547</v>
      </c>
    </row>
    <row r="5" ht="17.25" customHeight="1" spans="3:15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/>
      <c r="K5" s="507"/>
      <c r="L5" s="507"/>
      <c r="M5" s="508" t="s">
        <v>19</v>
      </c>
      <c r="N5" s="508"/>
      <c r="O5" s="508"/>
    </row>
    <row r="6" ht="20.1" customHeight="1" spans="1:15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236</v>
      </c>
      <c r="C7" s="12" t="s">
        <v>237</v>
      </c>
      <c r="D7" s="12" t="s">
        <v>238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239</v>
      </c>
      <c r="C8" s="12" t="s">
        <v>240</v>
      </c>
      <c r="D8" s="10" t="s">
        <v>234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241</v>
      </c>
      <c r="C9" s="4" t="s">
        <v>242</v>
      </c>
      <c r="D9" s="10" t="s">
        <v>234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243</v>
      </c>
      <c r="C10" s="17" t="s">
        <v>244</v>
      </c>
      <c r="D10" s="10" t="s">
        <v>234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245</v>
      </c>
      <c r="C11" s="4" t="s">
        <v>530</v>
      </c>
      <c r="D11" s="10" t="s">
        <v>234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232</v>
      </c>
      <c r="C12" s="10" t="s">
        <v>233</v>
      </c>
      <c r="D12" s="10" t="s">
        <v>234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247</v>
      </c>
      <c r="C13" s="12" t="s">
        <v>248</v>
      </c>
      <c r="D13" s="15" t="s">
        <v>249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250</v>
      </c>
      <c r="C14" s="4" t="s">
        <v>251</v>
      </c>
      <c r="D14" s="10" t="s">
        <v>228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252</v>
      </c>
      <c r="C15" s="4" t="s">
        <v>253</v>
      </c>
      <c r="D15" s="15" t="s">
        <v>254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255</v>
      </c>
      <c r="C16" s="17" t="s">
        <v>256</v>
      </c>
      <c r="D16" s="15" t="s">
        <v>257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258</v>
      </c>
      <c r="C17" s="4" t="s">
        <v>259</v>
      </c>
      <c r="D17" s="10" t="s">
        <v>260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261</v>
      </c>
      <c r="C18" s="4" t="s">
        <v>262</v>
      </c>
      <c r="D18" s="10" t="s">
        <v>263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264</v>
      </c>
      <c r="C19" s="12" t="s">
        <v>265</v>
      </c>
      <c r="D19" s="15" t="s">
        <v>266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267</v>
      </c>
      <c r="C20" s="4" t="s">
        <v>531</v>
      </c>
      <c r="D20" s="15" t="s">
        <v>269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270</v>
      </c>
      <c r="C21" s="12" t="s">
        <v>50</v>
      </c>
      <c r="D21" s="15" t="s">
        <v>271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272</v>
      </c>
      <c r="C22" s="17" t="s">
        <v>532</v>
      </c>
      <c r="D22" s="10" t="s">
        <v>41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274</v>
      </c>
      <c r="C23" s="17" t="s">
        <v>275</v>
      </c>
      <c r="D23" s="15" t="s">
        <v>41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276</v>
      </c>
      <c r="C24" s="17" t="s">
        <v>277</v>
      </c>
      <c r="D24" s="10" t="s">
        <v>37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278</v>
      </c>
      <c r="C25" s="4" t="s">
        <v>176</v>
      </c>
      <c r="D25" s="10" t="s">
        <v>279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280</v>
      </c>
      <c r="C26" s="12" t="s">
        <v>176</v>
      </c>
      <c r="D26" s="15" t="s">
        <v>279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281</v>
      </c>
      <c r="C27" s="17" t="s">
        <v>273</v>
      </c>
      <c r="D27" s="10" t="s">
        <v>279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282</v>
      </c>
      <c r="C28" s="12" t="s">
        <v>27</v>
      </c>
      <c r="D28" s="15" t="s">
        <v>283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284</v>
      </c>
      <c r="C29" s="4" t="s">
        <v>285</v>
      </c>
      <c r="D29" s="10" t="s">
        <v>24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286</v>
      </c>
      <c r="C30" s="4" t="s">
        <v>285</v>
      </c>
      <c r="D30" s="10" t="s">
        <v>24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287</v>
      </c>
      <c r="C31" s="17" t="s">
        <v>288</v>
      </c>
      <c r="D31" s="15" t="s">
        <v>279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289</v>
      </c>
      <c r="C32" s="4" t="s">
        <v>290</v>
      </c>
      <c r="D32" s="10" t="s">
        <v>291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292</v>
      </c>
      <c r="C33" s="12" t="s">
        <v>293</v>
      </c>
      <c r="D33" s="15" t="s">
        <v>294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33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34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295</v>
      </c>
      <c r="C37" s="4" t="s">
        <v>296</v>
      </c>
      <c r="D37" s="10" t="s">
        <v>297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298</v>
      </c>
      <c r="C38" s="4" t="s">
        <v>533</v>
      </c>
      <c r="D38" s="10" t="s">
        <v>37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300</v>
      </c>
      <c r="C39" s="12" t="s">
        <v>534</v>
      </c>
      <c r="D39" s="15" t="s">
        <v>301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38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302</v>
      </c>
      <c r="C43" s="4" t="s">
        <v>303</v>
      </c>
      <c r="D43" s="10" t="s">
        <v>297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304</v>
      </c>
      <c r="C44" s="4" t="s">
        <v>305</v>
      </c>
      <c r="D44" s="10" t="s">
        <v>249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306</v>
      </c>
      <c r="C45" s="4" t="s">
        <v>307</v>
      </c>
      <c r="D45" s="10" t="s">
        <v>308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309</v>
      </c>
      <c r="C46" s="4" t="s">
        <v>310</v>
      </c>
      <c r="D46" s="10" t="s">
        <v>249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311</v>
      </c>
      <c r="C47" s="4" t="s">
        <v>310</v>
      </c>
      <c r="D47" s="10" t="s">
        <v>249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312</v>
      </c>
      <c r="C48" s="4" t="s">
        <v>310</v>
      </c>
      <c r="D48" s="10" t="s">
        <v>228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313</v>
      </c>
      <c r="C49" s="4" t="s">
        <v>256</v>
      </c>
      <c r="D49" s="16" t="s">
        <v>257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314</v>
      </c>
      <c r="C50" s="4" t="s">
        <v>63</v>
      </c>
      <c r="D50" s="10" t="s">
        <v>301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315</v>
      </c>
      <c r="C51" s="4" t="s">
        <v>63</v>
      </c>
      <c r="D51" s="10" t="s">
        <v>283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316</v>
      </c>
      <c r="C52" s="4" t="s">
        <v>63</v>
      </c>
      <c r="D52" s="10" t="s">
        <v>283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317</v>
      </c>
      <c r="C53" s="4" t="s">
        <v>63</v>
      </c>
      <c r="D53" s="10" t="s">
        <v>283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33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318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319</v>
      </c>
      <c r="C57" s="12" t="s">
        <v>320</v>
      </c>
      <c r="D57" s="15" t="s">
        <v>297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321</v>
      </c>
      <c r="C58" s="12" t="s">
        <v>322</v>
      </c>
      <c r="D58" s="15" t="s">
        <v>225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33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44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323</v>
      </c>
      <c r="C62" s="17" t="s">
        <v>324</v>
      </c>
      <c r="D62" s="10" t="s">
        <v>297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325</v>
      </c>
      <c r="C63" s="17" t="s">
        <v>326</v>
      </c>
      <c r="D63" s="15" t="s">
        <v>327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328</v>
      </c>
      <c r="C64" s="4" t="s">
        <v>256</v>
      </c>
      <c r="D64" s="10" t="s">
        <v>260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329</v>
      </c>
      <c r="C65" s="17" t="s">
        <v>46</v>
      </c>
      <c r="D65" s="15" t="s">
        <v>266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330</v>
      </c>
      <c r="C66" s="17" t="s">
        <v>256</v>
      </c>
      <c r="D66" s="15" t="s">
        <v>254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331</v>
      </c>
      <c r="C67" s="4" t="s">
        <v>63</v>
      </c>
      <c r="D67" s="10" t="s">
        <v>332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333</v>
      </c>
      <c r="C68" s="17" t="s">
        <v>275</v>
      </c>
      <c r="D68" s="10" t="s">
        <v>332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334</v>
      </c>
      <c r="C69" s="17" t="s">
        <v>275</v>
      </c>
      <c r="D69" s="10" t="s">
        <v>332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335</v>
      </c>
      <c r="C70" s="4" t="s">
        <v>336</v>
      </c>
      <c r="D70" s="10" t="s">
        <v>271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337</v>
      </c>
      <c r="C71" s="4" t="s">
        <v>63</v>
      </c>
      <c r="D71" s="10" t="s">
        <v>301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33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51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338</v>
      </c>
      <c r="C75" s="4" t="s">
        <v>339</v>
      </c>
      <c r="D75" s="10" t="s">
        <v>297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220</v>
      </c>
      <c r="C76" s="4" t="s">
        <v>221</v>
      </c>
      <c r="D76" s="15" t="s">
        <v>222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223</v>
      </c>
      <c r="C77" s="12" t="s">
        <v>224</v>
      </c>
      <c r="D77" s="10" t="s">
        <v>225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340</v>
      </c>
      <c r="C78" s="4" t="s">
        <v>341</v>
      </c>
      <c r="D78" s="15" t="s">
        <v>342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343</v>
      </c>
      <c r="C79" s="4" t="s">
        <v>344</v>
      </c>
      <c r="D79" s="10" t="s">
        <v>345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346</v>
      </c>
      <c r="C80" s="4" t="s">
        <v>344</v>
      </c>
      <c r="D80" s="10" t="s">
        <v>283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347</v>
      </c>
      <c r="C81" s="4" t="s">
        <v>348</v>
      </c>
      <c r="D81" s="10" t="s">
        <v>294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33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56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349</v>
      </c>
      <c r="C85" s="4" t="s">
        <v>310</v>
      </c>
      <c r="D85" s="10" t="s">
        <v>249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350</v>
      </c>
      <c r="C86" s="4" t="s">
        <v>310</v>
      </c>
      <c r="D86" s="10" t="s">
        <v>249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351</v>
      </c>
      <c r="C87" s="4" t="s">
        <v>310</v>
      </c>
      <c r="D87" s="10" t="s">
        <v>228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352</v>
      </c>
      <c r="C88" s="4" t="s">
        <v>353</v>
      </c>
      <c r="D88" s="15" t="s">
        <v>263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354</v>
      </c>
      <c r="C89" s="12" t="s">
        <v>46</v>
      </c>
      <c r="D89" s="15" t="s">
        <v>266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355</v>
      </c>
      <c r="C90" s="12" t="s">
        <v>256</v>
      </c>
      <c r="D90" s="15" t="s">
        <v>356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357</v>
      </c>
      <c r="C91" s="17" t="s">
        <v>275</v>
      </c>
      <c r="D91" s="15" t="s">
        <v>332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358</v>
      </c>
      <c r="C92" s="17" t="s">
        <v>46</v>
      </c>
      <c r="D92" s="15" t="s">
        <v>47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359</v>
      </c>
      <c r="C93" s="4" t="s">
        <v>360</v>
      </c>
      <c r="D93" s="10" t="s">
        <v>301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361</v>
      </c>
      <c r="C94" s="17" t="s">
        <v>362</v>
      </c>
      <c r="D94" s="15" t="s">
        <v>291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33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58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363</v>
      </c>
      <c r="C98" s="4" t="s">
        <v>364</v>
      </c>
      <c r="D98" s="16" t="s">
        <v>231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366</v>
      </c>
      <c r="C99" s="4" t="s">
        <v>367</v>
      </c>
      <c r="D99" s="15" t="s">
        <v>342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368</v>
      </c>
      <c r="C100" s="4" t="s">
        <v>369</v>
      </c>
      <c r="D100" s="15" t="s">
        <v>271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370</v>
      </c>
      <c r="C101" s="4" t="s">
        <v>371</v>
      </c>
      <c r="D101" s="15" t="s">
        <v>301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33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372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373</v>
      </c>
      <c r="C105" s="12" t="s">
        <v>374</v>
      </c>
      <c r="D105" s="15" t="s">
        <v>297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375</v>
      </c>
      <c r="C106" s="4" t="s">
        <v>376</v>
      </c>
      <c r="D106" s="16" t="s">
        <v>231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377</v>
      </c>
      <c r="C107" s="4" t="s">
        <v>378</v>
      </c>
      <c r="D107" s="10" t="s">
        <v>263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379</v>
      </c>
      <c r="C108" s="4" t="s">
        <v>378</v>
      </c>
      <c r="D108" s="10" t="s">
        <v>263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380</v>
      </c>
      <c r="C109" s="4" t="s">
        <v>381</v>
      </c>
      <c r="D109" s="15" t="s">
        <v>382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383</v>
      </c>
      <c r="C110" s="4" t="s">
        <v>381</v>
      </c>
      <c r="D110" s="10" t="s">
        <v>384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385</v>
      </c>
      <c r="C111" s="4" t="s">
        <v>381</v>
      </c>
      <c r="D111" s="15" t="s">
        <v>291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33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61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386</v>
      </c>
      <c r="C115" s="4" t="s">
        <v>310</v>
      </c>
      <c r="D115" s="10" t="s">
        <v>327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387</v>
      </c>
      <c r="C116" s="4" t="s">
        <v>388</v>
      </c>
      <c r="D116" s="15" t="s">
        <v>271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389</v>
      </c>
      <c r="C117" s="12" t="s">
        <v>390</v>
      </c>
      <c r="D117" s="15" t="s">
        <v>391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33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67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392</v>
      </c>
      <c r="C121" s="12" t="s">
        <v>393</v>
      </c>
      <c r="D121" s="15" t="s">
        <v>297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128</v>
      </c>
      <c r="C122" s="12" t="s">
        <v>394</v>
      </c>
      <c r="D122" s="15" t="s">
        <v>308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395</v>
      </c>
      <c r="C123" s="12" t="s">
        <v>227</v>
      </c>
      <c r="D123" s="15" t="s">
        <v>249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226</v>
      </c>
      <c r="C124" s="12" t="s">
        <v>227</v>
      </c>
      <c r="D124" s="15" t="s">
        <v>228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396</v>
      </c>
      <c r="C125" s="12" t="s">
        <v>397</v>
      </c>
      <c r="D125" s="15" t="s">
        <v>257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398</v>
      </c>
      <c r="C126" s="12" t="s">
        <v>399</v>
      </c>
      <c r="D126" s="15" t="s">
        <v>260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400</v>
      </c>
      <c r="C127" s="12" t="s">
        <v>397</v>
      </c>
      <c r="D127" s="15" t="s">
        <v>342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401</v>
      </c>
      <c r="C128" s="12" t="s">
        <v>402</v>
      </c>
      <c r="D128" s="10" t="s">
        <v>279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403</v>
      </c>
      <c r="C129" s="12" t="s">
        <v>404</v>
      </c>
      <c r="D129" s="15" t="s">
        <v>294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405</v>
      </c>
      <c r="C130" s="12" t="s">
        <v>69</v>
      </c>
      <c r="D130" s="15" t="s">
        <v>294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33</v>
      </c>
      <c r="C131" s="26" t="s">
        <v>406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71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407</v>
      </c>
      <c r="C134" s="12" t="s">
        <v>408</v>
      </c>
      <c r="D134" s="15" t="s">
        <v>297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229</v>
      </c>
      <c r="C135" s="12" t="s">
        <v>230</v>
      </c>
      <c r="D135" s="15" t="s">
        <v>231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409</v>
      </c>
      <c r="C136" s="4" t="s">
        <v>410</v>
      </c>
      <c r="D136" s="16" t="s">
        <v>231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411</v>
      </c>
      <c r="C137" s="12" t="s">
        <v>412</v>
      </c>
      <c r="D137" s="15" t="s">
        <v>254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413</v>
      </c>
      <c r="C138" s="4" t="s">
        <v>414</v>
      </c>
      <c r="D138" s="15" t="s">
        <v>254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415</v>
      </c>
      <c r="C139" s="4" t="s">
        <v>414</v>
      </c>
      <c r="D139" s="15" t="s">
        <v>254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416</v>
      </c>
      <c r="C140" s="12" t="s">
        <v>417</v>
      </c>
      <c r="D140" s="15" t="s">
        <v>391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418</v>
      </c>
      <c r="C141" s="12" t="s">
        <v>417</v>
      </c>
      <c r="D141" s="15" t="s">
        <v>391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419</v>
      </c>
      <c r="C142" s="4" t="s">
        <v>420</v>
      </c>
      <c r="D142" s="15" t="s">
        <v>391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421</v>
      </c>
      <c r="C143" s="12" t="s">
        <v>422</v>
      </c>
      <c r="D143" s="15" t="s">
        <v>271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423</v>
      </c>
      <c r="C144" s="12" t="s">
        <v>424</v>
      </c>
      <c r="D144" s="15" t="s">
        <v>332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425</v>
      </c>
      <c r="C145" s="12" t="s">
        <v>426</v>
      </c>
      <c r="D145" s="15" t="s">
        <v>391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427</v>
      </c>
      <c r="C146" s="4" t="s">
        <v>428</v>
      </c>
      <c r="D146" s="15" t="s">
        <v>41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429</v>
      </c>
      <c r="C147" s="4" t="s">
        <v>430</v>
      </c>
      <c r="D147" s="15" t="s">
        <v>345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431</v>
      </c>
      <c r="C148" s="4" t="s">
        <v>430</v>
      </c>
      <c r="D148" s="15" t="s">
        <v>432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433</v>
      </c>
      <c r="C149" s="4" t="s">
        <v>430</v>
      </c>
      <c r="D149" s="15" t="s">
        <v>432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434</v>
      </c>
      <c r="C150" s="12" t="s">
        <v>435</v>
      </c>
      <c r="D150" s="15" t="s">
        <v>301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436</v>
      </c>
      <c r="C151" s="12" t="s">
        <v>437</v>
      </c>
      <c r="D151" s="10" t="s">
        <v>283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438</v>
      </c>
      <c r="C152" s="12" t="s">
        <v>439</v>
      </c>
      <c r="D152" s="15" t="s">
        <v>345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440</v>
      </c>
      <c r="C153" s="12" t="s">
        <v>441</v>
      </c>
      <c r="D153" s="15" t="s">
        <v>279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442</v>
      </c>
      <c r="C154" s="12" t="s">
        <v>443</v>
      </c>
      <c r="D154" s="15" t="s">
        <v>345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444</v>
      </c>
      <c r="C155" s="12" t="s">
        <v>445</v>
      </c>
      <c r="D155" s="15" t="s">
        <v>279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446</v>
      </c>
      <c r="C156" s="12" t="s">
        <v>447</v>
      </c>
      <c r="D156" s="15" t="s">
        <v>24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448</v>
      </c>
      <c r="C157" s="12" t="s">
        <v>449</v>
      </c>
      <c r="D157" s="15" t="s">
        <v>294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450</v>
      </c>
      <c r="C158" s="12" t="s">
        <v>451</v>
      </c>
      <c r="D158" s="15" t="s">
        <v>294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452</v>
      </c>
      <c r="C159" s="12" t="s">
        <v>453</v>
      </c>
      <c r="D159" s="15" t="s">
        <v>294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454</v>
      </c>
      <c r="C160" s="12" t="s">
        <v>455</v>
      </c>
      <c r="D160" s="15" t="s">
        <v>291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456</v>
      </c>
      <c r="C161" s="12" t="s">
        <v>451</v>
      </c>
      <c r="D161" s="15" t="s">
        <v>294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457</v>
      </c>
      <c r="C162" s="12" t="s">
        <v>458</v>
      </c>
      <c r="D162" s="15" t="s">
        <v>459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460</v>
      </c>
      <c r="C163" s="12" t="s">
        <v>458</v>
      </c>
      <c r="D163" s="15" t="s">
        <v>459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461</v>
      </c>
      <c r="C164" s="12" t="s">
        <v>458</v>
      </c>
      <c r="D164" s="15" t="s">
        <v>459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462</v>
      </c>
      <c r="C165" s="12" t="s">
        <v>458</v>
      </c>
      <c r="D165" s="15" t="s">
        <v>459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463</v>
      </c>
      <c r="C166" s="12" t="s">
        <v>458</v>
      </c>
      <c r="D166" s="15" t="s">
        <v>459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464</v>
      </c>
      <c r="C167" s="12" t="s">
        <v>458</v>
      </c>
      <c r="D167" s="15" t="s">
        <v>465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466</v>
      </c>
      <c r="C168" s="12" t="s">
        <v>458</v>
      </c>
      <c r="D168" s="15" t="s">
        <v>465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467</v>
      </c>
      <c r="C169" s="12" t="s">
        <v>458</v>
      </c>
      <c r="D169" s="15" t="s">
        <v>465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468</v>
      </c>
      <c r="C170" s="12" t="s">
        <v>458</v>
      </c>
      <c r="D170" s="15" t="s">
        <v>465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469</v>
      </c>
      <c r="C171" s="12" t="s">
        <v>458</v>
      </c>
      <c r="D171" s="15" t="s">
        <v>465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470</v>
      </c>
      <c r="C172" s="12" t="s">
        <v>458</v>
      </c>
      <c r="D172" s="15" t="s">
        <v>465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471</v>
      </c>
      <c r="C173" s="12" t="s">
        <v>472</v>
      </c>
      <c r="D173" s="15" t="s">
        <v>473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474</v>
      </c>
      <c r="C174" s="12" t="s">
        <v>472</v>
      </c>
      <c r="D174" s="15" t="s">
        <v>473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475</v>
      </c>
      <c r="C175" s="12" t="s">
        <v>472</v>
      </c>
      <c r="D175" s="15" t="s">
        <v>476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477</v>
      </c>
      <c r="C176" s="12" t="s">
        <v>478</v>
      </c>
      <c r="D176" s="15" t="s">
        <v>479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480</v>
      </c>
      <c r="C177" s="12" t="s">
        <v>481</v>
      </c>
      <c r="D177" s="15" t="s">
        <v>482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483</v>
      </c>
      <c r="C178" s="12" t="s">
        <v>481</v>
      </c>
      <c r="D178" s="15" t="s">
        <v>482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484</v>
      </c>
      <c r="C179" s="12" t="s">
        <v>481</v>
      </c>
      <c r="D179" s="15" t="s">
        <v>482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485</v>
      </c>
      <c r="C180" s="12" t="s">
        <v>481</v>
      </c>
      <c r="D180" s="15" t="s">
        <v>482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486</v>
      </c>
      <c r="C181" s="12" t="s">
        <v>481</v>
      </c>
      <c r="D181" s="15" t="s">
        <v>482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487</v>
      </c>
      <c r="C182" s="12" t="s">
        <v>481</v>
      </c>
      <c r="D182" s="15" t="s">
        <v>482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488</v>
      </c>
      <c r="C183" s="12" t="s">
        <v>481</v>
      </c>
      <c r="D183" s="15" t="s">
        <v>482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489</v>
      </c>
      <c r="C184" s="12" t="s">
        <v>478</v>
      </c>
      <c r="D184" s="15" t="s">
        <v>482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490</v>
      </c>
      <c r="C185" s="12" t="s">
        <v>478</v>
      </c>
      <c r="D185" s="15" t="s">
        <v>482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491</v>
      </c>
      <c r="C186" s="12" t="s">
        <v>172</v>
      </c>
      <c r="D186" s="15" t="s">
        <v>492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493</v>
      </c>
      <c r="C187" s="12" t="s">
        <v>481</v>
      </c>
      <c r="D187" s="15" t="s">
        <v>494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495</v>
      </c>
      <c r="C188" s="12" t="s">
        <v>496</v>
      </c>
      <c r="D188" s="15" t="s">
        <v>497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498</v>
      </c>
      <c r="C189" s="12" t="s">
        <v>496</v>
      </c>
      <c r="D189" s="15" t="s">
        <v>497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499</v>
      </c>
      <c r="C190" s="12" t="s">
        <v>496</v>
      </c>
      <c r="D190" s="15" t="s">
        <v>497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500</v>
      </c>
      <c r="C191" s="12" t="s">
        <v>501</v>
      </c>
      <c r="D191" s="15" t="s">
        <v>502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503</v>
      </c>
      <c r="C192" s="12" t="s">
        <v>501</v>
      </c>
      <c r="D192" s="15" t="s">
        <v>502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33</v>
      </c>
      <c r="C193" s="28" t="s">
        <v>504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80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142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143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144</v>
      </c>
      <c r="B4" s="462" t="s">
        <v>145</v>
      </c>
      <c r="C4" s="463" t="s">
        <v>146</v>
      </c>
      <c r="D4" s="462" t="s">
        <v>147</v>
      </c>
      <c r="E4" s="463" t="s">
        <v>148</v>
      </c>
      <c r="F4" s="463" t="s">
        <v>149</v>
      </c>
      <c r="G4" s="463" t="s">
        <v>150</v>
      </c>
      <c r="H4" s="463" t="s">
        <v>151</v>
      </c>
      <c r="I4" s="463" t="s">
        <v>152</v>
      </c>
      <c r="J4" s="463"/>
      <c r="K4" s="463"/>
      <c r="L4" s="463"/>
      <c r="M4" s="463" t="s">
        <v>153</v>
      </c>
      <c r="N4" s="463" t="s">
        <v>154</v>
      </c>
      <c r="O4" s="463" t="s">
        <v>155</v>
      </c>
      <c r="P4" s="463" t="s">
        <v>156</v>
      </c>
      <c r="Q4" s="463" t="s">
        <v>157</v>
      </c>
      <c r="R4" s="463" t="s">
        <v>158</v>
      </c>
      <c r="S4" s="463" t="s">
        <v>159</v>
      </c>
      <c r="T4" s="463" t="s">
        <v>160</v>
      </c>
      <c r="U4" s="463" t="s">
        <v>161</v>
      </c>
      <c r="V4" s="463" t="s">
        <v>162</v>
      </c>
      <c r="W4" s="463"/>
      <c r="X4" s="463" t="s">
        <v>163</v>
      </c>
      <c r="Y4" s="463" t="s">
        <v>164</v>
      </c>
      <c r="Z4" s="476" t="s">
        <v>165</v>
      </c>
      <c r="AA4" s="477"/>
      <c r="AB4" s="477" t="s">
        <v>520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236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239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241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243</v>
      </c>
      <c r="C9" s="465">
        <v>942373.166666667</v>
      </c>
      <c r="D9" s="466">
        <v>12</v>
      </c>
      <c r="E9" s="467">
        <f t="shared" si="14"/>
        <v>11308478</v>
      </c>
      <c r="F9" s="467">
        <f>'[5]JANUARY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245</v>
      </c>
      <c r="C10" s="465">
        <v>1002373.16666667</v>
      </c>
      <c r="D10" s="466">
        <v>12</v>
      </c>
      <c r="E10" s="467">
        <f t="shared" si="14"/>
        <v>12028478</v>
      </c>
      <c r="F10" s="467">
        <f>'[5]JANUARY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232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247</v>
      </c>
      <c r="C12" s="465">
        <v>750675.583333333</v>
      </c>
      <c r="D12" s="466">
        <v>12</v>
      </c>
      <c r="E12" s="467">
        <f t="shared" si="14"/>
        <v>9008107</v>
      </c>
      <c r="F12" s="467">
        <f>'[5]JANUARY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250</v>
      </c>
      <c r="C13" s="465">
        <v>842118.083333333</v>
      </c>
      <c r="D13" s="466">
        <v>12</v>
      </c>
      <c r="E13" s="467">
        <f t="shared" si="14"/>
        <v>10105417</v>
      </c>
      <c r="F13" s="467">
        <f>'[5]JANUARY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252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255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258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261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264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267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270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272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274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276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278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280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281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282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284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286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287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289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292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34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295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298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300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38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302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304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306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309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311</v>
      </c>
      <c r="C44" s="467">
        <v>780675.583333333</v>
      </c>
      <c r="D44" s="466">
        <v>12</v>
      </c>
      <c r="E44" s="467">
        <f t="shared" si="34"/>
        <v>9368107</v>
      </c>
      <c r="F44" s="467">
        <f>'[5]JANUARY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312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313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314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315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316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317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318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521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321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44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323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325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328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329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330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331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333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334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335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337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51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338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220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223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340</v>
      </c>
      <c r="C73" s="467">
        <v>596622.25</v>
      </c>
      <c r="D73" s="466">
        <v>12</v>
      </c>
      <c r="E73" s="467">
        <f t="shared" si="55"/>
        <v>7159467</v>
      </c>
      <c r="F73" s="467">
        <f>'[5]JANUARY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343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346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347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33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56</v>
      </c>
      <c r="C79" s="467"/>
      <c r="Z79" s="481"/>
      <c r="AB79" s="296" t="s">
        <v>522</v>
      </c>
      <c r="AC79" s="479"/>
      <c r="AD79" s="479"/>
      <c r="AE79" s="479"/>
    </row>
    <row r="80" ht="18" spans="1:31">
      <c r="A80" s="464">
        <v>68</v>
      </c>
      <c r="B80" s="11" t="s">
        <v>349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349</v>
      </c>
      <c r="AD80" s="479"/>
      <c r="AE80" s="479"/>
    </row>
    <row r="81" ht="18" spans="1:31">
      <c r="A81" s="464">
        <v>69</v>
      </c>
      <c r="B81" s="11" t="s">
        <v>350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'[5]JANUARY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350</v>
      </c>
      <c r="AD81" s="479"/>
      <c r="AE81" s="479"/>
    </row>
    <row r="82" ht="36" spans="1:31">
      <c r="A82" s="464">
        <v>70</v>
      </c>
      <c r="B82" s="11" t="s">
        <v>351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351</v>
      </c>
      <c r="AD82" s="479"/>
      <c r="AE82" s="479"/>
    </row>
    <row r="83" ht="18" spans="1:31">
      <c r="A83" s="464">
        <v>71</v>
      </c>
      <c r="B83" s="11" t="s">
        <v>352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352</v>
      </c>
      <c r="AD83" s="479"/>
      <c r="AE83" s="479"/>
    </row>
    <row r="84" ht="18" spans="1:31">
      <c r="A84" s="464">
        <v>72</v>
      </c>
      <c r="B84" s="11" t="s">
        <v>354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354</v>
      </c>
      <c r="AD84" s="479"/>
      <c r="AE84" s="479"/>
    </row>
    <row r="85" ht="36" spans="1:31">
      <c r="A85" s="464">
        <v>73</v>
      </c>
      <c r="B85" s="11" t="s">
        <v>355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355</v>
      </c>
      <c r="AD85" s="479"/>
      <c r="AE85" s="479"/>
    </row>
    <row r="86" ht="18" spans="1:31">
      <c r="A86" s="464">
        <v>74</v>
      </c>
      <c r="B86" s="11" t="s">
        <v>357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357</v>
      </c>
      <c r="AD86" s="479"/>
      <c r="AE86" s="479"/>
    </row>
    <row r="87" ht="24" customHeight="1" spans="1:31">
      <c r="A87" s="464">
        <v>75</v>
      </c>
      <c r="B87" s="11" t="s">
        <v>358</v>
      </c>
      <c r="C87" s="467">
        <v>510248.916666667</v>
      </c>
      <c r="D87" s="466">
        <v>12</v>
      </c>
      <c r="E87" s="467">
        <f t="shared" si="81"/>
        <v>6122987</v>
      </c>
      <c r="F87" s="467">
        <f>'[5]JANUARY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358</v>
      </c>
      <c r="AD87" s="479"/>
      <c r="AE87" s="479"/>
    </row>
    <row r="88" ht="18" spans="1:31">
      <c r="A88" s="464">
        <v>76</v>
      </c>
      <c r="B88" s="11" t="s">
        <v>359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359</v>
      </c>
      <c r="AD88" s="479"/>
      <c r="AE88" s="479"/>
    </row>
    <row r="89" ht="18" spans="1:31">
      <c r="A89" s="464"/>
      <c r="B89" s="11" t="s">
        <v>361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361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58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363</v>
      </c>
      <c r="C93" s="467">
        <v>852373.166666667</v>
      </c>
      <c r="D93" s="466">
        <v>12</v>
      </c>
      <c r="E93" s="467">
        <f>C93*D93</f>
        <v>10228478</v>
      </c>
      <c r="F93" s="467">
        <f>'[5]JANUARY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363</v>
      </c>
      <c r="AD93" s="479"/>
      <c r="AE93" s="479"/>
    </row>
    <row r="94" ht="18" spans="1:31">
      <c r="A94" s="464">
        <v>80</v>
      </c>
      <c r="B94" s="11" t="s">
        <v>366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366</v>
      </c>
      <c r="AD94" s="479"/>
      <c r="AE94" s="479"/>
    </row>
    <row r="95" ht="18" spans="1:31">
      <c r="A95" s="464">
        <v>81</v>
      </c>
      <c r="B95" s="11" t="s">
        <v>368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368</v>
      </c>
      <c r="AD95" s="479"/>
      <c r="AE95" s="479"/>
    </row>
    <row r="96" ht="18" spans="1:31">
      <c r="A96" s="464"/>
      <c r="B96" s="11" t="s">
        <v>370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370</v>
      </c>
      <c r="AD96" s="479"/>
      <c r="AE96" s="479"/>
    </row>
    <row r="97" ht="17.5" spans="1:31">
      <c r="A97" s="464"/>
      <c r="B97" s="20" t="s">
        <v>33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372</v>
      </c>
      <c r="C99" s="467"/>
      <c r="G99" s="296">
        <v>0</v>
      </c>
      <c r="Z99" s="481"/>
      <c r="AB99" s="296" t="s">
        <v>520</v>
      </c>
      <c r="AC99" s="479"/>
      <c r="AD99" s="479"/>
      <c r="AE99" s="479"/>
    </row>
    <row r="100" ht="18" spans="1:31">
      <c r="A100" s="464">
        <v>85</v>
      </c>
      <c r="B100" s="11" t="s">
        <v>373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373</v>
      </c>
      <c r="AD100" s="479"/>
      <c r="AE100" s="479"/>
    </row>
    <row r="101" ht="18" spans="1:31">
      <c r="A101" s="464">
        <v>86</v>
      </c>
      <c r="B101" s="11" t="s">
        <v>375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'[5]JANUARY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375</v>
      </c>
      <c r="AD101" s="479"/>
      <c r="AE101" s="479"/>
    </row>
    <row r="102" ht="18" spans="1:31">
      <c r="A102" s="464">
        <v>87</v>
      </c>
      <c r="B102" s="11" t="s">
        <v>377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'[5]JANUARY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377</v>
      </c>
      <c r="AD102" s="479"/>
      <c r="AE102" s="479"/>
    </row>
    <row r="103" ht="18" spans="1:31">
      <c r="A103" s="464">
        <v>88</v>
      </c>
      <c r="B103" s="11" t="s">
        <v>379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379</v>
      </c>
      <c r="AD103" s="479"/>
      <c r="AE103" s="479"/>
    </row>
    <row r="104" ht="18" spans="1:31">
      <c r="A104" s="464">
        <v>89</v>
      </c>
      <c r="B104" s="11" t="s">
        <v>380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380</v>
      </c>
      <c r="AD104" s="479"/>
      <c r="AE104" s="479"/>
    </row>
    <row r="105" ht="36" spans="1:31">
      <c r="A105" s="464"/>
      <c r="B105" s="18" t="s">
        <v>383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383</v>
      </c>
      <c r="AD105" s="479"/>
      <c r="AE105" s="479"/>
    </row>
    <row r="106" ht="18" spans="1:31">
      <c r="A106" s="464"/>
      <c r="B106" s="18" t="s">
        <v>385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385</v>
      </c>
      <c r="AD106" s="479"/>
      <c r="AE106" s="479"/>
    </row>
    <row r="107" ht="17.5" spans="1:31">
      <c r="A107" s="464"/>
      <c r="B107" s="20" t="s">
        <v>33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61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386</v>
      </c>
      <c r="C110" s="467">
        <v>761396.833333333</v>
      </c>
      <c r="D110" s="466">
        <v>12</v>
      </c>
      <c r="E110" s="467">
        <f>C110*D110</f>
        <v>9136762</v>
      </c>
      <c r="F110" s="467">
        <f>'[5]JANUARY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387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389</v>
      </c>
      <c r="C112" s="473">
        <v>450086.5</v>
      </c>
      <c r="D112" s="466">
        <v>12</v>
      </c>
      <c r="E112" s="467">
        <f t="shared" si="104"/>
        <v>5401038</v>
      </c>
      <c r="F112" s="467">
        <f>'[5]JANUARY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67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392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128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395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226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396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398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400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401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403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405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33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71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407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229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409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411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413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415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416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418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419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421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423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425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427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429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431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433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434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436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438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440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442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444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446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448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450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452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454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456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457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460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461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462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463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464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466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467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468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469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470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471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474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475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477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480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483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484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485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486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487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488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489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490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491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493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495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498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499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500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503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523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215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3" workbookViewId="0">
      <selection activeCell="F93" sqref="F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563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564</v>
      </c>
      <c r="F5" s="218" t="s">
        <v>15</v>
      </c>
    </row>
    <row r="6" ht="17.25" customHeight="1" spans="3:6">
      <c r="C6" s="8"/>
      <c r="D6" s="8"/>
      <c r="E6" s="82" t="s">
        <v>19</v>
      </c>
      <c r="F6" s="82" t="s">
        <v>19</v>
      </c>
    </row>
    <row r="7" ht="20.1" customHeight="1" spans="1:6">
      <c r="A7" s="9" t="s">
        <v>20</v>
      </c>
      <c r="B7" s="8" t="s">
        <v>21</v>
      </c>
      <c r="C7" s="8"/>
      <c r="D7" s="8"/>
      <c r="E7" s="82"/>
      <c r="F7" s="21"/>
    </row>
    <row r="8" ht="20.1" customHeight="1" spans="1:7">
      <c r="A8" s="10">
        <v>1</v>
      </c>
      <c r="B8" s="11" t="s">
        <v>236</v>
      </c>
      <c r="C8" s="12" t="s">
        <v>237</v>
      </c>
      <c r="D8" s="12" t="s">
        <v>238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239</v>
      </c>
      <c r="C9" s="12" t="s">
        <v>240</v>
      </c>
      <c r="D9" s="10" t="s">
        <v>234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241</v>
      </c>
      <c r="C10" s="4" t="s">
        <v>242</v>
      </c>
      <c r="D10" s="10" t="s">
        <v>234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243</v>
      </c>
      <c r="C11" s="17" t="s">
        <v>244</v>
      </c>
      <c r="D11" s="10" t="s">
        <v>234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245</v>
      </c>
      <c r="C12" s="4" t="s">
        <v>530</v>
      </c>
      <c r="D12" s="10" t="s">
        <v>234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232</v>
      </c>
      <c r="C13" s="10" t="s">
        <v>233</v>
      </c>
      <c r="D13" s="10" t="s">
        <v>234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247</v>
      </c>
      <c r="C14" s="12" t="s">
        <v>248</v>
      </c>
      <c r="D14" s="15" t="s">
        <v>249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250</v>
      </c>
      <c r="C15" s="4" t="s">
        <v>251</v>
      </c>
      <c r="D15" s="10" t="s">
        <v>228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252</v>
      </c>
      <c r="C16" s="4" t="s">
        <v>253</v>
      </c>
      <c r="D16" s="15" t="s">
        <v>254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255</v>
      </c>
      <c r="C17" s="17" t="s">
        <v>256</v>
      </c>
      <c r="D17" s="15" t="s">
        <v>257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258</v>
      </c>
      <c r="C18" s="4" t="s">
        <v>259</v>
      </c>
      <c r="D18" s="10" t="s">
        <v>260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261</v>
      </c>
      <c r="C19" s="4" t="s">
        <v>262</v>
      </c>
      <c r="D19" s="10" t="s">
        <v>263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264</v>
      </c>
      <c r="C20" s="12" t="s">
        <v>265</v>
      </c>
      <c r="D20" s="15" t="s">
        <v>266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267</v>
      </c>
      <c r="C21" s="4" t="s">
        <v>531</v>
      </c>
      <c r="D21" s="15" t="s">
        <v>269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270</v>
      </c>
      <c r="C22" s="12" t="s">
        <v>50</v>
      </c>
      <c r="D22" s="15" t="s">
        <v>271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272</v>
      </c>
      <c r="C23" s="17" t="s">
        <v>532</v>
      </c>
      <c r="D23" s="10" t="s">
        <v>41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274</v>
      </c>
      <c r="C24" s="17" t="s">
        <v>275</v>
      </c>
      <c r="D24" s="15" t="s">
        <v>41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276</v>
      </c>
      <c r="C25" s="17" t="s">
        <v>277</v>
      </c>
      <c r="D25" s="10" t="s">
        <v>37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278</v>
      </c>
      <c r="C26" s="4" t="s">
        <v>176</v>
      </c>
      <c r="D26" s="10" t="s">
        <v>279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280</v>
      </c>
      <c r="C27" s="12" t="s">
        <v>176</v>
      </c>
      <c r="D27" s="15" t="s">
        <v>279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281</v>
      </c>
      <c r="C28" s="17" t="s">
        <v>273</v>
      </c>
      <c r="D28" s="10" t="s">
        <v>279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282</v>
      </c>
      <c r="C29" s="12" t="s">
        <v>27</v>
      </c>
      <c r="D29" s="15" t="s">
        <v>283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284</v>
      </c>
      <c r="C30" s="4" t="s">
        <v>285</v>
      </c>
      <c r="D30" s="10" t="s">
        <v>24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286</v>
      </c>
      <c r="C31" s="4" t="s">
        <v>285</v>
      </c>
      <c r="D31" s="10" t="s">
        <v>24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287</v>
      </c>
      <c r="C32" s="17" t="s">
        <v>288</v>
      </c>
      <c r="D32" s="15" t="s">
        <v>279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289</v>
      </c>
      <c r="C33" s="4" t="s">
        <v>290</v>
      </c>
      <c r="D33" s="10" t="s">
        <v>291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292</v>
      </c>
      <c r="C34" s="12" t="s">
        <v>293</v>
      </c>
      <c r="D34" s="15" t="s">
        <v>294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33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34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295</v>
      </c>
      <c r="C38" s="4" t="s">
        <v>296</v>
      </c>
      <c r="D38" s="10" t="s">
        <v>297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298</v>
      </c>
      <c r="C39" s="4" t="s">
        <v>533</v>
      </c>
      <c r="D39" s="10" t="s">
        <v>37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300</v>
      </c>
      <c r="C40" s="12" t="s">
        <v>534</v>
      </c>
      <c r="D40" s="15" t="s">
        <v>301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38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302</v>
      </c>
      <c r="C44" s="4" t="s">
        <v>303</v>
      </c>
      <c r="D44" s="10" t="s">
        <v>297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304</v>
      </c>
      <c r="C45" s="4" t="s">
        <v>305</v>
      </c>
      <c r="D45" s="10" t="s">
        <v>249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306</v>
      </c>
      <c r="C46" s="4" t="s">
        <v>307</v>
      </c>
      <c r="D46" s="10" t="s">
        <v>308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309</v>
      </c>
      <c r="C47" s="4" t="s">
        <v>310</v>
      </c>
      <c r="D47" s="10" t="s">
        <v>249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311</v>
      </c>
      <c r="C48" s="4" t="s">
        <v>310</v>
      </c>
      <c r="D48" s="10" t="s">
        <v>249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312</v>
      </c>
      <c r="C49" s="4" t="s">
        <v>310</v>
      </c>
      <c r="D49" s="10" t="s">
        <v>228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313</v>
      </c>
      <c r="C50" s="4" t="s">
        <v>256</v>
      </c>
      <c r="D50" s="16" t="s">
        <v>257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314</v>
      </c>
      <c r="C51" s="4" t="s">
        <v>63</v>
      </c>
      <c r="D51" s="10" t="s">
        <v>301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315</v>
      </c>
      <c r="C52" s="4" t="s">
        <v>63</v>
      </c>
      <c r="D52" s="10" t="s">
        <v>283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316</v>
      </c>
      <c r="C53" s="4" t="s">
        <v>63</v>
      </c>
      <c r="D53" s="10" t="s">
        <v>283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317</v>
      </c>
      <c r="C54" s="4" t="s">
        <v>63</v>
      </c>
      <c r="D54" s="10" t="s">
        <v>283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33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318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319</v>
      </c>
      <c r="C58" s="12" t="s">
        <v>320</v>
      </c>
      <c r="D58" s="15" t="s">
        <v>297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321</v>
      </c>
      <c r="C59" s="12" t="s">
        <v>322</v>
      </c>
      <c r="D59" s="15" t="s">
        <v>225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33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44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323</v>
      </c>
      <c r="C63" s="17" t="s">
        <v>324</v>
      </c>
      <c r="D63" s="10" t="s">
        <v>297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325</v>
      </c>
      <c r="C64" s="17" t="s">
        <v>326</v>
      </c>
      <c r="D64" s="15" t="s">
        <v>327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328</v>
      </c>
      <c r="C65" s="4" t="s">
        <v>256</v>
      </c>
      <c r="D65" s="10" t="s">
        <v>260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329</v>
      </c>
      <c r="C66" s="17" t="s">
        <v>46</v>
      </c>
      <c r="D66" s="15" t="s">
        <v>266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330</v>
      </c>
      <c r="C67" s="17" t="s">
        <v>256</v>
      </c>
      <c r="D67" s="15" t="s">
        <v>254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331</v>
      </c>
      <c r="C68" s="4" t="s">
        <v>63</v>
      </c>
      <c r="D68" s="10" t="s">
        <v>332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333</v>
      </c>
      <c r="C69" s="17" t="s">
        <v>275</v>
      </c>
      <c r="D69" s="10" t="s">
        <v>332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334</v>
      </c>
      <c r="C70" s="17" t="s">
        <v>275</v>
      </c>
      <c r="D70" s="10" t="s">
        <v>332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335</v>
      </c>
      <c r="C71" s="4" t="s">
        <v>336</v>
      </c>
      <c r="D71" s="10" t="s">
        <v>271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337</v>
      </c>
      <c r="C72" s="4" t="s">
        <v>63</v>
      </c>
      <c r="D72" s="10" t="s">
        <v>301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33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51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338</v>
      </c>
      <c r="C76" s="4" t="s">
        <v>339</v>
      </c>
      <c r="D76" s="10" t="s">
        <v>297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220</v>
      </c>
      <c r="C77" s="4" t="s">
        <v>221</v>
      </c>
      <c r="D77" s="15" t="s">
        <v>222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223</v>
      </c>
      <c r="C78" s="12" t="s">
        <v>224</v>
      </c>
      <c r="D78" s="10" t="s">
        <v>225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340</v>
      </c>
      <c r="C79" s="4" t="s">
        <v>341</v>
      </c>
      <c r="D79" s="15" t="s">
        <v>342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343</v>
      </c>
      <c r="C80" s="4" t="s">
        <v>344</v>
      </c>
      <c r="D80" s="10" t="s">
        <v>345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346</v>
      </c>
      <c r="C81" s="4" t="s">
        <v>344</v>
      </c>
      <c r="D81" s="10" t="s">
        <v>283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347</v>
      </c>
      <c r="C82" s="4" t="s">
        <v>348</v>
      </c>
      <c r="D82" s="10" t="s">
        <v>294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33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56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349</v>
      </c>
      <c r="C86" s="4" t="s">
        <v>310</v>
      </c>
      <c r="D86" s="10" t="s">
        <v>249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350</v>
      </c>
      <c r="C87" s="4" t="s">
        <v>310</v>
      </c>
      <c r="D87" s="10" t="s">
        <v>249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351</v>
      </c>
      <c r="C88" s="4" t="s">
        <v>310</v>
      </c>
      <c r="D88" s="10" t="s">
        <v>228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352</v>
      </c>
      <c r="C89" s="4" t="s">
        <v>353</v>
      </c>
      <c r="D89" s="15" t="s">
        <v>263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354</v>
      </c>
      <c r="C90" s="12" t="s">
        <v>46</v>
      </c>
      <c r="D90" s="15" t="s">
        <v>266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355</v>
      </c>
      <c r="C91" s="12" t="s">
        <v>256</v>
      </c>
      <c r="D91" s="15" t="s">
        <v>356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357</v>
      </c>
      <c r="C92" s="17" t="s">
        <v>275</v>
      </c>
      <c r="D92" s="15" t="s">
        <v>332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358</v>
      </c>
      <c r="C93" s="17" t="s">
        <v>46</v>
      </c>
      <c r="D93" s="15" t="s">
        <v>47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359</v>
      </c>
      <c r="C94" s="4" t="s">
        <v>360</v>
      </c>
      <c r="D94" s="10" t="s">
        <v>301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361</v>
      </c>
      <c r="C95" s="17" t="s">
        <v>362</v>
      </c>
      <c r="D95" s="15" t="s">
        <v>291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33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58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363</v>
      </c>
      <c r="C99" s="4" t="s">
        <v>364</v>
      </c>
      <c r="D99" s="16" t="s">
        <v>231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366</v>
      </c>
      <c r="C100" s="4" t="s">
        <v>367</v>
      </c>
      <c r="D100" s="15" t="s">
        <v>342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368</v>
      </c>
      <c r="C101" s="4" t="s">
        <v>369</v>
      </c>
      <c r="D101" s="15" t="s">
        <v>271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370</v>
      </c>
      <c r="C102" s="4" t="s">
        <v>371</v>
      </c>
      <c r="D102" s="15" t="s">
        <v>301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33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372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373</v>
      </c>
      <c r="C106" s="12" t="s">
        <v>374</v>
      </c>
      <c r="D106" s="15" t="s">
        <v>297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375</v>
      </c>
      <c r="C107" s="4" t="s">
        <v>376</v>
      </c>
      <c r="D107" s="16" t="s">
        <v>231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377</v>
      </c>
      <c r="C108" s="4" t="s">
        <v>378</v>
      </c>
      <c r="D108" s="10" t="s">
        <v>263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379</v>
      </c>
      <c r="C109" s="4" t="s">
        <v>378</v>
      </c>
      <c r="D109" s="10" t="s">
        <v>263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380</v>
      </c>
      <c r="C110" s="4" t="s">
        <v>381</v>
      </c>
      <c r="D110" s="15" t="s">
        <v>382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383</v>
      </c>
      <c r="C111" s="4" t="s">
        <v>381</v>
      </c>
      <c r="D111" s="10" t="s">
        <v>384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385</v>
      </c>
      <c r="C112" s="4" t="s">
        <v>381</v>
      </c>
      <c r="D112" s="15" t="s">
        <v>291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33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61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386</v>
      </c>
      <c r="C116" s="4" t="s">
        <v>310</v>
      </c>
      <c r="D116" s="10" t="s">
        <v>327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387</v>
      </c>
      <c r="C117" s="4" t="s">
        <v>388</v>
      </c>
      <c r="D117" s="15" t="s">
        <v>271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389</v>
      </c>
      <c r="C118" s="12" t="s">
        <v>390</v>
      </c>
      <c r="D118" s="15" t="s">
        <v>391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33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67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392</v>
      </c>
      <c r="C122" s="12" t="s">
        <v>393</v>
      </c>
      <c r="D122" s="15" t="s">
        <v>297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128</v>
      </c>
      <c r="C123" s="12" t="s">
        <v>394</v>
      </c>
      <c r="D123" s="15" t="s">
        <v>308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395</v>
      </c>
      <c r="C124" s="12" t="s">
        <v>227</v>
      </c>
      <c r="D124" s="15" t="s">
        <v>249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226</v>
      </c>
      <c r="C125" s="12" t="s">
        <v>227</v>
      </c>
      <c r="D125" s="15" t="s">
        <v>228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396</v>
      </c>
      <c r="C126" s="12" t="s">
        <v>397</v>
      </c>
      <c r="D126" s="15" t="s">
        <v>257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398</v>
      </c>
      <c r="C127" s="12" t="s">
        <v>399</v>
      </c>
      <c r="D127" s="15" t="s">
        <v>260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400</v>
      </c>
      <c r="C128" s="12" t="s">
        <v>397</v>
      </c>
      <c r="D128" s="15" t="s">
        <v>342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401</v>
      </c>
      <c r="C129" s="12" t="s">
        <v>402</v>
      </c>
      <c r="D129" s="10" t="s">
        <v>279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403</v>
      </c>
      <c r="C130" s="12" t="s">
        <v>404</v>
      </c>
      <c r="D130" s="15" t="s">
        <v>294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405</v>
      </c>
      <c r="C131" s="12" t="s">
        <v>69</v>
      </c>
      <c r="D131" s="15" t="s">
        <v>294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33</v>
      </c>
      <c r="C132" s="26" t="s">
        <v>406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71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407</v>
      </c>
      <c r="C135" s="12" t="s">
        <v>408</v>
      </c>
      <c r="D135" s="15" t="s">
        <v>297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229</v>
      </c>
      <c r="C136" s="12" t="s">
        <v>230</v>
      </c>
      <c r="D136" s="15" t="s">
        <v>231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409</v>
      </c>
      <c r="C137" s="4" t="s">
        <v>410</v>
      </c>
      <c r="D137" s="16" t="s">
        <v>231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411</v>
      </c>
      <c r="C138" s="12" t="s">
        <v>412</v>
      </c>
      <c r="D138" s="15" t="s">
        <v>254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413</v>
      </c>
      <c r="C139" s="4" t="s">
        <v>414</v>
      </c>
      <c r="D139" s="15" t="s">
        <v>254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415</v>
      </c>
      <c r="C140" s="4" t="s">
        <v>414</v>
      </c>
      <c r="D140" s="15" t="s">
        <v>254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416</v>
      </c>
      <c r="C141" s="12" t="s">
        <v>417</v>
      </c>
      <c r="D141" s="15" t="s">
        <v>391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418</v>
      </c>
      <c r="C142" s="12" t="s">
        <v>417</v>
      </c>
      <c r="D142" s="15" t="s">
        <v>391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419</v>
      </c>
      <c r="C143" s="4" t="s">
        <v>420</v>
      </c>
      <c r="D143" s="15" t="s">
        <v>391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421</v>
      </c>
      <c r="C144" s="12" t="s">
        <v>422</v>
      </c>
      <c r="D144" s="15" t="s">
        <v>271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423</v>
      </c>
      <c r="C145" s="12" t="s">
        <v>424</v>
      </c>
      <c r="D145" s="15" t="s">
        <v>332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425</v>
      </c>
      <c r="C146" s="12" t="s">
        <v>426</v>
      </c>
      <c r="D146" s="15" t="s">
        <v>391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427</v>
      </c>
      <c r="C147" s="4" t="s">
        <v>428</v>
      </c>
      <c r="D147" s="15" t="s">
        <v>41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429</v>
      </c>
      <c r="C148" s="4" t="s">
        <v>430</v>
      </c>
      <c r="D148" s="15" t="s">
        <v>345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431</v>
      </c>
      <c r="C149" s="4" t="s">
        <v>430</v>
      </c>
      <c r="D149" s="15" t="s">
        <v>432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433</v>
      </c>
      <c r="C150" s="4" t="s">
        <v>430</v>
      </c>
      <c r="D150" s="15" t="s">
        <v>432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434</v>
      </c>
      <c r="C151" s="12" t="s">
        <v>435</v>
      </c>
      <c r="D151" s="15" t="s">
        <v>301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436</v>
      </c>
      <c r="C152" s="12" t="s">
        <v>437</v>
      </c>
      <c r="D152" s="10" t="s">
        <v>283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438</v>
      </c>
      <c r="C153" s="12" t="s">
        <v>439</v>
      </c>
      <c r="D153" s="15" t="s">
        <v>345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440</v>
      </c>
      <c r="C154" s="12" t="s">
        <v>441</v>
      </c>
      <c r="D154" s="15" t="s">
        <v>279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442</v>
      </c>
      <c r="C155" s="12" t="s">
        <v>443</v>
      </c>
      <c r="D155" s="15" t="s">
        <v>345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444</v>
      </c>
      <c r="C156" s="12" t="s">
        <v>445</v>
      </c>
      <c r="D156" s="15" t="s">
        <v>279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446</v>
      </c>
      <c r="C157" s="12" t="s">
        <v>447</v>
      </c>
      <c r="D157" s="15" t="s">
        <v>24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448</v>
      </c>
      <c r="C158" s="12" t="s">
        <v>449</v>
      </c>
      <c r="D158" s="15" t="s">
        <v>294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450</v>
      </c>
      <c r="C159" s="12" t="s">
        <v>451</v>
      </c>
      <c r="D159" s="15" t="s">
        <v>294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452</v>
      </c>
      <c r="C160" s="12" t="s">
        <v>453</v>
      </c>
      <c r="D160" s="15" t="s">
        <v>294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454</v>
      </c>
      <c r="C161" s="12" t="s">
        <v>455</v>
      </c>
      <c r="D161" s="15" t="s">
        <v>291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456</v>
      </c>
      <c r="C162" s="12" t="s">
        <v>451</v>
      </c>
      <c r="D162" s="15" t="s">
        <v>294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457</v>
      </c>
      <c r="C163" s="12" t="s">
        <v>458</v>
      </c>
      <c r="D163" s="15" t="s">
        <v>459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460</v>
      </c>
      <c r="C164" s="12" t="s">
        <v>458</v>
      </c>
      <c r="D164" s="15" t="s">
        <v>459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461</v>
      </c>
      <c r="C165" s="12" t="s">
        <v>458</v>
      </c>
      <c r="D165" s="15" t="s">
        <v>459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462</v>
      </c>
      <c r="C166" s="12" t="s">
        <v>458</v>
      </c>
      <c r="D166" s="15" t="s">
        <v>459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463</v>
      </c>
      <c r="C167" s="12" t="s">
        <v>458</v>
      </c>
      <c r="D167" s="15" t="s">
        <v>459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464</v>
      </c>
      <c r="C168" s="12" t="s">
        <v>458</v>
      </c>
      <c r="D168" s="15" t="s">
        <v>465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466</v>
      </c>
      <c r="C169" s="12" t="s">
        <v>458</v>
      </c>
      <c r="D169" s="15" t="s">
        <v>465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467</v>
      </c>
      <c r="C170" s="12" t="s">
        <v>458</v>
      </c>
      <c r="D170" s="15" t="s">
        <v>465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468</v>
      </c>
      <c r="C171" s="12" t="s">
        <v>458</v>
      </c>
      <c r="D171" s="15" t="s">
        <v>465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469</v>
      </c>
      <c r="C172" s="12" t="s">
        <v>458</v>
      </c>
      <c r="D172" s="15" t="s">
        <v>465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470</v>
      </c>
      <c r="C173" s="12" t="s">
        <v>458</v>
      </c>
      <c r="D173" s="15" t="s">
        <v>465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471</v>
      </c>
      <c r="C174" s="12" t="s">
        <v>472</v>
      </c>
      <c r="D174" s="15" t="s">
        <v>473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474</v>
      </c>
      <c r="C175" s="12" t="s">
        <v>472</v>
      </c>
      <c r="D175" s="15" t="s">
        <v>473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475</v>
      </c>
      <c r="C176" s="12" t="s">
        <v>472</v>
      </c>
      <c r="D176" s="15" t="s">
        <v>476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477</v>
      </c>
      <c r="C177" s="12" t="s">
        <v>478</v>
      </c>
      <c r="D177" s="15" t="s">
        <v>479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480</v>
      </c>
      <c r="C178" s="12" t="s">
        <v>481</v>
      </c>
      <c r="D178" s="15" t="s">
        <v>482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483</v>
      </c>
      <c r="C179" s="12" t="s">
        <v>481</v>
      </c>
      <c r="D179" s="15" t="s">
        <v>482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484</v>
      </c>
      <c r="C180" s="12" t="s">
        <v>481</v>
      </c>
      <c r="D180" s="15" t="s">
        <v>482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485</v>
      </c>
      <c r="C181" s="12" t="s">
        <v>481</v>
      </c>
      <c r="D181" s="15" t="s">
        <v>482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486</v>
      </c>
      <c r="C182" s="12" t="s">
        <v>481</v>
      </c>
      <c r="D182" s="15" t="s">
        <v>482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487</v>
      </c>
      <c r="C183" s="12" t="s">
        <v>481</v>
      </c>
      <c r="D183" s="15" t="s">
        <v>482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488</v>
      </c>
      <c r="C184" s="12" t="s">
        <v>481</v>
      </c>
      <c r="D184" s="15" t="s">
        <v>482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489</v>
      </c>
      <c r="C185" s="12" t="s">
        <v>478</v>
      </c>
      <c r="D185" s="15" t="s">
        <v>482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490</v>
      </c>
      <c r="C186" s="12" t="s">
        <v>478</v>
      </c>
      <c r="D186" s="15" t="s">
        <v>482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491</v>
      </c>
      <c r="C187" s="12" t="s">
        <v>172</v>
      </c>
      <c r="D187" s="15" t="s">
        <v>492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493</v>
      </c>
      <c r="C188" s="12" t="s">
        <v>481</v>
      </c>
      <c r="D188" s="15" t="s">
        <v>494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495</v>
      </c>
      <c r="C189" s="12" t="s">
        <v>496</v>
      </c>
      <c r="D189" s="15" t="s">
        <v>497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498</v>
      </c>
      <c r="C190" s="12" t="s">
        <v>496</v>
      </c>
      <c r="D190" s="15" t="s">
        <v>497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499</v>
      </c>
      <c r="C191" s="12" t="s">
        <v>496</v>
      </c>
      <c r="D191" s="15" t="s">
        <v>497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500</v>
      </c>
      <c r="C192" s="12" t="s">
        <v>501</v>
      </c>
      <c r="D192" s="15" t="s">
        <v>502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503</v>
      </c>
      <c r="C193" s="12" t="s">
        <v>501</v>
      </c>
      <c r="D193" s="15" t="s">
        <v>502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33</v>
      </c>
      <c r="C194" s="28" t="s">
        <v>504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80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565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566</v>
      </c>
      <c r="H4" s="24" t="s">
        <v>567</v>
      </c>
      <c r="I4" s="218" t="s">
        <v>568</v>
      </c>
      <c r="J4" s="24" t="s">
        <v>569</v>
      </c>
      <c r="K4" s="24" t="s">
        <v>570</v>
      </c>
      <c r="L4" s="24" t="s">
        <v>571</v>
      </c>
      <c r="M4" s="218" t="s">
        <v>7</v>
      </c>
      <c r="N4" s="218" t="s">
        <v>7</v>
      </c>
      <c r="O4" s="24" t="s">
        <v>572</v>
      </c>
      <c r="P4" s="24" t="s">
        <v>572</v>
      </c>
      <c r="Q4" s="218" t="s">
        <v>8</v>
      </c>
      <c r="R4" s="334" t="s">
        <v>9</v>
      </c>
      <c r="S4" s="218" t="s">
        <v>10</v>
      </c>
      <c r="T4" s="218" t="s">
        <v>11</v>
      </c>
      <c r="U4" s="218" t="s">
        <v>12</v>
      </c>
      <c r="V4" s="218" t="s">
        <v>13</v>
      </c>
      <c r="W4" s="24" t="s">
        <v>14</v>
      </c>
      <c r="X4" s="347" t="s">
        <v>16</v>
      </c>
      <c r="Y4" s="321" t="s">
        <v>141</v>
      </c>
    </row>
    <row r="5" ht="18" spans="1:25">
      <c r="A5" s="1"/>
      <c r="B5" s="1"/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307" t="s">
        <v>19</v>
      </c>
      <c r="S5" s="82" t="s">
        <v>19</v>
      </c>
      <c r="T5" s="82" t="s">
        <v>19</v>
      </c>
      <c r="U5" s="82" t="s">
        <v>19</v>
      </c>
      <c r="V5" s="82" t="s">
        <v>19</v>
      </c>
      <c r="W5" s="82" t="s">
        <v>19</v>
      </c>
      <c r="X5" s="449" t="s">
        <v>19</v>
      </c>
      <c r="Y5" s="230" t="s">
        <v>19</v>
      </c>
    </row>
    <row r="6" ht="17.5" spans="1:25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298</v>
      </c>
      <c r="C7" s="4" t="s">
        <v>537</v>
      </c>
      <c r="D7" s="10" t="s">
        <v>294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573</v>
      </c>
      <c r="C8" s="14" t="s">
        <v>533</v>
      </c>
      <c r="D8" s="10" t="s">
        <v>37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511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147</v>
      </c>
      <c r="Y10" s="455">
        <f>1+(27/31)</f>
        <v>1.87096774193548</v>
      </c>
    </row>
    <row r="11" ht="17.5" spans="23:25">
      <c r="W11" s="453"/>
      <c r="X11" s="454" t="s">
        <v>574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575</v>
      </c>
      <c r="B1" s="384"/>
      <c r="C1" s="383"/>
      <c r="D1" s="383"/>
      <c r="E1" s="385"/>
      <c r="F1" s="385"/>
      <c r="G1" s="386"/>
    </row>
    <row r="2" ht="22" spans="1:7">
      <c r="A2" s="383" t="s">
        <v>576</v>
      </c>
      <c r="B2" s="383"/>
      <c r="C2" s="383"/>
      <c r="D2" s="383"/>
      <c r="E2" s="385"/>
      <c r="F2" s="385"/>
      <c r="G2" s="386"/>
    </row>
    <row r="3" ht="22" spans="1:7">
      <c r="A3" s="383" t="s">
        <v>577</v>
      </c>
      <c r="B3" s="383"/>
      <c r="C3" s="383"/>
      <c r="D3" s="383"/>
      <c r="E3" s="385"/>
      <c r="F3" s="385"/>
      <c r="G3" s="386"/>
    </row>
    <row r="4" ht="45" customHeight="1" spans="1:8">
      <c r="A4" s="387" t="s">
        <v>20</v>
      </c>
      <c r="B4" s="388" t="s">
        <v>578</v>
      </c>
      <c r="C4" s="389" t="s">
        <v>579</v>
      </c>
      <c r="D4" s="390" t="s">
        <v>580</v>
      </c>
      <c r="E4" s="390" t="s">
        <v>581</v>
      </c>
      <c r="F4" s="390" t="s">
        <v>582</v>
      </c>
      <c r="G4" s="390" t="s">
        <v>583</v>
      </c>
      <c r="H4" s="391" t="s">
        <v>33</v>
      </c>
    </row>
    <row r="5" ht="16" spans="1:9">
      <c r="A5" s="775" t="s">
        <v>584</v>
      </c>
      <c r="B5" s="392" t="s">
        <v>585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775" t="s">
        <v>586</v>
      </c>
      <c r="B6" s="396" t="s">
        <v>587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775" t="s">
        <v>588</v>
      </c>
      <c r="B7" s="392" t="s">
        <v>589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775" t="s">
        <v>590</v>
      </c>
      <c r="B8" s="392" t="s">
        <v>591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775" t="s">
        <v>592</v>
      </c>
      <c r="B9" s="392" t="s">
        <v>593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775" t="s">
        <v>594</v>
      </c>
      <c r="B10" s="392" t="s">
        <v>595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775" t="s">
        <v>596</v>
      </c>
      <c r="B11" s="392" t="s">
        <v>597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775" t="s">
        <v>598</v>
      </c>
      <c r="B12" s="392" t="s">
        <v>599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775" t="s">
        <v>600</v>
      </c>
      <c r="B13" s="392" t="s">
        <v>601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775" t="s">
        <v>602</v>
      </c>
      <c r="B14" s="392" t="s">
        <v>603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775" t="s">
        <v>604</v>
      </c>
      <c r="B15" s="392" t="s">
        <v>605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775" t="s">
        <v>606</v>
      </c>
      <c r="B16" s="392" t="s">
        <v>128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775" t="s">
        <v>607</v>
      </c>
      <c r="B17" s="392" t="s">
        <v>608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775" t="s">
        <v>609</v>
      </c>
      <c r="B18" s="392" t="s">
        <v>610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775" t="s">
        <v>611</v>
      </c>
      <c r="B19" s="392" t="s">
        <v>612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775" t="s">
        <v>613</v>
      </c>
      <c r="B20" s="392" t="s">
        <v>614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775" t="s">
        <v>615</v>
      </c>
      <c r="B21" s="392" t="s">
        <v>616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775" t="s">
        <v>617</v>
      </c>
      <c r="B22" s="392" t="s">
        <v>618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775" t="s">
        <v>619</v>
      </c>
      <c r="B23" s="392" t="s">
        <v>620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775" t="s">
        <v>621</v>
      </c>
      <c r="B24" s="392" t="s">
        <v>398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775" t="s">
        <v>622</v>
      </c>
      <c r="B25" s="392" t="s">
        <v>623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775" t="s">
        <v>624</v>
      </c>
      <c r="B26" s="392" t="s">
        <v>625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775" t="s">
        <v>626</v>
      </c>
      <c r="B27" s="392" t="s">
        <v>627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775" t="s">
        <v>628</v>
      </c>
      <c r="B28" s="392" t="s">
        <v>629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775" t="s">
        <v>630</v>
      </c>
      <c r="B29" s="392" t="s">
        <v>631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775" t="s">
        <v>632</v>
      </c>
      <c r="B30" s="392" t="s">
        <v>633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775" t="s">
        <v>634</v>
      </c>
      <c r="B31" s="392" t="s">
        <v>340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775" t="s">
        <v>635</v>
      </c>
      <c r="B32" s="392" t="s">
        <v>636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775" t="s">
        <v>637</v>
      </c>
      <c r="B33" s="392" t="s">
        <v>638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775" t="s">
        <v>639</v>
      </c>
      <c r="B34" s="392" t="s">
        <v>640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775" t="s">
        <v>641</v>
      </c>
      <c r="B35" s="392" t="s">
        <v>642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775" t="s">
        <v>643</v>
      </c>
      <c r="B36" s="392" t="s">
        <v>644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775" t="s">
        <v>645</v>
      </c>
      <c r="B37" s="392" t="s">
        <v>646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775" t="s">
        <v>647</v>
      </c>
      <c r="B38" s="392" t="s">
        <v>415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775" t="s">
        <v>648</v>
      </c>
      <c r="B39" s="392" t="s">
        <v>247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775" t="s">
        <v>649</v>
      </c>
      <c r="B40" s="392" t="s">
        <v>400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775" t="s">
        <v>650</v>
      </c>
      <c r="B41" s="392" t="s">
        <v>423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775" t="s">
        <v>651</v>
      </c>
      <c r="B42" s="392" t="s">
        <v>652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775" t="s">
        <v>653</v>
      </c>
      <c r="B43" s="392" t="s">
        <v>470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775" t="s">
        <v>654</v>
      </c>
      <c r="B44" s="392" t="s">
        <v>655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775" t="s">
        <v>656</v>
      </c>
      <c r="B45" s="392" t="s">
        <v>657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775" t="s">
        <v>658</v>
      </c>
      <c r="B46" s="392" t="s">
        <v>454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775" t="s">
        <v>659</v>
      </c>
      <c r="B47" s="392" t="s">
        <v>660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775" t="s">
        <v>661</v>
      </c>
      <c r="B48" s="392" t="s">
        <v>662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775" t="s">
        <v>663</v>
      </c>
      <c r="B49" s="392" t="s">
        <v>664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775" t="s">
        <v>665</v>
      </c>
      <c r="B50" s="392" t="s">
        <v>461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775" t="s">
        <v>666</v>
      </c>
      <c r="B51" s="392" t="s">
        <v>667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775" t="s">
        <v>668</v>
      </c>
      <c r="B52" s="392" t="s">
        <v>475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775" t="s">
        <v>669</v>
      </c>
      <c r="B53" s="392" t="s">
        <v>463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775" t="s">
        <v>670</v>
      </c>
      <c r="B54" s="392" t="s">
        <v>671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776" t="s">
        <v>672</v>
      </c>
      <c r="B55" s="405" t="s">
        <v>673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775" t="s">
        <v>674</v>
      </c>
      <c r="B56" s="392" t="s">
        <v>407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775" t="s">
        <v>675</v>
      </c>
      <c r="B57" s="392" t="s">
        <v>676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775" t="s">
        <v>677</v>
      </c>
      <c r="B58" s="392" t="s">
        <v>678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776" t="s">
        <v>679</v>
      </c>
      <c r="B59" s="405" t="s">
        <v>680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775" t="s">
        <v>681</v>
      </c>
      <c r="B60" s="392" t="s">
        <v>682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775" t="s">
        <v>683</v>
      </c>
      <c r="B61" s="392" t="s">
        <v>684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775" t="s">
        <v>685</v>
      </c>
      <c r="B62" s="392" t="s">
        <v>686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775" t="s">
        <v>687</v>
      </c>
      <c r="B63" s="392" t="s">
        <v>688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775" t="s">
        <v>689</v>
      </c>
      <c r="B64" s="392" t="s">
        <v>690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775" t="s">
        <v>691</v>
      </c>
      <c r="B65" s="392" t="s">
        <v>413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775" t="s">
        <v>692</v>
      </c>
      <c r="B66" s="392" t="s">
        <v>693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775" t="s">
        <v>694</v>
      </c>
      <c r="B67" s="392" t="s">
        <v>460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775" t="s">
        <v>695</v>
      </c>
      <c r="B68" s="392" t="s">
        <v>309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775" t="s">
        <v>696</v>
      </c>
      <c r="B69" s="392" t="s">
        <v>697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775" t="s">
        <v>698</v>
      </c>
      <c r="B70" s="392" t="s">
        <v>252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775" t="s">
        <v>699</v>
      </c>
      <c r="B71" s="392" t="s">
        <v>700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775" t="s">
        <v>701</v>
      </c>
      <c r="B72" s="392" t="s">
        <v>702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775" t="s">
        <v>703</v>
      </c>
      <c r="B73" s="392" t="s">
        <v>704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775" t="s">
        <v>705</v>
      </c>
      <c r="B74" s="392" t="s">
        <v>469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775" t="s">
        <v>706</v>
      </c>
      <c r="B75" s="392" t="s">
        <v>707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775" t="s">
        <v>708</v>
      </c>
      <c r="B76" s="392" t="s">
        <v>709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775" t="s">
        <v>710</v>
      </c>
      <c r="B77" s="392" t="s">
        <v>711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775" t="s">
        <v>712</v>
      </c>
      <c r="B78" s="392" t="s">
        <v>713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775" t="s">
        <v>714</v>
      </c>
      <c r="B79" s="392" t="s">
        <v>715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775" t="s">
        <v>716</v>
      </c>
      <c r="B80" s="392" t="s">
        <v>717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775" t="s">
        <v>718</v>
      </c>
      <c r="B81" s="392" t="s">
        <v>719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775" t="s">
        <v>720</v>
      </c>
      <c r="B82" s="392" t="s">
        <v>721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775" t="s">
        <v>722</v>
      </c>
      <c r="B83" s="392" t="s">
        <v>723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775" t="s">
        <v>724</v>
      </c>
      <c r="B84" s="392" t="s">
        <v>725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775" t="s">
        <v>726</v>
      </c>
      <c r="B85" s="392" t="s">
        <v>727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775" t="s">
        <v>728</v>
      </c>
      <c r="B86" s="392" t="s">
        <v>729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775" t="s">
        <v>730</v>
      </c>
      <c r="B87" s="392" t="s">
        <v>731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775" t="s">
        <v>732</v>
      </c>
      <c r="B88" s="392" t="s">
        <v>733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775" t="s">
        <v>734</v>
      </c>
      <c r="B89" s="392" t="s">
        <v>735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775" t="s">
        <v>736</v>
      </c>
      <c r="B90" s="392" t="s">
        <v>737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775" t="s">
        <v>738</v>
      </c>
      <c r="B91" s="392" t="s">
        <v>739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775" t="s">
        <v>740</v>
      </c>
      <c r="B92" s="392" t="s">
        <v>741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775" t="s">
        <v>742</v>
      </c>
      <c r="B93" s="392" t="s">
        <v>743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775" t="s">
        <v>744</v>
      </c>
      <c r="B94" s="392" t="s">
        <v>745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775" t="s">
        <v>746</v>
      </c>
      <c r="B95" s="392" t="s">
        <v>485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775" t="s">
        <v>747</v>
      </c>
      <c r="B96" s="392" t="s">
        <v>748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775" t="s">
        <v>749</v>
      </c>
      <c r="B97" s="392" t="s">
        <v>750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775" t="s">
        <v>751</v>
      </c>
      <c r="B98" s="392" t="s">
        <v>752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775" t="s">
        <v>753</v>
      </c>
      <c r="B99" s="392" t="s">
        <v>754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775" t="s">
        <v>755</v>
      </c>
      <c r="B100" s="392" t="s">
        <v>756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775" t="s">
        <v>757</v>
      </c>
      <c r="B101" s="392" t="s">
        <v>758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775" t="s">
        <v>759</v>
      </c>
      <c r="B102" s="392" t="s">
        <v>760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775" t="s">
        <v>761</v>
      </c>
      <c r="B103" s="392" t="s">
        <v>762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775" t="s">
        <v>763</v>
      </c>
      <c r="B104" s="392" t="s">
        <v>764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775" t="s">
        <v>765</v>
      </c>
      <c r="B105" s="392" t="s">
        <v>766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775" t="s">
        <v>767</v>
      </c>
      <c r="B106" s="392" t="s">
        <v>768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777" t="s">
        <v>769</v>
      </c>
      <c r="B107" s="392" t="s">
        <v>770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777" t="s">
        <v>771</v>
      </c>
      <c r="B108" s="392" t="s">
        <v>772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775" t="s">
        <v>773</v>
      </c>
      <c r="B109" s="392" t="s">
        <v>774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775" t="s">
        <v>775</v>
      </c>
      <c r="B110" s="392" t="s">
        <v>776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777" t="s">
        <v>777</v>
      </c>
      <c r="B111" s="392" t="s">
        <v>354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775" t="s">
        <v>778</v>
      </c>
      <c r="B112" s="392" t="s">
        <v>779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778" t="s">
        <v>780</v>
      </c>
      <c r="B113" s="392" t="s">
        <v>355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775" t="s">
        <v>781</v>
      </c>
      <c r="B114" s="392" t="s">
        <v>782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775" t="s">
        <v>783</v>
      </c>
      <c r="B115" s="392" t="s">
        <v>784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775" t="s">
        <v>785</v>
      </c>
      <c r="B116" s="392" t="s">
        <v>421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778" t="s">
        <v>786</v>
      </c>
      <c r="B117" s="392" t="s">
        <v>787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775" t="s">
        <v>788</v>
      </c>
      <c r="B118" s="392" t="s">
        <v>789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775" t="s">
        <v>790</v>
      </c>
      <c r="B119" s="392" t="s">
        <v>791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775" t="s">
        <v>792</v>
      </c>
      <c r="B120" s="392" t="s">
        <v>793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775" t="s">
        <v>794</v>
      </c>
      <c r="B121" s="392" t="s">
        <v>795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775" t="s">
        <v>796</v>
      </c>
      <c r="B122" s="392" t="s">
        <v>797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775" t="s">
        <v>798</v>
      </c>
      <c r="B123" s="392" t="s">
        <v>368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775" t="s">
        <v>799</v>
      </c>
      <c r="B124" s="392" t="s">
        <v>800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778" t="s">
        <v>801</v>
      </c>
      <c r="B125" s="392" t="s">
        <v>802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778" t="s">
        <v>803</v>
      </c>
      <c r="B126" s="392" t="s">
        <v>418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778" t="s">
        <v>804</v>
      </c>
      <c r="B127" s="392" t="s">
        <v>805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778" t="s">
        <v>806</v>
      </c>
      <c r="B128" s="392" t="s">
        <v>807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778" t="s">
        <v>808</v>
      </c>
      <c r="B129" s="392" t="s">
        <v>809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778" t="s">
        <v>808</v>
      </c>
      <c r="B130" s="392" t="s">
        <v>810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778" t="s">
        <v>811</v>
      </c>
      <c r="B131" s="392" t="s">
        <v>352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778" t="s">
        <v>812</v>
      </c>
      <c r="B132" s="392" t="s">
        <v>813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778" t="s">
        <v>814</v>
      </c>
      <c r="B133" s="392" t="s">
        <v>815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778" t="s">
        <v>816</v>
      </c>
      <c r="B134" s="392" t="s">
        <v>817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778" t="s">
        <v>818</v>
      </c>
      <c r="B135" s="392" t="s">
        <v>819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778" t="s">
        <v>820</v>
      </c>
      <c r="B136" s="392" t="s">
        <v>821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778" t="s">
        <v>822</v>
      </c>
      <c r="B137" s="392" t="s">
        <v>823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778" t="s">
        <v>824</v>
      </c>
      <c r="B138" s="392" t="s">
        <v>825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778" t="s">
        <v>826</v>
      </c>
      <c r="B139" s="392" t="s">
        <v>442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778" t="s">
        <v>827</v>
      </c>
      <c r="B140" s="392" t="s">
        <v>343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778" t="s">
        <v>828</v>
      </c>
      <c r="B141" s="392" t="s">
        <v>829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778" t="s">
        <v>830</v>
      </c>
      <c r="B142" s="392" t="s">
        <v>831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778" t="s">
        <v>832</v>
      </c>
      <c r="B143" s="392" t="s">
        <v>480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778" t="s">
        <v>833</v>
      </c>
      <c r="B144" s="392" t="s">
        <v>834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778" t="s">
        <v>835</v>
      </c>
      <c r="B145" s="392" t="s">
        <v>836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778" t="s">
        <v>837</v>
      </c>
      <c r="B146" s="392" t="s">
        <v>838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778" t="s">
        <v>839</v>
      </c>
      <c r="B147" s="392" t="s">
        <v>840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778" t="s">
        <v>841</v>
      </c>
      <c r="B148" s="392" t="s">
        <v>842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778" t="s">
        <v>843</v>
      </c>
      <c r="B149" s="392" t="s">
        <v>321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778" t="s">
        <v>844</v>
      </c>
      <c r="B150" s="392" t="s">
        <v>370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778" t="s">
        <v>845</v>
      </c>
      <c r="B151" s="392" t="s">
        <v>846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778" t="s">
        <v>847</v>
      </c>
      <c r="B152" s="392" t="s">
        <v>289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778" t="s">
        <v>848</v>
      </c>
      <c r="B153" s="392" t="s">
        <v>287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778" t="s">
        <v>849</v>
      </c>
      <c r="B154" s="392" t="s">
        <v>850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778" t="s">
        <v>851</v>
      </c>
      <c r="B155" s="392" t="s">
        <v>852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778" t="s">
        <v>853</v>
      </c>
      <c r="B156" s="392" t="s">
        <v>854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778" t="s">
        <v>855</v>
      </c>
      <c r="B157" s="392" t="s">
        <v>856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778" t="s">
        <v>857</v>
      </c>
      <c r="B158" s="392" t="s">
        <v>858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778" t="s">
        <v>859</v>
      </c>
      <c r="B159" s="392" t="s">
        <v>488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778" t="s">
        <v>860</v>
      </c>
      <c r="B160" s="392" t="s">
        <v>861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778" t="s">
        <v>862</v>
      </c>
      <c r="B161" s="392" t="s">
        <v>863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778" t="s">
        <v>864</v>
      </c>
      <c r="B162" s="392" t="s">
        <v>865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778" t="s">
        <v>866</v>
      </c>
      <c r="B163" s="392" t="s">
        <v>867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778" t="s">
        <v>868</v>
      </c>
      <c r="B164" s="392" t="s">
        <v>869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778" t="s">
        <v>870</v>
      </c>
      <c r="B165" s="392" t="s">
        <v>871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778" t="s">
        <v>872</v>
      </c>
      <c r="B166" s="392" t="s">
        <v>357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778" t="s">
        <v>873</v>
      </c>
      <c r="B167" s="392" t="s">
        <v>874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778" t="s">
        <v>875</v>
      </c>
      <c r="B168" s="392" t="s">
        <v>278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778" t="s">
        <v>876</v>
      </c>
      <c r="B169" s="392" t="s">
        <v>877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778" t="s">
        <v>878</v>
      </c>
      <c r="B170" s="392" t="s">
        <v>879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778" t="s">
        <v>880</v>
      </c>
      <c r="B171" s="392" t="s">
        <v>881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778" t="s">
        <v>882</v>
      </c>
      <c r="B172" s="392" t="s">
        <v>334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778" t="s">
        <v>883</v>
      </c>
      <c r="B173" s="392" t="s">
        <v>450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778" t="s">
        <v>884</v>
      </c>
      <c r="B174" s="392" t="s">
        <v>885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778" t="s">
        <v>886</v>
      </c>
      <c r="B175" s="392" t="s">
        <v>887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778" t="s">
        <v>888</v>
      </c>
      <c r="B176" s="392" t="s">
        <v>292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778" t="s">
        <v>889</v>
      </c>
      <c r="B177" s="392" t="s">
        <v>890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778" t="s">
        <v>891</v>
      </c>
      <c r="B178" s="392" t="s">
        <v>892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778" t="s">
        <v>893</v>
      </c>
      <c r="B179" s="392" t="s">
        <v>894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778" t="s">
        <v>895</v>
      </c>
      <c r="B180" s="392" t="s">
        <v>896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778" t="s">
        <v>897</v>
      </c>
      <c r="B181" s="392" t="s">
        <v>500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778" t="s">
        <v>895</v>
      </c>
      <c r="B182" s="392" t="s">
        <v>898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778" t="s">
        <v>895</v>
      </c>
      <c r="B183" s="392" t="s">
        <v>495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778" t="s">
        <v>895</v>
      </c>
      <c r="B184" s="392" t="s">
        <v>899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33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900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901</v>
      </c>
      <c r="D188" s="387" t="s">
        <v>902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903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904</v>
      </c>
      <c r="G189" s="407"/>
      <c r="H189" s="407"/>
      <c r="I189" s="407"/>
      <c r="K189" s="407"/>
    </row>
    <row r="190" ht="17.5" spans="1:11">
      <c r="A190" s="392"/>
      <c r="B190" s="392" t="s">
        <v>905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906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500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898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495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899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166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907</v>
      </c>
      <c r="C198" s="387"/>
      <c r="D198" s="392"/>
      <c r="E198" s="392"/>
      <c r="K198" s="407"/>
    </row>
    <row r="199" ht="15" spans="1:11">
      <c r="A199" s="392"/>
      <c r="B199" s="387"/>
      <c r="C199" s="387" t="s">
        <v>901</v>
      </c>
      <c r="D199" s="387" t="s">
        <v>902</v>
      </c>
      <c r="E199" s="392"/>
      <c r="K199" s="407"/>
    </row>
    <row r="200" ht="17.5" spans="1:11">
      <c r="A200" s="441"/>
      <c r="B200" s="441" t="s">
        <v>908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909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910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778" t="s">
        <v>637</v>
      </c>
      <c r="B208" s="392" t="s">
        <v>638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778" t="s">
        <v>685</v>
      </c>
      <c r="B209" s="392" t="s">
        <v>686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778" t="s">
        <v>720</v>
      </c>
      <c r="B210" s="392" t="s">
        <v>721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778" t="s">
        <v>794</v>
      </c>
      <c r="B211" s="392" t="s">
        <v>795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778" t="s">
        <v>911</v>
      </c>
      <c r="B212" s="392" t="s">
        <v>912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778" t="s">
        <v>913</v>
      </c>
      <c r="B213" s="392" t="s">
        <v>914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778" t="s">
        <v>915</v>
      </c>
      <c r="B214" s="392" t="s">
        <v>916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778" t="s">
        <v>917</v>
      </c>
      <c r="B215" s="392" t="s">
        <v>918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778" t="s">
        <v>919</v>
      </c>
      <c r="B216" s="392" t="s">
        <v>920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778" t="s">
        <v>921</v>
      </c>
      <c r="B217" s="392" t="s">
        <v>922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778" t="s">
        <v>876</v>
      </c>
      <c r="B218" s="392" t="s">
        <v>877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778" t="s">
        <v>891</v>
      </c>
      <c r="B219" s="392" t="s">
        <v>892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778" t="s">
        <v>923</v>
      </c>
      <c r="B220" s="392" t="s">
        <v>924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778" t="s">
        <v>925</v>
      </c>
      <c r="B221" s="392" t="s">
        <v>926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778" t="s">
        <v>927</v>
      </c>
      <c r="B222" s="392" t="s">
        <v>928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778" t="s">
        <v>929</v>
      </c>
      <c r="B223" s="392" t="s">
        <v>903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930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132</v>
      </c>
      <c r="F4" s="80" t="s">
        <v>931</v>
      </c>
      <c r="G4" s="80" t="s">
        <v>932</v>
      </c>
    </row>
    <row r="5" ht="17.25" customHeight="1" spans="3:7"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9" t="s">
        <v>20</v>
      </c>
      <c r="B6" s="8" t="s">
        <v>21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236</v>
      </c>
      <c r="C7" s="12" t="s">
        <v>237</v>
      </c>
      <c r="D7" s="12" t="s">
        <v>238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239</v>
      </c>
      <c r="C8" s="12" t="s">
        <v>240</v>
      </c>
      <c r="D8" s="10" t="s">
        <v>234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241</v>
      </c>
      <c r="C9" s="4" t="s">
        <v>242</v>
      </c>
      <c r="D9" s="10" t="s">
        <v>234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243</v>
      </c>
      <c r="C10" s="17" t="s">
        <v>244</v>
      </c>
      <c r="D10" s="10" t="s">
        <v>234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245</v>
      </c>
      <c r="C11" s="4" t="s">
        <v>246</v>
      </c>
      <c r="D11" s="10" t="s">
        <v>234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232</v>
      </c>
      <c r="C12" s="10" t="s">
        <v>233</v>
      </c>
      <c r="D12" s="10" t="s">
        <v>234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247</v>
      </c>
      <c r="C13" s="12" t="s">
        <v>248</v>
      </c>
      <c r="D13" s="15" t="s">
        <v>249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250</v>
      </c>
      <c r="C14" s="4" t="s">
        <v>251</v>
      </c>
      <c r="D14" s="10" t="s">
        <v>228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252</v>
      </c>
      <c r="C15" s="4" t="s">
        <v>253</v>
      </c>
      <c r="D15" s="15" t="s">
        <v>254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255</v>
      </c>
      <c r="C16" s="17" t="s">
        <v>256</v>
      </c>
      <c r="D16" s="15" t="s">
        <v>257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261</v>
      </c>
      <c r="C17" s="4" t="s">
        <v>262</v>
      </c>
      <c r="D17" s="10" t="s">
        <v>263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264</v>
      </c>
      <c r="C18" s="12" t="s">
        <v>265</v>
      </c>
      <c r="D18" s="15" t="s">
        <v>266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267</v>
      </c>
      <c r="C19" s="4" t="s">
        <v>268</v>
      </c>
      <c r="D19" s="15" t="s">
        <v>269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270</v>
      </c>
      <c r="C20" s="12" t="s">
        <v>50</v>
      </c>
      <c r="D20" s="15" t="s">
        <v>271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272</v>
      </c>
      <c r="C21" s="17" t="s">
        <v>273</v>
      </c>
      <c r="D21" s="10" t="s">
        <v>41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276</v>
      </c>
      <c r="C22" s="17" t="s">
        <v>277</v>
      </c>
      <c r="D22" s="10" t="s">
        <v>37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278</v>
      </c>
      <c r="C23" s="4" t="s">
        <v>176</v>
      </c>
      <c r="D23" s="10" t="s">
        <v>279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280</v>
      </c>
      <c r="C24" s="12" t="s">
        <v>176</v>
      </c>
      <c r="D24" s="15" t="s">
        <v>279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282</v>
      </c>
      <c r="C25" s="12" t="s">
        <v>27</v>
      </c>
      <c r="D25" s="15" t="s">
        <v>283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284</v>
      </c>
      <c r="C26" s="4" t="s">
        <v>285</v>
      </c>
      <c r="D26" s="10" t="s">
        <v>24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287</v>
      </c>
      <c r="C27" s="17" t="s">
        <v>288</v>
      </c>
      <c r="D27" s="15" t="s">
        <v>283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289</v>
      </c>
      <c r="C28" s="4" t="s">
        <v>290</v>
      </c>
      <c r="D28" s="10" t="s">
        <v>291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933</v>
      </c>
      <c r="C29" s="12" t="s">
        <v>293</v>
      </c>
      <c r="D29" s="10" t="s">
        <v>291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292</v>
      </c>
      <c r="C30" s="12" t="s">
        <v>293</v>
      </c>
      <c r="D30" s="15" t="s">
        <v>294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33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34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295</v>
      </c>
      <c r="C34" s="4" t="s">
        <v>296</v>
      </c>
      <c r="D34" s="10" t="s">
        <v>297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298</v>
      </c>
      <c r="C35" s="4" t="s">
        <v>537</v>
      </c>
      <c r="D35" s="10" t="s">
        <v>294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300</v>
      </c>
      <c r="C36" s="12" t="s">
        <v>534</v>
      </c>
      <c r="D36" s="15" t="s">
        <v>301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38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302</v>
      </c>
      <c r="C40" s="4" t="s">
        <v>303</v>
      </c>
      <c r="D40" s="10" t="s">
        <v>297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304</v>
      </c>
      <c r="C41" s="4" t="s">
        <v>305</v>
      </c>
      <c r="D41" s="10" t="s">
        <v>249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306</v>
      </c>
      <c r="C42" s="4" t="s">
        <v>307</v>
      </c>
      <c r="D42" s="10" t="s">
        <v>308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309</v>
      </c>
      <c r="C43" s="4" t="s">
        <v>310</v>
      </c>
      <c r="D43" s="10" t="s">
        <v>249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311</v>
      </c>
      <c r="C44" s="4" t="s">
        <v>310</v>
      </c>
      <c r="D44" s="10" t="s">
        <v>249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312</v>
      </c>
      <c r="C45" s="4" t="s">
        <v>310</v>
      </c>
      <c r="D45" s="10" t="s">
        <v>228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313</v>
      </c>
      <c r="C46" s="4" t="s">
        <v>256</v>
      </c>
      <c r="D46" s="16" t="s">
        <v>257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258</v>
      </c>
      <c r="C47" s="4" t="s">
        <v>259</v>
      </c>
      <c r="D47" s="10" t="s">
        <v>260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314</v>
      </c>
      <c r="C48" s="4" t="s">
        <v>63</v>
      </c>
      <c r="D48" s="10" t="s">
        <v>301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315</v>
      </c>
      <c r="C49" s="4" t="s">
        <v>63</v>
      </c>
      <c r="D49" s="10" t="s">
        <v>283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316</v>
      </c>
      <c r="C50" s="4" t="s">
        <v>63</v>
      </c>
      <c r="D50" s="10" t="s">
        <v>283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317</v>
      </c>
      <c r="C51" s="4" t="s">
        <v>63</v>
      </c>
      <c r="D51" s="10" t="s">
        <v>283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33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318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319</v>
      </c>
      <c r="C55" s="12" t="s">
        <v>320</v>
      </c>
      <c r="D55" s="15" t="s">
        <v>297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321</v>
      </c>
      <c r="C56" s="12" t="s">
        <v>322</v>
      </c>
      <c r="D56" s="15" t="s">
        <v>225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33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44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323</v>
      </c>
      <c r="C60" s="17" t="s">
        <v>324</v>
      </c>
      <c r="D60" s="10" t="s">
        <v>297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325</v>
      </c>
      <c r="C61" s="17" t="s">
        <v>326</v>
      </c>
      <c r="D61" s="15" t="s">
        <v>327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328</v>
      </c>
      <c r="C62" s="4" t="s">
        <v>256</v>
      </c>
      <c r="D62" s="10" t="s">
        <v>260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329</v>
      </c>
      <c r="C63" s="17" t="s">
        <v>46</v>
      </c>
      <c r="D63" s="15" t="s">
        <v>266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330</v>
      </c>
      <c r="C64" s="17" t="s">
        <v>256</v>
      </c>
      <c r="D64" s="15" t="s">
        <v>254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331</v>
      </c>
      <c r="C65" s="4" t="s">
        <v>63</v>
      </c>
      <c r="D65" s="10" t="s">
        <v>332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333</v>
      </c>
      <c r="C66" s="17" t="s">
        <v>275</v>
      </c>
      <c r="D66" s="10" t="s">
        <v>332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334</v>
      </c>
      <c r="C67" s="17" t="s">
        <v>275</v>
      </c>
      <c r="D67" s="10" t="s">
        <v>332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335</v>
      </c>
      <c r="C68" s="4" t="s">
        <v>336</v>
      </c>
      <c r="D68" s="10" t="s">
        <v>271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337</v>
      </c>
      <c r="C69" s="4" t="s">
        <v>63</v>
      </c>
      <c r="D69" s="10" t="s">
        <v>301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281</v>
      </c>
      <c r="C70" s="17" t="s">
        <v>273</v>
      </c>
      <c r="D70" s="10" t="s">
        <v>279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33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51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338</v>
      </c>
      <c r="C74" s="4" t="s">
        <v>339</v>
      </c>
      <c r="D74" s="10" t="s">
        <v>297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220</v>
      </c>
      <c r="C75" s="4" t="s">
        <v>221</v>
      </c>
      <c r="D75" s="15" t="s">
        <v>222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223</v>
      </c>
      <c r="C76" s="12" t="s">
        <v>224</v>
      </c>
      <c r="D76" s="10" t="s">
        <v>225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340</v>
      </c>
      <c r="C77" s="4" t="s">
        <v>341</v>
      </c>
      <c r="D77" s="15" t="s">
        <v>342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343</v>
      </c>
      <c r="C78" s="4" t="s">
        <v>344</v>
      </c>
      <c r="D78" s="10" t="s">
        <v>345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346</v>
      </c>
      <c r="C79" s="4" t="s">
        <v>344</v>
      </c>
      <c r="D79" s="10" t="s">
        <v>283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347</v>
      </c>
      <c r="C80" s="4" t="s">
        <v>348</v>
      </c>
      <c r="D80" s="10" t="s">
        <v>294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33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56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349</v>
      </c>
      <c r="C84" s="4" t="s">
        <v>310</v>
      </c>
      <c r="D84" s="10" t="s">
        <v>249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350</v>
      </c>
      <c r="C85" s="4" t="s">
        <v>310</v>
      </c>
      <c r="D85" s="10" t="s">
        <v>249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386</v>
      </c>
      <c r="C86" s="4" t="s">
        <v>310</v>
      </c>
      <c r="D86" s="10" t="s">
        <v>327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351</v>
      </c>
      <c r="C87" s="4" t="s">
        <v>310</v>
      </c>
      <c r="D87" s="10" t="s">
        <v>228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352</v>
      </c>
      <c r="C88" s="4" t="s">
        <v>353</v>
      </c>
      <c r="D88" s="15" t="s">
        <v>263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354</v>
      </c>
      <c r="C89" s="12" t="s">
        <v>46</v>
      </c>
      <c r="D89" s="15" t="s">
        <v>266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355</v>
      </c>
      <c r="C90" s="12" t="s">
        <v>256</v>
      </c>
      <c r="D90" s="15" t="s">
        <v>356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357</v>
      </c>
      <c r="C91" s="17" t="s">
        <v>275</v>
      </c>
      <c r="D91" s="15" t="s">
        <v>332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358</v>
      </c>
      <c r="C92" s="17" t="s">
        <v>275</v>
      </c>
      <c r="D92" s="15" t="s">
        <v>47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359</v>
      </c>
      <c r="C93" s="4" t="s">
        <v>360</v>
      </c>
      <c r="D93" s="10" t="s">
        <v>301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361</v>
      </c>
      <c r="C94" s="17" t="s">
        <v>362</v>
      </c>
      <c r="D94" s="15" t="s">
        <v>291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33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58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363</v>
      </c>
      <c r="C98" s="4" t="s">
        <v>364</v>
      </c>
      <c r="D98" s="16" t="s">
        <v>231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366</v>
      </c>
      <c r="C99" s="4" t="s">
        <v>367</v>
      </c>
      <c r="D99" s="15" t="s">
        <v>342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368</v>
      </c>
      <c r="C100" s="4" t="s">
        <v>369</v>
      </c>
      <c r="D100" s="15" t="s">
        <v>271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370</v>
      </c>
      <c r="C101" s="4" t="s">
        <v>371</v>
      </c>
      <c r="D101" s="15" t="s">
        <v>301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33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372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373</v>
      </c>
      <c r="C105" s="12" t="s">
        <v>374</v>
      </c>
      <c r="D105" s="15" t="s">
        <v>297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375</v>
      </c>
      <c r="C106" s="4" t="s">
        <v>376</v>
      </c>
      <c r="D106" s="16" t="s">
        <v>231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377</v>
      </c>
      <c r="C107" s="4" t="s">
        <v>378</v>
      </c>
      <c r="D107" s="10" t="s">
        <v>263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379</v>
      </c>
      <c r="C108" s="4" t="s">
        <v>378</v>
      </c>
      <c r="D108" s="10" t="s">
        <v>263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380</v>
      </c>
      <c r="C109" s="4" t="s">
        <v>381</v>
      </c>
      <c r="D109" s="15" t="s">
        <v>382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383</v>
      </c>
      <c r="C110" s="4" t="s">
        <v>381</v>
      </c>
      <c r="D110" s="10" t="s">
        <v>384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385</v>
      </c>
      <c r="C111" s="4" t="s">
        <v>381</v>
      </c>
      <c r="D111" s="15" t="s">
        <v>291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33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61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387</v>
      </c>
      <c r="C115" s="4" t="s">
        <v>388</v>
      </c>
      <c r="D115" s="15" t="s">
        <v>271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389</v>
      </c>
      <c r="C116" s="12" t="s">
        <v>390</v>
      </c>
      <c r="D116" s="15" t="s">
        <v>391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33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67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392</v>
      </c>
      <c r="C120" s="12" t="s">
        <v>393</v>
      </c>
      <c r="D120" s="15" t="s">
        <v>297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128</v>
      </c>
      <c r="C121" s="12" t="s">
        <v>394</v>
      </c>
      <c r="D121" s="15" t="s">
        <v>308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395</v>
      </c>
      <c r="C122" s="12" t="s">
        <v>227</v>
      </c>
      <c r="D122" s="15" t="s">
        <v>249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226</v>
      </c>
      <c r="C123" s="12" t="s">
        <v>227</v>
      </c>
      <c r="D123" s="15" t="s">
        <v>327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396</v>
      </c>
      <c r="C124" s="12" t="s">
        <v>397</v>
      </c>
      <c r="D124" s="15" t="s">
        <v>257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398</v>
      </c>
      <c r="C125" s="12" t="s">
        <v>399</v>
      </c>
      <c r="D125" s="15" t="s">
        <v>260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400</v>
      </c>
      <c r="C126" s="12" t="s">
        <v>397</v>
      </c>
      <c r="D126" s="15" t="s">
        <v>342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401</v>
      </c>
      <c r="C127" s="12" t="s">
        <v>402</v>
      </c>
      <c r="D127" s="10" t="s">
        <v>279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403</v>
      </c>
      <c r="C128" s="12" t="s">
        <v>404</v>
      </c>
      <c r="D128" s="15" t="s">
        <v>294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405</v>
      </c>
      <c r="C129" s="12" t="s">
        <v>69</v>
      </c>
      <c r="D129" s="15" t="s">
        <v>294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33</v>
      </c>
      <c r="C130" s="26" t="s">
        <v>406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71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407</v>
      </c>
      <c r="C133" s="12" t="s">
        <v>408</v>
      </c>
      <c r="D133" s="15" t="s">
        <v>297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229</v>
      </c>
      <c r="C134" s="12" t="s">
        <v>230</v>
      </c>
      <c r="D134" s="15" t="s">
        <v>231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409</v>
      </c>
      <c r="C135" s="4" t="s">
        <v>410</v>
      </c>
      <c r="D135" s="16" t="s">
        <v>231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411</v>
      </c>
      <c r="C136" s="12" t="s">
        <v>412</v>
      </c>
      <c r="D136" s="15" t="s">
        <v>254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413</v>
      </c>
      <c r="C137" s="4" t="s">
        <v>414</v>
      </c>
      <c r="D137" s="15" t="s">
        <v>254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415</v>
      </c>
      <c r="C138" s="4" t="s">
        <v>414</v>
      </c>
      <c r="D138" s="15" t="s">
        <v>254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416</v>
      </c>
      <c r="C139" s="12" t="s">
        <v>417</v>
      </c>
      <c r="D139" s="15" t="s">
        <v>391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418</v>
      </c>
      <c r="C140" s="12" t="s">
        <v>417</v>
      </c>
      <c r="D140" s="15" t="s">
        <v>391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419</v>
      </c>
      <c r="C141" s="4" t="s">
        <v>420</v>
      </c>
      <c r="D141" s="15" t="s">
        <v>391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421</v>
      </c>
      <c r="C142" s="12" t="s">
        <v>422</v>
      </c>
      <c r="D142" s="15" t="s">
        <v>271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423</v>
      </c>
      <c r="C143" s="12" t="s">
        <v>424</v>
      </c>
      <c r="D143" s="15" t="s">
        <v>332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425</v>
      </c>
      <c r="C144" s="12" t="s">
        <v>426</v>
      </c>
      <c r="D144" s="15" t="s">
        <v>391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427</v>
      </c>
      <c r="C145" s="4" t="s">
        <v>428</v>
      </c>
      <c r="D145" s="15" t="s">
        <v>41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429</v>
      </c>
      <c r="C146" s="4" t="s">
        <v>430</v>
      </c>
      <c r="D146" s="15" t="s">
        <v>345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431</v>
      </c>
      <c r="C147" s="4" t="s">
        <v>430</v>
      </c>
      <c r="D147" s="15" t="s">
        <v>432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433</v>
      </c>
      <c r="C148" s="4" t="s">
        <v>430</v>
      </c>
      <c r="D148" s="15" t="s">
        <v>432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434</v>
      </c>
      <c r="C149" s="12" t="s">
        <v>435</v>
      </c>
      <c r="D149" s="15" t="s">
        <v>301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436</v>
      </c>
      <c r="C150" s="12" t="s">
        <v>437</v>
      </c>
      <c r="D150" s="10" t="s">
        <v>283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438</v>
      </c>
      <c r="C151" s="12" t="s">
        <v>439</v>
      </c>
      <c r="D151" s="15" t="s">
        <v>345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440</v>
      </c>
      <c r="C152" s="12" t="s">
        <v>441</v>
      </c>
      <c r="D152" s="15" t="s">
        <v>279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442</v>
      </c>
      <c r="C153" s="12" t="s">
        <v>443</v>
      </c>
      <c r="D153" s="15" t="s">
        <v>345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444</v>
      </c>
      <c r="C154" s="12" t="s">
        <v>445</v>
      </c>
      <c r="D154" s="15" t="s">
        <v>279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446</v>
      </c>
      <c r="C155" s="12" t="s">
        <v>447</v>
      </c>
      <c r="D155" s="15" t="s">
        <v>24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448</v>
      </c>
      <c r="C156" s="12" t="s">
        <v>449</v>
      </c>
      <c r="D156" s="15" t="s">
        <v>294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450</v>
      </c>
      <c r="C157" s="12" t="s">
        <v>451</v>
      </c>
      <c r="D157" s="15" t="s">
        <v>294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452</v>
      </c>
      <c r="C158" s="12" t="s">
        <v>453</v>
      </c>
      <c r="D158" s="15" t="s">
        <v>294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454</v>
      </c>
      <c r="C159" s="12" t="s">
        <v>455</v>
      </c>
      <c r="D159" s="15" t="s">
        <v>291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456</v>
      </c>
      <c r="C160" s="12" t="s">
        <v>451</v>
      </c>
      <c r="D160" s="15" t="s">
        <v>294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457</v>
      </c>
      <c r="C161" s="12" t="s">
        <v>458</v>
      </c>
      <c r="D161" s="15" t="s">
        <v>459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460</v>
      </c>
      <c r="C162" s="12" t="s">
        <v>458</v>
      </c>
      <c r="D162" s="15" t="s">
        <v>459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461</v>
      </c>
      <c r="C163" s="12" t="s">
        <v>458</v>
      </c>
      <c r="D163" s="15" t="s">
        <v>459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462</v>
      </c>
      <c r="C164" s="12" t="s">
        <v>458</v>
      </c>
      <c r="D164" s="15" t="s">
        <v>459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463</v>
      </c>
      <c r="C165" s="12" t="s">
        <v>458</v>
      </c>
      <c r="D165" s="15" t="s">
        <v>459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464</v>
      </c>
      <c r="C166" s="12" t="s">
        <v>458</v>
      </c>
      <c r="D166" s="15" t="s">
        <v>465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466</v>
      </c>
      <c r="C167" s="12" t="s">
        <v>458</v>
      </c>
      <c r="D167" s="15" t="s">
        <v>465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467</v>
      </c>
      <c r="C168" s="12" t="s">
        <v>458</v>
      </c>
      <c r="D168" s="15" t="s">
        <v>465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468</v>
      </c>
      <c r="C169" s="12" t="s">
        <v>458</v>
      </c>
      <c r="D169" s="15" t="s">
        <v>465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469</v>
      </c>
      <c r="C170" s="12" t="s">
        <v>458</v>
      </c>
      <c r="D170" s="15" t="s">
        <v>465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470</v>
      </c>
      <c r="C171" s="12" t="s">
        <v>458</v>
      </c>
      <c r="D171" s="15" t="s">
        <v>465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471</v>
      </c>
      <c r="C172" s="12" t="s">
        <v>472</v>
      </c>
      <c r="D172" s="15" t="s">
        <v>473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474</v>
      </c>
      <c r="C173" s="12" t="s">
        <v>472</v>
      </c>
      <c r="D173" s="15" t="s">
        <v>473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475</v>
      </c>
      <c r="C174" s="12" t="s">
        <v>472</v>
      </c>
      <c r="D174" s="15" t="s">
        <v>476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477</v>
      </c>
      <c r="C175" s="12" t="s">
        <v>478</v>
      </c>
      <c r="D175" s="15" t="s">
        <v>479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480</v>
      </c>
      <c r="C176" s="12" t="s">
        <v>481</v>
      </c>
      <c r="D176" s="15" t="s">
        <v>482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483</v>
      </c>
      <c r="C177" s="12" t="s">
        <v>481</v>
      </c>
      <c r="D177" s="15" t="s">
        <v>482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484</v>
      </c>
      <c r="C178" s="12" t="s">
        <v>481</v>
      </c>
      <c r="D178" s="15" t="s">
        <v>482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485</v>
      </c>
      <c r="C179" s="12" t="s">
        <v>481</v>
      </c>
      <c r="D179" s="15" t="s">
        <v>482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486</v>
      </c>
      <c r="C180" s="12" t="s">
        <v>481</v>
      </c>
      <c r="D180" s="15" t="s">
        <v>482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487</v>
      </c>
      <c r="C181" s="12" t="s">
        <v>481</v>
      </c>
      <c r="D181" s="15" t="s">
        <v>482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488</v>
      </c>
      <c r="C182" s="12" t="s">
        <v>481</v>
      </c>
      <c r="D182" s="15" t="s">
        <v>482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489</v>
      </c>
      <c r="C183" s="12" t="s">
        <v>478</v>
      </c>
      <c r="D183" s="15" t="s">
        <v>482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490</v>
      </c>
      <c r="C184" s="12" t="s">
        <v>478</v>
      </c>
      <c r="D184" s="15" t="s">
        <v>482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491</v>
      </c>
      <c r="C185" s="12" t="s">
        <v>172</v>
      </c>
      <c r="D185" s="15" t="s">
        <v>492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493</v>
      </c>
      <c r="C186" s="12" t="s">
        <v>481</v>
      </c>
      <c r="D186" s="15" t="s">
        <v>494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495</v>
      </c>
      <c r="C187" s="12" t="s">
        <v>496</v>
      </c>
      <c r="D187" s="15" t="s">
        <v>497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498</v>
      </c>
      <c r="C188" s="12" t="s">
        <v>496</v>
      </c>
      <c r="D188" s="15" t="s">
        <v>497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499</v>
      </c>
      <c r="C189" s="12" t="s">
        <v>496</v>
      </c>
      <c r="D189" s="15" t="s">
        <v>497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500</v>
      </c>
      <c r="C190" s="12" t="s">
        <v>501</v>
      </c>
      <c r="D190" s="15" t="s">
        <v>502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503</v>
      </c>
      <c r="C191" s="12" t="s">
        <v>501</v>
      </c>
      <c r="D191" s="15" t="s">
        <v>502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33</v>
      </c>
      <c r="C192" s="28" t="s">
        <v>504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80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X14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934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935</v>
      </c>
      <c r="E4" s="80" t="s">
        <v>5</v>
      </c>
      <c r="F4" s="21" t="s">
        <v>566</v>
      </c>
      <c r="G4" s="21" t="s">
        <v>567</v>
      </c>
      <c r="H4" s="80" t="s">
        <v>568</v>
      </c>
      <c r="I4" s="21" t="s">
        <v>569</v>
      </c>
      <c r="J4" s="21" t="s">
        <v>570</v>
      </c>
      <c r="K4" s="21" t="s">
        <v>571</v>
      </c>
      <c r="L4" s="80" t="s">
        <v>7</v>
      </c>
      <c r="M4" s="80" t="s">
        <v>7</v>
      </c>
      <c r="N4" s="21" t="s">
        <v>572</v>
      </c>
      <c r="O4" s="21" t="s">
        <v>572</v>
      </c>
      <c r="P4" s="80" t="s">
        <v>8</v>
      </c>
      <c r="Q4" s="306" t="s">
        <v>139</v>
      </c>
      <c r="R4" s="7" t="s">
        <v>936</v>
      </c>
      <c r="S4" s="306" t="s">
        <v>542</v>
      </c>
      <c r="T4" s="80" t="s">
        <v>937</v>
      </c>
      <c r="U4" s="80" t="s">
        <v>938</v>
      </c>
      <c r="V4" s="80" t="s">
        <v>939</v>
      </c>
      <c r="W4" s="80" t="s">
        <v>940</v>
      </c>
      <c r="X4" s="80" t="s">
        <v>516</v>
      </c>
      <c r="Y4" s="319" t="s">
        <v>941</v>
      </c>
      <c r="Z4" s="320" t="s">
        <v>942</v>
      </c>
      <c r="AA4" s="80" t="s">
        <v>147</v>
      </c>
      <c r="AB4" s="321" t="s">
        <v>197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943</v>
      </c>
      <c r="C7" s="1" t="s">
        <v>944</v>
      </c>
      <c r="D7" s="15" t="s">
        <v>945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24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33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38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306</v>
      </c>
      <c r="C11" s="4" t="s">
        <v>310</v>
      </c>
      <c r="D11" s="10" t="s">
        <v>249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946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312</v>
      </c>
      <c r="C12" s="4" t="s">
        <v>259</v>
      </c>
      <c r="D12" s="10" t="s">
        <v>257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228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33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67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128</v>
      </c>
      <c r="C17" s="12" t="s">
        <v>227</v>
      </c>
      <c r="D17" s="15" t="s">
        <v>249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946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398</v>
      </c>
      <c r="C18" s="12" t="s">
        <v>399</v>
      </c>
      <c r="D18" s="15" t="s">
        <v>266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947</v>
      </c>
      <c r="S18" s="85" t="e">
        <f>'APRIL 2025 NEW'!#REF!</f>
        <v>#REF!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33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67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471</v>
      </c>
      <c r="C22" s="12" t="s">
        <v>478</v>
      </c>
      <c r="D22" s="15" t="s">
        <v>479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473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'[8]October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474</v>
      </c>
      <c r="C23" s="302" t="s">
        <v>478</v>
      </c>
      <c r="D23" s="303" t="s">
        <v>479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473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'[8]October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475</v>
      </c>
      <c r="C24" s="12" t="s">
        <v>478</v>
      </c>
      <c r="D24" s="15" t="s">
        <v>948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473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'[8]October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80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949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132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358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356">
        <v>540000</v>
      </c>
      <c r="F7" s="13"/>
    </row>
    <row r="8" customHeight="1" spans="1:6">
      <c r="A8" s="10">
        <v>2</v>
      </c>
      <c r="B8" s="11" t="s">
        <v>239</v>
      </c>
      <c r="C8" s="12" t="s">
        <v>240</v>
      </c>
      <c r="D8" s="10" t="s">
        <v>234</v>
      </c>
      <c r="E8" s="356">
        <v>180000</v>
      </c>
      <c r="F8" s="13"/>
    </row>
    <row r="9" customHeight="1" spans="1:6">
      <c r="A9" s="10">
        <v>3</v>
      </c>
      <c r="B9" s="14" t="s">
        <v>241</v>
      </c>
      <c r="C9" s="4" t="s">
        <v>242</v>
      </c>
      <c r="D9" s="15" t="s">
        <v>308</v>
      </c>
      <c r="E9" s="356">
        <v>180000</v>
      </c>
      <c r="F9" s="13"/>
    </row>
    <row r="10" customHeight="1" spans="1:6">
      <c r="A10" s="10">
        <v>4</v>
      </c>
      <c r="B10" s="11" t="s">
        <v>243</v>
      </c>
      <c r="C10" s="17" t="s">
        <v>244</v>
      </c>
      <c r="D10" s="16" t="s">
        <v>308</v>
      </c>
      <c r="E10" s="356">
        <v>180000</v>
      </c>
      <c r="F10" s="13"/>
    </row>
    <row r="11" customHeight="1" spans="1:6">
      <c r="A11" s="10">
        <v>5</v>
      </c>
      <c r="B11" s="14" t="s">
        <v>245</v>
      </c>
      <c r="C11" s="4" t="s">
        <v>246</v>
      </c>
      <c r="D11" s="16" t="s">
        <v>308</v>
      </c>
      <c r="E11" s="356">
        <v>180000</v>
      </c>
      <c r="F11" s="13"/>
    </row>
    <row r="12" customHeight="1" spans="1:6">
      <c r="A12" s="10">
        <v>6</v>
      </c>
      <c r="B12" s="18" t="s">
        <v>232</v>
      </c>
      <c r="C12" s="10" t="s">
        <v>233</v>
      </c>
      <c r="D12" s="15" t="s">
        <v>308</v>
      </c>
      <c r="E12" s="356">
        <v>180000</v>
      </c>
      <c r="F12" s="13"/>
    </row>
    <row r="13" customHeight="1" spans="1:6">
      <c r="A13" s="10">
        <v>7</v>
      </c>
      <c r="B13" s="11" t="s">
        <v>247</v>
      </c>
      <c r="C13" s="12" t="s">
        <v>248</v>
      </c>
      <c r="D13" s="15" t="s">
        <v>249</v>
      </c>
      <c r="E13" s="356">
        <v>126000</v>
      </c>
      <c r="F13" s="13"/>
    </row>
    <row r="14" customHeight="1" spans="1:6">
      <c r="A14" s="10">
        <v>8</v>
      </c>
      <c r="B14" s="11" t="s">
        <v>250</v>
      </c>
      <c r="C14" s="4" t="s">
        <v>251</v>
      </c>
      <c r="D14" s="10" t="s">
        <v>228</v>
      </c>
      <c r="E14" s="356">
        <v>126000</v>
      </c>
      <c r="F14" s="13"/>
    </row>
    <row r="15" customHeight="1" spans="1:6">
      <c r="A15" s="10">
        <v>9</v>
      </c>
      <c r="B15" s="11" t="s">
        <v>252</v>
      </c>
      <c r="C15" s="4" t="s">
        <v>253</v>
      </c>
      <c r="D15" s="15" t="s">
        <v>257</v>
      </c>
      <c r="E15" s="356">
        <f>90000</f>
        <v>90000</v>
      </c>
      <c r="F15" s="13"/>
    </row>
    <row r="16" customHeight="1" spans="1:6">
      <c r="A16" s="10">
        <v>10</v>
      </c>
      <c r="B16" s="14" t="s">
        <v>255</v>
      </c>
      <c r="C16" s="17" t="s">
        <v>256</v>
      </c>
      <c r="D16" s="15" t="s">
        <v>342</v>
      </c>
      <c r="E16" s="356">
        <f>90000</f>
        <v>90000</v>
      </c>
      <c r="F16" s="13"/>
    </row>
    <row r="17" customHeight="1" spans="1:5">
      <c r="A17" s="10">
        <v>11</v>
      </c>
      <c r="B17" s="11" t="s">
        <v>261</v>
      </c>
      <c r="C17" s="4" t="s">
        <v>262</v>
      </c>
      <c r="D17" s="10" t="s">
        <v>263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264</v>
      </c>
      <c r="C18" s="12" t="s">
        <v>265</v>
      </c>
      <c r="D18" s="15" t="s">
        <v>950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267</v>
      </c>
      <c r="C19" s="4" t="s">
        <v>268</v>
      </c>
      <c r="D19" s="15" t="s">
        <v>951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270</v>
      </c>
      <c r="C20" s="12" t="s">
        <v>50</v>
      </c>
      <c r="D20" s="15" t="s">
        <v>332</v>
      </c>
      <c r="E20" s="356">
        <v>54000</v>
      </c>
      <c r="F20" s="13"/>
    </row>
    <row r="21" customHeight="1" spans="1:6">
      <c r="A21" s="10">
        <v>15</v>
      </c>
      <c r="B21" s="14" t="s">
        <v>272</v>
      </c>
      <c r="C21" s="17" t="s">
        <v>273</v>
      </c>
      <c r="D21" s="10" t="s">
        <v>41</v>
      </c>
      <c r="E21" s="356">
        <v>54000</v>
      </c>
      <c r="F21" s="13"/>
    </row>
    <row r="22" customHeight="1" spans="1:6">
      <c r="A22" s="10">
        <v>16</v>
      </c>
      <c r="B22" s="14" t="s">
        <v>276</v>
      </c>
      <c r="C22" s="17" t="s">
        <v>277</v>
      </c>
      <c r="D22" s="10" t="s">
        <v>37</v>
      </c>
      <c r="E22" s="356">
        <v>54000</v>
      </c>
      <c r="F22" s="13"/>
    </row>
    <row r="23" ht="18.75" customHeight="1" spans="1:6">
      <c r="A23" s="10">
        <v>17</v>
      </c>
      <c r="B23" s="4" t="s">
        <v>278</v>
      </c>
      <c r="C23" s="4" t="s">
        <v>176</v>
      </c>
      <c r="D23" s="10" t="s">
        <v>283</v>
      </c>
      <c r="E23" s="356">
        <v>54000</v>
      </c>
      <c r="F23" s="13"/>
    </row>
    <row r="24" ht="18.75" customHeight="1" spans="1:6">
      <c r="A24" s="10">
        <v>18</v>
      </c>
      <c r="B24" s="18" t="s">
        <v>280</v>
      </c>
      <c r="C24" s="12" t="s">
        <v>176</v>
      </c>
      <c r="D24" s="15" t="s">
        <v>283</v>
      </c>
      <c r="E24" s="356">
        <v>54000</v>
      </c>
      <c r="F24" s="13"/>
    </row>
    <row r="25" ht="18.75" customHeight="1" spans="1:6">
      <c r="A25" s="10">
        <v>19</v>
      </c>
      <c r="B25" s="18" t="s">
        <v>282</v>
      </c>
      <c r="C25" s="12" t="s">
        <v>27</v>
      </c>
      <c r="D25" s="15" t="s">
        <v>24</v>
      </c>
      <c r="E25" s="356">
        <v>54000</v>
      </c>
      <c r="F25" s="13"/>
    </row>
    <row r="26" ht="18.75" customHeight="1" spans="1:6">
      <c r="A26" s="10">
        <v>20</v>
      </c>
      <c r="B26" s="18" t="s">
        <v>284</v>
      </c>
      <c r="C26" s="4" t="s">
        <v>285</v>
      </c>
      <c r="D26" s="10" t="s">
        <v>24</v>
      </c>
      <c r="E26" s="356">
        <v>54000</v>
      </c>
      <c r="F26" s="13"/>
    </row>
    <row r="27" ht="18.75" customHeight="1" spans="1:6">
      <c r="A27" s="10">
        <v>21</v>
      </c>
      <c r="B27" s="18" t="s">
        <v>287</v>
      </c>
      <c r="C27" s="17" t="s">
        <v>288</v>
      </c>
      <c r="D27" s="15" t="s">
        <v>283</v>
      </c>
      <c r="E27" s="356">
        <v>54000</v>
      </c>
      <c r="F27" s="13"/>
    </row>
    <row r="28" ht="18.75" customHeight="1" spans="1:6">
      <c r="A28" s="10">
        <v>22</v>
      </c>
      <c r="B28" s="18" t="s">
        <v>289</v>
      </c>
      <c r="C28" s="4" t="s">
        <v>290</v>
      </c>
      <c r="D28" s="10" t="s">
        <v>294</v>
      </c>
      <c r="E28" s="356">
        <v>54000</v>
      </c>
      <c r="F28" s="13"/>
    </row>
    <row r="29" ht="18.75" customHeight="1" spans="1:6">
      <c r="A29" s="10">
        <v>23</v>
      </c>
      <c r="B29" s="18" t="s">
        <v>933</v>
      </c>
      <c r="C29" s="12" t="s">
        <v>293</v>
      </c>
      <c r="D29" s="15" t="s">
        <v>294</v>
      </c>
      <c r="E29" s="356">
        <v>54000</v>
      </c>
      <c r="F29" s="13"/>
    </row>
    <row r="30" ht="18.75" customHeight="1" spans="1:6">
      <c r="A30" s="10">
        <v>24</v>
      </c>
      <c r="B30" s="18" t="s">
        <v>292</v>
      </c>
      <c r="C30" s="12" t="s">
        <v>293</v>
      </c>
      <c r="D30" s="15" t="s">
        <v>30</v>
      </c>
      <c r="E30" s="356">
        <v>54000</v>
      </c>
      <c r="F30" s="13"/>
    </row>
    <row r="31" ht="26.25" customHeight="1" spans="1:6">
      <c r="A31" s="10"/>
      <c r="B31" s="20" t="s">
        <v>33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34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295</v>
      </c>
      <c r="C34" s="4" t="s">
        <v>296</v>
      </c>
      <c r="D34" s="10" t="s">
        <v>297</v>
      </c>
      <c r="E34" s="356">
        <v>270000</v>
      </c>
      <c r="F34" s="13"/>
    </row>
    <row r="35" ht="18.75" customHeight="1" spans="1:6">
      <c r="A35" s="10">
        <v>2</v>
      </c>
      <c r="B35" s="18" t="s">
        <v>298</v>
      </c>
      <c r="C35" s="4" t="s">
        <v>537</v>
      </c>
      <c r="D35" s="10" t="s">
        <v>30</v>
      </c>
      <c r="E35" s="356">
        <v>54000</v>
      </c>
      <c r="F35" s="13"/>
    </row>
    <row r="36" ht="18.75" customHeight="1" spans="1:6">
      <c r="A36" s="10">
        <v>3</v>
      </c>
      <c r="B36" s="11" t="s">
        <v>300</v>
      </c>
      <c r="C36" s="12" t="s">
        <v>534</v>
      </c>
      <c r="D36" s="15" t="s">
        <v>37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38</v>
      </c>
      <c r="C39" s="5"/>
      <c r="D39" s="24"/>
      <c r="E39" s="359"/>
      <c r="F39" s="13"/>
    </row>
    <row r="40" customHeight="1" spans="1:6">
      <c r="A40" s="10">
        <v>1</v>
      </c>
      <c r="B40" s="11" t="s">
        <v>302</v>
      </c>
      <c r="C40" s="4" t="s">
        <v>303</v>
      </c>
      <c r="D40" s="10" t="s">
        <v>297</v>
      </c>
      <c r="E40" s="356">
        <v>270000</v>
      </c>
      <c r="F40" s="13"/>
    </row>
    <row r="41" customHeight="1" spans="1:6">
      <c r="A41" s="10">
        <v>2</v>
      </c>
      <c r="B41" s="11" t="s">
        <v>306</v>
      </c>
      <c r="C41" s="4" t="s">
        <v>307</v>
      </c>
      <c r="D41" s="10" t="s">
        <v>946</v>
      </c>
      <c r="E41" s="356">
        <f>180000</f>
        <v>180000</v>
      </c>
      <c r="F41" s="13"/>
    </row>
    <row r="42" customHeight="1" spans="1:6">
      <c r="A42" s="10">
        <v>3</v>
      </c>
      <c r="B42" s="11" t="s">
        <v>304</v>
      </c>
      <c r="C42" s="4" t="s">
        <v>305</v>
      </c>
      <c r="D42" s="10" t="s">
        <v>249</v>
      </c>
      <c r="E42" s="356">
        <v>126000</v>
      </c>
      <c r="F42" s="13"/>
    </row>
    <row r="43" customHeight="1" spans="1:6">
      <c r="A43" s="10">
        <v>4</v>
      </c>
      <c r="B43" s="11" t="s">
        <v>309</v>
      </c>
      <c r="C43" s="4" t="s">
        <v>310</v>
      </c>
      <c r="D43" s="10" t="s">
        <v>249</v>
      </c>
      <c r="E43" s="356">
        <v>126000</v>
      </c>
      <c r="F43" s="13"/>
    </row>
    <row r="44" customHeight="1" spans="1:6">
      <c r="A44" s="10">
        <v>5</v>
      </c>
      <c r="B44" s="11" t="s">
        <v>311</v>
      </c>
      <c r="C44" s="4" t="s">
        <v>310</v>
      </c>
      <c r="D44" s="10" t="s">
        <v>327</v>
      </c>
      <c r="E44" s="356">
        <v>126000</v>
      </c>
      <c r="F44" s="13"/>
    </row>
    <row r="45" customHeight="1" spans="1:6">
      <c r="A45" s="10">
        <v>6</v>
      </c>
      <c r="B45" s="11" t="s">
        <v>312</v>
      </c>
      <c r="C45" s="4" t="s">
        <v>310</v>
      </c>
      <c r="D45" s="10" t="s">
        <v>228</v>
      </c>
      <c r="E45" s="356">
        <v>126000</v>
      </c>
      <c r="F45" s="13"/>
    </row>
    <row r="46" customHeight="1" spans="1:6">
      <c r="A46" s="10">
        <v>7</v>
      </c>
      <c r="B46" s="14" t="s">
        <v>313</v>
      </c>
      <c r="C46" s="4" t="s">
        <v>256</v>
      </c>
      <c r="D46" s="16" t="s">
        <v>257</v>
      </c>
      <c r="E46" s="356">
        <v>90000</v>
      </c>
      <c r="F46" s="13"/>
    </row>
    <row r="47" customHeight="1" spans="1:6">
      <c r="A47" s="10">
        <v>8</v>
      </c>
      <c r="B47" s="11" t="s">
        <v>258</v>
      </c>
      <c r="C47" s="4" t="s">
        <v>259</v>
      </c>
      <c r="D47" s="10" t="s">
        <v>260</v>
      </c>
      <c r="E47" s="356">
        <v>90000</v>
      </c>
      <c r="F47" s="13"/>
    </row>
    <row r="48" customHeight="1" spans="1:6">
      <c r="A48" s="10">
        <v>9</v>
      </c>
      <c r="B48" s="11" t="s">
        <v>314</v>
      </c>
      <c r="C48" s="4" t="s">
        <v>63</v>
      </c>
      <c r="D48" s="10" t="s">
        <v>37</v>
      </c>
      <c r="E48" s="356">
        <v>54000</v>
      </c>
      <c r="F48" s="13"/>
    </row>
    <row r="49" customHeight="1" spans="1:6">
      <c r="A49" s="10">
        <v>10</v>
      </c>
      <c r="B49" s="11" t="s">
        <v>315</v>
      </c>
      <c r="C49" s="4" t="s">
        <v>63</v>
      </c>
      <c r="D49" s="10" t="s">
        <v>24</v>
      </c>
      <c r="E49" s="356">
        <v>54000</v>
      </c>
      <c r="F49" s="13"/>
    </row>
    <row r="50" customHeight="1" spans="1:6">
      <c r="A50" s="10">
        <v>11</v>
      </c>
      <c r="B50" s="11" t="s">
        <v>316</v>
      </c>
      <c r="C50" s="4" t="s">
        <v>63</v>
      </c>
      <c r="D50" s="10" t="s">
        <v>24</v>
      </c>
      <c r="E50" s="356">
        <v>54000</v>
      </c>
      <c r="F50" s="13"/>
    </row>
    <row r="51" customHeight="1" spans="1:6">
      <c r="A51" s="10">
        <v>12</v>
      </c>
      <c r="B51" s="11" t="s">
        <v>317</v>
      </c>
      <c r="C51" s="4" t="s">
        <v>63</v>
      </c>
      <c r="D51" s="10" t="s">
        <v>24</v>
      </c>
      <c r="E51" s="356">
        <v>54000</v>
      </c>
      <c r="F51" s="13"/>
    </row>
    <row r="52" ht="25.5" customHeight="1" spans="1:6">
      <c r="A52" s="10"/>
      <c r="B52" s="20" t="s">
        <v>33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318</v>
      </c>
      <c r="C54" s="21"/>
      <c r="D54" s="21"/>
      <c r="E54" s="361"/>
      <c r="F54" s="13"/>
    </row>
    <row r="55" customHeight="1" spans="1:6">
      <c r="A55" s="10">
        <v>1</v>
      </c>
      <c r="B55" s="11" t="s">
        <v>319</v>
      </c>
      <c r="C55" s="12" t="s">
        <v>320</v>
      </c>
      <c r="D55" s="15" t="s">
        <v>297</v>
      </c>
      <c r="E55" s="356">
        <v>270000</v>
      </c>
      <c r="F55" s="13"/>
    </row>
    <row r="56" customHeight="1" spans="1:6">
      <c r="A56" s="10">
        <v>2</v>
      </c>
      <c r="B56" s="11" t="s">
        <v>321</v>
      </c>
      <c r="C56" s="12" t="s">
        <v>322</v>
      </c>
      <c r="D56" s="15" t="s">
        <v>222</v>
      </c>
      <c r="E56" s="356">
        <v>126000</v>
      </c>
      <c r="F56" s="13"/>
    </row>
    <row r="57" customHeight="1" spans="1:6">
      <c r="A57" s="10"/>
      <c r="B57" s="20" t="s">
        <v>33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44</v>
      </c>
      <c r="C59" s="21"/>
      <c r="D59" s="21"/>
      <c r="E59" s="361"/>
      <c r="F59" s="13"/>
    </row>
    <row r="60" customHeight="1" spans="1:6">
      <c r="A60" s="10">
        <v>1</v>
      </c>
      <c r="B60" s="11" t="s">
        <v>323</v>
      </c>
      <c r="C60" s="17" t="s">
        <v>324</v>
      </c>
      <c r="D60" s="10" t="s">
        <v>297</v>
      </c>
      <c r="E60" s="356">
        <v>270000</v>
      </c>
      <c r="F60" s="13"/>
    </row>
    <row r="61" customHeight="1" spans="1:6">
      <c r="A61" s="10">
        <v>2</v>
      </c>
      <c r="B61" s="351" t="s">
        <v>325</v>
      </c>
      <c r="C61" s="17" t="s">
        <v>326</v>
      </c>
      <c r="D61" s="15" t="s">
        <v>952</v>
      </c>
      <c r="E61" s="356">
        <v>126000</v>
      </c>
      <c r="F61" s="13"/>
    </row>
    <row r="62" customHeight="1" spans="1:6">
      <c r="A62" s="10">
        <v>3</v>
      </c>
      <c r="B62" s="11" t="s">
        <v>328</v>
      </c>
      <c r="C62" s="4" t="s">
        <v>256</v>
      </c>
      <c r="D62" s="10" t="s">
        <v>260</v>
      </c>
      <c r="E62" s="356">
        <v>90000</v>
      </c>
      <c r="F62" s="13"/>
    </row>
    <row r="63" customHeight="1" spans="1:6">
      <c r="A63" s="10">
        <v>4</v>
      </c>
      <c r="B63" s="18" t="s">
        <v>329</v>
      </c>
      <c r="C63" s="17" t="s">
        <v>46</v>
      </c>
      <c r="D63" s="15" t="s">
        <v>950</v>
      </c>
      <c r="E63" s="356">
        <v>90000</v>
      </c>
      <c r="F63" s="13"/>
    </row>
    <row r="64" customHeight="1" spans="1:6">
      <c r="A64" s="10">
        <v>5</v>
      </c>
      <c r="B64" s="14" t="s">
        <v>330</v>
      </c>
      <c r="C64" s="17" t="s">
        <v>256</v>
      </c>
      <c r="D64" s="15" t="s">
        <v>257</v>
      </c>
      <c r="E64" s="356">
        <v>90000</v>
      </c>
      <c r="F64" s="13"/>
    </row>
    <row r="65" customHeight="1" spans="1:6">
      <c r="A65" s="10">
        <v>7</v>
      </c>
      <c r="B65" s="11" t="s">
        <v>331</v>
      </c>
      <c r="C65" s="4" t="s">
        <v>63</v>
      </c>
      <c r="D65" s="10" t="s">
        <v>41</v>
      </c>
      <c r="E65" s="356">
        <v>54000</v>
      </c>
      <c r="F65" s="13"/>
    </row>
    <row r="66" customHeight="1" spans="1:6">
      <c r="A66" s="10">
        <v>8</v>
      </c>
      <c r="B66" s="11" t="s">
        <v>333</v>
      </c>
      <c r="C66" s="17" t="s">
        <v>275</v>
      </c>
      <c r="D66" s="15" t="s">
        <v>41</v>
      </c>
      <c r="E66" s="356">
        <v>54000</v>
      </c>
      <c r="F66" s="13"/>
    </row>
    <row r="67" customHeight="1" spans="1:6">
      <c r="A67" s="10">
        <v>9</v>
      </c>
      <c r="B67" s="11" t="s">
        <v>334</v>
      </c>
      <c r="C67" s="17" t="s">
        <v>275</v>
      </c>
      <c r="D67" s="15" t="s">
        <v>41</v>
      </c>
      <c r="E67" s="356">
        <v>54000</v>
      </c>
      <c r="F67" s="13"/>
    </row>
    <row r="68" customHeight="1" spans="1:6">
      <c r="A68" s="10">
        <v>10</v>
      </c>
      <c r="B68" s="11" t="s">
        <v>335</v>
      </c>
      <c r="C68" s="4" t="s">
        <v>336</v>
      </c>
      <c r="D68" s="10" t="s">
        <v>332</v>
      </c>
      <c r="E68" s="356">
        <v>54000</v>
      </c>
      <c r="F68" s="13"/>
    </row>
    <row r="69" ht="21.6" customHeight="1" spans="1:5">
      <c r="A69" s="10">
        <v>11</v>
      </c>
      <c r="B69" s="11" t="s">
        <v>337</v>
      </c>
      <c r="C69" s="4" t="s">
        <v>63</v>
      </c>
      <c r="D69" s="10" t="s">
        <v>37</v>
      </c>
      <c r="E69" s="356">
        <v>54000</v>
      </c>
    </row>
    <row r="70" customHeight="1" spans="1:6">
      <c r="A70" s="10">
        <v>12</v>
      </c>
      <c r="B70" s="11" t="s">
        <v>281</v>
      </c>
      <c r="C70" s="17" t="s">
        <v>273</v>
      </c>
      <c r="D70" s="10" t="s">
        <v>283</v>
      </c>
      <c r="E70" s="356">
        <v>54000</v>
      </c>
      <c r="F70" s="13"/>
    </row>
    <row r="71" ht="27" customHeight="1" spans="1:6">
      <c r="A71" s="10"/>
      <c r="B71" s="20" t="s">
        <v>33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51</v>
      </c>
      <c r="C73" s="21"/>
      <c r="D73" s="21"/>
      <c r="E73" s="361"/>
      <c r="F73" s="13"/>
    </row>
    <row r="74" customHeight="1" spans="1:6">
      <c r="A74" s="10">
        <v>1</v>
      </c>
      <c r="B74" s="11" t="s">
        <v>338</v>
      </c>
      <c r="C74" s="4" t="s">
        <v>339</v>
      </c>
      <c r="D74" s="10" t="s">
        <v>297</v>
      </c>
      <c r="E74" s="356">
        <v>270000</v>
      </c>
      <c r="F74" s="13"/>
    </row>
    <row r="75" customHeight="1" spans="1:6">
      <c r="A75" s="10">
        <v>2</v>
      </c>
      <c r="B75" s="14" t="s">
        <v>220</v>
      </c>
      <c r="C75" s="4" t="s">
        <v>221</v>
      </c>
      <c r="D75" s="15" t="s">
        <v>952</v>
      </c>
      <c r="E75" s="356">
        <v>126000</v>
      </c>
      <c r="F75" s="13"/>
    </row>
    <row r="76" customHeight="1" spans="1:6">
      <c r="A76" s="10">
        <v>3</v>
      </c>
      <c r="B76" s="18" t="s">
        <v>223</v>
      </c>
      <c r="C76" s="12" t="s">
        <v>224</v>
      </c>
      <c r="D76" s="10" t="s">
        <v>222</v>
      </c>
      <c r="E76" s="356">
        <v>126000</v>
      </c>
      <c r="F76" s="13"/>
    </row>
    <row r="77" customHeight="1" spans="1:6">
      <c r="A77" s="10">
        <v>4</v>
      </c>
      <c r="B77" s="11" t="s">
        <v>340</v>
      </c>
      <c r="C77" s="4" t="s">
        <v>341</v>
      </c>
      <c r="D77" s="15" t="s">
        <v>260</v>
      </c>
      <c r="E77" s="356">
        <v>90000</v>
      </c>
      <c r="F77" s="13"/>
    </row>
    <row r="78" customHeight="1" spans="1:6">
      <c r="A78" s="10">
        <v>5</v>
      </c>
      <c r="B78" s="11" t="s">
        <v>343</v>
      </c>
      <c r="C78" s="4" t="s">
        <v>344</v>
      </c>
      <c r="D78" s="10" t="s">
        <v>301</v>
      </c>
      <c r="E78" s="356">
        <v>54000</v>
      </c>
      <c r="F78" s="13"/>
    </row>
    <row r="79" customHeight="1" spans="1:6">
      <c r="A79" s="10">
        <v>6</v>
      </c>
      <c r="B79" s="11" t="s">
        <v>346</v>
      </c>
      <c r="C79" s="4" t="s">
        <v>344</v>
      </c>
      <c r="D79" s="10" t="s">
        <v>24</v>
      </c>
      <c r="E79" s="356">
        <v>54000</v>
      </c>
      <c r="F79" s="13"/>
    </row>
    <row r="80" customHeight="1" spans="1:6">
      <c r="A80" s="10">
        <v>7</v>
      </c>
      <c r="B80" s="11" t="s">
        <v>347</v>
      </c>
      <c r="C80" s="4" t="s">
        <v>348</v>
      </c>
      <c r="D80" s="10" t="s">
        <v>30</v>
      </c>
      <c r="E80" s="356">
        <v>54000</v>
      </c>
      <c r="F80" s="13"/>
    </row>
    <row r="81" customHeight="1" spans="1:6">
      <c r="A81" s="10"/>
      <c r="B81" s="20" t="s">
        <v>33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56</v>
      </c>
      <c r="C83" s="25"/>
      <c r="D83" s="21"/>
      <c r="E83" s="361"/>
      <c r="F83" s="13"/>
    </row>
    <row r="84" customHeight="1" spans="1:6">
      <c r="A84" s="10">
        <v>1</v>
      </c>
      <c r="B84" s="11" t="s">
        <v>349</v>
      </c>
      <c r="C84" s="4" t="s">
        <v>310</v>
      </c>
      <c r="D84" s="10" t="s">
        <v>249</v>
      </c>
      <c r="E84" s="356">
        <v>126000</v>
      </c>
      <c r="F84" s="13"/>
    </row>
    <row r="85" customHeight="1" spans="1:6">
      <c r="A85" s="10">
        <v>2</v>
      </c>
      <c r="B85" s="11" t="s">
        <v>350</v>
      </c>
      <c r="C85" s="4" t="s">
        <v>310</v>
      </c>
      <c r="D85" s="10" t="s">
        <v>249</v>
      </c>
      <c r="E85" s="356">
        <v>126000</v>
      </c>
      <c r="F85" s="13"/>
    </row>
    <row r="86" customHeight="1" spans="1:6">
      <c r="A86" s="10">
        <v>3</v>
      </c>
      <c r="B86" s="14" t="s">
        <v>386</v>
      </c>
      <c r="C86" s="4" t="s">
        <v>310</v>
      </c>
      <c r="D86" s="10" t="s">
        <v>228</v>
      </c>
      <c r="E86" s="356">
        <v>126000</v>
      </c>
      <c r="F86" s="13"/>
    </row>
    <row r="87" customHeight="1" spans="1:6">
      <c r="A87" s="10">
        <v>4</v>
      </c>
      <c r="B87" s="11" t="s">
        <v>351</v>
      </c>
      <c r="C87" s="4" t="s">
        <v>310</v>
      </c>
      <c r="D87" s="10" t="s">
        <v>228</v>
      </c>
      <c r="E87" s="356">
        <v>126000</v>
      </c>
      <c r="F87" s="13"/>
    </row>
    <row r="88" ht="21.6" customHeight="1" spans="1:6">
      <c r="A88" s="10">
        <v>5</v>
      </c>
      <c r="B88" s="11" t="s">
        <v>352</v>
      </c>
      <c r="C88" s="4" t="s">
        <v>353</v>
      </c>
      <c r="D88" s="15" t="s">
        <v>266</v>
      </c>
      <c r="E88" s="356">
        <v>90000</v>
      </c>
      <c r="F88" s="13"/>
    </row>
    <row r="89" ht="21.6" customHeight="1" spans="1:6">
      <c r="A89" s="10">
        <v>6</v>
      </c>
      <c r="B89" s="11" t="s">
        <v>354</v>
      </c>
      <c r="C89" s="12" t="s">
        <v>46</v>
      </c>
      <c r="D89" s="15" t="s">
        <v>950</v>
      </c>
      <c r="E89" s="356">
        <v>90000</v>
      </c>
      <c r="F89" s="13"/>
    </row>
    <row r="90" ht="21.6" customHeight="1" spans="1:6">
      <c r="A90" s="10">
        <v>7</v>
      </c>
      <c r="B90" s="11" t="s">
        <v>355</v>
      </c>
      <c r="C90" s="12" t="s">
        <v>256</v>
      </c>
      <c r="D90" s="15" t="s">
        <v>356</v>
      </c>
      <c r="E90" s="356">
        <v>90000</v>
      </c>
      <c r="F90" s="13"/>
    </row>
    <row r="91" ht="21.6" customHeight="1" spans="1:6">
      <c r="A91" s="10">
        <v>8</v>
      </c>
      <c r="B91" s="11" t="s">
        <v>357</v>
      </c>
      <c r="C91" s="17" t="s">
        <v>275</v>
      </c>
      <c r="D91" s="15" t="s">
        <v>41</v>
      </c>
      <c r="E91" s="356">
        <v>54000</v>
      </c>
      <c r="F91" s="13"/>
    </row>
    <row r="92" ht="21.6" customHeight="1" spans="1:6">
      <c r="A92" s="10">
        <v>9</v>
      </c>
      <c r="B92" s="11" t="s">
        <v>358</v>
      </c>
      <c r="C92" s="17" t="s">
        <v>275</v>
      </c>
      <c r="D92" s="15" t="s">
        <v>41</v>
      </c>
      <c r="E92" s="356">
        <v>54000</v>
      </c>
      <c r="F92" s="13"/>
    </row>
    <row r="93" ht="21.6" customHeight="1" spans="1:6">
      <c r="A93" s="10">
        <v>10</v>
      </c>
      <c r="B93" s="11" t="s">
        <v>359</v>
      </c>
      <c r="C93" s="4" t="s">
        <v>360</v>
      </c>
      <c r="D93" s="10" t="s">
        <v>37</v>
      </c>
      <c r="E93" s="356">
        <v>54000</v>
      </c>
      <c r="F93" s="13"/>
    </row>
    <row r="94" ht="21.6" customHeight="1" spans="1:6">
      <c r="A94" s="10">
        <v>11</v>
      </c>
      <c r="B94" s="11" t="s">
        <v>361</v>
      </c>
      <c r="C94" s="17" t="s">
        <v>362</v>
      </c>
      <c r="D94" s="15" t="s">
        <v>294</v>
      </c>
      <c r="E94" s="356">
        <v>54000</v>
      </c>
      <c r="F94" s="13"/>
    </row>
    <row r="95" customHeight="1" spans="1:6">
      <c r="A95" s="10"/>
      <c r="B95" s="20" t="s">
        <v>33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58</v>
      </c>
      <c r="C97" s="21"/>
      <c r="D97" s="21"/>
      <c r="E97" s="361"/>
      <c r="F97" s="13"/>
    </row>
    <row r="98" customHeight="1" spans="1:6">
      <c r="A98" s="10">
        <v>1</v>
      </c>
      <c r="B98" s="14" t="s">
        <v>363</v>
      </c>
      <c r="C98" s="4" t="s">
        <v>364</v>
      </c>
      <c r="D98" s="16" t="s">
        <v>308</v>
      </c>
      <c r="E98" s="356">
        <f>180000</f>
        <v>180000</v>
      </c>
      <c r="F98" s="13"/>
    </row>
    <row r="99" customHeight="1" spans="1:6">
      <c r="A99" s="10">
        <v>2</v>
      </c>
      <c r="B99" s="11" t="s">
        <v>366</v>
      </c>
      <c r="C99" s="4" t="s">
        <v>367</v>
      </c>
      <c r="D99" s="15" t="s">
        <v>260</v>
      </c>
      <c r="E99" s="356">
        <v>90000</v>
      </c>
      <c r="F99" s="13"/>
    </row>
    <row r="100" customHeight="1" spans="1:6">
      <c r="A100" s="10">
        <v>3</v>
      </c>
      <c r="B100" s="11" t="s">
        <v>368</v>
      </c>
      <c r="C100" s="4" t="s">
        <v>369</v>
      </c>
      <c r="D100" s="15" t="s">
        <v>332</v>
      </c>
      <c r="E100" s="356">
        <v>54000</v>
      </c>
      <c r="F100" s="13"/>
    </row>
    <row r="101" customHeight="1" spans="1:6">
      <c r="A101" s="10">
        <v>4</v>
      </c>
      <c r="B101" s="11" t="s">
        <v>370</v>
      </c>
      <c r="C101" s="4" t="s">
        <v>371</v>
      </c>
      <c r="D101" s="15" t="s">
        <v>37</v>
      </c>
      <c r="E101" s="356">
        <v>54000</v>
      </c>
      <c r="F101" s="13"/>
    </row>
    <row r="102" customHeight="1" spans="1:6">
      <c r="A102" s="4"/>
      <c r="B102" s="20" t="s">
        <v>33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372</v>
      </c>
      <c r="C104" s="4"/>
      <c r="D104" s="4"/>
      <c r="E104" s="362"/>
      <c r="F104" s="13"/>
    </row>
    <row r="105" customHeight="1" spans="1:6">
      <c r="A105" s="4">
        <v>1</v>
      </c>
      <c r="B105" s="11" t="s">
        <v>373</v>
      </c>
      <c r="C105" s="12" t="s">
        <v>374</v>
      </c>
      <c r="D105" s="15" t="s">
        <v>297</v>
      </c>
      <c r="E105" s="356">
        <v>270000</v>
      </c>
      <c r="F105" s="13"/>
    </row>
    <row r="106" customHeight="1" spans="1:6">
      <c r="A106" s="4">
        <v>2</v>
      </c>
      <c r="B106" s="11" t="s">
        <v>375</v>
      </c>
      <c r="C106" s="4" t="s">
        <v>376</v>
      </c>
      <c r="D106" s="16" t="s">
        <v>308</v>
      </c>
      <c r="E106" s="356">
        <v>180000</v>
      </c>
      <c r="F106" s="13"/>
    </row>
    <row r="107" customHeight="1" spans="1:6">
      <c r="A107" s="4">
        <v>3</v>
      </c>
      <c r="B107" s="11" t="s">
        <v>377</v>
      </c>
      <c r="C107" s="4" t="s">
        <v>378</v>
      </c>
      <c r="D107" s="10" t="s">
        <v>263</v>
      </c>
      <c r="E107" s="356">
        <v>90000</v>
      </c>
      <c r="F107" s="13"/>
    </row>
    <row r="108" customHeight="1" spans="1:6">
      <c r="A108" s="4">
        <v>4</v>
      </c>
      <c r="B108" s="11" t="s">
        <v>379</v>
      </c>
      <c r="C108" s="4" t="s">
        <v>378</v>
      </c>
      <c r="D108" s="10" t="s">
        <v>263</v>
      </c>
      <c r="E108" s="356">
        <v>90000</v>
      </c>
      <c r="F108" s="13"/>
    </row>
    <row r="109" customHeight="1" spans="1:6">
      <c r="A109" s="4">
        <v>5</v>
      </c>
      <c r="B109" s="11" t="s">
        <v>380</v>
      </c>
      <c r="C109" s="4" t="s">
        <v>381</v>
      </c>
      <c r="D109" s="15" t="s">
        <v>384</v>
      </c>
      <c r="E109" s="363">
        <v>54000</v>
      </c>
      <c r="F109" s="13"/>
    </row>
    <row r="110" customHeight="1" spans="1:6">
      <c r="A110" s="4">
        <v>6</v>
      </c>
      <c r="B110" s="18" t="s">
        <v>383</v>
      </c>
      <c r="C110" s="4" t="s">
        <v>381</v>
      </c>
      <c r="D110" s="10" t="s">
        <v>945</v>
      </c>
      <c r="E110" s="363">
        <v>54000</v>
      </c>
      <c r="F110" s="13"/>
    </row>
    <row r="111" customHeight="1" spans="1:6">
      <c r="A111" s="4">
        <v>7</v>
      </c>
      <c r="B111" s="18" t="s">
        <v>385</v>
      </c>
      <c r="C111" s="4" t="s">
        <v>381</v>
      </c>
      <c r="D111" s="15" t="s">
        <v>294</v>
      </c>
      <c r="E111" s="363">
        <v>54000</v>
      </c>
      <c r="F111" s="13"/>
    </row>
    <row r="112" ht="25.5" customHeight="1" spans="1:6">
      <c r="A112" s="4"/>
      <c r="B112" s="20" t="s">
        <v>33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61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387</v>
      </c>
      <c r="C115" s="4" t="s">
        <v>388</v>
      </c>
      <c r="D115" s="15" t="s">
        <v>332</v>
      </c>
      <c r="E115" s="356">
        <v>54000</v>
      </c>
      <c r="F115" s="13"/>
    </row>
    <row r="116" customHeight="1" spans="1:6">
      <c r="A116" s="10">
        <v>2</v>
      </c>
      <c r="B116" s="11" t="s">
        <v>389</v>
      </c>
      <c r="C116" s="12" t="s">
        <v>390</v>
      </c>
      <c r="D116" s="15" t="s">
        <v>271</v>
      </c>
      <c r="E116" s="356">
        <v>54000</v>
      </c>
      <c r="F116" s="13"/>
    </row>
    <row r="117" ht="24.75" customHeight="1" spans="1:6">
      <c r="A117" s="4"/>
      <c r="B117" s="20" t="s">
        <v>33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67</v>
      </c>
      <c r="C119" s="21"/>
      <c r="D119" s="21"/>
      <c r="E119" s="361"/>
      <c r="F119" s="13"/>
    </row>
    <row r="120" customHeight="1" spans="1:6">
      <c r="A120" s="4">
        <v>1</v>
      </c>
      <c r="B120" s="11" t="s">
        <v>392</v>
      </c>
      <c r="C120" s="12" t="s">
        <v>393</v>
      </c>
      <c r="D120" s="15" t="s">
        <v>297</v>
      </c>
      <c r="E120" s="356">
        <f>270000</f>
        <v>270000</v>
      </c>
      <c r="F120" s="13"/>
    </row>
    <row r="121" customHeight="1" spans="1:6">
      <c r="A121" s="4">
        <v>2</v>
      </c>
      <c r="B121" s="11" t="s">
        <v>128</v>
      </c>
      <c r="C121" s="12" t="s">
        <v>394</v>
      </c>
      <c r="D121" s="15" t="s">
        <v>946</v>
      </c>
      <c r="E121" s="356">
        <v>180000</v>
      </c>
      <c r="F121" s="13"/>
    </row>
    <row r="122" customHeight="1" spans="1:6">
      <c r="A122" s="4">
        <v>3</v>
      </c>
      <c r="B122" s="14" t="s">
        <v>395</v>
      </c>
      <c r="C122" s="12" t="s">
        <v>227</v>
      </c>
      <c r="D122" s="15" t="s">
        <v>249</v>
      </c>
      <c r="E122" s="356">
        <v>126000</v>
      </c>
      <c r="F122" s="13"/>
    </row>
    <row r="123" customHeight="1" spans="1:6">
      <c r="A123" s="4">
        <v>4</v>
      </c>
      <c r="B123" s="14" t="s">
        <v>226</v>
      </c>
      <c r="C123" s="12" t="s">
        <v>227</v>
      </c>
      <c r="D123" s="15" t="s">
        <v>228</v>
      </c>
      <c r="E123" s="356">
        <v>126000</v>
      </c>
      <c r="F123" s="13"/>
    </row>
    <row r="124" customHeight="1" spans="1:6">
      <c r="A124" s="4">
        <v>5</v>
      </c>
      <c r="B124" s="11" t="s">
        <v>396</v>
      </c>
      <c r="C124" s="12" t="s">
        <v>397</v>
      </c>
      <c r="D124" s="15" t="s">
        <v>342</v>
      </c>
      <c r="E124" s="356">
        <v>90000</v>
      </c>
      <c r="F124" s="13"/>
    </row>
    <row r="125" customHeight="1" spans="1:6">
      <c r="A125" s="4">
        <v>6</v>
      </c>
      <c r="B125" s="11" t="s">
        <v>398</v>
      </c>
      <c r="C125" s="12" t="s">
        <v>399</v>
      </c>
      <c r="D125" s="15" t="s">
        <v>260</v>
      </c>
      <c r="E125" s="356">
        <v>90000</v>
      </c>
      <c r="F125" s="13"/>
    </row>
    <row r="126" customHeight="1" spans="1:6">
      <c r="A126" s="4">
        <v>7</v>
      </c>
      <c r="B126" s="11" t="s">
        <v>400</v>
      </c>
      <c r="C126" s="12" t="s">
        <v>397</v>
      </c>
      <c r="D126" s="15" t="s">
        <v>260</v>
      </c>
      <c r="E126" s="356">
        <v>90000</v>
      </c>
      <c r="F126" s="13"/>
    </row>
    <row r="127" customHeight="1" spans="1:6">
      <c r="A127" s="4">
        <v>8</v>
      </c>
      <c r="B127" s="11" t="s">
        <v>401</v>
      </c>
      <c r="C127" s="12" t="s">
        <v>402</v>
      </c>
      <c r="D127" s="10" t="s">
        <v>283</v>
      </c>
      <c r="E127" s="356">
        <v>54000</v>
      </c>
      <c r="F127" s="13"/>
    </row>
    <row r="128" customHeight="1" spans="1:6">
      <c r="A128" s="4">
        <v>9</v>
      </c>
      <c r="B128" s="18" t="s">
        <v>403</v>
      </c>
      <c r="C128" s="12" t="s">
        <v>404</v>
      </c>
      <c r="D128" s="15" t="s">
        <v>30</v>
      </c>
      <c r="E128" s="356">
        <v>54000</v>
      </c>
      <c r="F128" s="13"/>
    </row>
    <row r="129" customHeight="1" spans="1:6">
      <c r="A129" s="4">
        <v>10</v>
      </c>
      <c r="B129" s="18" t="s">
        <v>405</v>
      </c>
      <c r="C129" s="12" t="s">
        <v>69</v>
      </c>
      <c r="D129" s="15" t="s">
        <v>30</v>
      </c>
      <c r="E129" s="356">
        <v>54000</v>
      </c>
      <c r="F129" s="13"/>
    </row>
    <row r="130" ht="28.5" customHeight="1" spans="1:6">
      <c r="A130" s="4"/>
      <c r="B130" s="20" t="s">
        <v>33</v>
      </c>
      <c r="C130" s="26" t="s">
        <v>406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71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407</v>
      </c>
      <c r="C133" s="12" t="s">
        <v>408</v>
      </c>
      <c r="D133" s="15" t="s">
        <v>297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229</v>
      </c>
      <c r="C134" s="12" t="s">
        <v>230</v>
      </c>
      <c r="D134" s="15" t="s">
        <v>231</v>
      </c>
      <c r="E134" s="356">
        <v>180000</v>
      </c>
      <c r="F134" s="13"/>
    </row>
    <row r="135" customHeight="1" spans="1:6">
      <c r="A135" s="27">
        <v>3</v>
      </c>
      <c r="B135" s="14" t="s">
        <v>409</v>
      </c>
      <c r="C135" s="4" t="s">
        <v>410</v>
      </c>
      <c r="D135" s="16" t="s">
        <v>308</v>
      </c>
      <c r="E135" s="356">
        <v>180000</v>
      </c>
      <c r="F135" s="13"/>
    </row>
    <row r="136" customHeight="1" spans="1:6">
      <c r="A136" s="27">
        <v>4</v>
      </c>
      <c r="B136" s="11" t="s">
        <v>411</v>
      </c>
      <c r="C136" s="12" t="s">
        <v>412</v>
      </c>
      <c r="D136" s="15" t="s">
        <v>257</v>
      </c>
      <c r="E136" s="356">
        <v>90000</v>
      </c>
      <c r="F136" s="13"/>
    </row>
    <row r="137" customHeight="1" spans="1:6">
      <c r="A137" s="27">
        <v>5</v>
      </c>
      <c r="B137" s="11" t="s">
        <v>413</v>
      </c>
      <c r="C137" s="4" t="s">
        <v>414</v>
      </c>
      <c r="D137" s="15" t="s">
        <v>257</v>
      </c>
      <c r="E137" s="356">
        <v>90000</v>
      </c>
      <c r="F137" s="13"/>
    </row>
    <row r="138" customHeight="1" spans="1:6">
      <c r="A138" s="27">
        <v>6</v>
      </c>
      <c r="B138" s="11" t="s">
        <v>415</v>
      </c>
      <c r="C138" s="4" t="s">
        <v>414</v>
      </c>
      <c r="D138" s="15" t="s">
        <v>257</v>
      </c>
      <c r="E138" s="356">
        <v>90000</v>
      </c>
      <c r="F138" s="13"/>
    </row>
    <row r="139" customHeight="1" spans="1:6">
      <c r="A139" s="27">
        <v>7</v>
      </c>
      <c r="B139" s="11" t="s">
        <v>416</v>
      </c>
      <c r="C139" s="12" t="s">
        <v>417</v>
      </c>
      <c r="D139" s="15" t="s">
        <v>271</v>
      </c>
      <c r="E139" s="356">
        <v>54000</v>
      </c>
      <c r="F139" s="13"/>
    </row>
    <row r="140" customHeight="1" spans="1:6">
      <c r="A140" s="27">
        <v>8</v>
      </c>
      <c r="B140" s="11" t="s">
        <v>418</v>
      </c>
      <c r="C140" s="12" t="s">
        <v>417</v>
      </c>
      <c r="D140" s="15" t="s">
        <v>271</v>
      </c>
      <c r="E140" s="356">
        <v>54000</v>
      </c>
      <c r="F140" s="13"/>
    </row>
    <row r="141" customHeight="1" spans="1:6">
      <c r="A141" s="27">
        <v>9</v>
      </c>
      <c r="B141" s="11" t="s">
        <v>419</v>
      </c>
      <c r="C141" s="4" t="s">
        <v>420</v>
      </c>
      <c r="D141" s="15" t="s">
        <v>271</v>
      </c>
      <c r="E141" s="356">
        <v>54000</v>
      </c>
      <c r="F141" s="13"/>
    </row>
    <row r="142" customHeight="1" spans="1:6">
      <c r="A142" s="27">
        <v>10</v>
      </c>
      <c r="B142" s="11" t="s">
        <v>421</v>
      </c>
      <c r="C142" s="12" t="s">
        <v>422</v>
      </c>
      <c r="D142" s="15" t="s">
        <v>332</v>
      </c>
      <c r="E142" s="356">
        <v>54000</v>
      </c>
      <c r="F142" s="13"/>
    </row>
    <row r="143" customHeight="1" spans="1:6">
      <c r="A143" s="27">
        <v>11</v>
      </c>
      <c r="B143" s="11" t="s">
        <v>423</v>
      </c>
      <c r="C143" s="12" t="s">
        <v>424</v>
      </c>
      <c r="D143" s="15" t="s">
        <v>41</v>
      </c>
      <c r="E143" s="356">
        <v>54000</v>
      </c>
      <c r="F143" s="13"/>
    </row>
    <row r="144" customHeight="1" spans="1:6">
      <c r="A144" s="27">
        <v>12</v>
      </c>
      <c r="B144" s="11" t="s">
        <v>425</v>
      </c>
      <c r="C144" s="12" t="s">
        <v>426</v>
      </c>
      <c r="D144" s="15" t="s">
        <v>271</v>
      </c>
      <c r="E144" s="356">
        <v>54000</v>
      </c>
      <c r="F144" s="13"/>
    </row>
    <row r="145" customHeight="1" spans="1:6">
      <c r="A145" s="27">
        <v>13</v>
      </c>
      <c r="B145" s="18" t="s">
        <v>427</v>
      </c>
      <c r="C145" s="4" t="s">
        <v>428</v>
      </c>
      <c r="D145" s="15" t="s">
        <v>41</v>
      </c>
      <c r="E145" s="356">
        <v>54000</v>
      </c>
      <c r="F145" s="13"/>
    </row>
    <row r="146" customHeight="1" spans="1:6">
      <c r="A146" s="27">
        <v>14</v>
      </c>
      <c r="B146" s="11" t="s">
        <v>429</v>
      </c>
      <c r="C146" s="4" t="s">
        <v>430</v>
      </c>
      <c r="D146" s="15" t="s">
        <v>301</v>
      </c>
      <c r="E146" s="356">
        <v>54000</v>
      </c>
      <c r="F146" s="13"/>
    </row>
    <row r="147" customHeight="1" spans="1:6">
      <c r="A147" s="27">
        <v>15</v>
      </c>
      <c r="B147" s="11" t="s">
        <v>431</v>
      </c>
      <c r="C147" s="4" t="s">
        <v>430</v>
      </c>
      <c r="D147" s="15" t="s">
        <v>345</v>
      </c>
      <c r="E147" s="356">
        <v>54000</v>
      </c>
      <c r="F147" s="13"/>
    </row>
    <row r="148" customHeight="1" spans="1:6">
      <c r="A148" s="27">
        <v>16</v>
      </c>
      <c r="B148" s="11" t="s">
        <v>433</v>
      </c>
      <c r="C148" s="4" t="s">
        <v>430</v>
      </c>
      <c r="D148" s="15" t="s">
        <v>345</v>
      </c>
      <c r="E148" s="356">
        <v>54000</v>
      </c>
      <c r="F148" s="13"/>
    </row>
    <row r="149" customHeight="1" spans="1:6">
      <c r="A149" s="27">
        <v>17</v>
      </c>
      <c r="B149" s="11" t="s">
        <v>434</v>
      </c>
      <c r="C149" s="12" t="s">
        <v>435</v>
      </c>
      <c r="D149" s="15" t="s">
        <v>37</v>
      </c>
      <c r="E149" s="356">
        <v>54000</v>
      </c>
      <c r="F149" s="13"/>
    </row>
    <row r="150" customHeight="1" spans="1:6">
      <c r="A150" s="27">
        <v>18</v>
      </c>
      <c r="B150" s="11" t="s">
        <v>953</v>
      </c>
      <c r="C150" s="12" t="s">
        <v>437</v>
      </c>
      <c r="D150" s="10" t="s">
        <v>24</v>
      </c>
      <c r="E150" s="356">
        <v>54000</v>
      </c>
      <c r="F150" s="13"/>
    </row>
    <row r="151" customHeight="1" spans="1:6">
      <c r="A151" s="27">
        <v>19</v>
      </c>
      <c r="B151" s="11" t="s">
        <v>438</v>
      </c>
      <c r="C151" s="12" t="s">
        <v>439</v>
      </c>
      <c r="D151" s="15" t="s">
        <v>301</v>
      </c>
      <c r="E151" s="356">
        <v>54000</v>
      </c>
      <c r="F151" s="13"/>
    </row>
    <row r="152" customHeight="1" spans="1:6">
      <c r="A152" s="27">
        <v>20</v>
      </c>
      <c r="B152" s="11" t="s">
        <v>440</v>
      </c>
      <c r="C152" s="12" t="s">
        <v>441</v>
      </c>
      <c r="D152" s="15" t="s">
        <v>283</v>
      </c>
      <c r="E152" s="356">
        <v>54000</v>
      </c>
      <c r="F152" s="13"/>
    </row>
    <row r="153" customHeight="1" spans="1:6">
      <c r="A153" s="27">
        <v>21</v>
      </c>
      <c r="B153" s="11" t="s">
        <v>442</v>
      </c>
      <c r="C153" s="12" t="s">
        <v>443</v>
      </c>
      <c r="D153" s="15" t="s">
        <v>301</v>
      </c>
      <c r="E153" s="356">
        <v>54000</v>
      </c>
      <c r="F153" s="13"/>
    </row>
    <row r="154" customHeight="1" spans="1:6">
      <c r="A154" s="27">
        <v>22</v>
      </c>
      <c r="B154" s="11" t="s">
        <v>444</v>
      </c>
      <c r="C154" s="12" t="s">
        <v>445</v>
      </c>
      <c r="D154" s="15" t="s">
        <v>283</v>
      </c>
      <c r="E154" s="356">
        <v>54000</v>
      </c>
      <c r="F154" s="13"/>
    </row>
    <row r="155" customHeight="1" spans="1:6">
      <c r="A155" s="27">
        <v>23</v>
      </c>
      <c r="B155" s="18" t="s">
        <v>446</v>
      </c>
      <c r="C155" s="12" t="s">
        <v>447</v>
      </c>
      <c r="D155" s="15" t="s">
        <v>24</v>
      </c>
      <c r="E155" s="356">
        <v>54000</v>
      </c>
      <c r="F155" s="13"/>
    </row>
    <row r="156" customHeight="1" spans="1:6">
      <c r="A156" s="27">
        <v>24</v>
      </c>
      <c r="B156" s="18" t="s">
        <v>448</v>
      </c>
      <c r="C156" s="12" t="s">
        <v>449</v>
      </c>
      <c r="D156" s="15" t="s">
        <v>30</v>
      </c>
      <c r="E156" s="356">
        <v>54000</v>
      </c>
      <c r="F156" s="13"/>
    </row>
    <row r="157" customHeight="1" spans="1:6">
      <c r="A157" s="27">
        <v>25</v>
      </c>
      <c r="B157" s="18" t="s">
        <v>450</v>
      </c>
      <c r="C157" s="12" t="s">
        <v>451</v>
      </c>
      <c r="D157" s="15" t="s">
        <v>30</v>
      </c>
      <c r="E157" s="356">
        <v>54000</v>
      </c>
      <c r="F157" s="13"/>
    </row>
    <row r="158" customHeight="1" spans="1:6">
      <c r="A158" s="27">
        <v>26</v>
      </c>
      <c r="B158" s="18" t="s">
        <v>452</v>
      </c>
      <c r="C158" s="12" t="s">
        <v>453</v>
      </c>
      <c r="D158" s="15" t="s">
        <v>30</v>
      </c>
      <c r="E158" s="356">
        <v>54000</v>
      </c>
      <c r="F158" s="13"/>
    </row>
    <row r="159" customHeight="1" spans="1:6">
      <c r="A159" s="27">
        <v>27</v>
      </c>
      <c r="B159" s="18" t="s">
        <v>454</v>
      </c>
      <c r="C159" s="12" t="s">
        <v>455</v>
      </c>
      <c r="D159" s="15" t="s">
        <v>294</v>
      </c>
      <c r="E159" s="356">
        <v>54000</v>
      </c>
      <c r="F159" s="13"/>
    </row>
    <row r="160" customHeight="1" spans="1:6">
      <c r="A160" s="27">
        <v>28</v>
      </c>
      <c r="B160" s="18" t="s">
        <v>456</v>
      </c>
      <c r="C160" s="12" t="s">
        <v>451</v>
      </c>
      <c r="D160" s="15" t="s">
        <v>30</v>
      </c>
      <c r="E160" s="356">
        <v>54000</v>
      </c>
      <c r="F160" s="13"/>
    </row>
    <row r="161" customHeight="1" spans="1:6">
      <c r="A161" s="27">
        <v>29</v>
      </c>
      <c r="B161" s="11" t="s">
        <v>457</v>
      </c>
      <c r="C161" s="12" t="s">
        <v>458</v>
      </c>
      <c r="D161" s="15" t="s">
        <v>465</v>
      </c>
      <c r="E161" s="366">
        <v>36000</v>
      </c>
      <c r="F161" s="13"/>
    </row>
    <row r="162" customHeight="1" spans="1:6">
      <c r="A162" s="27">
        <v>30</v>
      </c>
      <c r="B162" s="11" t="s">
        <v>460</v>
      </c>
      <c r="C162" s="12" t="s">
        <v>458</v>
      </c>
      <c r="D162" s="15" t="s">
        <v>465</v>
      </c>
      <c r="E162" s="366">
        <v>36000</v>
      </c>
      <c r="F162" s="13"/>
    </row>
    <row r="163" customHeight="1" spans="1:6">
      <c r="A163" s="27">
        <v>31</v>
      </c>
      <c r="B163" s="11" t="s">
        <v>461</v>
      </c>
      <c r="C163" s="12" t="s">
        <v>458</v>
      </c>
      <c r="D163" s="15" t="s">
        <v>465</v>
      </c>
      <c r="E163" s="366">
        <v>36000</v>
      </c>
      <c r="F163" s="13"/>
    </row>
    <row r="164" customHeight="1" spans="1:6">
      <c r="A164" s="27">
        <v>32</v>
      </c>
      <c r="B164" s="11" t="s">
        <v>462</v>
      </c>
      <c r="C164" s="12" t="s">
        <v>458</v>
      </c>
      <c r="D164" s="15" t="s">
        <v>465</v>
      </c>
      <c r="E164" s="366">
        <v>36000</v>
      </c>
      <c r="F164" s="13"/>
    </row>
    <row r="165" customHeight="1" spans="1:6">
      <c r="A165" s="27">
        <v>33</v>
      </c>
      <c r="B165" s="11" t="s">
        <v>463</v>
      </c>
      <c r="C165" s="12" t="s">
        <v>458</v>
      </c>
      <c r="D165" s="15" t="s">
        <v>465</v>
      </c>
      <c r="E165" s="366">
        <v>36000</v>
      </c>
      <c r="F165" s="13"/>
    </row>
    <row r="166" customHeight="1" spans="1:6">
      <c r="A166" s="27">
        <v>34</v>
      </c>
      <c r="B166" s="11" t="s">
        <v>464</v>
      </c>
      <c r="C166" s="12" t="s">
        <v>458</v>
      </c>
      <c r="D166" s="15" t="s">
        <v>476</v>
      </c>
      <c r="E166" s="366">
        <v>36000</v>
      </c>
      <c r="F166" s="13"/>
    </row>
    <row r="167" customHeight="1" spans="1:6">
      <c r="A167" s="27">
        <v>35</v>
      </c>
      <c r="B167" s="11" t="s">
        <v>466</v>
      </c>
      <c r="C167" s="12" t="s">
        <v>458</v>
      </c>
      <c r="D167" s="15" t="s">
        <v>476</v>
      </c>
      <c r="E167" s="366">
        <v>36000</v>
      </c>
      <c r="F167" s="13"/>
    </row>
    <row r="168" customHeight="1" spans="1:6">
      <c r="A168" s="27">
        <v>36</v>
      </c>
      <c r="B168" s="14" t="s">
        <v>467</v>
      </c>
      <c r="C168" s="12" t="s">
        <v>458</v>
      </c>
      <c r="D168" s="15" t="s">
        <v>476</v>
      </c>
      <c r="E168" s="366">
        <v>36000</v>
      </c>
      <c r="F168" s="13"/>
    </row>
    <row r="169" customHeight="1" spans="1:6">
      <c r="A169" s="27">
        <v>37</v>
      </c>
      <c r="B169" s="11" t="s">
        <v>468</v>
      </c>
      <c r="C169" s="12" t="s">
        <v>458</v>
      </c>
      <c r="D169" s="15" t="s">
        <v>476</v>
      </c>
      <c r="E169" s="366">
        <v>36000</v>
      </c>
      <c r="F169" s="13"/>
    </row>
    <row r="170" customHeight="1" spans="1:6">
      <c r="A170" s="27">
        <v>38</v>
      </c>
      <c r="B170" s="18" t="s">
        <v>469</v>
      </c>
      <c r="C170" s="12" t="s">
        <v>458</v>
      </c>
      <c r="D170" s="15" t="s">
        <v>476</v>
      </c>
      <c r="E170" s="366">
        <v>36000</v>
      </c>
      <c r="F170" s="13"/>
    </row>
    <row r="171" customHeight="1" spans="1:6">
      <c r="A171" s="27">
        <v>39</v>
      </c>
      <c r="B171" s="18" t="s">
        <v>470</v>
      </c>
      <c r="C171" s="12" t="s">
        <v>458</v>
      </c>
      <c r="D171" s="15" t="s">
        <v>476</v>
      </c>
      <c r="E171" s="366">
        <v>36000</v>
      </c>
      <c r="F171" s="13"/>
    </row>
    <row r="172" customHeight="1" spans="1:6">
      <c r="A172" s="27">
        <v>40</v>
      </c>
      <c r="B172" s="11" t="s">
        <v>471</v>
      </c>
      <c r="C172" s="12" t="s">
        <v>472</v>
      </c>
      <c r="D172" s="15" t="s">
        <v>473</v>
      </c>
      <c r="E172" s="366">
        <v>36000</v>
      </c>
      <c r="F172" s="13"/>
    </row>
    <row r="173" customHeight="1" spans="1:6">
      <c r="A173" s="27">
        <v>41</v>
      </c>
      <c r="B173" s="11" t="s">
        <v>474</v>
      </c>
      <c r="C173" s="12" t="s">
        <v>472</v>
      </c>
      <c r="D173" s="15" t="s">
        <v>473</v>
      </c>
      <c r="E173" s="366">
        <v>36000</v>
      </c>
      <c r="F173" s="13"/>
    </row>
    <row r="174" customHeight="1" spans="1:6">
      <c r="A174" s="27">
        <v>42</v>
      </c>
      <c r="B174" s="18" t="s">
        <v>475</v>
      </c>
      <c r="C174" s="12" t="s">
        <v>472</v>
      </c>
      <c r="D174" s="15" t="s">
        <v>473</v>
      </c>
      <c r="E174" s="366">
        <v>36000</v>
      </c>
      <c r="F174" s="13"/>
    </row>
    <row r="175" customHeight="1" spans="1:6">
      <c r="A175" s="27">
        <v>43</v>
      </c>
      <c r="B175" s="11" t="s">
        <v>477</v>
      </c>
      <c r="C175" s="12" t="s">
        <v>478</v>
      </c>
      <c r="D175" s="15" t="s">
        <v>954</v>
      </c>
      <c r="E175" s="366">
        <v>36000</v>
      </c>
      <c r="F175" s="13"/>
    </row>
    <row r="176" customHeight="1" spans="1:6">
      <c r="A176" s="27">
        <v>44</v>
      </c>
      <c r="B176" s="11" t="s">
        <v>480</v>
      </c>
      <c r="C176" s="12" t="s">
        <v>481</v>
      </c>
      <c r="D176" s="15" t="s">
        <v>955</v>
      </c>
      <c r="E176" s="366">
        <v>36000</v>
      </c>
      <c r="F176" s="13"/>
    </row>
    <row r="177" customHeight="1" spans="1:6">
      <c r="A177" s="27">
        <v>45</v>
      </c>
      <c r="B177" s="11" t="s">
        <v>483</v>
      </c>
      <c r="C177" s="12" t="s">
        <v>481</v>
      </c>
      <c r="D177" s="15" t="s">
        <v>955</v>
      </c>
      <c r="E177" s="366">
        <v>36000</v>
      </c>
      <c r="F177" s="13"/>
    </row>
    <row r="178" customHeight="1" spans="1:6">
      <c r="A178" s="27">
        <v>46</v>
      </c>
      <c r="B178" s="11" t="s">
        <v>484</v>
      </c>
      <c r="C178" s="12" t="s">
        <v>481</v>
      </c>
      <c r="D178" s="15" t="s">
        <v>955</v>
      </c>
      <c r="E178" s="366">
        <v>36000</v>
      </c>
      <c r="F178" s="13"/>
    </row>
    <row r="179" customHeight="1" spans="1:6">
      <c r="A179" s="27">
        <v>47</v>
      </c>
      <c r="B179" s="11" t="s">
        <v>485</v>
      </c>
      <c r="C179" s="12" t="s">
        <v>481</v>
      </c>
      <c r="D179" s="15" t="s">
        <v>955</v>
      </c>
      <c r="E179" s="366">
        <v>36000</v>
      </c>
      <c r="F179" s="13"/>
    </row>
    <row r="180" customHeight="1" spans="1:6">
      <c r="A180" s="27">
        <v>48</v>
      </c>
      <c r="B180" s="11" t="s">
        <v>486</v>
      </c>
      <c r="C180" s="12" t="s">
        <v>481</v>
      </c>
      <c r="D180" s="15" t="s">
        <v>955</v>
      </c>
      <c r="E180" s="366">
        <v>36000</v>
      </c>
      <c r="F180" s="13"/>
    </row>
    <row r="181" customHeight="1" spans="1:6">
      <c r="A181" s="27">
        <v>49</v>
      </c>
      <c r="B181" s="18" t="s">
        <v>487</v>
      </c>
      <c r="C181" s="12" t="s">
        <v>481</v>
      </c>
      <c r="D181" s="15" t="s">
        <v>955</v>
      </c>
      <c r="E181" s="366">
        <v>36000</v>
      </c>
      <c r="F181" s="13"/>
    </row>
    <row r="182" customHeight="1" spans="1:6">
      <c r="A182" s="27">
        <v>50</v>
      </c>
      <c r="B182" s="18" t="s">
        <v>488</v>
      </c>
      <c r="C182" s="12" t="s">
        <v>481</v>
      </c>
      <c r="D182" s="15" t="s">
        <v>955</v>
      </c>
      <c r="E182" s="366">
        <v>36000</v>
      </c>
      <c r="F182" s="13"/>
    </row>
    <row r="183" customHeight="1" spans="1:6">
      <c r="A183" s="27">
        <v>51</v>
      </c>
      <c r="B183" s="11" t="s">
        <v>489</v>
      </c>
      <c r="C183" s="12" t="s">
        <v>478</v>
      </c>
      <c r="D183" s="15" t="s">
        <v>955</v>
      </c>
      <c r="E183" s="366">
        <v>36000</v>
      </c>
      <c r="F183" s="13"/>
    </row>
    <row r="184" customHeight="1" spans="1:6">
      <c r="A184" s="27">
        <v>52</v>
      </c>
      <c r="B184" s="11" t="s">
        <v>490</v>
      </c>
      <c r="C184" s="12" t="s">
        <v>478</v>
      </c>
      <c r="D184" s="15" t="s">
        <v>955</v>
      </c>
      <c r="E184" s="366">
        <v>36000</v>
      </c>
      <c r="F184" s="13"/>
    </row>
    <row r="185" customHeight="1" spans="1:6">
      <c r="A185" s="27">
        <v>53</v>
      </c>
      <c r="B185" s="18" t="s">
        <v>491</v>
      </c>
      <c r="C185" s="12" t="s">
        <v>172</v>
      </c>
      <c r="D185" s="15" t="s">
        <v>502</v>
      </c>
      <c r="E185" s="366">
        <v>36000</v>
      </c>
      <c r="F185" s="13"/>
    </row>
    <row r="186" customHeight="1" spans="1:6">
      <c r="A186" s="27">
        <v>54</v>
      </c>
      <c r="B186" s="18" t="s">
        <v>493</v>
      </c>
      <c r="C186" s="12" t="s">
        <v>481</v>
      </c>
      <c r="D186" s="15" t="s">
        <v>956</v>
      </c>
      <c r="E186" s="366">
        <v>36000</v>
      </c>
      <c r="F186" s="13"/>
    </row>
    <row r="187" customHeight="1" spans="1:6">
      <c r="A187" s="27">
        <v>55</v>
      </c>
      <c r="B187" s="18" t="s">
        <v>495</v>
      </c>
      <c r="C187" s="12" t="s">
        <v>496</v>
      </c>
      <c r="D187" s="15" t="s">
        <v>957</v>
      </c>
      <c r="E187" s="366">
        <v>36000</v>
      </c>
      <c r="F187" s="13"/>
    </row>
    <row r="188" customHeight="1" spans="1:6">
      <c r="A188" s="27">
        <v>56</v>
      </c>
      <c r="B188" s="18" t="s">
        <v>498</v>
      </c>
      <c r="C188" s="12" t="s">
        <v>496</v>
      </c>
      <c r="D188" s="15" t="s">
        <v>957</v>
      </c>
      <c r="E188" s="366">
        <v>36000</v>
      </c>
      <c r="F188" s="13"/>
    </row>
    <row r="189" customHeight="1" spans="1:6">
      <c r="A189" s="27">
        <v>57</v>
      </c>
      <c r="B189" s="18" t="s">
        <v>499</v>
      </c>
      <c r="C189" s="12" t="s">
        <v>496</v>
      </c>
      <c r="D189" s="15" t="s">
        <v>957</v>
      </c>
      <c r="E189" s="366">
        <v>36000</v>
      </c>
      <c r="F189" s="13"/>
    </row>
    <row r="190" customHeight="1" spans="1:6">
      <c r="A190" s="27">
        <v>58</v>
      </c>
      <c r="B190" s="18" t="s">
        <v>500</v>
      </c>
      <c r="C190" s="12" t="s">
        <v>501</v>
      </c>
      <c r="D190" s="15" t="s">
        <v>173</v>
      </c>
      <c r="E190" s="366">
        <v>36000</v>
      </c>
      <c r="F190" s="13"/>
    </row>
    <row r="191" customHeight="1" spans="1:6">
      <c r="A191" s="27">
        <v>59</v>
      </c>
      <c r="B191" s="18" t="s">
        <v>503</v>
      </c>
      <c r="C191" s="12" t="s">
        <v>501</v>
      </c>
      <c r="D191" s="15" t="s">
        <v>173</v>
      </c>
      <c r="E191" s="366">
        <v>36000</v>
      </c>
      <c r="F191" s="13"/>
    </row>
    <row r="192" ht="24.75" customHeight="1" spans="1:6">
      <c r="A192" s="27"/>
      <c r="B192" s="8" t="s">
        <v>33</v>
      </c>
      <c r="C192" s="28" t="s">
        <v>504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80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958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959</v>
      </c>
      <c r="F4" s="321" t="s">
        <v>135</v>
      </c>
    </row>
    <row r="5" ht="17.25" customHeight="1" spans="3:6">
      <c r="C5" s="8"/>
      <c r="D5" s="8"/>
      <c r="E5" s="307" t="s">
        <v>19</v>
      </c>
      <c r="F5" s="230" t="s">
        <v>19</v>
      </c>
    </row>
    <row r="6" customHeight="1" spans="1:6">
      <c r="A6" s="9" t="s">
        <v>20</v>
      </c>
      <c r="B6" s="8" t="s">
        <v>21</v>
      </c>
      <c r="C6" s="8"/>
      <c r="D6" s="8"/>
      <c r="E6" s="307"/>
      <c r="F6" s="230"/>
    </row>
    <row r="7" customHeight="1" spans="1:7">
      <c r="A7" s="10">
        <v>1</v>
      </c>
      <c r="B7" s="11" t="s">
        <v>236</v>
      </c>
      <c r="C7" s="12" t="s">
        <v>237</v>
      </c>
      <c r="D7" s="12" t="s">
        <v>238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239</v>
      </c>
      <c r="C8" s="12" t="s">
        <v>240</v>
      </c>
      <c r="D8" s="10" t="s">
        <v>234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241</v>
      </c>
      <c r="C9" s="4" t="s">
        <v>242</v>
      </c>
      <c r="D9" s="15" t="s">
        <v>308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243</v>
      </c>
      <c r="C10" s="17" t="s">
        <v>244</v>
      </c>
      <c r="D10" s="16" t="s">
        <v>308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245</v>
      </c>
      <c r="C11" s="4" t="s">
        <v>246</v>
      </c>
      <c r="D11" s="16" t="s">
        <v>308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232</v>
      </c>
      <c r="C12" s="10" t="s">
        <v>233</v>
      </c>
      <c r="D12" s="15" t="s">
        <v>308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247</v>
      </c>
      <c r="C13" s="12" t="s">
        <v>248</v>
      </c>
      <c r="D13" s="15" t="s">
        <v>249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250</v>
      </c>
      <c r="C14" s="4" t="s">
        <v>251</v>
      </c>
      <c r="D14" s="10" t="s">
        <v>228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252</v>
      </c>
      <c r="C15" s="4" t="s">
        <v>253</v>
      </c>
      <c r="D15" s="15" t="s">
        <v>257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255</v>
      </c>
      <c r="C16" s="17" t="s">
        <v>256</v>
      </c>
      <c r="D16" s="15" t="s">
        <v>342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261</v>
      </c>
      <c r="C17" s="4" t="s">
        <v>262</v>
      </c>
      <c r="D17" s="10" t="s">
        <v>263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264</v>
      </c>
      <c r="C18" s="12" t="s">
        <v>265</v>
      </c>
      <c r="D18" s="15" t="s">
        <v>950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267</v>
      </c>
      <c r="C19" s="4" t="s">
        <v>268</v>
      </c>
      <c r="D19" s="15" t="s">
        <v>951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270</v>
      </c>
      <c r="C20" s="12" t="s">
        <v>50</v>
      </c>
      <c r="D20" s="15" t="s">
        <v>332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272</v>
      </c>
      <c r="C21" s="17" t="s">
        <v>273</v>
      </c>
      <c r="D21" s="10" t="s">
        <v>41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276</v>
      </c>
      <c r="C22" s="17" t="s">
        <v>277</v>
      </c>
      <c r="D22" s="10" t="s">
        <v>37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278</v>
      </c>
      <c r="C23" s="4" t="s">
        <v>176</v>
      </c>
      <c r="D23" s="10" t="s">
        <v>283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280</v>
      </c>
      <c r="C24" s="12" t="s">
        <v>176</v>
      </c>
      <c r="D24" s="15" t="s">
        <v>283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282</v>
      </c>
      <c r="C25" s="12" t="s">
        <v>27</v>
      </c>
      <c r="D25" s="15" t="s">
        <v>24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284</v>
      </c>
      <c r="C26" s="4" t="s">
        <v>285</v>
      </c>
      <c r="D26" s="10" t="s">
        <v>24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287</v>
      </c>
      <c r="C27" s="17" t="s">
        <v>288</v>
      </c>
      <c r="D27" s="15" t="s">
        <v>283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289</v>
      </c>
      <c r="C28" s="4" t="s">
        <v>290</v>
      </c>
      <c r="D28" s="10" t="s">
        <v>294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933</v>
      </c>
      <c r="C29" s="12" t="s">
        <v>293</v>
      </c>
      <c r="D29" s="15" t="s">
        <v>294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292</v>
      </c>
      <c r="C30" s="12" t="s">
        <v>293</v>
      </c>
      <c r="D30" s="15" t="s">
        <v>30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33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34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295</v>
      </c>
      <c r="C34" s="4" t="s">
        <v>296</v>
      </c>
      <c r="D34" s="10" t="s">
        <v>297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298</v>
      </c>
      <c r="C35" s="4" t="s">
        <v>537</v>
      </c>
      <c r="D35" s="10" t="s">
        <v>30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300</v>
      </c>
      <c r="C36" s="12" t="s">
        <v>534</v>
      </c>
      <c r="D36" s="15" t="s">
        <v>37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38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302</v>
      </c>
      <c r="C40" s="4" t="s">
        <v>303</v>
      </c>
      <c r="D40" s="10" t="s">
        <v>297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304</v>
      </c>
      <c r="C41" s="4" t="s">
        <v>305</v>
      </c>
      <c r="D41" s="10" t="s">
        <v>249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306</v>
      </c>
      <c r="C42" s="4" t="s">
        <v>307</v>
      </c>
      <c r="D42" s="10" t="s">
        <v>946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309</v>
      </c>
      <c r="C43" s="4" t="s">
        <v>310</v>
      </c>
      <c r="D43" s="10" t="s">
        <v>249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311</v>
      </c>
      <c r="C44" s="4" t="s">
        <v>310</v>
      </c>
      <c r="D44" s="10" t="s">
        <v>327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312</v>
      </c>
      <c r="C45" s="4" t="s">
        <v>310</v>
      </c>
      <c r="D45" s="10" t="s">
        <v>228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313</v>
      </c>
      <c r="C46" s="4" t="s">
        <v>256</v>
      </c>
      <c r="D46" s="16" t="s">
        <v>257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258</v>
      </c>
      <c r="C47" s="4" t="s">
        <v>259</v>
      </c>
      <c r="D47" s="10" t="s">
        <v>260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314</v>
      </c>
      <c r="C48" s="4" t="s">
        <v>63</v>
      </c>
      <c r="D48" s="10" t="s">
        <v>37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315</v>
      </c>
      <c r="C49" s="4" t="s">
        <v>63</v>
      </c>
      <c r="D49" s="10" t="s">
        <v>24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316</v>
      </c>
      <c r="C50" s="4" t="s">
        <v>63</v>
      </c>
      <c r="D50" s="10" t="s">
        <v>24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317</v>
      </c>
      <c r="C51" s="4" t="s">
        <v>63</v>
      </c>
      <c r="D51" s="10" t="s">
        <v>24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33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318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319</v>
      </c>
      <c r="C55" s="12" t="s">
        <v>320</v>
      </c>
      <c r="D55" s="15" t="s">
        <v>297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321</v>
      </c>
      <c r="C56" s="12" t="s">
        <v>322</v>
      </c>
      <c r="D56" s="15" t="s">
        <v>222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33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44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323</v>
      </c>
      <c r="C60" s="17" t="s">
        <v>324</v>
      </c>
      <c r="D60" s="10" t="s">
        <v>297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325</v>
      </c>
      <c r="C61" s="17" t="s">
        <v>326</v>
      </c>
      <c r="D61" s="15" t="s">
        <v>952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328</v>
      </c>
      <c r="C62" s="4" t="s">
        <v>256</v>
      </c>
      <c r="D62" s="10" t="s">
        <v>260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329</v>
      </c>
      <c r="C63" s="17" t="s">
        <v>46</v>
      </c>
      <c r="D63" s="15" t="s">
        <v>950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330</v>
      </c>
      <c r="C64" s="17" t="s">
        <v>256</v>
      </c>
      <c r="D64" s="15" t="s">
        <v>257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331</v>
      </c>
      <c r="C65" s="4" t="s">
        <v>63</v>
      </c>
      <c r="D65" s="10" t="s">
        <v>41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333</v>
      </c>
      <c r="C66" s="17" t="s">
        <v>275</v>
      </c>
      <c r="D66" s="15" t="s">
        <v>41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334</v>
      </c>
      <c r="C67" s="17" t="s">
        <v>275</v>
      </c>
      <c r="D67" s="15" t="s">
        <v>41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335</v>
      </c>
      <c r="C68" s="4" t="s">
        <v>336</v>
      </c>
      <c r="D68" s="10" t="s">
        <v>332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337</v>
      </c>
      <c r="C69" s="4" t="s">
        <v>63</v>
      </c>
      <c r="D69" s="10" t="s">
        <v>37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281</v>
      </c>
      <c r="C70" s="17" t="s">
        <v>273</v>
      </c>
      <c r="D70" s="10" t="s">
        <v>283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33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51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338</v>
      </c>
      <c r="C74" s="4" t="s">
        <v>339</v>
      </c>
      <c r="D74" s="10" t="s">
        <v>297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220</v>
      </c>
      <c r="C75" s="4" t="s">
        <v>221</v>
      </c>
      <c r="D75" s="15" t="s">
        <v>952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223</v>
      </c>
      <c r="C76" s="12" t="s">
        <v>224</v>
      </c>
      <c r="D76" s="10" t="s">
        <v>222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340</v>
      </c>
      <c r="C77" s="4" t="s">
        <v>341</v>
      </c>
      <c r="D77" s="15" t="s">
        <v>260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343</v>
      </c>
      <c r="C78" s="4" t="s">
        <v>344</v>
      </c>
      <c r="D78" s="10" t="s">
        <v>301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346</v>
      </c>
      <c r="C79" s="4" t="s">
        <v>344</v>
      </c>
      <c r="D79" s="10" t="s">
        <v>24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347</v>
      </c>
      <c r="C80" s="4" t="s">
        <v>348</v>
      </c>
      <c r="D80" s="10" t="s">
        <v>30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33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56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349</v>
      </c>
      <c r="C84" s="4" t="s">
        <v>310</v>
      </c>
      <c r="D84" s="10" t="s">
        <v>249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350</v>
      </c>
      <c r="C85" s="4" t="s">
        <v>310</v>
      </c>
      <c r="D85" s="10" t="s">
        <v>249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386</v>
      </c>
      <c r="C86" s="4" t="s">
        <v>310</v>
      </c>
      <c r="D86" s="10" t="s">
        <v>228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351</v>
      </c>
      <c r="C87" s="4" t="s">
        <v>310</v>
      </c>
      <c r="D87" s="10" t="s">
        <v>228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352</v>
      </c>
      <c r="C88" s="4" t="s">
        <v>353</v>
      </c>
      <c r="D88" s="15" t="s">
        <v>266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354</v>
      </c>
      <c r="C89" s="12" t="s">
        <v>46</v>
      </c>
      <c r="D89" s="15" t="s">
        <v>950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355</v>
      </c>
      <c r="C90" s="12" t="s">
        <v>256</v>
      </c>
      <c r="D90" s="15" t="s">
        <v>356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357</v>
      </c>
      <c r="C91" s="17" t="s">
        <v>275</v>
      </c>
      <c r="D91" s="15" t="s">
        <v>41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358</v>
      </c>
      <c r="C92" s="17" t="s">
        <v>275</v>
      </c>
      <c r="D92" s="15" t="s">
        <v>41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359</v>
      </c>
      <c r="C93" s="4" t="s">
        <v>360</v>
      </c>
      <c r="D93" s="10" t="s">
        <v>37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361</v>
      </c>
      <c r="C94" s="17" t="s">
        <v>362</v>
      </c>
      <c r="D94" s="15" t="s">
        <v>294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33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58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363</v>
      </c>
      <c r="C98" s="4" t="s">
        <v>364</v>
      </c>
      <c r="D98" s="16" t="s">
        <v>308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366</v>
      </c>
      <c r="C99" s="4" t="s">
        <v>367</v>
      </c>
      <c r="D99" s="15" t="s">
        <v>260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368</v>
      </c>
      <c r="C100" s="4" t="s">
        <v>369</v>
      </c>
      <c r="D100" s="15" t="s">
        <v>332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370</v>
      </c>
      <c r="C101" s="4" t="s">
        <v>371</v>
      </c>
      <c r="D101" s="15" t="s">
        <v>37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33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372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373</v>
      </c>
      <c r="C105" s="12" t="s">
        <v>374</v>
      </c>
      <c r="D105" s="15" t="s">
        <v>297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375</v>
      </c>
      <c r="C106" s="4" t="s">
        <v>376</v>
      </c>
      <c r="D106" s="16" t="s">
        <v>308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377</v>
      </c>
      <c r="C107" s="4" t="s">
        <v>378</v>
      </c>
      <c r="D107" s="10" t="s">
        <v>263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379</v>
      </c>
      <c r="C108" s="4" t="s">
        <v>378</v>
      </c>
      <c r="D108" s="10" t="s">
        <v>263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380</v>
      </c>
      <c r="C109" s="4" t="s">
        <v>381</v>
      </c>
      <c r="D109" s="15" t="s">
        <v>384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383</v>
      </c>
      <c r="C110" s="4" t="s">
        <v>381</v>
      </c>
      <c r="D110" s="10" t="s">
        <v>945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385</v>
      </c>
      <c r="C111" s="4" t="s">
        <v>381</v>
      </c>
      <c r="D111" s="15" t="s">
        <v>294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33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61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387</v>
      </c>
      <c r="C115" s="4" t="s">
        <v>388</v>
      </c>
      <c r="D115" s="15" t="s">
        <v>332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389</v>
      </c>
      <c r="C116" s="12" t="s">
        <v>390</v>
      </c>
      <c r="D116" s="15" t="s">
        <v>271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33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67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392</v>
      </c>
      <c r="C120" s="12" t="s">
        <v>393</v>
      </c>
      <c r="D120" s="15" t="s">
        <v>297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128</v>
      </c>
      <c r="C121" s="12" t="s">
        <v>394</v>
      </c>
      <c r="D121" s="15" t="s">
        <v>946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395</v>
      </c>
      <c r="C122" s="12" t="s">
        <v>227</v>
      </c>
      <c r="D122" s="15" t="s">
        <v>249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226</v>
      </c>
      <c r="C123" s="12" t="s">
        <v>227</v>
      </c>
      <c r="D123" s="15" t="s">
        <v>228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396</v>
      </c>
      <c r="C124" s="12" t="s">
        <v>397</v>
      </c>
      <c r="D124" s="15" t="s">
        <v>342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398</v>
      </c>
      <c r="C125" s="12" t="s">
        <v>399</v>
      </c>
      <c r="D125" s="15" t="s">
        <v>260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400</v>
      </c>
      <c r="C126" s="12" t="s">
        <v>397</v>
      </c>
      <c r="D126" s="15" t="s">
        <v>260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401</v>
      </c>
      <c r="C127" s="12" t="s">
        <v>402</v>
      </c>
      <c r="D127" s="10" t="s">
        <v>283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403</v>
      </c>
      <c r="C128" s="12" t="s">
        <v>404</v>
      </c>
      <c r="D128" s="15" t="s">
        <v>30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405</v>
      </c>
      <c r="C129" s="12" t="s">
        <v>69</v>
      </c>
      <c r="D129" s="15" t="s">
        <v>30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33</v>
      </c>
      <c r="C130" s="26" t="s">
        <v>406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71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407</v>
      </c>
      <c r="C133" s="12" t="s">
        <v>408</v>
      </c>
      <c r="D133" s="15" t="s">
        <v>297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229</v>
      </c>
      <c r="C134" s="12" t="s">
        <v>230</v>
      </c>
      <c r="D134" s="15" t="s">
        <v>231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409</v>
      </c>
      <c r="C135" s="4" t="s">
        <v>410</v>
      </c>
      <c r="D135" s="16" t="s">
        <v>308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411</v>
      </c>
      <c r="C136" s="12" t="s">
        <v>412</v>
      </c>
      <c r="D136" s="15" t="s">
        <v>257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413</v>
      </c>
      <c r="C137" s="4" t="s">
        <v>414</v>
      </c>
      <c r="D137" s="15" t="s">
        <v>257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415</v>
      </c>
      <c r="C138" s="4" t="s">
        <v>414</v>
      </c>
      <c r="D138" s="15" t="s">
        <v>257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416</v>
      </c>
      <c r="C139" s="12" t="s">
        <v>417</v>
      </c>
      <c r="D139" s="15" t="s">
        <v>271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418</v>
      </c>
      <c r="C140" s="12" t="s">
        <v>417</v>
      </c>
      <c r="D140" s="15" t="s">
        <v>271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419</v>
      </c>
      <c r="C141" s="4" t="s">
        <v>420</v>
      </c>
      <c r="D141" s="15" t="s">
        <v>271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421</v>
      </c>
      <c r="C142" s="12" t="s">
        <v>422</v>
      </c>
      <c r="D142" s="15" t="s">
        <v>332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423</v>
      </c>
      <c r="C143" s="12" t="s">
        <v>424</v>
      </c>
      <c r="D143" s="15" t="s">
        <v>41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425</v>
      </c>
      <c r="C144" s="12" t="s">
        <v>426</v>
      </c>
      <c r="D144" s="15" t="s">
        <v>271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427</v>
      </c>
      <c r="C145" s="4" t="s">
        <v>428</v>
      </c>
      <c r="D145" s="15" t="s">
        <v>41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429</v>
      </c>
      <c r="C146" s="4" t="s">
        <v>430</v>
      </c>
      <c r="D146" s="15" t="s">
        <v>301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431</v>
      </c>
      <c r="C147" s="4" t="s">
        <v>430</v>
      </c>
      <c r="D147" s="15" t="s">
        <v>345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433</v>
      </c>
      <c r="C148" s="4" t="s">
        <v>430</v>
      </c>
      <c r="D148" s="15" t="s">
        <v>345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434</v>
      </c>
      <c r="C149" s="12" t="s">
        <v>435</v>
      </c>
      <c r="D149" s="15" t="s">
        <v>37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953</v>
      </c>
      <c r="C150" s="12" t="s">
        <v>437</v>
      </c>
      <c r="D150" s="10" t="s">
        <v>24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438</v>
      </c>
      <c r="C151" s="12" t="s">
        <v>439</v>
      </c>
      <c r="D151" s="15" t="s">
        <v>301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440</v>
      </c>
      <c r="C152" s="12" t="s">
        <v>441</v>
      </c>
      <c r="D152" s="15" t="s">
        <v>283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442</v>
      </c>
      <c r="C153" s="12" t="s">
        <v>443</v>
      </c>
      <c r="D153" s="15" t="s">
        <v>301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444</v>
      </c>
      <c r="C154" s="12" t="s">
        <v>445</v>
      </c>
      <c r="D154" s="15" t="s">
        <v>283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446</v>
      </c>
      <c r="C155" s="12" t="s">
        <v>447</v>
      </c>
      <c r="D155" s="15" t="s">
        <v>24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448</v>
      </c>
      <c r="C156" s="12" t="s">
        <v>449</v>
      </c>
      <c r="D156" s="15" t="s">
        <v>30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450</v>
      </c>
      <c r="C157" s="12" t="s">
        <v>451</v>
      </c>
      <c r="D157" s="15" t="s">
        <v>30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452</v>
      </c>
      <c r="C158" s="12" t="s">
        <v>453</v>
      </c>
      <c r="D158" s="15" t="s">
        <v>30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454</v>
      </c>
      <c r="C159" s="12" t="s">
        <v>455</v>
      </c>
      <c r="D159" s="15" t="s">
        <v>294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456</v>
      </c>
      <c r="C160" s="12" t="s">
        <v>451</v>
      </c>
      <c r="D160" s="15" t="s">
        <v>30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457</v>
      </c>
      <c r="C161" s="12" t="s">
        <v>458</v>
      </c>
      <c r="D161" s="15" t="s">
        <v>465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460</v>
      </c>
      <c r="C162" s="12" t="s">
        <v>458</v>
      </c>
      <c r="D162" s="15" t="s">
        <v>465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461</v>
      </c>
      <c r="C163" s="12" t="s">
        <v>458</v>
      </c>
      <c r="D163" s="15" t="s">
        <v>465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462</v>
      </c>
      <c r="C164" s="12" t="s">
        <v>458</v>
      </c>
      <c r="D164" s="15" t="s">
        <v>465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463</v>
      </c>
      <c r="C165" s="12" t="s">
        <v>458</v>
      </c>
      <c r="D165" s="15" t="s">
        <v>465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464</v>
      </c>
      <c r="C166" s="12" t="s">
        <v>458</v>
      </c>
      <c r="D166" s="15" t="s">
        <v>476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466</v>
      </c>
      <c r="C167" s="12" t="s">
        <v>458</v>
      </c>
      <c r="D167" s="15" t="s">
        <v>476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467</v>
      </c>
      <c r="C168" s="12" t="s">
        <v>458</v>
      </c>
      <c r="D168" s="15" t="s">
        <v>476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468</v>
      </c>
      <c r="C169" s="12" t="s">
        <v>458</v>
      </c>
      <c r="D169" s="15" t="s">
        <v>476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469</v>
      </c>
      <c r="C170" s="12" t="s">
        <v>458</v>
      </c>
      <c r="D170" s="15" t="s">
        <v>476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470</v>
      </c>
      <c r="C171" s="12" t="s">
        <v>458</v>
      </c>
      <c r="D171" s="15" t="s">
        <v>476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471</v>
      </c>
      <c r="C172" s="12" t="s">
        <v>472</v>
      </c>
      <c r="D172" s="15" t="s">
        <v>473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474</v>
      </c>
      <c r="C173" s="12" t="s">
        <v>472</v>
      </c>
      <c r="D173" s="15" t="s">
        <v>473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475</v>
      </c>
      <c r="C174" s="12" t="s">
        <v>472</v>
      </c>
      <c r="D174" s="15" t="s">
        <v>473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477</v>
      </c>
      <c r="C175" s="12" t="s">
        <v>478</v>
      </c>
      <c r="D175" s="15" t="s">
        <v>954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480</v>
      </c>
      <c r="C176" s="12" t="s">
        <v>481</v>
      </c>
      <c r="D176" s="15" t="s">
        <v>955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483</v>
      </c>
      <c r="C177" s="12" t="s">
        <v>481</v>
      </c>
      <c r="D177" s="15" t="s">
        <v>955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484</v>
      </c>
      <c r="C178" s="12" t="s">
        <v>481</v>
      </c>
      <c r="D178" s="15" t="s">
        <v>955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485</v>
      </c>
      <c r="C179" s="12" t="s">
        <v>481</v>
      </c>
      <c r="D179" s="15" t="s">
        <v>955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486</v>
      </c>
      <c r="C180" s="12" t="s">
        <v>481</v>
      </c>
      <c r="D180" s="15" t="s">
        <v>955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487</v>
      </c>
      <c r="C181" s="12" t="s">
        <v>481</v>
      </c>
      <c r="D181" s="15" t="s">
        <v>955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488</v>
      </c>
      <c r="C182" s="12" t="s">
        <v>481</v>
      </c>
      <c r="D182" s="15" t="s">
        <v>955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489</v>
      </c>
      <c r="C183" s="12" t="s">
        <v>478</v>
      </c>
      <c r="D183" s="15" t="s">
        <v>955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490</v>
      </c>
      <c r="C184" s="12" t="s">
        <v>478</v>
      </c>
      <c r="D184" s="15" t="s">
        <v>955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491</v>
      </c>
      <c r="C185" s="12" t="s">
        <v>172</v>
      </c>
      <c r="D185" s="15" t="s">
        <v>502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493</v>
      </c>
      <c r="C186" s="12" t="s">
        <v>481</v>
      </c>
      <c r="D186" s="15" t="s">
        <v>956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495</v>
      </c>
      <c r="C187" s="12" t="s">
        <v>496</v>
      </c>
      <c r="D187" s="15" t="s">
        <v>957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498</v>
      </c>
      <c r="C188" s="12" t="s">
        <v>496</v>
      </c>
      <c r="D188" s="15" t="s">
        <v>957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499</v>
      </c>
      <c r="C189" s="12" t="s">
        <v>496</v>
      </c>
      <c r="D189" s="15" t="s">
        <v>957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500</v>
      </c>
      <c r="C190" s="12" t="s">
        <v>501</v>
      </c>
      <c r="D190" s="15" t="s">
        <v>173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503</v>
      </c>
      <c r="C191" s="12" t="s">
        <v>501</v>
      </c>
      <c r="D191" s="15" t="s">
        <v>173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33</v>
      </c>
      <c r="C192" s="28" t="s">
        <v>504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80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934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566</v>
      </c>
      <c r="H4" s="24" t="s">
        <v>567</v>
      </c>
      <c r="I4" s="218" t="s">
        <v>568</v>
      </c>
      <c r="J4" s="24" t="s">
        <v>569</v>
      </c>
      <c r="K4" s="24" t="s">
        <v>570</v>
      </c>
      <c r="L4" s="24" t="s">
        <v>571</v>
      </c>
      <c r="M4" s="218" t="s">
        <v>7</v>
      </c>
      <c r="N4" s="218" t="s">
        <v>7</v>
      </c>
      <c r="O4" s="24" t="s">
        <v>572</v>
      </c>
      <c r="P4" s="24" t="s">
        <v>572</v>
      </c>
      <c r="Q4" s="218" t="s">
        <v>8</v>
      </c>
      <c r="R4" s="334" t="s">
        <v>9</v>
      </c>
      <c r="S4" s="24" t="s">
        <v>14</v>
      </c>
      <c r="T4" s="347" t="s">
        <v>16</v>
      </c>
      <c r="U4" s="80" t="s">
        <v>960</v>
      </c>
      <c r="V4" s="321" t="s">
        <v>961</v>
      </c>
      <c r="W4" s="80" t="s">
        <v>147</v>
      </c>
      <c r="X4" s="321" t="s">
        <v>197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261</v>
      </c>
      <c r="C7" s="4" t="s">
        <v>262</v>
      </c>
      <c r="D7" s="10" t="s">
        <v>263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33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962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337</v>
      </c>
      <c r="C11" s="4" t="s">
        <v>63</v>
      </c>
      <c r="D11" s="10" t="s">
        <v>37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33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80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934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566</v>
      </c>
      <c r="H4" s="24" t="s">
        <v>567</v>
      </c>
      <c r="I4" s="218" t="s">
        <v>568</v>
      </c>
      <c r="J4" s="24" t="s">
        <v>569</v>
      </c>
      <c r="K4" s="24" t="s">
        <v>570</v>
      </c>
      <c r="L4" s="24" t="s">
        <v>571</v>
      </c>
      <c r="M4" s="218" t="s">
        <v>7</v>
      </c>
      <c r="N4" s="218" t="s">
        <v>7</v>
      </c>
      <c r="O4" s="24" t="s">
        <v>572</v>
      </c>
      <c r="P4" s="24" t="s">
        <v>572</v>
      </c>
      <c r="Q4" s="218" t="s">
        <v>8</v>
      </c>
      <c r="R4" s="334" t="s">
        <v>9</v>
      </c>
      <c r="S4" s="7" t="s">
        <v>936</v>
      </c>
      <c r="T4" s="306" t="s">
        <v>542</v>
      </c>
      <c r="U4" s="80" t="s">
        <v>937</v>
      </c>
      <c r="V4" s="80" t="s">
        <v>938</v>
      </c>
      <c r="W4" s="80" t="s">
        <v>939</v>
      </c>
      <c r="X4" s="80" t="s">
        <v>940</v>
      </c>
      <c r="Y4" s="80" t="s">
        <v>516</v>
      </c>
      <c r="Z4" s="319" t="s">
        <v>941</v>
      </c>
      <c r="AA4" s="320" t="s">
        <v>942</v>
      </c>
      <c r="AB4" s="80" t="s">
        <v>147</v>
      </c>
      <c r="AC4" s="321" t="s">
        <v>197</v>
      </c>
      <c r="AD4" s="321" t="s">
        <v>963</v>
      </c>
      <c r="AE4" s="321" t="s">
        <v>964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965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471</v>
      </c>
      <c r="C8" s="329" t="s">
        <v>472</v>
      </c>
      <c r="D8" s="330" t="s">
        <v>473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473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474</v>
      </c>
      <c r="C9" s="329" t="s">
        <v>472</v>
      </c>
      <c r="D9" s="330" t="s">
        <v>473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473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475</v>
      </c>
      <c r="C10" s="329" t="s">
        <v>472</v>
      </c>
      <c r="D10" s="330" t="s">
        <v>473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473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471</v>
      </c>
      <c r="C13" s="329" t="s">
        <v>472</v>
      </c>
      <c r="D13" s="330" t="s">
        <v>473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[9]PROMOTIONS!$X$42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474</v>
      </c>
      <c r="C14" s="329" t="s">
        <v>472</v>
      </c>
      <c r="D14" s="330" t="s">
        <v>473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[9]PROMOTIONS!$X$42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475</v>
      </c>
      <c r="C15" s="329" t="s">
        <v>472</v>
      </c>
      <c r="D15" s="330" t="s">
        <v>473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[9]PROMOTIONS!$X$42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80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966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935</v>
      </c>
      <c r="E4" s="80" t="s">
        <v>5</v>
      </c>
      <c r="F4" s="21" t="s">
        <v>566</v>
      </c>
      <c r="G4" s="21" t="s">
        <v>567</v>
      </c>
      <c r="H4" s="80" t="s">
        <v>568</v>
      </c>
      <c r="I4" s="21" t="s">
        <v>569</v>
      </c>
      <c r="J4" s="21" t="s">
        <v>570</v>
      </c>
      <c r="K4" s="21" t="s">
        <v>571</v>
      </c>
      <c r="L4" s="80" t="s">
        <v>7</v>
      </c>
      <c r="M4" s="80" t="s">
        <v>7</v>
      </c>
      <c r="N4" s="21" t="s">
        <v>572</v>
      </c>
      <c r="O4" s="21" t="s">
        <v>572</v>
      </c>
      <c r="P4" s="80" t="s">
        <v>8</v>
      </c>
      <c r="Q4" s="306" t="s">
        <v>139</v>
      </c>
      <c r="R4" s="7" t="s">
        <v>936</v>
      </c>
      <c r="S4" s="306" t="s">
        <v>542</v>
      </c>
      <c r="T4" s="80" t="s">
        <v>937</v>
      </c>
      <c r="U4" s="80" t="s">
        <v>938</v>
      </c>
      <c r="V4" s="80" t="s">
        <v>939</v>
      </c>
      <c r="W4" s="80" t="s">
        <v>940</v>
      </c>
      <c r="X4" s="80" t="s">
        <v>516</v>
      </c>
      <c r="Y4" s="319" t="s">
        <v>941</v>
      </c>
      <c r="Z4" s="320" t="s">
        <v>942</v>
      </c>
      <c r="AA4" s="80" t="s">
        <v>147</v>
      </c>
      <c r="AB4" s="321" t="s">
        <v>197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282</v>
      </c>
      <c r="C7" s="12" t="s">
        <v>967</v>
      </c>
      <c r="D7" s="15" t="s">
        <v>945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24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'[8]October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33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38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258</v>
      </c>
      <c r="C11" s="4" t="s">
        <v>353</v>
      </c>
      <c r="D11" s="10" t="s">
        <v>266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260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'[8]October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33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44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386</v>
      </c>
      <c r="C15" s="4" t="s">
        <v>256</v>
      </c>
      <c r="D15" s="10" t="s">
        <v>254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228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'[8]October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328</v>
      </c>
      <c r="C16" s="4" t="s">
        <v>46</v>
      </c>
      <c r="D16" s="10" t="s">
        <v>266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260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'[8]October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33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51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340</v>
      </c>
      <c r="C20" s="4" t="s">
        <v>968</v>
      </c>
      <c r="D20" s="15" t="s">
        <v>266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260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'[8]October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33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56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351</v>
      </c>
      <c r="C24" s="4" t="s">
        <v>259</v>
      </c>
      <c r="D24" s="10" t="s">
        <v>257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228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'[8]October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355</v>
      </c>
      <c r="C25" s="12" t="s">
        <v>46</v>
      </c>
      <c r="D25" s="15" t="s">
        <v>950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356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'[8]October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33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58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250</v>
      </c>
      <c r="C29" s="4" t="s">
        <v>367</v>
      </c>
      <c r="D29" s="10" t="s">
        <v>257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228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'[8]October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366</v>
      </c>
      <c r="C30" s="4" t="s">
        <v>420</v>
      </c>
      <c r="D30" s="15" t="s">
        <v>266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260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'[8]October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370</v>
      </c>
      <c r="C31" s="4" t="s">
        <v>969</v>
      </c>
      <c r="D31" s="15" t="s">
        <v>945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37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'[8]October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33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67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400</v>
      </c>
      <c r="C35" s="12" t="s">
        <v>970</v>
      </c>
      <c r="D35" s="15" t="s">
        <v>266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260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'[8]October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33</v>
      </c>
      <c r="C36" s="26" t="s">
        <v>70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71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423</v>
      </c>
      <c r="C39" s="12" t="s">
        <v>971</v>
      </c>
      <c r="D39" s="15" t="s">
        <v>432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41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'[8]October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427</v>
      </c>
      <c r="C40" s="4" t="s">
        <v>437</v>
      </c>
      <c r="D40" s="15" t="s">
        <v>432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41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'[8]October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446</v>
      </c>
      <c r="C41" s="12" t="s">
        <v>451</v>
      </c>
      <c r="D41" s="15" t="s">
        <v>945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24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'[8]October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471</v>
      </c>
      <c r="C42" s="12" t="s">
        <v>478</v>
      </c>
      <c r="D42" s="15" t="s">
        <v>479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473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'[8]October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474</v>
      </c>
      <c r="C43" s="302" t="s">
        <v>478</v>
      </c>
      <c r="D43" s="303" t="s">
        <v>479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473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'[8]October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475</v>
      </c>
      <c r="C44" s="12" t="s">
        <v>478</v>
      </c>
      <c r="D44" s="15" t="s">
        <v>948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473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'[8]October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491</v>
      </c>
      <c r="C45" s="12" t="s">
        <v>481</v>
      </c>
      <c r="D45" s="15" t="s">
        <v>972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502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'[8]October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33</v>
      </c>
      <c r="C46" s="28" t="s">
        <v>973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80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974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975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976</v>
      </c>
      <c r="C3" s="271" t="s">
        <v>977</v>
      </c>
      <c r="D3" s="271" t="s">
        <v>978</v>
      </c>
      <c r="E3" s="271" t="s">
        <v>979</v>
      </c>
      <c r="F3" s="271" t="s">
        <v>980</v>
      </c>
      <c r="G3" s="271" t="s">
        <v>981</v>
      </c>
      <c r="H3" s="291" t="s">
        <v>982</v>
      </c>
      <c r="I3" s="271" t="s">
        <v>983</v>
      </c>
      <c r="J3" s="271" t="s">
        <v>984</v>
      </c>
      <c r="K3" s="271" t="s">
        <v>985</v>
      </c>
      <c r="L3" s="271" t="s">
        <v>986</v>
      </c>
      <c r="M3" s="271" t="s">
        <v>987</v>
      </c>
      <c r="N3" s="271" t="s">
        <v>988</v>
      </c>
      <c r="O3" s="271" t="s">
        <v>989</v>
      </c>
      <c r="P3" s="271" t="s">
        <v>990</v>
      </c>
      <c r="Q3" s="294"/>
      <c r="R3" s="294"/>
    </row>
    <row r="4" ht="13" spans="1:18">
      <c r="A4" s="271" t="s">
        <v>991</v>
      </c>
      <c r="B4" s="271" t="s">
        <v>19</v>
      </c>
      <c r="C4" s="271" t="s">
        <v>19</v>
      </c>
      <c r="D4" s="271" t="s">
        <v>19</v>
      </c>
      <c r="E4" s="271" t="s">
        <v>19</v>
      </c>
      <c r="F4" s="271" t="s">
        <v>19</v>
      </c>
      <c r="G4" s="271" t="s">
        <v>19</v>
      </c>
      <c r="H4" s="291" t="s">
        <v>19</v>
      </c>
      <c r="I4" s="271" t="s">
        <v>19</v>
      </c>
      <c r="J4" s="271" t="s">
        <v>19</v>
      </c>
      <c r="K4" s="271" t="s">
        <v>19</v>
      </c>
      <c r="L4" s="271" t="s">
        <v>19</v>
      </c>
      <c r="M4" s="271" t="s">
        <v>19</v>
      </c>
      <c r="N4" s="271" t="s">
        <v>19</v>
      </c>
      <c r="O4" s="271" t="s">
        <v>19</v>
      </c>
      <c r="P4" s="271" t="s">
        <v>19</v>
      </c>
      <c r="Q4" s="294"/>
      <c r="R4" s="294"/>
    </row>
    <row r="5" ht="14" spans="1:18">
      <c r="A5" s="292" t="s">
        <v>992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993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994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995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996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997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998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999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1000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1001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1002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1003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1004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1005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1006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1007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1008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1009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20</v>
      </c>
      <c r="B5" s="277" t="s">
        <v>2</v>
      </c>
      <c r="C5" s="277" t="s">
        <v>3</v>
      </c>
      <c r="D5" s="278" t="s">
        <v>4</v>
      </c>
      <c r="E5" s="278" t="s">
        <v>1010</v>
      </c>
      <c r="F5" s="278" t="s">
        <v>1011</v>
      </c>
      <c r="G5" s="278" t="s">
        <v>1012</v>
      </c>
      <c r="H5" s="278" t="s">
        <v>1013</v>
      </c>
      <c r="I5" s="285" t="s">
        <v>1014</v>
      </c>
    </row>
    <row r="6" spans="2:2">
      <c r="B6" s="271" t="s">
        <v>21</v>
      </c>
    </row>
    <row r="7" spans="1:9">
      <c r="A7" s="279">
        <v>1</v>
      </c>
      <c r="B7" s="279" t="s">
        <v>236</v>
      </c>
      <c r="C7" s="279" t="s">
        <v>237</v>
      </c>
      <c r="D7" s="279" t="s">
        <v>1015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1016</v>
      </c>
      <c r="C8" s="279" t="s">
        <v>1017</v>
      </c>
      <c r="D8" s="279" t="s">
        <v>231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239</v>
      </c>
      <c r="C9" s="279" t="s">
        <v>240</v>
      </c>
      <c r="D9" s="279" t="s">
        <v>234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241</v>
      </c>
      <c r="C10" s="279" t="s">
        <v>242</v>
      </c>
      <c r="D10" s="279" t="s">
        <v>308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363</v>
      </c>
      <c r="C11" s="279" t="s">
        <v>1018</v>
      </c>
      <c r="D11" s="279" t="s">
        <v>308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243</v>
      </c>
      <c r="C12" s="279" t="s">
        <v>244</v>
      </c>
      <c r="D12" s="279" t="s">
        <v>308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245</v>
      </c>
      <c r="C13" s="279" t="s">
        <v>246</v>
      </c>
      <c r="D13" s="279" t="s">
        <v>308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247</v>
      </c>
      <c r="C14" s="279" t="s">
        <v>248</v>
      </c>
      <c r="D14" s="279" t="s">
        <v>249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1019</v>
      </c>
      <c r="C15" s="279" t="s">
        <v>253</v>
      </c>
      <c r="D15" s="279" t="s">
        <v>257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252</v>
      </c>
      <c r="C16" s="279" t="s">
        <v>253</v>
      </c>
      <c r="D16" s="279" t="s">
        <v>257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264</v>
      </c>
      <c r="C17" s="279" t="s">
        <v>265</v>
      </c>
      <c r="D17" s="279" t="s">
        <v>950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267</v>
      </c>
      <c r="C18" s="279" t="s">
        <v>268</v>
      </c>
      <c r="D18" s="279" t="s">
        <v>951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270</v>
      </c>
      <c r="C19" s="279" t="s">
        <v>50</v>
      </c>
      <c r="D19" s="279" t="s">
        <v>332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280</v>
      </c>
      <c r="C20" s="279" t="s">
        <v>176</v>
      </c>
      <c r="D20" s="279" t="s">
        <v>283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1020</v>
      </c>
      <c r="C21" s="279" t="s">
        <v>1021</v>
      </c>
      <c r="D21" s="279" t="s">
        <v>283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282</v>
      </c>
      <c r="C22" s="279" t="s">
        <v>967</v>
      </c>
      <c r="D22" s="279" t="s">
        <v>945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284</v>
      </c>
      <c r="C23" s="279" t="s">
        <v>1022</v>
      </c>
      <c r="D23" s="279" t="s">
        <v>945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287</v>
      </c>
      <c r="C24" s="279" t="s">
        <v>288</v>
      </c>
      <c r="D24" s="279" t="s">
        <v>283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289</v>
      </c>
      <c r="C25" s="279" t="s">
        <v>290</v>
      </c>
      <c r="D25" s="279" t="s">
        <v>294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933</v>
      </c>
      <c r="C26" s="279" t="s">
        <v>293</v>
      </c>
      <c r="D26" s="279" t="s">
        <v>294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292</v>
      </c>
      <c r="C27" s="279" t="s">
        <v>293</v>
      </c>
      <c r="D27" s="279" t="s">
        <v>30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1023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34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295</v>
      </c>
      <c r="C31" s="279" t="s">
        <v>296</v>
      </c>
      <c r="D31" s="279" t="s">
        <v>297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298</v>
      </c>
      <c r="C32" s="279" t="s">
        <v>537</v>
      </c>
      <c r="D32" s="279" t="s">
        <v>30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1024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38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302</v>
      </c>
      <c r="C36" s="279" t="s">
        <v>303</v>
      </c>
      <c r="D36" s="279" t="s">
        <v>297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304</v>
      </c>
      <c r="C37" s="279" t="s">
        <v>305</v>
      </c>
      <c r="D37" s="279" t="s">
        <v>249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306</v>
      </c>
      <c r="C38" s="279" t="s">
        <v>310</v>
      </c>
      <c r="D38" s="279" t="s">
        <v>249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309</v>
      </c>
      <c r="C39" s="279" t="s">
        <v>310</v>
      </c>
      <c r="D39" s="279" t="s">
        <v>249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311</v>
      </c>
      <c r="C40" s="279" t="s">
        <v>310</v>
      </c>
      <c r="D40" s="279" t="s">
        <v>327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312</v>
      </c>
      <c r="C41" s="279" t="s">
        <v>259</v>
      </c>
      <c r="D41" s="279" t="s">
        <v>257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313</v>
      </c>
      <c r="C42" s="279" t="s">
        <v>256</v>
      </c>
      <c r="D42" s="279" t="s">
        <v>257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1025</v>
      </c>
      <c r="C43" s="279" t="s">
        <v>256</v>
      </c>
      <c r="D43" s="279" t="s">
        <v>342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258</v>
      </c>
      <c r="C44" s="279" t="s">
        <v>353</v>
      </c>
      <c r="D44" s="279" t="s">
        <v>266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314</v>
      </c>
      <c r="C45" s="279" t="s">
        <v>63</v>
      </c>
      <c r="D45" s="279" t="s">
        <v>37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315</v>
      </c>
      <c r="C46" s="279" t="s">
        <v>63</v>
      </c>
      <c r="D46" s="279" t="s">
        <v>24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316</v>
      </c>
      <c r="C47" s="279" t="s">
        <v>63</v>
      </c>
      <c r="D47" s="279" t="s">
        <v>24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317</v>
      </c>
      <c r="C48" s="279" t="s">
        <v>63</v>
      </c>
      <c r="D48" s="279" t="s">
        <v>24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1026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318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319</v>
      </c>
      <c r="C52" s="279" t="s">
        <v>320</v>
      </c>
      <c r="D52" s="279" t="s">
        <v>297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321</v>
      </c>
      <c r="C53" s="279" t="s">
        <v>322</v>
      </c>
      <c r="D53" s="279" t="s">
        <v>222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1027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44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323</v>
      </c>
      <c r="C57" s="279" t="s">
        <v>324</v>
      </c>
      <c r="D57" s="279" t="s">
        <v>297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325</v>
      </c>
      <c r="C58" s="279" t="s">
        <v>326</v>
      </c>
      <c r="D58" s="279" t="s">
        <v>952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328</v>
      </c>
      <c r="C59" s="279" t="s">
        <v>46</v>
      </c>
      <c r="D59" s="279" t="s">
        <v>266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329</v>
      </c>
      <c r="C60" s="279" t="s">
        <v>46</v>
      </c>
      <c r="D60" s="279" t="s">
        <v>950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330</v>
      </c>
      <c r="C61" s="279" t="s">
        <v>256</v>
      </c>
      <c r="D61" s="279" t="s">
        <v>257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255</v>
      </c>
      <c r="C62" s="279" t="s">
        <v>256</v>
      </c>
      <c r="D62" s="279" t="s">
        <v>342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331</v>
      </c>
      <c r="C63" s="279" t="s">
        <v>63</v>
      </c>
      <c r="D63" s="279" t="s">
        <v>41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333</v>
      </c>
      <c r="C64" s="279" t="s">
        <v>275</v>
      </c>
      <c r="D64" s="279" t="s">
        <v>41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334</v>
      </c>
      <c r="C65" s="279" t="s">
        <v>275</v>
      </c>
      <c r="D65" s="279" t="s">
        <v>41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335</v>
      </c>
      <c r="C66" s="279" t="s">
        <v>336</v>
      </c>
      <c r="D66" s="279" t="s">
        <v>332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281</v>
      </c>
      <c r="C67" s="279" t="s">
        <v>273</v>
      </c>
      <c r="D67" s="279" t="s">
        <v>283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272</v>
      </c>
      <c r="C68" s="279" t="s">
        <v>273</v>
      </c>
      <c r="D68" s="279" t="s">
        <v>294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1028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51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338</v>
      </c>
      <c r="C72" s="279" t="s">
        <v>339</v>
      </c>
      <c r="D72" s="279" t="s">
        <v>297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220</v>
      </c>
      <c r="C73" s="279" t="s">
        <v>221</v>
      </c>
      <c r="D73" s="279" t="s">
        <v>952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223</v>
      </c>
      <c r="C74" s="279" t="s">
        <v>224</v>
      </c>
      <c r="D74" s="279" t="s">
        <v>222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340</v>
      </c>
      <c r="C75" s="279" t="s">
        <v>968</v>
      </c>
      <c r="D75" s="279" t="s">
        <v>266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343</v>
      </c>
      <c r="C76" s="279" t="s">
        <v>344</v>
      </c>
      <c r="D76" s="279" t="s">
        <v>301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346</v>
      </c>
      <c r="C77" s="279" t="s">
        <v>344</v>
      </c>
      <c r="D77" s="279" t="s">
        <v>24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347</v>
      </c>
      <c r="C78" s="279" t="s">
        <v>348</v>
      </c>
      <c r="D78" s="279" t="s">
        <v>30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1029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56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349</v>
      </c>
      <c r="C82" s="279" t="s">
        <v>310</v>
      </c>
      <c r="D82" s="279" t="s">
        <v>249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350</v>
      </c>
      <c r="C83" s="279" t="s">
        <v>310</v>
      </c>
      <c r="D83" s="279" t="s">
        <v>249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386</v>
      </c>
      <c r="C84" s="279" t="s">
        <v>256</v>
      </c>
      <c r="D84" s="279" t="s">
        <v>254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351</v>
      </c>
      <c r="C85" s="279" t="s">
        <v>259</v>
      </c>
      <c r="D85" s="279" t="s">
        <v>257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352</v>
      </c>
      <c r="C86" s="279" t="s">
        <v>353</v>
      </c>
      <c r="D86" s="279" t="s">
        <v>266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354</v>
      </c>
      <c r="C87" s="279" t="s">
        <v>46</v>
      </c>
      <c r="D87" s="279" t="s">
        <v>950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355</v>
      </c>
      <c r="C88" s="279" t="s">
        <v>46</v>
      </c>
      <c r="D88" s="279" t="s">
        <v>950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357</v>
      </c>
      <c r="C89" s="279" t="s">
        <v>275</v>
      </c>
      <c r="D89" s="279" t="s">
        <v>41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358</v>
      </c>
      <c r="C90" s="279" t="s">
        <v>275</v>
      </c>
      <c r="D90" s="279" t="s">
        <v>41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359</v>
      </c>
      <c r="C91" s="279" t="s">
        <v>360</v>
      </c>
      <c r="D91" s="279" t="s">
        <v>37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361</v>
      </c>
      <c r="C92" s="279" t="s">
        <v>362</v>
      </c>
      <c r="D92" s="279" t="s">
        <v>294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1030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58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232</v>
      </c>
      <c r="C96" s="279" t="s">
        <v>233</v>
      </c>
      <c r="D96" s="279" t="s">
        <v>308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250</v>
      </c>
      <c r="C97" s="279" t="s">
        <v>367</v>
      </c>
      <c r="D97" s="279" t="s">
        <v>257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368</v>
      </c>
      <c r="C98" s="279" t="s">
        <v>369</v>
      </c>
      <c r="D98" s="279" t="s">
        <v>332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370</v>
      </c>
      <c r="C99" s="279" t="s">
        <v>969</v>
      </c>
      <c r="D99" s="279" t="s">
        <v>945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1031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372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373</v>
      </c>
      <c r="C103" s="279" t="s">
        <v>374</v>
      </c>
      <c r="D103" s="279" t="s">
        <v>297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375</v>
      </c>
      <c r="C104" s="279" t="s">
        <v>376</v>
      </c>
      <c r="D104" s="279" t="s">
        <v>308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377</v>
      </c>
      <c r="C105" s="279" t="s">
        <v>378</v>
      </c>
      <c r="D105" s="279" t="s">
        <v>263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379</v>
      </c>
      <c r="C106" s="279" t="s">
        <v>378</v>
      </c>
      <c r="D106" s="279" t="s">
        <v>263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380</v>
      </c>
      <c r="C107" s="279" t="s">
        <v>381</v>
      </c>
      <c r="D107" s="279" t="s">
        <v>384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383</v>
      </c>
      <c r="C108" s="279" t="s">
        <v>381</v>
      </c>
      <c r="D108" s="279" t="s">
        <v>945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385</v>
      </c>
      <c r="C109" s="279" t="s">
        <v>381</v>
      </c>
      <c r="D109" s="279" t="s">
        <v>294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1032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61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1033</v>
      </c>
      <c r="C113" s="279" t="s">
        <v>275</v>
      </c>
      <c r="D113" s="279" t="s">
        <v>271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387</v>
      </c>
      <c r="C114" s="279" t="s">
        <v>388</v>
      </c>
      <c r="D114" s="279" t="s">
        <v>332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389</v>
      </c>
      <c r="C115" s="279" t="s">
        <v>390</v>
      </c>
      <c r="D115" s="279" t="s">
        <v>271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1034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67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392</v>
      </c>
      <c r="C119" s="279" t="s">
        <v>393</v>
      </c>
      <c r="D119" s="279" t="s">
        <v>297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128</v>
      </c>
      <c r="C120" s="279" t="s">
        <v>227</v>
      </c>
      <c r="D120" s="279" t="s">
        <v>249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395</v>
      </c>
      <c r="C121" s="279" t="s">
        <v>227</v>
      </c>
      <c r="D121" s="279" t="s">
        <v>249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396</v>
      </c>
      <c r="C122" s="279" t="s">
        <v>397</v>
      </c>
      <c r="D122" s="279" t="s">
        <v>342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398</v>
      </c>
      <c r="C123" s="279" t="s">
        <v>399</v>
      </c>
      <c r="D123" s="279" t="s">
        <v>266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400</v>
      </c>
      <c r="C124" s="279" t="s">
        <v>970</v>
      </c>
      <c r="D124" s="279" t="s">
        <v>266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401</v>
      </c>
      <c r="C125" s="279" t="s">
        <v>402</v>
      </c>
      <c r="D125" s="279" t="s">
        <v>283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403</v>
      </c>
      <c r="C126" s="279" t="s">
        <v>404</v>
      </c>
      <c r="D126" s="279" t="s">
        <v>30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405</v>
      </c>
      <c r="C127" s="279" t="s">
        <v>69</v>
      </c>
      <c r="D127" s="279" t="s">
        <v>30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1035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71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407</v>
      </c>
      <c r="C131" s="279" t="s">
        <v>408</v>
      </c>
      <c r="D131" s="279" t="s">
        <v>297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409</v>
      </c>
      <c r="C132" s="279" t="s">
        <v>410</v>
      </c>
      <c r="D132" s="279" t="s">
        <v>308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411</v>
      </c>
      <c r="C133" s="279" t="s">
        <v>412</v>
      </c>
      <c r="D133" s="279" t="s">
        <v>257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413</v>
      </c>
      <c r="C134" s="279" t="s">
        <v>414</v>
      </c>
      <c r="D134" s="279" t="s">
        <v>257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415</v>
      </c>
      <c r="C135" s="279" t="s">
        <v>414</v>
      </c>
      <c r="D135" s="279" t="s">
        <v>257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366</v>
      </c>
      <c r="C136" s="279" t="s">
        <v>420</v>
      </c>
      <c r="D136" s="279" t="s">
        <v>266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416</v>
      </c>
      <c r="C137" s="279" t="s">
        <v>417</v>
      </c>
      <c r="D137" s="279" t="s">
        <v>271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418</v>
      </c>
      <c r="C138" s="279" t="s">
        <v>417</v>
      </c>
      <c r="D138" s="279" t="s">
        <v>271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419</v>
      </c>
      <c r="C139" s="279" t="s">
        <v>420</v>
      </c>
      <c r="D139" s="279" t="s">
        <v>271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421</v>
      </c>
      <c r="C140" s="279" t="s">
        <v>422</v>
      </c>
      <c r="D140" s="279" t="s">
        <v>332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423</v>
      </c>
      <c r="C141" s="279" t="s">
        <v>971</v>
      </c>
      <c r="D141" s="279" t="s">
        <v>432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425</v>
      </c>
      <c r="C142" s="279" t="s">
        <v>426</v>
      </c>
      <c r="D142" s="279" t="s">
        <v>271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427</v>
      </c>
      <c r="C143" s="279" t="s">
        <v>437</v>
      </c>
      <c r="D143" s="279" t="s">
        <v>432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429</v>
      </c>
      <c r="C144" s="279" t="s">
        <v>430</v>
      </c>
      <c r="D144" s="279" t="s">
        <v>301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431</v>
      </c>
      <c r="C145" s="279" t="s">
        <v>430</v>
      </c>
      <c r="D145" s="279" t="s">
        <v>345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433</v>
      </c>
      <c r="C146" s="279" t="s">
        <v>430</v>
      </c>
      <c r="D146" s="279" t="s">
        <v>345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434</v>
      </c>
      <c r="C147" s="279" t="s">
        <v>435</v>
      </c>
      <c r="D147" s="279" t="s">
        <v>37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953</v>
      </c>
      <c r="C148" s="279" t="s">
        <v>437</v>
      </c>
      <c r="D148" s="279" t="s">
        <v>24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438</v>
      </c>
      <c r="C149" s="279" t="s">
        <v>439</v>
      </c>
      <c r="D149" s="279" t="s">
        <v>301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440</v>
      </c>
      <c r="C150" s="279" t="s">
        <v>441</v>
      </c>
      <c r="D150" s="279" t="s">
        <v>283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442</v>
      </c>
      <c r="C151" s="279" t="s">
        <v>443</v>
      </c>
      <c r="D151" s="279" t="s">
        <v>301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444</v>
      </c>
      <c r="C152" s="279" t="s">
        <v>445</v>
      </c>
      <c r="D152" s="279" t="s">
        <v>283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446</v>
      </c>
      <c r="C153" s="279" t="s">
        <v>451</v>
      </c>
      <c r="D153" s="279" t="s">
        <v>945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448</v>
      </c>
      <c r="C154" s="279" t="s">
        <v>449</v>
      </c>
      <c r="D154" s="279" t="s">
        <v>30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450</v>
      </c>
      <c r="C155" s="279" t="s">
        <v>451</v>
      </c>
      <c r="D155" s="279" t="s">
        <v>30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452</v>
      </c>
      <c r="C156" s="279" t="s">
        <v>453</v>
      </c>
      <c r="D156" s="279" t="s">
        <v>30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454</v>
      </c>
      <c r="C157" s="279" t="s">
        <v>455</v>
      </c>
      <c r="D157" s="279" t="s">
        <v>294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456</v>
      </c>
      <c r="C158" s="279" t="s">
        <v>451</v>
      </c>
      <c r="D158" s="279" t="s">
        <v>30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457</v>
      </c>
      <c r="C159" s="279" t="s">
        <v>458</v>
      </c>
      <c r="D159" s="279" t="s">
        <v>465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460</v>
      </c>
      <c r="C160" s="279" t="s">
        <v>458</v>
      </c>
      <c r="D160" s="279" t="s">
        <v>465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461</v>
      </c>
      <c r="C161" s="279" t="s">
        <v>458</v>
      </c>
      <c r="D161" s="279" t="s">
        <v>465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462</v>
      </c>
      <c r="C162" s="279" t="s">
        <v>458</v>
      </c>
      <c r="D162" s="279" t="s">
        <v>465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463</v>
      </c>
      <c r="C163" s="279" t="s">
        <v>458</v>
      </c>
      <c r="D163" s="279" t="s">
        <v>465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464</v>
      </c>
      <c r="C164" s="279" t="s">
        <v>458</v>
      </c>
      <c r="D164" s="279" t="s">
        <v>476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466</v>
      </c>
      <c r="C165" s="279" t="s">
        <v>458</v>
      </c>
      <c r="D165" s="279" t="s">
        <v>476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467</v>
      </c>
      <c r="C166" s="279" t="s">
        <v>458</v>
      </c>
      <c r="D166" s="279" t="s">
        <v>476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468</v>
      </c>
      <c r="C167" s="279" t="s">
        <v>458</v>
      </c>
      <c r="D167" s="279" t="s">
        <v>476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469</v>
      </c>
      <c r="C168" s="279" t="s">
        <v>458</v>
      </c>
      <c r="D168" s="279" t="s">
        <v>476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470</v>
      </c>
      <c r="C169" s="279" t="s">
        <v>458</v>
      </c>
      <c r="D169" s="279" t="s">
        <v>476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471</v>
      </c>
      <c r="C170" s="279" t="s">
        <v>478</v>
      </c>
      <c r="D170" s="279" t="s">
        <v>479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474</v>
      </c>
      <c r="C171" s="279" t="s">
        <v>478</v>
      </c>
      <c r="D171" s="279" t="s">
        <v>479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475</v>
      </c>
      <c r="C172" s="279" t="s">
        <v>478</v>
      </c>
      <c r="D172" s="279" t="s">
        <v>948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477</v>
      </c>
      <c r="C173" s="279" t="s">
        <v>478</v>
      </c>
      <c r="D173" s="279" t="s">
        <v>954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480</v>
      </c>
      <c r="C174" s="279" t="s">
        <v>481</v>
      </c>
      <c r="D174" s="279" t="s">
        <v>955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483</v>
      </c>
      <c r="C175" s="279" t="s">
        <v>481</v>
      </c>
      <c r="D175" s="279" t="s">
        <v>955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484</v>
      </c>
      <c r="C176" s="279" t="s">
        <v>481</v>
      </c>
      <c r="D176" s="279" t="s">
        <v>955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485</v>
      </c>
      <c r="C177" s="279" t="s">
        <v>481</v>
      </c>
      <c r="D177" s="279" t="s">
        <v>955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486</v>
      </c>
      <c r="C178" s="279" t="s">
        <v>481</v>
      </c>
      <c r="D178" s="279" t="s">
        <v>955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487</v>
      </c>
      <c r="C179" s="279" t="s">
        <v>481</v>
      </c>
      <c r="D179" s="279" t="s">
        <v>955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488</v>
      </c>
      <c r="C180" s="279" t="s">
        <v>481</v>
      </c>
      <c r="D180" s="279" t="s">
        <v>955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489</v>
      </c>
      <c r="C181" s="279" t="s">
        <v>478</v>
      </c>
      <c r="D181" s="279" t="s">
        <v>955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490</v>
      </c>
      <c r="C182" s="279" t="s">
        <v>478</v>
      </c>
      <c r="D182" s="279" t="s">
        <v>955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491</v>
      </c>
      <c r="C183" s="279" t="s">
        <v>481</v>
      </c>
      <c r="D183" s="279" t="s">
        <v>972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493</v>
      </c>
      <c r="C184" s="279" t="s">
        <v>481</v>
      </c>
      <c r="D184" s="279" t="s">
        <v>956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495</v>
      </c>
      <c r="C185" s="279" t="s">
        <v>496</v>
      </c>
      <c r="D185" s="279" t="s">
        <v>957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498</v>
      </c>
      <c r="C186" s="279" t="s">
        <v>496</v>
      </c>
      <c r="D186" s="279" t="s">
        <v>957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499</v>
      </c>
      <c r="C187" s="279" t="s">
        <v>496</v>
      </c>
      <c r="D187" s="279" t="s">
        <v>957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500</v>
      </c>
      <c r="C188" s="279" t="s">
        <v>501</v>
      </c>
      <c r="D188" s="279" t="s">
        <v>173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503</v>
      </c>
      <c r="C189" s="279" t="s">
        <v>501</v>
      </c>
      <c r="D189" s="279" t="s">
        <v>173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1036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1037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1008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1009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20</v>
      </c>
      <c r="B5" s="55" t="s">
        <v>2</v>
      </c>
      <c r="C5" s="55" t="s">
        <v>3</v>
      </c>
      <c r="D5" s="266" t="s">
        <v>1038</v>
      </c>
      <c r="E5" s="266" t="s">
        <v>960</v>
      </c>
      <c r="F5" s="266" t="s">
        <v>961</v>
      </c>
      <c r="G5" s="266" t="s">
        <v>1039</v>
      </c>
      <c r="H5" s="267" t="s">
        <v>1014</v>
      </c>
      <c r="I5" s="46"/>
    </row>
    <row r="6" ht="18" spans="1:9">
      <c r="A6" s="43">
        <v>1</v>
      </c>
      <c r="B6" s="43" t="s">
        <v>1040</v>
      </c>
      <c r="C6" s="43" t="s">
        <v>1041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1042</v>
      </c>
      <c r="C7" s="43" t="s">
        <v>1041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1043</v>
      </c>
      <c r="C8" s="43" t="s">
        <v>1044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1042</v>
      </c>
      <c r="C9" s="43" t="s">
        <v>1041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1045</v>
      </c>
      <c r="C10" s="43" t="s">
        <v>1046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1047</v>
      </c>
      <c r="C11" s="43" t="s">
        <v>1048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1049</v>
      </c>
      <c r="C12" s="43" t="s">
        <v>1050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1051</v>
      </c>
      <c r="C13" s="43" t="s">
        <v>1052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1053</v>
      </c>
      <c r="C14" s="43" t="s">
        <v>1052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1054</v>
      </c>
      <c r="C15" s="43" t="s">
        <v>1050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1055</v>
      </c>
      <c r="C16" s="43" t="s">
        <v>1056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1057</v>
      </c>
      <c r="C17" s="43" t="s">
        <v>1044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1058</v>
      </c>
      <c r="C18" s="43" t="s">
        <v>1059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1060</v>
      </c>
      <c r="C19" s="43" t="s">
        <v>1046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1061</v>
      </c>
      <c r="C20" s="43" t="s">
        <v>1062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1063</v>
      </c>
      <c r="C21" s="43" t="s">
        <v>1064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1065</v>
      </c>
      <c r="C22" s="43" t="s">
        <v>1046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1066</v>
      </c>
      <c r="C23" s="43" t="s">
        <v>207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1067</v>
      </c>
      <c r="C24" s="43" t="s">
        <v>207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1068</v>
      </c>
      <c r="C25" s="43" t="s">
        <v>207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1069</v>
      </c>
      <c r="C26" s="43" t="s">
        <v>207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1070</v>
      </c>
      <c r="C27" s="43" t="s">
        <v>1071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1072</v>
      </c>
      <c r="C28" s="43" t="s">
        <v>1073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1074</v>
      </c>
      <c r="C29" s="43" t="s">
        <v>1075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1076</v>
      </c>
      <c r="C30" s="43" t="s">
        <v>1056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203</v>
      </c>
      <c r="C31" s="43" t="s">
        <v>207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1077</v>
      </c>
      <c r="C32" s="43" t="s">
        <v>1044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1078</v>
      </c>
      <c r="C33" s="43" t="s">
        <v>1044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183</v>
      </c>
      <c r="C34" s="43" t="s">
        <v>207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206</v>
      </c>
      <c r="C35" s="43" t="s">
        <v>207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1079</v>
      </c>
      <c r="C36" s="43" t="s">
        <v>1080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208</v>
      </c>
      <c r="C37" s="43" t="s">
        <v>207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210</v>
      </c>
      <c r="C38" s="43" t="s">
        <v>1081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1082</v>
      </c>
      <c r="C39" s="43" t="s">
        <v>207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212</v>
      </c>
      <c r="C40" s="43" t="s">
        <v>207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1083</v>
      </c>
      <c r="C41" s="43" t="s">
        <v>1046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1084</v>
      </c>
      <c r="C42" s="43" t="s">
        <v>1046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1085</v>
      </c>
      <c r="C43" s="43" t="s">
        <v>1046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1086</v>
      </c>
      <c r="C44" s="43" t="s">
        <v>1046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1087</v>
      </c>
      <c r="C45" s="43" t="s">
        <v>1046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1088</v>
      </c>
      <c r="C46" s="43" t="s">
        <v>1046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1089</v>
      </c>
      <c r="C47" s="43" t="s">
        <v>207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1090</v>
      </c>
      <c r="C48" s="43" t="s">
        <v>1046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1091</v>
      </c>
      <c r="C49" s="43" t="s">
        <v>1046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1092</v>
      </c>
      <c r="C50" s="43" t="s">
        <v>207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1093</v>
      </c>
      <c r="C51" s="43" t="s">
        <v>1046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1094</v>
      </c>
      <c r="C52" s="43" t="s">
        <v>1046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1095</v>
      </c>
      <c r="C53" s="43" t="s">
        <v>207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1096</v>
      </c>
      <c r="C54" s="43" t="s">
        <v>207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1097</v>
      </c>
      <c r="C55" s="43" t="s">
        <v>207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1098</v>
      </c>
      <c r="C56" s="43" t="s">
        <v>207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1099</v>
      </c>
      <c r="C57" s="43" t="s">
        <v>1046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1100</v>
      </c>
      <c r="C58" s="43" t="s">
        <v>1046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178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20</v>
      </c>
      <c r="B2" s="42" t="s">
        <v>145</v>
      </c>
      <c r="C2" s="42" t="s">
        <v>3</v>
      </c>
      <c r="D2" s="259" t="s">
        <v>1101</v>
      </c>
      <c r="E2" s="259" t="s">
        <v>14</v>
      </c>
      <c r="F2" s="259" t="s">
        <v>1102</v>
      </c>
      <c r="G2" s="46"/>
      <c r="H2" s="46"/>
      <c r="I2" s="46"/>
      <c r="J2" s="46"/>
    </row>
    <row r="3" ht="35.1" customHeight="1" spans="1:10">
      <c r="A3" s="49">
        <v>1</v>
      </c>
      <c r="B3" s="43" t="s">
        <v>337</v>
      </c>
      <c r="C3" s="43" t="s">
        <v>63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1103</v>
      </c>
      <c r="C4" s="43" t="s">
        <v>1104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33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1105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242">
        <v>450000</v>
      </c>
      <c r="F7" s="13"/>
    </row>
    <row r="8" customHeight="1" spans="1:6">
      <c r="A8" s="10">
        <v>2</v>
      </c>
      <c r="B8" s="11" t="s">
        <v>1016</v>
      </c>
      <c r="C8" s="4" t="s">
        <v>1106</v>
      </c>
      <c r="D8" s="10" t="s">
        <v>231</v>
      </c>
      <c r="E8" s="242">
        <v>150000</v>
      </c>
      <c r="F8" s="13"/>
    </row>
    <row r="9" customHeight="1" spans="1:6">
      <c r="A9" s="10">
        <v>3</v>
      </c>
      <c r="B9" s="14" t="s">
        <v>1107</v>
      </c>
      <c r="C9" s="4" t="s">
        <v>1108</v>
      </c>
      <c r="D9" s="10" t="s">
        <v>231</v>
      </c>
      <c r="E9" s="242">
        <v>150000</v>
      </c>
      <c r="F9" s="13"/>
    </row>
    <row r="10" customHeight="1" spans="1:6">
      <c r="A10" s="10">
        <v>4</v>
      </c>
      <c r="B10" s="11" t="s">
        <v>239</v>
      </c>
      <c r="C10" s="12" t="s">
        <v>240</v>
      </c>
      <c r="D10" s="10" t="s">
        <v>234</v>
      </c>
      <c r="E10" s="242">
        <v>150000</v>
      </c>
      <c r="F10" s="13"/>
    </row>
    <row r="11" customHeight="1" spans="1:6">
      <c r="A11" s="10">
        <v>5</v>
      </c>
      <c r="B11" s="14" t="s">
        <v>241</v>
      </c>
      <c r="C11" s="4" t="s">
        <v>242</v>
      </c>
      <c r="D11" s="15" t="s">
        <v>308</v>
      </c>
      <c r="E11" s="242">
        <v>150000</v>
      </c>
      <c r="F11" s="13"/>
    </row>
    <row r="12" customHeight="1" spans="1:6">
      <c r="A12" s="10">
        <v>6</v>
      </c>
      <c r="B12" s="14" t="s">
        <v>363</v>
      </c>
      <c r="C12" s="4" t="s">
        <v>1018</v>
      </c>
      <c r="D12" s="16" t="s">
        <v>308</v>
      </c>
      <c r="E12" s="242">
        <v>150000</v>
      </c>
      <c r="F12" s="13"/>
    </row>
    <row r="13" customHeight="1" spans="1:6">
      <c r="A13" s="10">
        <v>7</v>
      </c>
      <c r="B13" s="11" t="s">
        <v>243</v>
      </c>
      <c r="C13" s="17" t="s">
        <v>244</v>
      </c>
      <c r="D13" s="16" t="s">
        <v>308</v>
      </c>
      <c r="E13" s="242">
        <v>150000</v>
      </c>
      <c r="F13" s="13"/>
    </row>
    <row r="14" customHeight="1" spans="1:6">
      <c r="A14" s="10">
        <v>8</v>
      </c>
      <c r="B14" s="14" t="s">
        <v>245</v>
      </c>
      <c r="C14" s="4" t="s">
        <v>246</v>
      </c>
      <c r="D14" s="16" t="s">
        <v>308</v>
      </c>
      <c r="E14" s="242">
        <v>150000</v>
      </c>
      <c r="F14" s="13"/>
    </row>
    <row r="15" customHeight="1" spans="1:6">
      <c r="A15" s="10">
        <v>9</v>
      </c>
      <c r="B15" s="11" t="s">
        <v>247</v>
      </c>
      <c r="C15" s="12" t="s">
        <v>248</v>
      </c>
      <c r="D15" s="15" t="s">
        <v>249</v>
      </c>
      <c r="E15" s="242">
        <v>105000</v>
      </c>
      <c r="F15" s="13"/>
    </row>
    <row r="16" customHeight="1" spans="1:6">
      <c r="A16" s="10">
        <v>10</v>
      </c>
      <c r="B16" s="18" t="s">
        <v>223</v>
      </c>
      <c r="C16" s="12" t="s">
        <v>224</v>
      </c>
      <c r="D16" s="10" t="s">
        <v>222</v>
      </c>
      <c r="E16" s="242">
        <v>105000</v>
      </c>
      <c r="F16" s="13"/>
    </row>
    <row r="17" customHeight="1" spans="1:6">
      <c r="A17" s="10">
        <v>11</v>
      </c>
      <c r="B17" s="19" t="s">
        <v>1109</v>
      </c>
      <c r="C17" s="4" t="s">
        <v>1110</v>
      </c>
      <c r="D17" s="16" t="s">
        <v>257</v>
      </c>
      <c r="E17" s="242">
        <v>75000</v>
      </c>
      <c r="F17" s="13"/>
    </row>
    <row r="18" ht="19.5" customHeight="1" spans="1:6">
      <c r="A18" s="10">
        <v>12</v>
      </c>
      <c r="B18" s="14" t="s">
        <v>1019</v>
      </c>
      <c r="C18" s="4" t="s">
        <v>253</v>
      </c>
      <c r="D18" s="10" t="s">
        <v>257</v>
      </c>
      <c r="E18" s="242">
        <v>75000</v>
      </c>
      <c r="F18" s="13"/>
    </row>
    <row r="19" ht="19.5" customHeight="1" spans="1:6">
      <c r="A19" s="10">
        <v>13</v>
      </c>
      <c r="B19" s="14" t="s">
        <v>1111</v>
      </c>
      <c r="C19" s="4" t="s">
        <v>1112</v>
      </c>
      <c r="D19" s="10" t="s">
        <v>257</v>
      </c>
      <c r="E19" s="242">
        <v>75000</v>
      </c>
      <c r="F19" s="13"/>
    </row>
    <row r="20" customHeight="1" spans="1:6">
      <c r="A20" s="10">
        <v>14</v>
      </c>
      <c r="B20" s="11" t="s">
        <v>252</v>
      </c>
      <c r="C20" s="4" t="s">
        <v>253</v>
      </c>
      <c r="D20" s="15" t="s">
        <v>257</v>
      </c>
      <c r="E20" s="242">
        <v>75000</v>
      </c>
      <c r="F20" s="13"/>
    </row>
    <row r="21" customHeight="1" spans="1:6">
      <c r="A21" s="10">
        <v>15</v>
      </c>
      <c r="B21" s="11" t="s">
        <v>264</v>
      </c>
      <c r="C21" s="12" t="s">
        <v>265</v>
      </c>
      <c r="D21" s="15" t="s">
        <v>950</v>
      </c>
      <c r="E21" s="242">
        <v>75000</v>
      </c>
      <c r="F21" s="13"/>
    </row>
    <row r="22" customHeight="1" spans="1:6">
      <c r="A22" s="10">
        <v>16</v>
      </c>
      <c r="B22" s="18" t="s">
        <v>267</v>
      </c>
      <c r="C22" s="4" t="s">
        <v>268</v>
      </c>
      <c r="D22" s="15" t="s">
        <v>951</v>
      </c>
      <c r="E22" s="242">
        <v>75000</v>
      </c>
      <c r="F22" s="13"/>
    </row>
    <row r="23" customHeight="1" spans="1:6">
      <c r="A23" s="10">
        <v>17</v>
      </c>
      <c r="B23" s="11" t="s">
        <v>389</v>
      </c>
      <c r="C23" s="12" t="s">
        <v>390</v>
      </c>
      <c r="D23" s="15" t="s">
        <v>271</v>
      </c>
      <c r="E23" s="242">
        <v>45000</v>
      </c>
      <c r="F23" s="13"/>
    </row>
    <row r="24" ht="18.75" customHeight="1" spans="1:6">
      <c r="A24" s="10">
        <v>18</v>
      </c>
      <c r="B24" s="11" t="s">
        <v>270</v>
      </c>
      <c r="C24" s="12" t="s">
        <v>50</v>
      </c>
      <c r="D24" s="15" t="s">
        <v>332</v>
      </c>
      <c r="E24" s="242">
        <v>45000</v>
      </c>
      <c r="F24" s="13"/>
    </row>
    <row r="25" ht="18.75" customHeight="1" spans="1:6">
      <c r="A25" s="10">
        <v>19</v>
      </c>
      <c r="B25" s="11" t="s">
        <v>387</v>
      </c>
      <c r="C25" s="4" t="s">
        <v>388</v>
      </c>
      <c r="D25" s="15" t="s">
        <v>332</v>
      </c>
      <c r="E25" s="242">
        <v>45000</v>
      </c>
      <c r="F25" s="13"/>
    </row>
    <row r="26" ht="18.75" customHeight="1" spans="1:6">
      <c r="A26" s="10">
        <v>20</v>
      </c>
      <c r="B26" s="18" t="s">
        <v>1113</v>
      </c>
      <c r="C26" s="12" t="s">
        <v>293</v>
      </c>
      <c r="D26" s="15" t="s">
        <v>345</v>
      </c>
      <c r="E26" s="242">
        <v>45000</v>
      </c>
      <c r="F26" s="13"/>
    </row>
    <row r="27" ht="18.75" customHeight="1" spans="1:6">
      <c r="A27" s="10">
        <v>21</v>
      </c>
      <c r="B27" s="4" t="s">
        <v>278</v>
      </c>
      <c r="C27" s="4" t="s">
        <v>176</v>
      </c>
      <c r="D27" s="10" t="s">
        <v>283</v>
      </c>
      <c r="E27" s="242">
        <v>45000</v>
      </c>
      <c r="F27" s="13"/>
    </row>
    <row r="28" ht="18.75" customHeight="1" spans="1:6">
      <c r="A28" s="10">
        <v>22</v>
      </c>
      <c r="B28" s="18" t="s">
        <v>280</v>
      </c>
      <c r="C28" s="12" t="s">
        <v>176</v>
      </c>
      <c r="D28" s="15" t="s">
        <v>283</v>
      </c>
      <c r="E28" s="242">
        <v>45000</v>
      </c>
      <c r="F28" s="13"/>
    </row>
    <row r="29" ht="18.75" customHeight="1" spans="1:6">
      <c r="A29" s="10">
        <v>23</v>
      </c>
      <c r="B29" s="11" t="s">
        <v>1020</v>
      </c>
      <c r="C29" s="12" t="s">
        <v>1021</v>
      </c>
      <c r="D29" s="15" t="s">
        <v>283</v>
      </c>
      <c r="E29" s="242">
        <v>45000</v>
      </c>
      <c r="F29" s="13"/>
    </row>
    <row r="30" ht="18.75" customHeight="1" spans="1:6">
      <c r="A30" s="10">
        <v>24</v>
      </c>
      <c r="B30" s="18" t="s">
        <v>282</v>
      </c>
      <c r="C30" s="12" t="s">
        <v>967</v>
      </c>
      <c r="D30" s="15" t="s">
        <v>945</v>
      </c>
      <c r="E30" s="242">
        <v>45000</v>
      </c>
      <c r="F30" s="13"/>
    </row>
    <row r="31" ht="18.75" customHeight="1" spans="1:6">
      <c r="A31" s="10">
        <v>25</v>
      </c>
      <c r="B31" s="18" t="s">
        <v>284</v>
      </c>
      <c r="C31" s="4" t="s">
        <v>1022</v>
      </c>
      <c r="D31" s="10" t="s">
        <v>945</v>
      </c>
      <c r="E31" s="242">
        <v>45000</v>
      </c>
      <c r="F31" s="13"/>
    </row>
    <row r="32" ht="18.75" customHeight="1" spans="1:6">
      <c r="A32" s="10">
        <v>26</v>
      </c>
      <c r="B32" s="18" t="s">
        <v>287</v>
      </c>
      <c r="C32" s="17" t="s">
        <v>288</v>
      </c>
      <c r="D32" s="15" t="s">
        <v>283</v>
      </c>
      <c r="E32" s="242">
        <v>45000</v>
      </c>
      <c r="F32" s="13"/>
    </row>
    <row r="33" ht="18.75" customHeight="1" spans="1:6">
      <c r="A33" s="10">
        <v>27</v>
      </c>
      <c r="B33" s="18" t="s">
        <v>289</v>
      </c>
      <c r="C33" s="4" t="s">
        <v>290</v>
      </c>
      <c r="D33" s="10" t="s">
        <v>294</v>
      </c>
      <c r="E33" s="242">
        <v>45000</v>
      </c>
      <c r="F33" s="13"/>
    </row>
    <row r="34" ht="18.75" customHeight="1" spans="1:6">
      <c r="A34" s="10">
        <v>28</v>
      </c>
      <c r="B34" s="18" t="s">
        <v>933</v>
      </c>
      <c r="C34" s="12" t="s">
        <v>293</v>
      </c>
      <c r="D34" s="15" t="s">
        <v>294</v>
      </c>
      <c r="E34" s="242">
        <v>45000</v>
      </c>
      <c r="F34" s="13"/>
    </row>
    <row r="35" ht="18.75" customHeight="1" spans="1:6">
      <c r="A35" s="10">
        <v>29</v>
      </c>
      <c r="B35" s="18" t="s">
        <v>1114</v>
      </c>
      <c r="C35" s="12" t="s">
        <v>293</v>
      </c>
      <c r="D35" s="15" t="s">
        <v>294</v>
      </c>
      <c r="E35" s="242">
        <v>45000</v>
      </c>
      <c r="F35" s="13"/>
    </row>
    <row r="36" ht="18.75" customHeight="1" spans="1:6">
      <c r="A36" s="10">
        <v>30</v>
      </c>
      <c r="B36" s="18" t="s">
        <v>405</v>
      </c>
      <c r="C36" s="12" t="s">
        <v>69</v>
      </c>
      <c r="D36" s="15" t="s">
        <v>30</v>
      </c>
      <c r="E36" s="242">
        <v>45000</v>
      </c>
      <c r="F36" s="13"/>
    </row>
    <row r="37" ht="26.25" customHeight="1" spans="1:6">
      <c r="A37" s="10"/>
      <c r="B37" s="20" t="s">
        <v>33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34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295</v>
      </c>
      <c r="C40" s="4" t="s">
        <v>296</v>
      </c>
      <c r="D40" s="10" t="s">
        <v>297</v>
      </c>
      <c r="E40" s="242">
        <v>225000</v>
      </c>
      <c r="F40" s="13"/>
    </row>
    <row r="41" ht="18.75" customHeight="1" spans="1:6">
      <c r="A41" s="10">
        <v>2</v>
      </c>
      <c r="B41" s="18" t="s">
        <v>298</v>
      </c>
      <c r="C41" s="4" t="s">
        <v>537</v>
      </c>
      <c r="D41" s="10" t="s">
        <v>30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38</v>
      </c>
      <c r="C44" s="5"/>
      <c r="D44" s="24"/>
      <c r="E44" s="242"/>
      <c r="F44" s="13"/>
    </row>
    <row r="45" customHeight="1" spans="1:6">
      <c r="A45" s="10">
        <v>1</v>
      </c>
      <c r="B45" s="11" t="s">
        <v>302</v>
      </c>
      <c r="C45" s="4" t="s">
        <v>303</v>
      </c>
      <c r="D45" s="10" t="s">
        <v>297</v>
      </c>
      <c r="E45" s="242">
        <v>225000</v>
      </c>
      <c r="F45" s="13"/>
    </row>
    <row r="46" customHeight="1" spans="1:6">
      <c r="A46" s="10">
        <v>2</v>
      </c>
      <c r="B46" s="11" t="s">
        <v>304</v>
      </c>
      <c r="C46" s="4" t="s">
        <v>305</v>
      </c>
      <c r="D46" s="10" t="s">
        <v>249</v>
      </c>
      <c r="E46" s="242">
        <v>105000</v>
      </c>
      <c r="F46" s="13"/>
    </row>
    <row r="47" customHeight="1" spans="1:6">
      <c r="A47" s="10">
        <v>3</v>
      </c>
      <c r="B47" s="11" t="s">
        <v>306</v>
      </c>
      <c r="C47" s="4" t="s">
        <v>310</v>
      </c>
      <c r="D47" s="10" t="s">
        <v>249</v>
      </c>
      <c r="E47" s="242">
        <v>105000</v>
      </c>
      <c r="F47" s="13"/>
    </row>
    <row r="48" customHeight="1" spans="1:6">
      <c r="A48" s="10">
        <v>4</v>
      </c>
      <c r="B48" s="11" t="s">
        <v>309</v>
      </c>
      <c r="C48" s="4" t="s">
        <v>310</v>
      </c>
      <c r="D48" s="10" t="s">
        <v>249</v>
      </c>
      <c r="E48" s="242">
        <v>105000</v>
      </c>
      <c r="F48" s="13"/>
    </row>
    <row r="49" customHeight="1" spans="1:6">
      <c r="A49" s="10">
        <v>5</v>
      </c>
      <c r="B49" s="11" t="s">
        <v>311</v>
      </c>
      <c r="C49" s="4" t="s">
        <v>310</v>
      </c>
      <c r="D49" s="10" t="s">
        <v>327</v>
      </c>
      <c r="E49" s="242">
        <v>105000</v>
      </c>
      <c r="F49" s="13"/>
    </row>
    <row r="50" customHeight="1" spans="1:6">
      <c r="A50" s="10">
        <v>6</v>
      </c>
      <c r="B50" s="11" t="s">
        <v>312</v>
      </c>
      <c r="C50" s="4" t="s">
        <v>259</v>
      </c>
      <c r="D50" s="10" t="s">
        <v>257</v>
      </c>
      <c r="E50" s="242">
        <v>75000</v>
      </c>
      <c r="F50" s="13"/>
    </row>
    <row r="51" customHeight="1" spans="1:6">
      <c r="A51" s="10">
        <v>7</v>
      </c>
      <c r="B51" s="14" t="s">
        <v>313</v>
      </c>
      <c r="C51" s="4" t="s">
        <v>256</v>
      </c>
      <c r="D51" s="16" t="s">
        <v>257</v>
      </c>
      <c r="E51" s="242">
        <v>75000</v>
      </c>
      <c r="F51" s="13"/>
    </row>
    <row r="52" customHeight="1" spans="1:6">
      <c r="A52" s="10">
        <v>8</v>
      </c>
      <c r="B52" s="11" t="s">
        <v>1025</v>
      </c>
      <c r="C52" s="4" t="s">
        <v>256</v>
      </c>
      <c r="D52" s="10" t="s">
        <v>342</v>
      </c>
      <c r="E52" s="242">
        <v>75000</v>
      </c>
      <c r="F52" s="13"/>
    </row>
    <row r="53" customHeight="1" spans="1:6">
      <c r="A53" s="10">
        <v>9</v>
      </c>
      <c r="B53" s="11" t="s">
        <v>258</v>
      </c>
      <c r="C53" s="4" t="s">
        <v>353</v>
      </c>
      <c r="D53" s="10" t="s">
        <v>266</v>
      </c>
      <c r="E53" s="242">
        <v>75000</v>
      </c>
      <c r="F53" s="13"/>
    </row>
    <row r="54" customHeight="1" spans="1:6">
      <c r="A54" s="10">
        <v>10</v>
      </c>
      <c r="B54" s="11" t="s">
        <v>315</v>
      </c>
      <c r="C54" s="4" t="s">
        <v>63</v>
      </c>
      <c r="D54" s="10" t="s">
        <v>24</v>
      </c>
      <c r="E54" s="242">
        <v>45000</v>
      </c>
      <c r="F54" s="13"/>
    </row>
    <row r="55" customHeight="1" spans="1:6">
      <c r="A55" s="10">
        <v>11</v>
      </c>
      <c r="B55" s="11" t="s">
        <v>316</v>
      </c>
      <c r="C55" s="4" t="s">
        <v>63</v>
      </c>
      <c r="D55" s="10" t="s">
        <v>24</v>
      </c>
      <c r="E55" s="242">
        <v>45000</v>
      </c>
      <c r="F55" s="13"/>
    </row>
    <row r="56" customHeight="1" spans="1:6">
      <c r="A56" s="10">
        <v>12</v>
      </c>
      <c r="B56" s="11" t="s">
        <v>317</v>
      </c>
      <c r="C56" s="4" t="s">
        <v>63</v>
      </c>
      <c r="D56" s="10" t="s">
        <v>24</v>
      </c>
      <c r="E56" s="242">
        <v>45000</v>
      </c>
      <c r="F56" s="13"/>
    </row>
    <row r="57" ht="25.5" customHeight="1" spans="1:6">
      <c r="A57" s="10"/>
      <c r="B57" s="20" t="s">
        <v>33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318</v>
      </c>
      <c r="C59" s="21"/>
      <c r="D59" s="21"/>
      <c r="E59" s="246"/>
      <c r="F59" s="13"/>
    </row>
    <row r="60" customHeight="1" spans="1:6">
      <c r="A60" s="10">
        <v>1</v>
      </c>
      <c r="B60" s="11" t="s">
        <v>319</v>
      </c>
      <c r="C60" s="12" t="s">
        <v>320</v>
      </c>
      <c r="D60" s="15" t="s">
        <v>297</v>
      </c>
      <c r="E60" s="242">
        <v>225000</v>
      </c>
      <c r="F60" s="13"/>
    </row>
    <row r="61" customHeight="1" spans="1:6">
      <c r="A61" s="10">
        <v>2</v>
      </c>
      <c r="B61" s="11" t="s">
        <v>321</v>
      </c>
      <c r="C61" s="12" t="s">
        <v>322</v>
      </c>
      <c r="D61" s="15" t="s">
        <v>222</v>
      </c>
      <c r="E61" s="242">
        <v>105000</v>
      </c>
      <c r="F61" s="13"/>
    </row>
    <row r="62" customHeight="1" spans="1:6">
      <c r="A62" s="10"/>
      <c r="B62" s="20" t="s">
        <v>33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44</v>
      </c>
      <c r="C64" s="21"/>
      <c r="D64" s="21"/>
      <c r="E64" s="246"/>
      <c r="F64" s="13"/>
    </row>
    <row r="65" customHeight="1" spans="1:6">
      <c r="A65" s="10">
        <v>1</v>
      </c>
      <c r="B65" s="11" t="s">
        <v>323</v>
      </c>
      <c r="C65" s="17" t="s">
        <v>324</v>
      </c>
      <c r="D65" s="10" t="s">
        <v>297</v>
      </c>
      <c r="E65" s="242">
        <v>225000</v>
      </c>
      <c r="F65" s="13"/>
    </row>
    <row r="66" customHeight="1" spans="1:6">
      <c r="A66" s="10">
        <v>2</v>
      </c>
      <c r="B66" s="18" t="s">
        <v>325</v>
      </c>
      <c r="C66" s="17" t="s">
        <v>326</v>
      </c>
      <c r="D66" s="15" t="s">
        <v>952</v>
      </c>
      <c r="E66" s="242">
        <v>105000</v>
      </c>
      <c r="F66" s="13"/>
    </row>
    <row r="67" customHeight="1" spans="1:6">
      <c r="A67" s="10">
        <v>3</v>
      </c>
      <c r="B67" s="11" t="s">
        <v>328</v>
      </c>
      <c r="C67" s="4" t="s">
        <v>46</v>
      </c>
      <c r="D67" s="10" t="s">
        <v>266</v>
      </c>
      <c r="E67" s="242">
        <v>75000</v>
      </c>
      <c r="F67" s="13"/>
    </row>
    <row r="68" customHeight="1" spans="1:6">
      <c r="A68" s="10">
        <v>4</v>
      </c>
      <c r="B68" s="18" t="s">
        <v>329</v>
      </c>
      <c r="C68" s="17" t="s">
        <v>46</v>
      </c>
      <c r="D68" s="15" t="s">
        <v>950</v>
      </c>
      <c r="E68" s="242">
        <v>75000</v>
      </c>
      <c r="F68" s="13"/>
    </row>
    <row r="69" customHeight="1" spans="1:6">
      <c r="A69" s="10">
        <v>5</v>
      </c>
      <c r="B69" s="14" t="s">
        <v>330</v>
      </c>
      <c r="C69" s="17" t="s">
        <v>256</v>
      </c>
      <c r="D69" s="15" t="s">
        <v>257</v>
      </c>
      <c r="E69" s="242">
        <v>75000</v>
      </c>
      <c r="F69" s="13"/>
    </row>
    <row r="70" customHeight="1" spans="1:6">
      <c r="A70" s="10">
        <v>6</v>
      </c>
      <c r="B70" s="14" t="s">
        <v>255</v>
      </c>
      <c r="C70" s="17" t="s">
        <v>256</v>
      </c>
      <c r="D70" s="15" t="s">
        <v>342</v>
      </c>
      <c r="E70" s="242">
        <v>75000</v>
      </c>
      <c r="F70" s="13"/>
    </row>
    <row r="71" customHeight="1" spans="1:6">
      <c r="A71" s="10">
        <v>7</v>
      </c>
      <c r="B71" s="11" t="s">
        <v>331</v>
      </c>
      <c r="C71" s="4" t="s">
        <v>63</v>
      </c>
      <c r="D71" s="10" t="s">
        <v>41</v>
      </c>
      <c r="E71" s="242">
        <v>45000</v>
      </c>
      <c r="F71" s="13"/>
    </row>
    <row r="72" customHeight="1" spans="1:6">
      <c r="A72" s="10">
        <v>8</v>
      </c>
      <c r="B72" s="11" t="s">
        <v>1033</v>
      </c>
      <c r="C72" s="17" t="s">
        <v>275</v>
      </c>
      <c r="D72" s="15" t="s">
        <v>271</v>
      </c>
      <c r="E72" s="242">
        <v>45000</v>
      </c>
      <c r="F72" s="13"/>
    </row>
    <row r="73" customHeight="1" spans="1:6">
      <c r="A73" s="10">
        <v>9</v>
      </c>
      <c r="B73" s="11" t="s">
        <v>333</v>
      </c>
      <c r="C73" s="17" t="s">
        <v>275</v>
      </c>
      <c r="D73" s="15" t="s">
        <v>41</v>
      </c>
      <c r="E73" s="242">
        <v>45000</v>
      </c>
      <c r="F73" s="13"/>
    </row>
    <row r="74" customHeight="1" spans="1:6">
      <c r="A74" s="10">
        <v>10</v>
      </c>
      <c r="B74" s="11" t="s">
        <v>334</v>
      </c>
      <c r="C74" s="17" t="s">
        <v>275</v>
      </c>
      <c r="D74" s="15" t="s">
        <v>41</v>
      </c>
      <c r="E74" s="242">
        <v>45000</v>
      </c>
      <c r="F74" s="13"/>
    </row>
    <row r="75" customHeight="1" spans="1:6">
      <c r="A75" s="10">
        <v>11</v>
      </c>
      <c r="B75" s="11" t="s">
        <v>335</v>
      </c>
      <c r="C75" s="4" t="s">
        <v>336</v>
      </c>
      <c r="D75" s="10" t="s">
        <v>332</v>
      </c>
      <c r="E75" s="242">
        <v>45000</v>
      </c>
      <c r="F75" s="13"/>
    </row>
    <row r="76" customHeight="1" spans="1:6">
      <c r="A76" s="10">
        <v>12</v>
      </c>
      <c r="B76" s="11" t="s">
        <v>1115</v>
      </c>
      <c r="C76" s="17" t="s">
        <v>63</v>
      </c>
      <c r="D76" s="10" t="s">
        <v>301</v>
      </c>
      <c r="E76" s="242">
        <v>45000</v>
      </c>
      <c r="F76" s="13"/>
    </row>
    <row r="77" customHeight="1" spans="1:6">
      <c r="A77" s="10">
        <v>13</v>
      </c>
      <c r="B77" s="11" t="s">
        <v>281</v>
      </c>
      <c r="C77" s="17" t="s">
        <v>273</v>
      </c>
      <c r="D77" s="10" t="s">
        <v>283</v>
      </c>
      <c r="E77" s="242">
        <v>45000</v>
      </c>
      <c r="F77" s="13"/>
    </row>
    <row r="78" customHeight="1" spans="1:6">
      <c r="A78" s="10">
        <v>14</v>
      </c>
      <c r="B78" s="14" t="s">
        <v>272</v>
      </c>
      <c r="C78" s="17" t="s">
        <v>273</v>
      </c>
      <c r="D78" s="10" t="s">
        <v>294</v>
      </c>
      <c r="E78" s="242">
        <v>45000</v>
      </c>
      <c r="F78" s="13"/>
    </row>
    <row r="79" customHeight="1" spans="1:6">
      <c r="A79" s="10"/>
      <c r="B79" s="20" t="s">
        <v>33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51</v>
      </c>
      <c r="C81" s="21"/>
      <c r="D81" s="21"/>
      <c r="E81" s="246"/>
      <c r="F81" s="13"/>
    </row>
    <row r="82" customHeight="1" spans="1:6">
      <c r="A82" s="10">
        <v>1</v>
      </c>
      <c r="B82" s="11" t="s">
        <v>338</v>
      </c>
      <c r="C82" s="4" t="s">
        <v>339</v>
      </c>
      <c r="D82" s="10" t="s">
        <v>297</v>
      </c>
      <c r="E82" s="242">
        <v>225000</v>
      </c>
      <c r="F82" s="13"/>
    </row>
    <row r="83" customHeight="1" spans="1:6">
      <c r="A83" s="10">
        <v>2</v>
      </c>
      <c r="B83" s="14" t="s">
        <v>220</v>
      </c>
      <c r="C83" s="4" t="s">
        <v>221</v>
      </c>
      <c r="D83" s="15" t="s">
        <v>952</v>
      </c>
      <c r="E83" s="242">
        <v>105000</v>
      </c>
      <c r="F83" s="13"/>
    </row>
    <row r="84" customHeight="1" spans="1:6">
      <c r="A84" s="10">
        <v>3</v>
      </c>
      <c r="B84" s="14" t="s">
        <v>1116</v>
      </c>
      <c r="C84" s="4" t="s">
        <v>1117</v>
      </c>
      <c r="D84" s="15" t="s">
        <v>952</v>
      </c>
      <c r="E84" s="242">
        <v>105000</v>
      </c>
      <c r="F84" s="13"/>
    </row>
    <row r="85" customHeight="1" spans="1:6">
      <c r="A85" s="10">
        <v>4</v>
      </c>
      <c r="B85" s="11" t="s">
        <v>340</v>
      </c>
      <c r="C85" s="4" t="s">
        <v>968</v>
      </c>
      <c r="D85" s="15" t="s">
        <v>266</v>
      </c>
      <c r="E85" s="242">
        <v>75000</v>
      </c>
      <c r="F85" s="13"/>
    </row>
    <row r="86" customHeight="1" spans="1:6">
      <c r="A86" s="10">
        <v>5</v>
      </c>
      <c r="B86" s="11" t="s">
        <v>343</v>
      </c>
      <c r="C86" s="4" t="s">
        <v>344</v>
      </c>
      <c r="D86" s="10" t="s">
        <v>301</v>
      </c>
      <c r="E86" s="242">
        <v>45000</v>
      </c>
      <c r="F86" s="13"/>
    </row>
    <row r="87" customHeight="1" spans="1:6">
      <c r="A87" s="10"/>
      <c r="B87" s="20" t="s">
        <v>33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56</v>
      </c>
      <c r="C89" s="25"/>
      <c r="D89" s="21"/>
      <c r="E89" s="242"/>
      <c r="F89" s="13"/>
    </row>
    <row r="90" customHeight="1" spans="1:6">
      <c r="A90" s="10">
        <v>1</v>
      </c>
      <c r="B90" s="11" t="s">
        <v>349</v>
      </c>
      <c r="C90" s="4" t="s">
        <v>310</v>
      </c>
      <c r="D90" s="10" t="s">
        <v>249</v>
      </c>
      <c r="E90" s="242">
        <v>105000</v>
      </c>
      <c r="F90" s="13"/>
    </row>
    <row r="91" customHeight="1" spans="1:6">
      <c r="A91" s="10">
        <v>2</v>
      </c>
      <c r="B91" s="11" t="s">
        <v>350</v>
      </c>
      <c r="C91" s="4" t="s">
        <v>310</v>
      </c>
      <c r="D91" s="10" t="s">
        <v>249</v>
      </c>
      <c r="E91" s="242">
        <v>105000</v>
      </c>
      <c r="F91" s="13"/>
    </row>
    <row r="92" customHeight="1" spans="1:6">
      <c r="A92" s="10">
        <v>3</v>
      </c>
      <c r="B92" s="14" t="s">
        <v>386</v>
      </c>
      <c r="C92" s="4" t="s">
        <v>256</v>
      </c>
      <c r="D92" s="10" t="s">
        <v>254</v>
      </c>
      <c r="E92" s="242">
        <v>75000</v>
      </c>
      <c r="F92" s="13"/>
    </row>
    <row r="93" customHeight="1" spans="1:6">
      <c r="A93" s="10">
        <v>4</v>
      </c>
      <c r="B93" s="11" t="s">
        <v>351</v>
      </c>
      <c r="C93" s="4" t="s">
        <v>259</v>
      </c>
      <c r="D93" s="10" t="s">
        <v>257</v>
      </c>
      <c r="E93" s="242">
        <v>75000</v>
      </c>
      <c r="F93" s="13"/>
    </row>
    <row r="94" ht="21.6" customHeight="1" spans="1:6">
      <c r="A94" s="10">
        <v>5</v>
      </c>
      <c r="B94" s="11" t="s">
        <v>352</v>
      </c>
      <c r="C94" s="4" t="s">
        <v>353</v>
      </c>
      <c r="D94" s="15" t="s">
        <v>266</v>
      </c>
      <c r="E94" s="242">
        <v>75000</v>
      </c>
      <c r="F94" s="13"/>
    </row>
    <row r="95" ht="21.6" customHeight="1" spans="1:6">
      <c r="A95" s="10">
        <v>6</v>
      </c>
      <c r="B95" s="11" t="s">
        <v>354</v>
      </c>
      <c r="C95" s="12" t="s">
        <v>46</v>
      </c>
      <c r="D95" s="15" t="s">
        <v>950</v>
      </c>
      <c r="E95" s="242">
        <v>75000</v>
      </c>
      <c r="F95" s="13"/>
    </row>
    <row r="96" ht="21.6" customHeight="1" spans="1:6">
      <c r="A96" s="10">
        <v>7</v>
      </c>
      <c r="B96" s="11" t="s">
        <v>355</v>
      </c>
      <c r="C96" s="12" t="s">
        <v>46</v>
      </c>
      <c r="D96" s="15" t="s">
        <v>950</v>
      </c>
      <c r="E96" s="242">
        <v>75000</v>
      </c>
      <c r="F96" s="13"/>
    </row>
    <row r="97" ht="21.6" customHeight="1" spans="1:6">
      <c r="A97" s="10">
        <v>8</v>
      </c>
      <c r="B97" s="11" t="s">
        <v>357</v>
      </c>
      <c r="C97" s="17" t="s">
        <v>275</v>
      </c>
      <c r="D97" s="15" t="s">
        <v>41</v>
      </c>
      <c r="E97" s="242">
        <v>45000</v>
      </c>
      <c r="F97" s="13"/>
    </row>
    <row r="98" ht="21.6" customHeight="1" spans="1:6">
      <c r="A98" s="10">
        <v>9</v>
      </c>
      <c r="B98" s="11" t="s">
        <v>359</v>
      </c>
      <c r="C98" s="4" t="s">
        <v>360</v>
      </c>
      <c r="D98" s="10" t="s">
        <v>37</v>
      </c>
      <c r="E98" s="242">
        <v>45000</v>
      </c>
      <c r="F98" s="13"/>
    </row>
    <row r="99" ht="21.6" customHeight="1" spans="1:6">
      <c r="A99" s="10">
        <v>10</v>
      </c>
      <c r="B99" s="11" t="s">
        <v>361</v>
      </c>
      <c r="C99" s="17" t="s">
        <v>362</v>
      </c>
      <c r="D99" s="15" t="s">
        <v>294</v>
      </c>
      <c r="E99" s="242">
        <v>45000</v>
      </c>
      <c r="F99" s="13"/>
    </row>
    <row r="100" customHeight="1" spans="1:6">
      <c r="A100" s="10"/>
      <c r="B100" s="20" t="s">
        <v>33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58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232</v>
      </c>
      <c r="C103" s="10" t="s">
        <v>233</v>
      </c>
      <c r="D103" s="15" t="s">
        <v>308</v>
      </c>
      <c r="E103" s="242">
        <v>150000</v>
      </c>
      <c r="F103" s="13"/>
    </row>
    <row r="104" customHeight="1" spans="1:6">
      <c r="A104" s="10">
        <v>2</v>
      </c>
      <c r="B104" s="11" t="s">
        <v>250</v>
      </c>
      <c r="C104" s="4" t="s">
        <v>367</v>
      </c>
      <c r="D104" s="10" t="s">
        <v>257</v>
      </c>
      <c r="E104" s="242">
        <v>75000</v>
      </c>
      <c r="F104" s="13"/>
    </row>
    <row r="105" customHeight="1" spans="1:6">
      <c r="A105" s="10">
        <v>3</v>
      </c>
      <c r="B105" s="11" t="s">
        <v>368</v>
      </c>
      <c r="C105" s="4" t="s">
        <v>369</v>
      </c>
      <c r="D105" s="15" t="s">
        <v>332</v>
      </c>
      <c r="E105" s="242">
        <v>45000</v>
      </c>
      <c r="F105" s="13"/>
    </row>
    <row r="106" customHeight="1" spans="1:6">
      <c r="A106" s="10">
        <v>4</v>
      </c>
      <c r="B106" s="11" t="s">
        <v>1118</v>
      </c>
      <c r="C106" s="4" t="s">
        <v>1119</v>
      </c>
      <c r="D106" s="15" t="s">
        <v>945</v>
      </c>
      <c r="E106" s="242">
        <v>45000</v>
      </c>
      <c r="F106" s="13"/>
    </row>
    <row r="107" customHeight="1" spans="1:6">
      <c r="A107" s="4"/>
      <c r="B107" s="20" t="s">
        <v>33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372</v>
      </c>
      <c r="C109" s="4"/>
      <c r="D109" s="4"/>
      <c r="E109" s="247"/>
      <c r="F109" s="13"/>
    </row>
    <row r="110" customHeight="1" spans="1:6">
      <c r="A110" s="4">
        <v>1</v>
      </c>
      <c r="B110" s="11" t="s">
        <v>373</v>
      </c>
      <c r="C110" s="12" t="s">
        <v>374</v>
      </c>
      <c r="D110" s="15" t="s">
        <v>297</v>
      </c>
      <c r="E110" s="242">
        <v>225000</v>
      </c>
      <c r="F110" s="13"/>
    </row>
    <row r="111" customHeight="1" spans="1:6">
      <c r="A111" s="4">
        <v>2</v>
      </c>
      <c r="B111" s="11" t="s">
        <v>375</v>
      </c>
      <c r="C111" s="4" t="s">
        <v>376</v>
      </c>
      <c r="D111" s="16" t="s">
        <v>308</v>
      </c>
      <c r="E111" s="242">
        <v>150000</v>
      </c>
      <c r="F111" s="13"/>
    </row>
    <row r="112" customHeight="1" spans="1:6">
      <c r="A112" s="4">
        <v>3</v>
      </c>
      <c r="B112" s="11" t="s">
        <v>377</v>
      </c>
      <c r="C112" s="4" t="s">
        <v>378</v>
      </c>
      <c r="D112" s="10" t="s">
        <v>263</v>
      </c>
      <c r="E112" s="242">
        <v>75000</v>
      </c>
      <c r="F112" s="13"/>
    </row>
    <row r="113" customHeight="1" spans="1:6">
      <c r="A113" s="4">
        <v>4</v>
      </c>
      <c r="B113" s="11" t="s">
        <v>379</v>
      </c>
      <c r="C113" s="4" t="s">
        <v>378</v>
      </c>
      <c r="D113" s="10" t="s">
        <v>263</v>
      </c>
      <c r="E113" s="242">
        <v>75000</v>
      </c>
      <c r="F113" s="13"/>
    </row>
    <row r="114" customHeight="1" spans="1:6">
      <c r="A114" s="4">
        <v>5</v>
      </c>
      <c r="B114" s="11" t="s">
        <v>380</v>
      </c>
      <c r="C114" s="4" t="s">
        <v>381</v>
      </c>
      <c r="D114" s="15" t="s">
        <v>384</v>
      </c>
      <c r="E114" s="242">
        <v>45000</v>
      </c>
      <c r="F114" s="13"/>
    </row>
    <row r="115" customHeight="1" spans="1:6">
      <c r="A115" s="4">
        <v>6</v>
      </c>
      <c r="B115" s="18" t="s">
        <v>383</v>
      </c>
      <c r="C115" s="4" t="s">
        <v>381</v>
      </c>
      <c r="D115" s="10" t="s">
        <v>945</v>
      </c>
      <c r="E115" s="242">
        <v>45000</v>
      </c>
      <c r="F115" s="13"/>
    </row>
    <row r="116" customHeight="1" spans="1:6">
      <c r="A116" s="4">
        <v>7</v>
      </c>
      <c r="B116" s="18" t="s">
        <v>385</v>
      </c>
      <c r="C116" s="4" t="s">
        <v>381</v>
      </c>
      <c r="D116" s="15" t="s">
        <v>294</v>
      </c>
      <c r="E116" s="242">
        <v>45000</v>
      </c>
      <c r="F116" s="13"/>
    </row>
    <row r="117" customHeight="1" spans="1:6">
      <c r="A117" s="4"/>
      <c r="B117" s="20" t="s">
        <v>33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67</v>
      </c>
      <c r="C119" s="21"/>
      <c r="D119" s="21"/>
      <c r="E119" s="242"/>
      <c r="F119" s="13"/>
    </row>
    <row r="120" customHeight="1" spans="1:6">
      <c r="A120" s="4">
        <v>1</v>
      </c>
      <c r="B120" s="11" t="s">
        <v>392</v>
      </c>
      <c r="C120" s="12" t="s">
        <v>393</v>
      </c>
      <c r="D120" s="15" t="s">
        <v>297</v>
      </c>
      <c r="E120" s="242">
        <v>225000</v>
      </c>
      <c r="F120" s="13"/>
    </row>
    <row r="121" customHeight="1" spans="1:6">
      <c r="A121" s="4">
        <v>2</v>
      </c>
      <c r="B121" s="11" t="s">
        <v>128</v>
      </c>
      <c r="C121" s="12" t="s">
        <v>227</v>
      </c>
      <c r="D121" s="15" t="s">
        <v>249</v>
      </c>
      <c r="E121" s="242">
        <v>105000</v>
      </c>
      <c r="F121" s="13"/>
    </row>
    <row r="122" customHeight="1" spans="1:6">
      <c r="A122" s="4">
        <v>3</v>
      </c>
      <c r="B122" s="14" t="s">
        <v>395</v>
      </c>
      <c r="C122" s="12" t="s">
        <v>227</v>
      </c>
      <c r="D122" s="15" t="s">
        <v>249</v>
      </c>
      <c r="E122" s="242">
        <v>105000</v>
      </c>
      <c r="F122" s="13"/>
    </row>
    <row r="123" customHeight="1" spans="1:6">
      <c r="A123" s="4">
        <v>4</v>
      </c>
      <c r="B123" s="14" t="s">
        <v>226</v>
      </c>
      <c r="C123" s="12" t="s">
        <v>227</v>
      </c>
      <c r="D123" s="15" t="s">
        <v>228</v>
      </c>
      <c r="E123" s="242">
        <v>105000</v>
      </c>
      <c r="F123" s="13"/>
    </row>
    <row r="124" customHeight="1" spans="1:6">
      <c r="A124" s="4">
        <v>5</v>
      </c>
      <c r="B124" s="11" t="s">
        <v>396</v>
      </c>
      <c r="C124" s="12" t="s">
        <v>397</v>
      </c>
      <c r="D124" s="15" t="s">
        <v>342</v>
      </c>
      <c r="E124" s="242">
        <v>75000</v>
      </c>
      <c r="F124" s="13"/>
    </row>
    <row r="125" customHeight="1" spans="1:6">
      <c r="A125" s="4">
        <v>6</v>
      </c>
      <c r="B125" s="11" t="s">
        <v>398</v>
      </c>
      <c r="C125" s="12" t="s">
        <v>399</v>
      </c>
      <c r="D125" s="15" t="s">
        <v>266</v>
      </c>
      <c r="E125" s="242">
        <v>75000</v>
      </c>
      <c r="F125" s="13"/>
    </row>
    <row r="126" customHeight="1" spans="1:6">
      <c r="A126" s="4">
        <v>7</v>
      </c>
      <c r="B126" s="11" t="s">
        <v>400</v>
      </c>
      <c r="C126" s="12" t="s">
        <v>970</v>
      </c>
      <c r="D126" s="15" t="s">
        <v>266</v>
      </c>
      <c r="E126" s="242">
        <v>75000</v>
      </c>
      <c r="F126" s="13"/>
    </row>
    <row r="127" customHeight="1" spans="1:6">
      <c r="A127" s="4">
        <v>8</v>
      </c>
      <c r="B127" s="11" t="s">
        <v>401</v>
      </c>
      <c r="C127" s="12" t="s">
        <v>402</v>
      </c>
      <c r="D127" s="10" t="s">
        <v>283</v>
      </c>
      <c r="E127" s="242">
        <v>45000</v>
      </c>
      <c r="F127" s="13"/>
    </row>
    <row r="128" customHeight="1" spans="1:6">
      <c r="A128" s="4">
        <v>9</v>
      </c>
      <c r="B128" s="18" t="s">
        <v>403</v>
      </c>
      <c r="C128" s="12" t="s">
        <v>404</v>
      </c>
      <c r="D128" s="15" t="s">
        <v>294</v>
      </c>
      <c r="E128" s="242">
        <v>45000</v>
      </c>
      <c r="F128" s="13"/>
    </row>
    <row r="129" customHeight="1" spans="1:6">
      <c r="A129" s="4"/>
      <c r="B129" s="20" t="s">
        <v>33</v>
      </c>
      <c r="C129" s="26" t="s">
        <v>1120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71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407</v>
      </c>
      <c r="C132" s="12" t="s">
        <v>408</v>
      </c>
      <c r="D132" s="15" t="s">
        <v>297</v>
      </c>
      <c r="E132" s="242">
        <v>225000</v>
      </c>
      <c r="F132" s="13"/>
    </row>
    <row r="133" customHeight="1" spans="1:6">
      <c r="A133" s="27">
        <v>2</v>
      </c>
      <c r="B133" s="11" t="s">
        <v>229</v>
      </c>
      <c r="C133" s="12" t="s">
        <v>230</v>
      </c>
      <c r="D133" s="15" t="s">
        <v>231</v>
      </c>
      <c r="E133" s="242">
        <v>150000</v>
      </c>
      <c r="F133" s="13"/>
    </row>
    <row r="134" customHeight="1" spans="1:6">
      <c r="A134" s="27">
        <v>3</v>
      </c>
      <c r="B134" s="14" t="s">
        <v>409</v>
      </c>
      <c r="C134" s="4" t="s">
        <v>410</v>
      </c>
      <c r="D134" s="16" t="s">
        <v>308</v>
      </c>
      <c r="E134" s="242">
        <v>150000</v>
      </c>
      <c r="F134" s="13"/>
    </row>
    <row r="135" customHeight="1" spans="1:6">
      <c r="A135" s="27">
        <v>4</v>
      </c>
      <c r="B135" s="11" t="s">
        <v>411</v>
      </c>
      <c r="C135" s="12" t="s">
        <v>412</v>
      </c>
      <c r="D135" s="15" t="s">
        <v>257</v>
      </c>
      <c r="E135" s="242">
        <v>75000</v>
      </c>
      <c r="F135" s="13"/>
    </row>
    <row r="136" customHeight="1" spans="1:6">
      <c r="A136" s="27">
        <v>5</v>
      </c>
      <c r="B136" s="11" t="s">
        <v>413</v>
      </c>
      <c r="C136" s="4" t="s">
        <v>414</v>
      </c>
      <c r="D136" s="15" t="s">
        <v>257</v>
      </c>
      <c r="E136" s="242">
        <v>75000</v>
      </c>
      <c r="F136" s="13"/>
    </row>
    <row r="137" customHeight="1" spans="1:6">
      <c r="A137" s="27">
        <v>6</v>
      </c>
      <c r="B137" s="11" t="s">
        <v>366</v>
      </c>
      <c r="C137" s="4" t="s">
        <v>420</v>
      </c>
      <c r="D137" s="15" t="s">
        <v>266</v>
      </c>
      <c r="E137" s="242">
        <v>75000</v>
      </c>
      <c r="F137" s="13"/>
    </row>
    <row r="138" customHeight="1" spans="1:6">
      <c r="A138" s="27">
        <v>7</v>
      </c>
      <c r="B138" s="11" t="s">
        <v>416</v>
      </c>
      <c r="C138" s="12" t="s">
        <v>417</v>
      </c>
      <c r="D138" s="15" t="s">
        <v>271</v>
      </c>
      <c r="E138" s="242">
        <v>45000</v>
      </c>
      <c r="F138" s="13"/>
    </row>
    <row r="139" customHeight="1" spans="1:6">
      <c r="A139" s="27">
        <v>8</v>
      </c>
      <c r="B139" s="11" t="s">
        <v>418</v>
      </c>
      <c r="C139" s="12" t="s">
        <v>417</v>
      </c>
      <c r="D139" s="15" t="s">
        <v>271</v>
      </c>
      <c r="E139" s="242">
        <v>45000</v>
      </c>
      <c r="F139" s="13"/>
    </row>
    <row r="140" customHeight="1" spans="1:6">
      <c r="A140" s="27">
        <v>9</v>
      </c>
      <c r="B140" s="11" t="s">
        <v>419</v>
      </c>
      <c r="C140" s="4" t="s">
        <v>420</v>
      </c>
      <c r="D140" s="15" t="s">
        <v>271</v>
      </c>
      <c r="E140" s="242">
        <v>45000</v>
      </c>
      <c r="F140" s="13"/>
    </row>
    <row r="141" customHeight="1" spans="1:6">
      <c r="A141" s="27">
        <v>10</v>
      </c>
      <c r="B141" s="11" t="s">
        <v>421</v>
      </c>
      <c r="C141" s="12" t="s">
        <v>426</v>
      </c>
      <c r="D141" s="15" t="s">
        <v>332</v>
      </c>
      <c r="E141" s="242">
        <v>45000</v>
      </c>
      <c r="F141" s="13"/>
    </row>
    <row r="142" customHeight="1" spans="1:6">
      <c r="A142" s="27">
        <v>11</v>
      </c>
      <c r="B142" s="11" t="s">
        <v>423</v>
      </c>
      <c r="C142" s="12" t="s">
        <v>971</v>
      </c>
      <c r="D142" s="15" t="s">
        <v>432</v>
      </c>
      <c r="E142" s="242">
        <v>45000</v>
      </c>
      <c r="F142" s="13"/>
    </row>
    <row r="143" customHeight="1" spans="1:6">
      <c r="A143" s="27">
        <v>12</v>
      </c>
      <c r="B143" s="11" t="s">
        <v>425</v>
      </c>
      <c r="C143" s="12" t="s">
        <v>426</v>
      </c>
      <c r="D143" s="15" t="s">
        <v>271</v>
      </c>
      <c r="E143" s="242">
        <v>45000</v>
      </c>
      <c r="F143" s="13"/>
    </row>
    <row r="144" customHeight="1" spans="1:6">
      <c r="A144" s="27">
        <v>13</v>
      </c>
      <c r="B144" s="18" t="s">
        <v>427</v>
      </c>
      <c r="C144" s="4" t="s">
        <v>437</v>
      </c>
      <c r="D144" s="15" t="s">
        <v>432</v>
      </c>
      <c r="E144" s="242">
        <v>45000</v>
      </c>
      <c r="F144" s="13"/>
    </row>
    <row r="145" customHeight="1" spans="1:6">
      <c r="A145" s="27">
        <v>14</v>
      </c>
      <c r="B145" s="11" t="s">
        <v>429</v>
      </c>
      <c r="C145" s="4" t="s">
        <v>430</v>
      </c>
      <c r="D145" s="15" t="s">
        <v>301</v>
      </c>
      <c r="E145" s="242">
        <v>45000</v>
      </c>
      <c r="F145" s="13"/>
    </row>
    <row r="146" customHeight="1" spans="1:6">
      <c r="A146" s="27">
        <v>15</v>
      </c>
      <c r="B146" s="11" t="s">
        <v>431</v>
      </c>
      <c r="C146" s="4" t="s">
        <v>430</v>
      </c>
      <c r="D146" s="15" t="s">
        <v>345</v>
      </c>
      <c r="E146" s="242">
        <v>45000</v>
      </c>
      <c r="F146" s="13"/>
    </row>
    <row r="147" customHeight="1" spans="1:6">
      <c r="A147" s="27">
        <v>16</v>
      </c>
      <c r="B147" s="11" t="s">
        <v>433</v>
      </c>
      <c r="C147" s="4" t="s">
        <v>430</v>
      </c>
      <c r="D147" s="15" t="s">
        <v>345</v>
      </c>
      <c r="E147" s="242">
        <v>45000</v>
      </c>
      <c r="F147" s="13"/>
    </row>
    <row r="148" customHeight="1" spans="1:6">
      <c r="A148" s="27">
        <v>17</v>
      </c>
      <c r="B148" s="11" t="s">
        <v>434</v>
      </c>
      <c r="C148" s="12" t="s">
        <v>435</v>
      </c>
      <c r="D148" s="15" t="s">
        <v>37</v>
      </c>
      <c r="E148" s="242">
        <v>45000</v>
      </c>
      <c r="F148" s="13"/>
    </row>
    <row r="149" customHeight="1" spans="1:6">
      <c r="A149" s="27">
        <v>18</v>
      </c>
      <c r="B149" s="11" t="s">
        <v>953</v>
      </c>
      <c r="C149" s="12" t="s">
        <v>437</v>
      </c>
      <c r="D149" s="10" t="s">
        <v>24</v>
      </c>
      <c r="E149" s="242">
        <v>45000</v>
      </c>
      <c r="F149" s="13"/>
    </row>
    <row r="150" customHeight="1" spans="1:6">
      <c r="A150" s="27">
        <v>19</v>
      </c>
      <c r="B150" s="11" t="s">
        <v>438</v>
      </c>
      <c r="C150" s="12" t="s">
        <v>439</v>
      </c>
      <c r="D150" s="15" t="s">
        <v>301</v>
      </c>
      <c r="E150" s="242">
        <v>45000</v>
      </c>
      <c r="F150" s="13"/>
    </row>
    <row r="151" customHeight="1" spans="1:6">
      <c r="A151" s="27">
        <v>20</v>
      </c>
      <c r="B151" s="11" t="s">
        <v>440</v>
      </c>
      <c r="C151" s="12" t="s">
        <v>441</v>
      </c>
      <c r="D151" s="15" t="s">
        <v>283</v>
      </c>
      <c r="E151" s="242">
        <v>45000</v>
      </c>
      <c r="F151" s="13"/>
    </row>
    <row r="152" customHeight="1" spans="1:6">
      <c r="A152" s="27">
        <v>21</v>
      </c>
      <c r="B152" s="11" t="s">
        <v>442</v>
      </c>
      <c r="C152" s="12" t="s">
        <v>443</v>
      </c>
      <c r="D152" s="15" t="s">
        <v>301</v>
      </c>
      <c r="E152" s="242">
        <v>45000</v>
      </c>
      <c r="F152" s="13"/>
    </row>
    <row r="153" customHeight="1" spans="1:6">
      <c r="A153" s="27">
        <v>22</v>
      </c>
      <c r="B153" s="11" t="s">
        <v>444</v>
      </c>
      <c r="C153" s="12" t="s">
        <v>445</v>
      </c>
      <c r="D153" s="15" t="s">
        <v>283</v>
      </c>
      <c r="E153" s="242">
        <v>45000</v>
      </c>
      <c r="F153" s="13"/>
    </row>
    <row r="154" customHeight="1" spans="1:6">
      <c r="A154" s="27">
        <v>23</v>
      </c>
      <c r="B154" s="18" t="s">
        <v>446</v>
      </c>
      <c r="C154" s="12" t="s">
        <v>451</v>
      </c>
      <c r="D154" s="15" t="s">
        <v>945</v>
      </c>
      <c r="E154" s="242">
        <v>45000</v>
      </c>
      <c r="F154" s="13"/>
    </row>
    <row r="155" customHeight="1" spans="1:6">
      <c r="A155" s="27">
        <v>24</v>
      </c>
      <c r="B155" s="18" t="s">
        <v>448</v>
      </c>
      <c r="C155" s="12" t="s">
        <v>449</v>
      </c>
      <c r="D155" s="15" t="s">
        <v>30</v>
      </c>
      <c r="E155" s="242">
        <v>45000</v>
      </c>
      <c r="F155" s="13"/>
    </row>
    <row r="156" customHeight="1" spans="1:6">
      <c r="A156" s="27">
        <v>25</v>
      </c>
      <c r="B156" s="18" t="s">
        <v>450</v>
      </c>
      <c r="C156" s="12" t="s">
        <v>451</v>
      </c>
      <c r="D156" s="15" t="s">
        <v>30</v>
      </c>
      <c r="E156" s="242">
        <v>45000</v>
      </c>
      <c r="F156" s="13"/>
    </row>
    <row r="157" customHeight="1" spans="1:6">
      <c r="A157" s="27">
        <v>26</v>
      </c>
      <c r="B157" s="18" t="s">
        <v>452</v>
      </c>
      <c r="C157" s="12" t="s">
        <v>453</v>
      </c>
      <c r="D157" s="15" t="s">
        <v>294</v>
      </c>
      <c r="E157" s="242">
        <v>45000</v>
      </c>
      <c r="F157" s="13"/>
    </row>
    <row r="158" customHeight="1" spans="1:6">
      <c r="A158" s="27">
        <v>27</v>
      </c>
      <c r="B158" s="18" t="s">
        <v>454</v>
      </c>
      <c r="C158" s="12" t="s">
        <v>455</v>
      </c>
      <c r="D158" s="15" t="s">
        <v>294</v>
      </c>
      <c r="E158" s="242">
        <v>45000</v>
      </c>
      <c r="F158" s="13"/>
    </row>
    <row r="159" customHeight="1" spans="1:6">
      <c r="A159" s="27">
        <v>28</v>
      </c>
      <c r="B159" s="11" t="s">
        <v>457</v>
      </c>
      <c r="C159" s="12" t="s">
        <v>458</v>
      </c>
      <c r="D159" s="15" t="s">
        <v>465</v>
      </c>
      <c r="E159" s="242">
        <v>30000</v>
      </c>
      <c r="F159" s="13"/>
    </row>
    <row r="160" customHeight="1" spans="1:6">
      <c r="A160" s="27">
        <v>29</v>
      </c>
      <c r="B160" s="11" t="s">
        <v>460</v>
      </c>
      <c r="C160" s="12" t="s">
        <v>458</v>
      </c>
      <c r="D160" s="15" t="s">
        <v>465</v>
      </c>
      <c r="E160" s="242">
        <v>30000</v>
      </c>
      <c r="F160" s="13"/>
    </row>
    <row r="161" customHeight="1" spans="1:6">
      <c r="A161" s="27">
        <v>30</v>
      </c>
      <c r="B161" s="11" t="s">
        <v>461</v>
      </c>
      <c r="C161" s="12" t="s">
        <v>458</v>
      </c>
      <c r="D161" s="15" t="s">
        <v>465</v>
      </c>
      <c r="E161" s="242">
        <v>30000</v>
      </c>
      <c r="F161" s="13"/>
    </row>
    <row r="162" customHeight="1" spans="1:6">
      <c r="A162" s="27">
        <v>32</v>
      </c>
      <c r="B162" s="11" t="s">
        <v>462</v>
      </c>
      <c r="C162" s="12" t="s">
        <v>458</v>
      </c>
      <c r="D162" s="15" t="s">
        <v>465</v>
      </c>
      <c r="E162" s="242">
        <v>30000</v>
      </c>
      <c r="F162" s="13"/>
    </row>
    <row r="163" customHeight="1" spans="1:6">
      <c r="A163" s="27">
        <v>33</v>
      </c>
      <c r="B163" s="11" t="s">
        <v>463</v>
      </c>
      <c r="C163" s="12" t="s">
        <v>458</v>
      </c>
      <c r="D163" s="15" t="s">
        <v>465</v>
      </c>
      <c r="E163" s="242">
        <v>30000</v>
      </c>
      <c r="F163" s="13"/>
    </row>
    <row r="164" customHeight="1" spans="1:6">
      <c r="A164" s="27">
        <v>34</v>
      </c>
      <c r="B164" s="11" t="s">
        <v>464</v>
      </c>
      <c r="C164" s="12" t="s">
        <v>458</v>
      </c>
      <c r="D164" s="15" t="s">
        <v>476</v>
      </c>
      <c r="E164" s="242">
        <v>30000</v>
      </c>
      <c r="F164" s="13"/>
    </row>
    <row r="165" customHeight="1" spans="1:6">
      <c r="A165" s="27">
        <v>35</v>
      </c>
      <c r="B165" s="11" t="s">
        <v>466</v>
      </c>
      <c r="C165" s="12" t="s">
        <v>458</v>
      </c>
      <c r="D165" s="15" t="s">
        <v>476</v>
      </c>
      <c r="E165" s="242">
        <v>30000</v>
      </c>
      <c r="F165" s="13"/>
    </row>
    <row r="166" customHeight="1" spans="1:6">
      <c r="A166" s="27">
        <v>36</v>
      </c>
      <c r="B166" s="11" t="s">
        <v>1121</v>
      </c>
      <c r="C166" s="12" t="s">
        <v>458</v>
      </c>
      <c r="D166" s="15" t="s">
        <v>476</v>
      </c>
      <c r="E166" s="242">
        <v>30000</v>
      </c>
      <c r="F166" s="13"/>
    </row>
    <row r="167" customHeight="1" spans="1:6">
      <c r="A167" s="27">
        <v>37</v>
      </c>
      <c r="B167" s="14" t="s">
        <v>467</v>
      </c>
      <c r="C167" s="12" t="s">
        <v>458</v>
      </c>
      <c r="D167" s="15" t="s">
        <v>476</v>
      </c>
      <c r="E167" s="242">
        <v>30000</v>
      </c>
      <c r="F167" s="13"/>
    </row>
    <row r="168" customHeight="1" spans="1:6">
      <c r="A168" s="27">
        <v>38</v>
      </c>
      <c r="B168" s="11" t="s">
        <v>468</v>
      </c>
      <c r="C168" s="12" t="s">
        <v>458</v>
      </c>
      <c r="D168" s="15" t="s">
        <v>476</v>
      </c>
      <c r="E168" s="242">
        <v>30000</v>
      </c>
      <c r="F168" s="13"/>
    </row>
    <row r="169" customHeight="1" spans="1:6">
      <c r="A169" s="27">
        <v>39</v>
      </c>
      <c r="B169" s="18" t="s">
        <v>469</v>
      </c>
      <c r="C169" s="12" t="s">
        <v>458</v>
      </c>
      <c r="D169" s="15" t="s">
        <v>476</v>
      </c>
      <c r="E169" s="242">
        <v>30000</v>
      </c>
      <c r="F169" s="13"/>
    </row>
    <row r="170" customHeight="1" spans="1:6">
      <c r="A170" s="27">
        <v>40</v>
      </c>
      <c r="B170" s="18" t="s">
        <v>470</v>
      </c>
      <c r="C170" s="12" t="s">
        <v>458</v>
      </c>
      <c r="D170" s="15" t="s">
        <v>476</v>
      </c>
      <c r="E170" s="242">
        <v>30000</v>
      </c>
      <c r="F170" s="13"/>
    </row>
    <row r="171" customHeight="1" spans="1:6">
      <c r="A171" s="27">
        <v>41</v>
      </c>
      <c r="B171" s="11" t="s">
        <v>471</v>
      </c>
      <c r="C171" s="12" t="s">
        <v>478</v>
      </c>
      <c r="D171" s="15" t="s">
        <v>479</v>
      </c>
      <c r="E171" s="242">
        <v>30000</v>
      </c>
      <c r="F171" s="13"/>
    </row>
    <row r="172" customHeight="1" spans="1:6">
      <c r="A172" s="27">
        <v>42</v>
      </c>
      <c r="B172" s="11" t="s">
        <v>474</v>
      </c>
      <c r="C172" s="12" t="s">
        <v>478</v>
      </c>
      <c r="D172" s="15" t="s">
        <v>479</v>
      </c>
      <c r="E172" s="242">
        <v>30000</v>
      </c>
      <c r="F172" s="13"/>
    </row>
    <row r="173" customHeight="1" spans="1:6">
      <c r="A173" s="27">
        <v>43</v>
      </c>
      <c r="B173" s="18" t="s">
        <v>475</v>
      </c>
      <c r="C173" s="12" t="s">
        <v>478</v>
      </c>
      <c r="D173" s="15" t="s">
        <v>948</v>
      </c>
      <c r="E173" s="242">
        <v>30000</v>
      </c>
      <c r="F173" s="13"/>
    </row>
    <row r="174" customHeight="1" spans="1:6">
      <c r="A174" s="27">
        <v>44</v>
      </c>
      <c r="B174" s="11" t="s">
        <v>477</v>
      </c>
      <c r="C174" s="12" t="s">
        <v>478</v>
      </c>
      <c r="D174" s="15" t="s">
        <v>954</v>
      </c>
      <c r="E174" s="242">
        <v>30000</v>
      </c>
      <c r="F174" s="13"/>
    </row>
    <row r="175" customHeight="1" spans="1:6">
      <c r="A175" s="27">
        <v>45</v>
      </c>
      <c r="B175" s="11" t="s">
        <v>480</v>
      </c>
      <c r="C175" s="12" t="s">
        <v>481</v>
      </c>
      <c r="D175" s="15" t="s">
        <v>955</v>
      </c>
      <c r="E175" s="242">
        <v>30000</v>
      </c>
      <c r="F175" s="13"/>
    </row>
    <row r="176" customHeight="1" spans="1:6">
      <c r="A176" s="27">
        <v>46</v>
      </c>
      <c r="B176" s="11" t="s">
        <v>483</v>
      </c>
      <c r="C176" s="12" t="s">
        <v>481</v>
      </c>
      <c r="D176" s="15" t="s">
        <v>955</v>
      </c>
      <c r="E176" s="242">
        <v>30000</v>
      </c>
      <c r="F176" s="13"/>
    </row>
    <row r="177" customHeight="1" spans="1:6">
      <c r="A177" s="27">
        <v>47</v>
      </c>
      <c r="B177" s="11" t="s">
        <v>484</v>
      </c>
      <c r="C177" s="12" t="s">
        <v>481</v>
      </c>
      <c r="D177" s="15" t="s">
        <v>955</v>
      </c>
      <c r="E177" s="242">
        <v>30000</v>
      </c>
      <c r="F177" s="13"/>
    </row>
    <row r="178" customHeight="1" spans="1:6">
      <c r="A178" s="27">
        <v>48</v>
      </c>
      <c r="B178" s="11" t="s">
        <v>485</v>
      </c>
      <c r="C178" s="12" t="s">
        <v>481</v>
      </c>
      <c r="D178" s="15" t="s">
        <v>955</v>
      </c>
      <c r="E178" s="242">
        <v>30000</v>
      </c>
      <c r="F178" s="13"/>
    </row>
    <row r="179" customHeight="1" spans="1:6">
      <c r="A179" s="27">
        <v>49</v>
      </c>
      <c r="B179" s="11" t="s">
        <v>486</v>
      </c>
      <c r="C179" s="12" t="s">
        <v>481</v>
      </c>
      <c r="D179" s="15" t="s">
        <v>955</v>
      </c>
      <c r="E179" s="242">
        <v>30000</v>
      </c>
      <c r="F179" s="13"/>
    </row>
    <row r="180" customHeight="1" spans="1:6">
      <c r="A180" s="27">
        <v>50</v>
      </c>
      <c r="B180" s="18" t="s">
        <v>487</v>
      </c>
      <c r="C180" s="12" t="s">
        <v>481</v>
      </c>
      <c r="D180" s="15" t="s">
        <v>955</v>
      </c>
      <c r="E180" s="242">
        <v>30000</v>
      </c>
      <c r="F180" s="13"/>
    </row>
    <row r="181" customHeight="1" spans="1:6">
      <c r="A181" s="27">
        <v>51</v>
      </c>
      <c r="B181" s="18" t="s">
        <v>488</v>
      </c>
      <c r="C181" s="12" t="s">
        <v>481</v>
      </c>
      <c r="D181" s="15" t="s">
        <v>955</v>
      </c>
      <c r="E181" s="242">
        <v>30000</v>
      </c>
      <c r="F181" s="13"/>
    </row>
    <row r="182" customHeight="1" spans="1:6">
      <c r="A182" s="27">
        <v>52</v>
      </c>
      <c r="B182" s="11" t="s">
        <v>489</v>
      </c>
      <c r="C182" s="12" t="s">
        <v>478</v>
      </c>
      <c r="D182" s="15" t="s">
        <v>955</v>
      </c>
      <c r="E182" s="242">
        <v>30000</v>
      </c>
      <c r="F182" s="13"/>
    </row>
    <row r="183" customHeight="1" spans="1:6">
      <c r="A183" s="27">
        <v>53</v>
      </c>
      <c r="B183" s="11" t="s">
        <v>490</v>
      </c>
      <c r="C183" s="12" t="s">
        <v>478</v>
      </c>
      <c r="D183" s="15" t="s">
        <v>955</v>
      </c>
      <c r="E183" s="242">
        <v>30000</v>
      </c>
      <c r="F183" s="13"/>
    </row>
    <row r="184" customHeight="1" spans="1:6">
      <c r="A184" s="27">
        <v>54</v>
      </c>
      <c r="B184" s="18" t="s">
        <v>491</v>
      </c>
      <c r="C184" s="12" t="s">
        <v>481</v>
      </c>
      <c r="D184" s="15" t="s">
        <v>972</v>
      </c>
      <c r="E184" s="242">
        <v>30000</v>
      </c>
      <c r="F184" s="13"/>
    </row>
    <row r="185" customHeight="1" spans="1:6">
      <c r="A185" s="27">
        <v>55</v>
      </c>
      <c r="B185" s="18" t="s">
        <v>493</v>
      </c>
      <c r="C185" s="12" t="s">
        <v>481</v>
      </c>
      <c r="D185" s="15" t="s">
        <v>956</v>
      </c>
      <c r="E185" s="242">
        <v>30000</v>
      </c>
      <c r="F185" s="13"/>
    </row>
    <row r="186" customHeight="1" spans="1:6">
      <c r="A186" s="27"/>
      <c r="B186" s="8" t="s">
        <v>33</v>
      </c>
      <c r="C186" s="28" t="s">
        <v>1122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80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1105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242">
        <v>450000</v>
      </c>
      <c r="F7" s="13"/>
    </row>
    <row r="8" customHeight="1" spans="1:6">
      <c r="A8" s="10">
        <v>2</v>
      </c>
      <c r="B8" s="11" t="s">
        <v>1016</v>
      </c>
      <c r="C8" s="4" t="s">
        <v>1106</v>
      </c>
      <c r="D8" s="10" t="s">
        <v>231</v>
      </c>
      <c r="E8" s="242">
        <v>150000</v>
      </c>
      <c r="F8" s="13"/>
    </row>
    <row r="9" customHeight="1" spans="1:6">
      <c r="A9" s="10">
        <v>3</v>
      </c>
      <c r="B9" s="14" t="s">
        <v>1107</v>
      </c>
      <c r="C9" s="4" t="s">
        <v>1108</v>
      </c>
      <c r="D9" s="10" t="s">
        <v>231</v>
      </c>
      <c r="E9" s="242">
        <v>150000</v>
      </c>
      <c r="F9" s="13"/>
    </row>
    <row r="10" customHeight="1" spans="1:6">
      <c r="A10" s="10">
        <v>4</v>
      </c>
      <c r="B10" s="11" t="s">
        <v>239</v>
      </c>
      <c r="C10" s="12" t="s">
        <v>240</v>
      </c>
      <c r="D10" s="10" t="s">
        <v>234</v>
      </c>
      <c r="E10" s="242">
        <v>150000</v>
      </c>
      <c r="F10" s="13"/>
    </row>
    <row r="11" customHeight="1" spans="1:6">
      <c r="A11" s="10">
        <v>5</v>
      </c>
      <c r="B11" s="14" t="s">
        <v>241</v>
      </c>
      <c r="C11" s="4" t="s">
        <v>242</v>
      </c>
      <c r="D11" s="15" t="s">
        <v>308</v>
      </c>
      <c r="E11" s="242">
        <v>150000</v>
      </c>
      <c r="F11" s="13"/>
    </row>
    <row r="12" customHeight="1" spans="1:6">
      <c r="A12" s="10">
        <v>6</v>
      </c>
      <c r="B12" s="14" t="s">
        <v>363</v>
      </c>
      <c r="C12" s="4" t="s">
        <v>1018</v>
      </c>
      <c r="D12" s="16" t="s">
        <v>308</v>
      </c>
      <c r="E12" s="242">
        <v>150000</v>
      </c>
      <c r="F12" s="13"/>
    </row>
    <row r="13" customHeight="1" spans="1:6">
      <c r="A13" s="10">
        <v>7</v>
      </c>
      <c r="B13" s="11" t="s">
        <v>243</v>
      </c>
      <c r="C13" s="17" t="s">
        <v>244</v>
      </c>
      <c r="D13" s="16" t="s">
        <v>308</v>
      </c>
      <c r="E13" s="242">
        <v>150000</v>
      </c>
      <c r="F13" s="13"/>
    </row>
    <row r="14" customHeight="1" spans="1:6">
      <c r="A14" s="10">
        <v>8</v>
      </c>
      <c r="B14" s="14" t="s">
        <v>245</v>
      </c>
      <c r="C14" s="4" t="s">
        <v>246</v>
      </c>
      <c r="D14" s="16" t="s">
        <v>308</v>
      </c>
      <c r="E14" s="242">
        <v>150000</v>
      </c>
      <c r="F14" s="13"/>
    </row>
    <row r="15" customHeight="1" spans="1:6">
      <c r="A15" s="10">
        <v>9</v>
      </c>
      <c r="B15" s="11" t="s">
        <v>247</v>
      </c>
      <c r="C15" s="12" t="s">
        <v>248</v>
      </c>
      <c r="D15" s="15" t="s">
        <v>249</v>
      </c>
      <c r="E15" s="242">
        <v>105000</v>
      </c>
      <c r="F15" s="13"/>
    </row>
    <row r="16" customHeight="1" spans="1:6">
      <c r="A16" s="10">
        <v>10</v>
      </c>
      <c r="B16" s="18" t="s">
        <v>223</v>
      </c>
      <c r="C16" s="12" t="s">
        <v>224</v>
      </c>
      <c r="D16" s="10" t="s">
        <v>222</v>
      </c>
      <c r="E16" s="242">
        <v>105000</v>
      </c>
      <c r="F16" s="13"/>
    </row>
    <row r="17" customHeight="1" spans="1:6">
      <c r="A17" s="10">
        <v>11</v>
      </c>
      <c r="B17" s="19" t="s">
        <v>1109</v>
      </c>
      <c r="C17" s="4" t="s">
        <v>1110</v>
      </c>
      <c r="D17" s="16" t="s">
        <v>257</v>
      </c>
      <c r="E17" s="242">
        <v>75000</v>
      </c>
      <c r="F17" s="13"/>
    </row>
    <row r="18" ht="19.5" customHeight="1" spans="1:6">
      <c r="A18" s="10">
        <v>12</v>
      </c>
      <c r="B18" s="14" t="s">
        <v>1019</v>
      </c>
      <c r="C18" s="4" t="s">
        <v>253</v>
      </c>
      <c r="D18" s="10" t="s">
        <v>257</v>
      </c>
      <c r="E18" s="242">
        <v>75000</v>
      </c>
      <c r="F18" s="13"/>
    </row>
    <row r="19" ht="19.5" customHeight="1" spans="1:6">
      <c r="A19" s="10">
        <v>13</v>
      </c>
      <c r="B19" s="14" t="s">
        <v>1111</v>
      </c>
      <c r="C19" s="4" t="s">
        <v>1112</v>
      </c>
      <c r="D19" s="10" t="s">
        <v>257</v>
      </c>
      <c r="E19" s="242">
        <v>75000</v>
      </c>
      <c r="F19" s="13"/>
    </row>
    <row r="20" customHeight="1" spans="1:6">
      <c r="A20" s="10">
        <v>14</v>
      </c>
      <c r="B20" s="11" t="s">
        <v>252</v>
      </c>
      <c r="C20" s="4" t="s">
        <v>253</v>
      </c>
      <c r="D20" s="15" t="s">
        <v>257</v>
      </c>
      <c r="E20" s="242">
        <v>75000</v>
      </c>
      <c r="F20" s="13"/>
    </row>
    <row r="21" customHeight="1" spans="1:6">
      <c r="A21" s="10">
        <v>15</v>
      </c>
      <c r="B21" s="11" t="s">
        <v>264</v>
      </c>
      <c r="C21" s="12" t="s">
        <v>265</v>
      </c>
      <c r="D21" s="15" t="s">
        <v>950</v>
      </c>
      <c r="E21" s="242">
        <v>75000</v>
      </c>
      <c r="F21" s="13"/>
    </row>
    <row r="22" customHeight="1" spans="1:6">
      <c r="A22" s="10">
        <v>16</v>
      </c>
      <c r="B22" s="18" t="s">
        <v>267</v>
      </c>
      <c r="C22" s="4" t="s">
        <v>268</v>
      </c>
      <c r="D22" s="15" t="s">
        <v>951</v>
      </c>
      <c r="E22" s="242">
        <v>75000</v>
      </c>
      <c r="F22" s="13"/>
    </row>
    <row r="23" customHeight="1" spans="1:6">
      <c r="A23" s="10">
        <v>17</v>
      </c>
      <c r="B23" s="11" t="s">
        <v>389</v>
      </c>
      <c r="C23" s="12" t="s">
        <v>390</v>
      </c>
      <c r="D23" s="15" t="s">
        <v>271</v>
      </c>
      <c r="E23" s="242">
        <v>45000</v>
      </c>
      <c r="F23" s="13"/>
    </row>
    <row r="24" ht="18.75" customHeight="1" spans="1:6">
      <c r="A24" s="10">
        <v>18</v>
      </c>
      <c r="B24" s="11" t="s">
        <v>270</v>
      </c>
      <c r="C24" s="12" t="s">
        <v>50</v>
      </c>
      <c r="D24" s="15" t="s">
        <v>332</v>
      </c>
      <c r="E24" s="242">
        <v>45000</v>
      </c>
      <c r="F24" s="13"/>
    </row>
    <row r="25" ht="18.75" customHeight="1" spans="1:6">
      <c r="A25" s="10">
        <v>19</v>
      </c>
      <c r="B25" s="18" t="s">
        <v>1113</v>
      </c>
      <c r="C25" s="12" t="s">
        <v>293</v>
      </c>
      <c r="D25" s="15" t="s">
        <v>345</v>
      </c>
      <c r="E25" s="242">
        <v>45000</v>
      </c>
      <c r="F25" s="13"/>
    </row>
    <row r="26" ht="18.75" customHeight="1" spans="1:6">
      <c r="A26" s="10">
        <v>20</v>
      </c>
      <c r="B26" s="4" t="s">
        <v>278</v>
      </c>
      <c r="C26" s="4" t="s">
        <v>176</v>
      </c>
      <c r="D26" s="10" t="s">
        <v>283</v>
      </c>
      <c r="E26" s="242">
        <v>45000</v>
      </c>
      <c r="F26" s="13"/>
    </row>
    <row r="27" ht="18.75" customHeight="1" spans="1:6">
      <c r="A27" s="10">
        <v>21</v>
      </c>
      <c r="B27" s="18" t="s">
        <v>280</v>
      </c>
      <c r="C27" s="12" t="s">
        <v>176</v>
      </c>
      <c r="D27" s="15" t="s">
        <v>283</v>
      </c>
      <c r="E27" s="242">
        <v>45000</v>
      </c>
      <c r="F27" s="13"/>
    </row>
    <row r="28" ht="18.75" customHeight="1" spans="1:6">
      <c r="A28" s="10">
        <v>22</v>
      </c>
      <c r="B28" s="11" t="s">
        <v>1020</v>
      </c>
      <c r="C28" s="12" t="s">
        <v>1021</v>
      </c>
      <c r="D28" s="15" t="s">
        <v>283</v>
      </c>
      <c r="E28" s="242">
        <v>45000</v>
      </c>
      <c r="F28" s="13"/>
    </row>
    <row r="29" ht="18.75" customHeight="1" spans="1:6">
      <c r="A29" s="10">
        <v>23</v>
      </c>
      <c r="B29" s="18" t="s">
        <v>282</v>
      </c>
      <c r="C29" s="12" t="s">
        <v>967</v>
      </c>
      <c r="D29" s="15" t="s">
        <v>945</v>
      </c>
      <c r="E29" s="242">
        <v>45000</v>
      </c>
      <c r="F29" s="13"/>
    </row>
    <row r="30" ht="18.75" customHeight="1" spans="1:6">
      <c r="A30" s="10">
        <v>24</v>
      </c>
      <c r="B30" s="18" t="s">
        <v>284</v>
      </c>
      <c r="C30" s="4" t="s">
        <v>1022</v>
      </c>
      <c r="D30" s="10" t="s">
        <v>945</v>
      </c>
      <c r="E30" s="242">
        <v>45000</v>
      </c>
      <c r="F30" s="13"/>
    </row>
    <row r="31" ht="18.75" customHeight="1" spans="1:6">
      <c r="A31" s="10">
        <v>25</v>
      </c>
      <c r="B31" s="18" t="s">
        <v>287</v>
      </c>
      <c r="C31" s="17" t="s">
        <v>288</v>
      </c>
      <c r="D31" s="15" t="s">
        <v>283</v>
      </c>
      <c r="E31" s="242">
        <v>45000</v>
      </c>
      <c r="F31" s="13"/>
    </row>
    <row r="32" ht="18.75" customHeight="1" spans="1:6">
      <c r="A32" s="10">
        <v>26</v>
      </c>
      <c r="B32" s="18" t="s">
        <v>289</v>
      </c>
      <c r="C32" s="4" t="s">
        <v>290</v>
      </c>
      <c r="D32" s="10" t="s">
        <v>294</v>
      </c>
      <c r="E32" s="242">
        <v>45000</v>
      </c>
      <c r="F32" s="13"/>
    </row>
    <row r="33" ht="18.75" customHeight="1" spans="1:6">
      <c r="A33" s="10">
        <v>27</v>
      </c>
      <c r="B33" s="18" t="s">
        <v>933</v>
      </c>
      <c r="C33" s="12" t="s">
        <v>293</v>
      </c>
      <c r="D33" s="15" t="s">
        <v>294</v>
      </c>
      <c r="E33" s="242">
        <v>45000</v>
      </c>
      <c r="F33" s="13"/>
    </row>
    <row r="34" ht="18.75" customHeight="1" spans="1:6">
      <c r="A34" s="10">
        <v>28</v>
      </c>
      <c r="B34" s="18" t="s">
        <v>1114</v>
      </c>
      <c r="C34" s="12" t="s">
        <v>293</v>
      </c>
      <c r="D34" s="15" t="s">
        <v>294</v>
      </c>
      <c r="E34" s="242">
        <v>45000</v>
      </c>
      <c r="F34" s="13"/>
    </row>
    <row r="35" ht="18.75" customHeight="1" spans="1:6">
      <c r="A35" s="10">
        <v>29</v>
      </c>
      <c r="B35" s="18" t="s">
        <v>405</v>
      </c>
      <c r="C35" s="12" t="s">
        <v>69</v>
      </c>
      <c r="D35" s="15" t="s">
        <v>30</v>
      </c>
      <c r="E35" s="242">
        <v>45000</v>
      </c>
      <c r="F35" s="13"/>
    </row>
    <row r="36" ht="26.25" customHeight="1" spans="1:6">
      <c r="A36" s="10"/>
      <c r="B36" s="20" t="s">
        <v>33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34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295</v>
      </c>
      <c r="C39" s="4" t="s">
        <v>296</v>
      </c>
      <c r="D39" s="10" t="s">
        <v>297</v>
      </c>
      <c r="E39" s="242">
        <v>225000</v>
      </c>
      <c r="F39" s="13"/>
    </row>
    <row r="40" ht="18.75" customHeight="1" spans="1:6">
      <c r="A40" s="10">
        <v>2</v>
      </c>
      <c r="B40" s="18" t="s">
        <v>298</v>
      </c>
      <c r="C40" s="4" t="s">
        <v>537</v>
      </c>
      <c r="D40" s="10" t="s">
        <v>30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38</v>
      </c>
      <c r="C43" s="5"/>
      <c r="D43" s="24"/>
      <c r="E43" s="242"/>
      <c r="F43" s="13"/>
    </row>
    <row r="44" customHeight="1" spans="1:6">
      <c r="A44" s="10">
        <v>1</v>
      </c>
      <c r="B44" s="11" t="s">
        <v>302</v>
      </c>
      <c r="C44" s="4" t="s">
        <v>303</v>
      </c>
      <c r="D44" s="10" t="s">
        <v>297</v>
      </c>
      <c r="E44" s="242">
        <v>225000</v>
      </c>
      <c r="F44" s="13"/>
    </row>
    <row r="45" customHeight="1" spans="1:6">
      <c r="A45" s="10">
        <v>2</v>
      </c>
      <c r="B45" s="11" t="s">
        <v>304</v>
      </c>
      <c r="C45" s="4" t="s">
        <v>305</v>
      </c>
      <c r="D45" s="10" t="s">
        <v>249</v>
      </c>
      <c r="E45" s="242">
        <v>105000</v>
      </c>
      <c r="F45" s="13"/>
    </row>
    <row r="46" customHeight="1" spans="1:6">
      <c r="A46" s="10">
        <v>3</v>
      </c>
      <c r="B46" s="11" t="s">
        <v>306</v>
      </c>
      <c r="C46" s="4" t="s">
        <v>310</v>
      </c>
      <c r="D46" s="10" t="s">
        <v>249</v>
      </c>
      <c r="E46" s="242">
        <v>105000</v>
      </c>
      <c r="F46" s="13"/>
    </row>
    <row r="47" customHeight="1" spans="1:6">
      <c r="A47" s="10">
        <v>4</v>
      </c>
      <c r="B47" s="11" t="s">
        <v>309</v>
      </c>
      <c r="C47" s="4" t="s">
        <v>310</v>
      </c>
      <c r="D47" s="10" t="s">
        <v>249</v>
      </c>
      <c r="E47" s="242">
        <v>105000</v>
      </c>
      <c r="F47" s="13"/>
    </row>
    <row r="48" customHeight="1" spans="1:6">
      <c r="A48" s="10">
        <v>5</v>
      </c>
      <c r="B48" s="11" t="s">
        <v>311</v>
      </c>
      <c r="C48" s="4" t="s">
        <v>310</v>
      </c>
      <c r="D48" s="10" t="s">
        <v>327</v>
      </c>
      <c r="E48" s="242">
        <v>105000</v>
      </c>
      <c r="F48" s="13"/>
    </row>
    <row r="49" customHeight="1" spans="1:6">
      <c r="A49" s="10">
        <v>6</v>
      </c>
      <c r="B49" s="11" t="s">
        <v>312</v>
      </c>
      <c r="C49" s="4" t="s">
        <v>259</v>
      </c>
      <c r="D49" s="10" t="s">
        <v>257</v>
      </c>
      <c r="E49" s="242">
        <v>75000</v>
      </c>
      <c r="F49" s="13"/>
    </row>
    <row r="50" customHeight="1" spans="1:6">
      <c r="A50" s="10">
        <v>7</v>
      </c>
      <c r="B50" s="14" t="s">
        <v>313</v>
      </c>
      <c r="C50" s="4" t="s">
        <v>256</v>
      </c>
      <c r="D50" s="16" t="s">
        <v>257</v>
      </c>
      <c r="E50" s="242">
        <v>75000</v>
      </c>
      <c r="F50" s="13"/>
    </row>
    <row r="51" customHeight="1" spans="1:6">
      <c r="A51" s="10">
        <v>8</v>
      </c>
      <c r="B51" s="11" t="s">
        <v>1025</v>
      </c>
      <c r="C51" s="4" t="s">
        <v>256</v>
      </c>
      <c r="D51" s="10" t="s">
        <v>342</v>
      </c>
      <c r="E51" s="242">
        <v>75000</v>
      </c>
      <c r="F51" s="13"/>
    </row>
    <row r="52" customHeight="1" spans="1:6">
      <c r="A52" s="10">
        <v>9</v>
      </c>
      <c r="B52" s="11" t="s">
        <v>258</v>
      </c>
      <c r="C52" s="4" t="s">
        <v>353</v>
      </c>
      <c r="D52" s="10" t="s">
        <v>266</v>
      </c>
      <c r="E52" s="242">
        <v>75000</v>
      </c>
      <c r="F52" s="13"/>
    </row>
    <row r="53" customHeight="1" spans="1:6">
      <c r="A53" s="10">
        <v>10</v>
      </c>
      <c r="B53" s="11" t="s">
        <v>315</v>
      </c>
      <c r="C53" s="4" t="s">
        <v>63</v>
      </c>
      <c r="D53" s="10" t="s">
        <v>24</v>
      </c>
      <c r="E53" s="242">
        <v>45000</v>
      </c>
      <c r="F53" s="13"/>
    </row>
    <row r="54" customHeight="1" spans="1:6">
      <c r="A54" s="10">
        <v>11</v>
      </c>
      <c r="B54" s="11" t="s">
        <v>316</v>
      </c>
      <c r="C54" s="4" t="s">
        <v>63</v>
      </c>
      <c r="D54" s="10" t="s">
        <v>24</v>
      </c>
      <c r="E54" s="242">
        <v>45000</v>
      </c>
      <c r="F54" s="13"/>
    </row>
    <row r="55" customHeight="1" spans="1:6">
      <c r="A55" s="10">
        <v>12</v>
      </c>
      <c r="B55" s="11" t="s">
        <v>317</v>
      </c>
      <c r="C55" s="4" t="s">
        <v>63</v>
      </c>
      <c r="D55" s="10" t="s">
        <v>24</v>
      </c>
      <c r="E55" s="242">
        <v>45000</v>
      </c>
      <c r="F55" s="13"/>
    </row>
    <row r="56" ht="25.5" customHeight="1" spans="1:6">
      <c r="A56" s="10"/>
      <c r="B56" s="20" t="s">
        <v>33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318</v>
      </c>
      <c r="C58" s="21"/>
      <c r="D58" s="21"/>
      <c r="E58" s="246"/>
      <c r="F58" s="13"/>
    </row>
    <row r="59" customHeight="1" spans="1:6">
      <c r="A59" s="10">
        <v>1</v>
      </c>
      <c r="B59" s="11" t="s">
        <v>319</v>
      </c>
      <c r="C59" s="12" t="s">
        <v>320</v>
      </c>
      <c r="D59" s="15" t="s">
        <v>297</v>
      </c>
      <c r="E59" s="242">
        <v>225000</v>
      </c>
      <c r="F59" s="13"/>
    </row>
    <row r="60" customHeight="1" spans="1:6">
      <c r="A60" s="10">
        <v>2</v>
      </c>
      <c r="B60" s="11" t="s">
        <v>321</v>
      </c>
      <c r="C60" s="12" t="s">
        <v>322</v>
      </c>
      <c r="D60" s="15" t="s">
        <v>222</v>
      </c>
      <c r="E60" s="242">
        <v>105000</v>
      </c>
      <c r="F60" s="13"/>
    </row>
    <row r="61" customHeight="1" spans="1:6">
      <c r="A61" s="10"/>
      <c r="B61" s="20" t="s">
        <v>33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44</v>
      </c>
      <c r="C63" s="21"/>
      <c r="D63" s="21"/>
      <c r="E63" s="246"/>
      <c r="F63" s="13"/>
    </row>
    <row r="64" customHeight="1" spans="1:6">
      <c r="A64" s="10">
        <v>1</v>
      </c>
      <c r="B64" s="11" t="s">
        <v>323</v>
      </c>
      <c r="C64" s="17" t="s">
        <v>324</v>
      </c>
      <c r="D64" s="10" t="s">
        <v>297</v>
      </c>
      <c r="E64" s="242">
        <v>225000</v>
      </c>
      <c r="F64" s="13"/>
    </row>
    <row r="65" customHeight="1" spans="1:6">
      <c r="A65" s="10">
        <v>2</v>
      </c>
      <c r="B65" s="18" t="s">
        <v>325</v>
      </c>
      <c r="C65" s="17" t="s">
        <v>326</v>
      </c>
      <c r="D65" s="15" t="s">
        <v>952</v>
      </c>
      <c r="E65" s="242">
        <v>105000</v>
      </c>
      <c r="F65" s="13"/>
    </row>
    <row r="66" customHeight="1" spans="1:6">
      <c r="A66" s="10">
        <v>3</v>
      </c>
      <c r="B66" s="11" t="s">
        <v>328</v>
      </c>
      <c r="C66" s="4" t="s">
        <v>46</v>
      </c>
      <c r="D66" s="10" t="s">
        <v>266</v>
      </c>
      <c r="E66" s="242">
        <v>75000</v>
      </c>
      <c r="F66" s="13"/>
    </row>
    <row r="67" customHeight="1" spans="1:6">
      <c r="A67" s="10">
        <v>4</v>
      </c>
      <c r="B67" s="18" t="s">
        <v>329</v>
      </c>
      <c r="C67" s="17" t="s">
        <v>46</v>
      </c>
      <c r="D67" s="15" t="s">
        <v>950</v>
      </c>
      <c r="E67" s="242">
        <v>75000</v>
      </c>
      <c r="F67" s="13"/>
    </row>
    <row r="68" customHeight="1" spans="1:6">
      <c r="A68" s="10">
        <v>5</v>
      </c>
      <c r="B68" s="14" t="s">
        <v>330</v>
      </c>
      <c r="C68" s="17" t="s">
        <v>256</v>
      </c>
      <c r="D68" s="15" t="s">
        <v>257</v>
      </c>
      <c r="E68" s="242">
        <v>75000</v>
      </c>
      <c r="F68" s="13"/>
    </row>
    <row r="69" customHeight="1" spans="1:6">
      <c r="A69" s="10">
        <v>6</v>
      </c>
      <c r="B69" s="14" t="s">
        <v>255</v>
      </c>
      <c r="C69" s="17" t="s">
        <v>256</v>
      </c>
      <c r="D69" s="15" t="s">
        <v>342</v>
      </c>
      <c r="E69" s="242">
        <v>75000</v>
      </c>
      <c r="F69" s="13"/>
    </row>
    <row r="70" customHeight="1" spans="1:6">
      <c r="A70" s="10">
        <v>7</v>
      </c>
      <c r="B70" s="11" t="s">
        <v>331</v>
      </c>
      <c r="C70" s="4" t="s">
        <v>63</v>
      </c>
      <c r="D70" s="10" t="s">
        <v>41</v>
      </c>
      <c r="E70" s="242">
        <v>45000</v>
      </c>
      <c r="F70" s="13"/>
    </row>
    <row r="71" customHeight="1" spans="1:6">
      <c r="A71" s="10">
        <v>8</v>
      </c>
      <c r="B71" s="11" t="s">
        <v>333</v>
      </c>
      <c r="C71" s="17" t="s">
        <v>275</v>
      </c>
      <c r="D71" s="15" t="s">
        <v>41</v>
      </c>
      <c r="E71" s="242">
        <v>45000</v>
      </c>
      <c r="F71" s="13"/>
    </row>
    <row r="72" customHeight="1" spans="1:6">
      <c r="A72" s="10">
        <v>9</v>
      </c>
      <c r="B72" s="11" t="s">
        <v>334</v>
      </c>
      <c r="C72" s="17" t="s">
        <v>275</v>
      </c>
      <c r="D72" s="15" t="s">
        <v>41</v>
      </c>
      <c r="E72" s="242">
        <v>45000</v>
      </c>
      <c r="F72" s="13"/>
    </row>
    <row r="73" customHeight="1" spans="1:6">
      <c r="A73" s="10">
        <v>10</v>
      </c>
      <c r="B73" s="11" t="s">
        <v>335</v>
      </c>
      <c r="C73" s="4" t="s">
        <v>336</v>
      </c>
      <c r="D73" s="10" t="s">
        <v>332</v>
      </c>
      <c r="E73" s="242">
        <v>45000</v>
      </c>
      <c r="F73" s="13"/>
    </row>
    <row r="74" customHeight="1" spans="1:6">
      <c r="A74" s="10">
        <v>11</v>
      </c>
      <c r="B74" s="11" t="s">
        <v>1115</v>
      </c>
      <c r="C74" s="17" t="s">
        <v>63</v>
      </c>
      <c r="D74" s="10" t="s">
        <v>301</v>
      </c>
      <c r="E74" s="242">
        <v>45000</v>
      </c>
      <c r="F74" s="13"/>
    </row>
    <row r="75" customHeight="1" spans="1:6">
      <c r="A75" s="10">
        <v>12</v>
      </c>
      <c r="B75" s="11" t="s">
        <v>281</v>
      </c>
      <c r="C75" s="17" t="s">
        <v>273</v>
      </c>
      <c r="D75" s="10" t="s">
        <v>283</v>
      </c>
      <c r="E75" s="242">
        <v>45000</v>
      </c>
      <c r="F75" s="13"/>
    </row>
    <row r="76" customHeight="1" spans="1:6">
      <c r="A76" s="10">
        <v>13</v>
      </c>
      <c r="B76" s="14" t="s">
        <v>272</v>
      </c>
      <c r="C76" s="17" t="s">
        <v>273</v>
      </c>
      <c r="D76" s="10" t="s">
        <v>294</v>
      </c>
      <c r="E76" s="242">
        <v>45000</v>
      </c>
      <c r="F76" s="13"/>
    </row>
    <row r="77" customHeight="1" spans="1:6">
      <c r="A77" s="10"/>
      <c r="B77" s="20" t="s">
        <v>33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51</v>
      </c>
      <c r="C79" s="21"/>
      <c r="D79" s="21"/>
      <c r="E79" s="246"/>
      <c r="F79" s="13"/>
    </row>
    <row r="80" customHeight="1" spans="1:6">
      <c r="A80" s="10">
        <v>1</v>
      </c>
      <c r="B80" s="11" t="s">
        <v>338</v>
      </c>
      <c r="C80" s="4" t="s">
        <v>339</v>
      </c>
      <c r="D80" s="10" t="s">
        <v>297</v>
      </c>
      <c r="E80" s="242">
        <v>225000</v>
      </c>
      <c r="F80" s="13"/>
    </row>
    <row r="81" customHeight="1" spans="1:6">
      <c r="A81" s="10">
        <v>2</v>
      </c>
      <c r="B81" s="14" t="s">
        <v>220</v>
      </c>
      <c r="C81" s="4" t="s">
        <v>221</v>
      </c>
      <c r="D81" s="15" t="s">
        <v>952</v>
      </c>
      <c r="E81" s="242">
        <v>105000</v>
      </c>
      <c r="F81" s="13"/>
    </row>
    <row r="82" customHeight="1" spans="1:6">
      <c r="A82" s="10">
        <v>3</v>
      </c>
      <c r="B82" s="14" t="s">
        <v>1116</v>
      </c>
      <c r="C82" s="4" t="s">
        <v>1117</v>
      </c>
      <c r="D82" s="15" t="s">
        <v>952</v>
      </c>
      <c r="E82" s="242">
        <v>105000</v>
      </c>
      <c r="F82" s="13"/>
    </row>
    <row r="83" customHeight="1" spans="1:6">
      <c r="A83" s="10">
        <v>4</v>
      </c>
      <c r="B83" s="11" t="s">
        <v>340</v>
      </c>
      <c r="C83" s="4" t="s">
        <v>968</v>
      </c>
      <c r="D83" s="15" t="s">
        <v>266</v>
      </c>
      <c r="E83" s="242">
        <v>75000</v>
      </c>
      <c r="F83" s="13"/>
    </row>
    <row r="84" customHeight="1" spans="1:6">
      <c r="A84" s="10">
        <v>5</v>
      </c>
      <c r="B84" s="11" t="s">
        <v>343</v>
      </c>
      <c r="C84" s="4" t="s">
        <v>344</v>
      </c>
      <c r="D84" s="10" t="s">
        <v>301</v>
      </c>
      <c r="E84" s="242">
        <v>45000</v>
      </c>
      <c r="F84" s="13"/>
    </row>
    <row r="85" customHeight="1" spans="1:6">
      <c r="A85" s="10"/>
      <c r="B85" s="20" t="s">
        <v>33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56</v>
      </c>
      <c r="C87" s="25"/>
      <c r="D87" s="21"/>
      <c r="E87" s="242"/>
      <c r="F87" s="13"/>
    </row>
    <row r="88" customHeight="1" spans="1:6">
      <c r="A88" s="10">
        <v>1</v>
      </c>
      <c r="B88" s="11" t="s">
        <v>349</v>
      </c>
      <c r="C88" s="4" t="s">
        <v>310</v>
      </c>
      <c r="D88" s="10" t="s">
        <v>249</v>
      </c>
      <c r="E88" s="242">
        <v>105000</v>
      </c>
      <c r="F88" s="13"/>
    </row>
    <row r="89" customHeight="1" spans="1:6">
      <c r="A89" s="10">
        <v>2</v>
      </c>
      <c r="B89" s="11" t="s">
        <v>350</v>
      </c>
      <c r="C89" s="4" t="s">
        <v>310</v>
      </c>
      <c r="D89" s="10" t="s">
        <v>249</v>
      </c>
      <c r="E89" s="242">
        <v>105000</v>
      </c>
      <c r="F89" s="13"/>
    </row>
    <row r="90" customHeight="1" spans="1:6">
      <c r="A90" s="10">
        <v>3</v>
      </c>
      <c r="B90" s="14" t="s">
        <v>386</v>
      </c>
      <c r="C90" s="4" t="s">
        <v>256</v>
      </c>
      <c r="D90" s="10" t="s">
        <v>254</v>
      </c>
      <c r="E90" s="242">
        <v>75000</v>
      </c>
      <c r="F90" s="13"/>
    </row>
    <row r="91" customHeight="1" spans="1:6">
      <c r="A91" s="10">
        <v>4</v>
      </c>
      <c r="B91" s="11" t="s">
        <v>351</v>
      </c>
      <c r="C91" s="4" t="s">
        <v>259</v>
      </c>
      <c r="D91" s="10" t="s">
        <v>257</v>
      </c>
      <c r="E91" s="242">
        <v>75000</v>
      </c>
      <c r="F91" s="13"/>
    </row>
    <row r="92" ht="21.6" customHeight="1" spans="1:6">
      <c r="A92" s="10">
        <v>5</v>
      </c>
      <c r="B92" s="11" t="s">
        <v>352</v>
      </c>
      <c r="C92" s="4" t="s">
        <v>353</v>
      </c>
      <c r="D92" s="15" t="s">
        <v>266</v>
      </c>
      <c r="E92" s="242">
        <v>75000</v>
      </c>
      <c r="F92" s="13"/>
    </row>
    <row r="93" ht="21.6" customHeight="1" spans="1:6">
      <c r="A93" s="10">
        <v>6</v>
      </c>
      <c r="B93" s="11" t="s">
        <v>354</v>
      </c>
      <c r="C93" s="12" t="s">
        <v>46</v>
      </c>
      <c r="D93" s="15" t="s">
        <v>950</v>
      </c>
      <c r="E93" s="242">
        <v>75000</v>
      </c>
      <c r="F93" s="13"/>
    </row>
    <row r="94" ht="21.6" customHeight="1" spans="1:6">
      <c r="A94" s="10">
        <v>7</v>
      </c>
      <c r="B94" s="11" t="s">
        <v>355</v>
      </c>
      <c r="C94" s="12" t="s">
        <v>46</v>
      </c>
      <c r="D94" s="15" t="s">
        <v>950</v>
      </c>
      <c r="E94" s="242">
        <v>75000</v>
      </c>
      <c r="F94" s="13"/>
    </row>
    <row r="95" ht="21.6" customHeight="1" spans="1:6">
      <c r="A95" s="10">
        <v>8</v>
      </c>
      <c r="B95" s="11" t="s">
        <v>357</v>
      </c>
      <c r="C95" s="17" t="s">
        <v>275</v>
      </c>
      <c r="D95" s="15" t="s">
        <v>41</v>
      </c>
      <c r="E95" s="242">
        <v>45000</v>
      </c>
      <c r="F95" s="13"/>
    </row>
    <row r="96" ht="21.6" customHeight="1" spans="1:6">
      <c r="A96" s="10">
        <v>9</v>
      </c>
      <c r="B96" s="11" t="s">
        <v>359</v>
      </c>
      <c r="C96" s="4" t="s">
        <v>360</v>
      </c>
      <c r="D96" s="10" t="s">
        <v>37</v>
      </c>
      <c r="E96" s="242">
        <v>45000</v>
      </c>
      <c r="F96" s="13"/>
    </row>
    <row r="97" ht="21.6" customHeight="1" spans="1:6">
      <c r="A97" s="10">
        <v>10</v>
      </c>
      <c r="B97" s="11" t="s">
        <v>361</v>
      </c>
      <c r="C97" s="17" t="s">
        <v>362</v>
      </c>
      <c r="D97" s="15" t="s">
        <v>294</v>
      </c>
      <c r="E97" s="242">
        <v>45000</v>
      </c>
      <c r="F97" s="13"/>
    </row>
    <row r="98" customHeight="1" spans="1:6">
      <c r="A98" s="10"/>
      <c r="B98" s="20" t="s">
        <v>33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58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232</v>
      </c>
      <c r="C101" s="10" t="s">
        <v>233</v>
      </c>
      <c r="D101" s="15" t="s">
        <v>308</v>
      </c>
      <c r="E101" s="242">
        <v>150000</v>
      </c>
      <c r="F101" s="13"/>
    </row>
    <row r="102" customHeight="1" spans="1:6">
      <c r="A102" s="10">
        <v>2</v>
      </c>
      <c r="B102" s="11" t="s">
        <v>250</v>
      </c>
      <c r="C102" s="4" t="s">
        <v>367</v>
      </c>
      <c r="D102" s="10" t="s">
        <v>257</v>
      </c>
      <c r="E102" s="242">
        <v>75000</v>
      </c>
      <c r="F102" s="13"/>
    </row>
    <row r="103" customHeight="1" spans="1:6">
      <c r="A103" s="10">
        <v>3</v>
      </c>
      <c r="B103" s="11" t="s">
        <v>368</v>
      </c>
      <c r="C103" s="4" t="s">
        <v>369</v>
      </c>
      <c r="D103" s="15" t="s">
        <v>332</v>
      </c>
      <c r="E103" s="242">
        <v>45000</v>
      </c>
      <c r="F103" s="13"/>
    </row>
    <row r="104" customHeight="1" spans="1:6">
      <c r="A104" s="10">
        <v>4</v>
      </c>
      <c r="B104" s="11" t="s">
        <v>1118</v>
      </c>
      <c r="C104" s="4" t="s">
        <v>1119</v>
      </c>
      <c r="D104" s="15" t="s">
        <v>945</v>
      </c>
      <c r="E104" s="242">
        <v>45000</v>
      </c>
      <c r="F104" s="13"/>
    </row>
    <row r="105" customHeight="1" spans="1:6">
      <c r="A105" s="4"/>
      <c r="B105" s="20" t="s">
        <v>33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372</v>
      </c>
      <c r="C107" s="4"/>
      <c r="D107" s="4"/>
      <c r="E107" s="247"/>
      <c r="F107" s="13"/>
    </row>
    <row r="108" customHeight="1" spans="1:6">
      <c r="A108" s="4">
        <v>1</v>
      </c>
      <c r="B108" s="11" t="s">
        <v>373</v>
      </c>
      <c r="C108" s="12" t="s">
        <v>374</v>
      </c>
      <c r="D108" s="15" t="s">
        <v>297</v>
      </c>
      <c r="E108" s="242">
        <v>225000</v>
      </c>
      <c r="F108" s="13"/>
    </row>
    <row r="109" customHeight="1" spans="1:6">
      <c r="A109" s="4">
        <v>2</v>
      </c>
      <c r="B109" s="11" t="s">
        <v>375</v>
      </c>
      <c r="C109" s="4" t="s">
        <v>376</v>
      </c>
      <c r="D109" s="16" t="s">
        <v>308</v>
      </c>
      <c r="E109" s="242">
        <v>150000</v>
      </c>
      <c r="F109" s="13"/>
    </row>
    <row r="110" customHeight="1" spans="1:6">
      <c r="A110" s="4">
        <v>3</v>
      </c>
      <c r="B110" s="11" t="s">
        <v>377</v>
      </c>
      <c r="C110" s="4" t="s">
        <v>378</v>
      </c>
      <c r="D110" s="10" t="s">
        <v>263</v>
      </c>
      <c r="E110" s="242">
        <v>75000</v>
      </c>
      <c r="F110" s="13"/>
    </row>
    <row r="111" customHeight="1" spans="1:6">
      <c r="A111" s="4">
        <v>4</v>
      </c>
      <c r="B111" s="11" t="s">
        <v>379</v>
      </c>
      <c r="C111" s="4" t="s">
        <v>378</v>
      </c>
      <c r="D111" s="10" t="s">
        <v>263</v>
      </c>
      <c r="E111" s="242">
        <v>75000</v>
      </c>
      <c r="F111" s="13"/>
    </row>
    <row r="112" customHeight="1" spans="1:6">
      <c r="A112" s="4">
        <v>5</v>
      </c>
      <c r="B112" s="11" t="s">
        <v>380</v>
      </c>
      <c r="C112" s="4" t="s">
        <v>381</v>
      </c>
      <c r="D112" s="15" t="s">
        <v>384</v>
      </c>
      <c r="E112" s="242">
        <v>45000</v>
      </c>
      <c r="F112" s="13"/>
    </row>
    <row r="113" customHeight="1" spans="1:6">
      <c r="A113" s="4">
        <v>6</v>
      </c>
      <c r="B113" s="18" t="s">
        <v>383</v>
      </c>
      <c r="C113" s="4" t="s">
        <v>381</v>
      </c>
      <c r="D113" s="10" t="s">
        <v>945</v>
      </c>
      <c r="E113" s="242">
        <v>45000</v>
      </c>
      <c r="F113" s="13"/>
    </row>
    <row r="114" customHeight="1" spans="1:6">
      <c r="A114" s="4">
        <v>7</v>
      </c>
      <c r="B114" s="18" t="s">
        <v>385</v>
      </c>
      <c r="C114" s="4" t="s">
        <v>381</v>
      </c>
      <c r="D114" s="15" t="s">
        <v>294</v>
      </c>
      <c r="E114" s="242">
        <v>45000</v>
      </c>
      <c r="F114" s="13"/>
    </row>
    <row r="115" customHeight="1" spans="1:6">
      <c r="A115" s="4"/>
      <c r="B115" s="20" t="s">
        <v>33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1123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1033</v>
      </c>
      <c r="C118" s="17" t="s">
        <v>275</v>
      </c>
      <c r="D118" s="15" t="s">
        <v>271</v>
      </c>
      <c r="E118" s="242">
        <v>45000</v>
      </c>
      <c r="F118" s="13"/>
    </row>
    <row r="119" ht="27" customHeight="1" spans="1:6">
      <c r="A119" s="10">
        <v>2</v>
      </c>
      <c r="B119" s="11" t="s">
        <v>387</v>
      </c>
      <c r="C119" s="4" t="s">
        <v>388</v>
      </c>
      <c r="D119" s="15" t="s">
        <v>332</v>
      </c>
      <c r="E119" s="242">
        <v>45000</v>
      </c>
      <c r="F119" s="13"/>
    </row>
    <row r="120" ht="27" customHeight="1" spans="1:6">
      <c r="A120" s="4"/>
      <c r="B120" s="20" t="s">
        <v>33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67</v>
      </c>
      <c r="C122" s="21"/>
      <c r="D122" s="21"/>
      <c r="E122" s="242"/>
      <c r="F122" s="13"/>
    </row>
    <row r="123" customHeight="1" spans="1:6">
      <c r="A123" s="4">
        <v>1</v>
      </c>
      <c r="B123" s="11" t="s">
        <v>392</v>
      </c>
      <c r="C123" s="12" t="s">
        <v>393</v>
      </c>
      <c r="D123" s="15" t="s">
        <v>297</v>
      </c>
      <c r="E123" s="242">
        <v>225000</v>
      </c>
      <c r="F123" s="13"/>
    </row>
    <row r="124" customHeight="1" spans="1:6">
      <c r="A124" s="4">
        <v>2</v>
      </c>
      <c r="B124" s="11" t="s">
        <v>128</v>
      </c>
      <c r="C124" s="12" t="s">
        <v>227</v>
      </c>
      <c r="D124" s="15" t="s">
        <v>249</v>
      </c>
      <c r="E124" s="242">
        <v>105000</v>
      </c>
      <c r="F124" s="13"/>
    </row>
    <row r="125" customHeight="1" spans="1:6">
      <c r="A125" s="4">
        <v>3</v>
      </c>
      <c r="B125" s="14" t="s">
        <v>395</v>
      </c>
      <c r="C125" s="12" t="s">
        <v>227</v>
      </c>
      <c r="D125" s="15" t="s">
        <v>249</v>
      </c>
      <c r="E125" s="242">
        <v>105000</v>
      </c>
      <c r="F125" s="13"/>
    </row>
    <row r="126" customHeight="1" spans="1:6">
      <c r="A126" s="4">
        <v>4</v>
      </c>
      <c r="B126" s="14" t="s">
        <v>226</v>
      </c>
      <c r="C126" s="12" t="s">
        <v>227</v>
      </c>
      <c r="D126" s="15" t="s">
        <v>228</v>
      </c>
      <c r="E126" s="242">
        <v>105000</v>
      </c>
      <c r="F126" s="13"/>
    </row>
    <row r="127" customHeight="1" spans="1:6">
      <c r="A127" s="4">
        <v>5</v>
      </c>
      <c r="B127" s="11" t="s">
        <v>396</v>
      </c>
      <c r="C127" s="12" t="s">
        <v>397</v>
      </c>
      <c r="D127" s="15" t="s">
        <v>342</v>
      </c>
      <c r="E127" s="242">
        <v>75000</v>
      </c>
      <c r="F127" s="13"/>
    </row>
    <row r="128" customHeight="1" spans="1:6">
      <c r="A128" s="4">
        <v>6</v>
      </c>
      <c r="B128" s="11" t="s">
        <v>398</v>
      </c>
      <c r="C128" s="12" t="s">
        <v>399</v>
      </c>
      <c r="D128" s="15" t="s">
        <v>266</v>
      </c>
      <c r="E128" s="242">
        <v>75000</v>
      </c>
      <c r="F128" s="13"/>
    </row>
    <row r="129" customHeight="1" spans="1:6">
      <c r="A129" s="4">
        <v>7</v>
      </c>
      <c r="B129" s="11" t="s">
        <v>400</v>
      </c>
      <c r="C129" s="12" t="s">
        <v>970</v>
      </c>
      <c r="D129" s="15" t="s">
        <v>266</v>
      </c>
      <c r="E129" s="242">
        <v>75000</v>
      </c>
      <c r="F129" s="13"/>
    </row>
    <row r="130" customHeight="1" spans="1:6">
      <c r="A130" s="4">
        <v>8</v>
      </c>
      <c r="B130" s="11" t="s">
        <v>401</v>
      </c>
      <c r="C130" s="12" t="s">
        <v>402</v>
      </c>
      <c r="D130" s="10" t="s">
        <v>283</v>
      </c>
      <c r="E130" s="242">
        <v>45000</v>
      </c>
      <c r="F130" s="13"/>
    </row>
    <row r="131" customHeight="1" spans="1:6">
      <c r="A131" s="4">
        <v>9</v>
      </c>
      <c r="B131" s="18" t="s">
        <v>403</v>
      </c>
      <c r="C131" s="12" t="s">
        <v>404</v>
      </c>
      <c r="D131" s="15" t="s">
        <v>294</v>
      </c>
      <c r="E131" s="242">
        <v>45000</v>
      </c>
      <c r="F131" s="13"/>
    </row>
    <row r="132" customHeight="1" spans="1:6">
      <c r="A132" s="4"/>
      <c r="B132" s="20" t="s">
        <v>33</v>
      </c>
      <c r="C132" s="26" t="s">
        <v>1120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71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407</v>
      </c>
      <c r="C135" s="12" t="s">
        <v>408</v>
      </c>
      <c r="D135" s="15" t="s">
        <v>297</v>
      </c>
      <c r="E135" s="242">
        <v>225000</v>
      </c>
      <c r="F135" s="13"/>
    </row>
    <row r="136" customHeight="1" spans="1:6">
      <c r="A136" s="27">
        <v>2</v>
      </c>
      <c r="B136" s="11" t="s">
        <v>229</v>
      </c>
      <c r="C136" s="12" t="s">
        <v>230</v>
      </c>
      <c r="D136" s="15" t="s">
        <v>231</v>
      </c>
      <c r="E136" s="242">
        <v>150000</v>
      </c>
      <c r="F136" s="13"/>
    </row>
    <row r="137" customHeight="1" spans="1:6">
      <c r="A137" s="27">
        <v>3</v>
      </c>
      <c r="B137" s="14" t="s">
        <v>409</v>
      </c>
      <c r="C137" s="4" t="s">
        <v>410</v>
      </c>
      <c r="D137" s="16" t="s">
        <v>308</v>
      </c>
      <c r="E137" s="242">
        <v>150000</v>
      </c>
      <c r="F137" s="13"/>
    </row>
    <row r="138" customHeight="1" spans="1:6">
      <c r="A138" s="27">
        <v>4</v>
      </c>
      <c r="B138" s="11" t="s">
        <v>411</v>
      </c>
      <c r="C138" s="12" t="s">
        <v>412</v>
      </c>
      <c r="D138" s="15" t="s">
        <v>257</v>
      </c>
      <c r="E138" s="242">
        <v>75000</v>
      </c>
      <c r="F138" s="13"/>
    </row>
    <row r="139" customHeight="1" spans="1:6">
      <c r="A139" s="27">
        <v>5</v>
      </c>
      <c r="B139" s="11" t="s">
        <v>413</v>
      </c>
      <c r="C139" s="4" t="s">
        <v>414</v>
      </c>
      <c r="D139" s="15" t="s">
        <v>257</v>
      </c>
      <c r="E139" s="242">
        <v>75000</v>
      </c>
      <c r="F139" s="13"/>
    </row>
    <row r="140" customHeight="1" spans="1:6">
      <c r="A140" s="27">
        <v>6</v>
      </c>
      <c r="B140" s="11" t="s">
        <v>366</v>
      </c>
      <c r="C140" s="4" t="s">
        <v>420</v>
      </c>
      <c r="D140" s="15" t="s">
        <v>266</v>
      </c>
      <c r="E140" s="242">
        <v>75000</v>
      </c>
      <c r="F140" s="13"/>
    </row>
    <row r="141" customHeight="1" spans="1:6">
      <c r="A141" s="27">
        <v>7</v>
      </c>
      <c r="B141" s="11" t="s">
        <v>416</v>
      </c>
      <c r="C141" s="12" t="s">
        <v>417</v>
      </c>
      <c r="D141" s="15" t="s">
        <v>271</v>
      </c>
      <c r="E141" s="242">
        <v>45000</v>
      </c>
      <c r="F141" s="13"/>
    </row>
    <row r="142" customHeight="1" spans="1:6">
      <c r="A142" s="27">
        <v>8</v>
      </c>
      <c r="B142" s="11" t="s">
        <v>418</v>
      </c>
      <c r="C142" s="12" t="s">
        <v>417</v>
      </c>
      <c r="D142" s="15" t="s">
        <v>271</v>
      </c>
      <c r="E142" s="242">
        <v>45000</v>
      </c>
      <c r="F142" s="13"/>
    </row>
    <row r="143" customHeight="1" spans="1:6">
      <c r="A143" s="27">
        <v>9</v>
      </c>
      <c r="B143" s="11" t="s">
        <v>419</v>
      </c>
      <c r="C143" s="4" t="s">
        <v>420</v>
      </c>
      <c r="D143" s="15" t="s">
        <v>271</v>
      </c>
      <c r="E143" s="242">
        <v>45000</v>
      </c>
      <c r="F143" s="13"/>
    </row>
    <row r="144" customHeight="1" spans="1:6">
      <c r="A144" s="27">
        <v>10</v>
      </c>
      <c r="B144" s="11" t="s">
        <v>421</v>
      </c>
      <c r="C144" s="12" t="s">
        <v>426</v>
      </c>
      <c r="D144" s="15" t="s">
        <v>332</v>
      </c>
      <c r="E144" s="242">
        <v>45000</v>
      </c>
      <c r="F144" s="13"/>
    </row>
    <row r="145" customHeight="1" spans="1:6">
      <c r="A145" s="27">
        <v>11</v>
      </c>
      <c r="B145" s="11" t="s">
        <v>423</v>
      </c>
      <c r="C145" s="12" t="s">
        <v>971</v>
      </c>
      <c r="D145" s="15" t="s">
        <v>432</v>
      </c>
      <c r="E145" s="242">
        <v>45000</v>
      </c>
      <c r="F145" s="13"/>
    </row>
    <row r="146" customHeight="1" spans="1:6">
      <c r="A146" s="27">
        <v>12</v>
      </c>
      <c r="B146" s="11" t="s">
        <v>425</v>
      </c>
      <c r="C146" s="12" t="s">
        <v>426</v>
      </c>
      <c r="D146" s="15" t="s">
        <v>271</v>
      </c>
      <c r="E146" s="242">
        <v>45000</v>
      </c>
      <c r="F146" s="13"/>
    </row>
    <row r="147" customHeight="1" spans="1:6">
      <c r="A147" s="27">
        <v>13</v>
      </c>
      <c r="B147" s="18" t="s">
        <v>427</v>
      </c>
      <c r="C147" s="4" t="s">
        <v>437</v>
      </c>
      <c r="D147" s="15" t="s">
        <v>432</v>
      </c>
      <c r="E147" s="242">
        <v>45000</v>
      </c>
      <c r="F147" s="13"/>
    </row>
    <row r="148" customHeight="1" spans="1:6">
      <c r="A148" s="27">
        <v>14</v>
      </c>
      <c r="B148" s="11" t="s">
        <v>429</v>
      </c>
      <c r="C148" s="4" t="s">
        <v>430</v>
      </c>
      <c r="D148" s="15" t="s">
        <v>301</v>
      </c>
      <c r="E148" s="242">
        <v>45000</v>
      </c>
      <c r="F148" s="13"/>
    </row>
    <row r="149" customHeight="1" spans="1:6">
      <c r="A149" s="27">
        <v>15</v>
      </c>
      <c r="B149" s="11" t="s">
        <v>431</v>
      </c>
      <c r="C149" s="4" t="s">
        <v>430</v>
      </c>
      <c r="D149" s="15" t="s">
        <v>345</v>
      </c>
      <c r="E149" s="242">
        <v>45000</v>
      </c>
      <c r="F149" s="13"/>
    </row>
    <row r="150" customHeight="1" spans="1:6">
      <c r="A150" s="27">
        <v>16</v>
      </c>
      <c r="B150" s="11" t="s">
        <v>433</v>
      </c>
      <c r="C150" s="4" t="s">
        <v>430</v>
      </c>
      <c r="D150" s="15" t="s">
        <v>345</v>
      </c>
      <c r="E150" s="242">
        <v>45000</v>
      </c>
      <c r="F150" s="13"/>
    </row>
    <row r="151" customHeight="1" spans="1:6">
      <c r="A151" s="27">
        <v>17</v>
      </c>
      <c r="B151" s="11" t="s">
        <v>434</v>
      </c>
      <c r="C151" s="12" t="s">
        <v>435</v>
      </c>
      <c r="D151" s="15" t="s">
        <v>37</v>
      </c>
      <c r="E151" s="242">
        <v>45000</v>
      </c>
      <c r="F151" s="13"/>
    </row>
    <row r="152" customHeight="1" spans="1:6">
      <c r="A152" s="27">
        <v>18</v>
      </c>
      <c r="B152" s="11" t="s">
        <v>953</v>
      </c>
      <c r="C152" s="12" t="s">
        <v>437</v>
      </c>
      <c r="D152" s="10" t="s">
        <v>24</v>
      </c>
      <c r="E152" s="242">
        <v>45000</v>
      </c>
      <c r="F152" s="13"/>
    </row>
    <row r="153" customHeight="1" spans="1:6">
      <c r="A153" s="27">
        <v>19</v>
      </c>
      <c r="B153" s="11" t="s">
        <v>438</v>
      </c>
      <c r="C153" s="12" t="s">
        <v>439</v>
      </c>
      <c r="D153" s="15" t="s">
        <v>301</v>
      </c>
      <c r="E153" s="242">
        <v>45000</v>
      </c>
      <c r="F153" s="13"/>
    </row>
    <row r="154" customHeight="1" spans="1:6">
      <c r="A154" s="27">
        <v>20</v>
      </c>
      <c r="B154" s="11" t="s">
        <v>440</v>
      </c>
      <c r="C154" s="12" t="s">
        <v>441</v>
      </c>
      <c r="D154" s="15" t="s">
        <v>283</v>
      </c>
      <c r="E154" s="242">
        <v>45000</v>
      </c>
      <c r="F154" s="13"/>
    </row>
    <row r="155" customHeight="1" spans="1:6">
      <c r="A155" s="27">
        <v>21</v>
      </c>
      <c r="B155" s="11" t="s">
        <v>442</v>
      </c>
      <c r="C155" s="12" t="s">
        <v>443</v>
      </c>
      <c r="D155" s="15" t="s">
        <v>301</v>
      </c>
      <c r="E155" s="242">
        <v>45000</v>
      </c>
      <c r="F155" s="13"/>
    </row>
    <row r="156" customHeight="1" spans="1:6">
      <c r="A156" s="27">
        <v>22</v>
      </c>
      <c r="B156" s="11" t="s">
        <v>444</v>
      </c>
      <c r="C156" s="12" t="s">
        <v>445</v>
      </c>
      <c r="D156" s="15" t="s">
        <v>283</v>
      </c>
      <c r="E156" s="242">
        <v>45000</v>
      </c>
      <c r="F156" s="13"/>
    </row>
    <row r="157" customHeight="1" spans="1:6">
      <c r="A157" s="27">
        <v>23</v>
      </c>
      <c r="B157" s="18" t="s">
        <v>446</v>
      </c>
      <c r="C157" s="12" t="s">
        <v>451</v>
      </c>
      <c r="D157" s="15" t="s">
        <v>945</v>
      </c>
      <c r="E157" s="242">
        <v>45000</v>
      </c>
      <c r="F157" s="13"/>
    </row>
    <row r="158" customHeight="1" spans="1:6">
      <c r="A158" s="27">
        <v>24</v>
      </c>
      <c r="B158" s="18" t="s">
        <v>448</v>
      </c>
      <c r="C158" s="12" t="s">
        <v>449</v>
      </c>
      <c r="D158" s="15" t="s">
        <v>30</v>
      </c>
      <c r="E158" s="242">
        <v>45000</v>
      </c>
      <c r="F158" s="13"/>
    </row>
    <row r="159" customHeight="1" spans="1:6">
      <c r="A159" s="27">
        <v>25</v>
      </c>
      <c r="B159" s="18" t="s">
        <v>450</v>
      </c>
      <c r="C159" s="12" t="s">
        <v>451</v>
      </c>
      <c r="D159" s="15" t="s">
        <v>30</v>
      </c>
      <c r="E159" s="242">
        <v>45000</v>
      </c>
      <c r="F159" s="13"/>
    </row>
    <row r="160" customHeight="1" spans="1:6">
      <c r="A160" s="27">
        <v>26</v>
      </c>
      <c r="B160" s="18" t="s">
        <v>452</v>
      </c>
      <c r="C160" s="12" t="s">
        <v>453</v>
      </c>
      <c r="D160" s="15" t="s">
        <v>294</v>
      </c>
      <c r="E160" s="242">
        <v>45000</v>
      </c>
      <c r="F160" s="13"/>
    </row>
    <row r="161" customHeight="1" spans="1:6">
      <c r="A161" s="27">
        <v>27</v>
      </c>
      <c r="B161" s="18" t="s">
        <v>454</v>
      </c>
      <c r="C161" s="12" t="s">
        <v>455</v>
      </c>
      <c r="D161" s="15" t="s">
        <v>294</v>
      </c>
      <c r="E161" s="242">
        <v>45000</v>
      </c>
      <c r="F161" s="13"/>
    </row>
    <row r="162" customHeight="1" spans="1:6">
      <c r="A162" s="27">
        <v>28</v>
      </c>
      <c r="B162" s="11" t="s">
        <v>457</v>
      </c>
      <c r="C162" s="12" t="s">
        <v>458</v>
      </c>
      <c r="D162" s="15" t="s">
        <v>465</v>
      </c>
      <c r="E162" s="242">
        <v>30000</v>
      </c>
      <c r="F162" s="13"/>
    </row>
    <row r="163" customHeight="1" spans="1:6">
      <c r="A163" s="27">
        <v>29</v>
      </c>
      <c r="B163" s="11" t="s">
        <v>460</v>
      </c>
      <c r="C163" s="12" t="s">
        <v>458</v>
      </c>
      <c r="D163" s="15" t="s">
        <v>465</v>
      </c>
      <c r="E163" s="242">
        <v>30000</v>
      </c>
      <c r="F163" s="13"/>
    </row>
    <row r="164" customHeight="1" spans="1:6">
      <c r="A164" s="27">
        <v>30</v>
      </c>
      <c r="B164" s="11" t="s">
        <v>461</v>
      </c>
      <c r="C164" s="12" t="s">
        <v>458</v>
      </c>
      <c r="D164" s="15" t="s">
        <v>465</v>
      </c>
      <c r="E164" s="242">
        <v>30000</v>
      </c>
      <c r="F164" s="13"/>
    </row>
    <row r="165" customHeight="1" spans="1:6">
      <c r="A165" s="27">
        <v>32</v>
      </c>
      <c r="B165" s="11" t="s">
        <v>462</v>
      </c>
      <c r="C165" s="12" t="s">
        <v>458</v>
      </c>
      <c r="D165" s="15" t="s">
        <v>465</v>
      </c>
      <c r="E165" s="242">
        <v>30000</v>
      </c>
      <c r="F165" s="13"/>
    </row>
    <row r="166" customHeight="1" spans="1:6">
      <c r="A166" s="27">
        <v>33</v>
      </c>
      <c r="B166" s="11" t="s">
        <v>463</v>
      </c>
      <c r="C166" s="12" t="s">
        <v>458</v>
      </c>
      <c r="D166" s="15" t="s">
        <v>465</v>
      </c>
      <c r="E166" s="242">
        <v>30000</v>
      </c>
      <c r="F166" s="13"/>
    </row>
    <row r="167" customHeight="1" spans="1:6">
      <c r="A167" s="27">
        <v>34</v>
      </c>
      <c r="B167" s="11" t="s">
        <v>464</v>
      </c>
      <c r="C167" s="12" t="s">
        <v>458</v>
      </c>
      <c r="D167" s="15" t="s">
        <v>476</v>
      </c>
      <c r="E167" s="242">
        <v>30000</v>
      </c>
      <c r="F167" s="13"/>
    </row>
    <row r="168" customHeight="1" spans="1:6">
      <c r="A168" s="27">
        <v>35</v>
      </c>
      <c r="B168" s="11" t="s">
        <v>466</v>
      </c>
      <c r="C168" s="12" t="s">
        <v>458</v>
      </c>
      <c r="D168" s="15" t="s">
        <v>476</v>
      </c>
      <c r="E168" s="242">
        <v>30000</v>
      </c>
      <c r="F168" s="13"/>
    </row>
    <row r="169" customHeight="1" spans="1:6">
      <c r="A169" s="27">
        <v>36</v>
      </c>
      <c r="B169" s="14" t="s">
        <v>467</v>
      </c>
      <c r="C169" s="12" t="s">
        <v>458</v>
      </c>
      <c r="D169" s="15" t="s">
        <v>476</v>
      </c>
      <c r="E169" s="242">
        <v>30000</v>
      </c>
      <c r="F169" s="13"/>
    </row>
    <row r="170" customHeight="1" spans="1:6">
      <c r="A170" s="27">
        <v>37</v>
      </c>
      <c r="B170" s="11" t="s">
        <v>468</v>
      </c>
      <c r="C170" s="12" t="s">
        <v>458</v>
      </c>
      <c r="D170" s="15" t="s">
        <v>476</v>
      </c>
      <c r="E170" s="242">
        <v>30000</v>
      </c>
      <c r="F170" s="13"/>
    </row>
    <row r="171" customHeight="1" spans="1:6">
      <c r="A171" s="27">
        <v>38</v>
      </c>
      <c r="B171" s="18" t="s">
        <v>469</v>
      </c>
      <c r="C171" s="12" t="s">
        <v>458</v>
      </c>
      <c r="D171" s="15" t="s">
        <v>476</v>
      </c>
      <c r="E171" s="242">
        <v>30000</v>
      </c>
      <c r="F171" s="13"/>
    </row>
    <row r="172" customHeight="1" spans="1:6">
      <c r="A172" s="27">
        <v>39</v>
      </c>
      <c r="B172" s="18" t="s">
        <v>470</v>
      </c>
      <c r="C172" s="12" t="s">
        <v>458</v>
      </c>
      <c r="D172" s="15" t="s">
        <v>476</v>
      </c>
      <c r="E172" s="242">
        <v>30000</v>
      </c>
      <c r="F172" s="13"/>
    </row>
    <row r="173" customHeight="1" spans="1:6">
      <c r="A173" s="27">
        <v>40</v>
      </c>
      <c r="B173" s="11" t="s">
        <v>471</v>
      </c>
      <c r="C173" s="12" t="s">
        <v>478</v>
      </c>
      <c r="D173" s="15" t="s">
        <v>479</v>
      </c>
      <c r="E173" s="242">
        <v>30000</v>
      </c>
      <c r="F173" s="13"/>
    </row>
    <row r="174" customHeight="1" spans="1:6">
      <c r="A174" s="27">
        <v>41</v>
      </c>
      <c r="B174" s="11" t="s">
        <v>474</v>
      </c>
      <c r="C174" s="12" t="s">
        <v>478</v>
      </c>
      <c r="D174" s="15" t="s">
        <v>479</v>
      </c>
      <c r="E174" s="242">
        <v>30000</v>
      </c>
      <c r="F174" s="13"/>
    </row>
    <row r="175" customHeight="1" spans="1:6">
      <c r="A175" s="27">
        <v>42</v>
      </c>
      <c r="B175" s="18" t="s">
        <v>475</v>
      </c>
      <c r="C175" s="12" t="s">
        <v>478</v>
      </c>
      <c r="D175" s="15" t="s">
        <v>948</v>
      </c>
      <c r="E175" s="242">
        <v>30000</v>
      </c>
      <c r="F175" s="13"/>
    </row>
    <row r="176" customHeight="1" spans="1:6">
      <c r="A176" s="27">
        <v>43</v>
      </c>
      <c r="B176" s="11" t="s">
        <v>477</v>
      </c>
      <c r="C176" s="12" t="s">
        <v>478</v>
      </c>
      <c r="D176" s="15" t="s">
        <v>954</v>
      </c>
      <c r="E176" s="242">
        <v>30000</v>
      </c>
      <c r="F176" s="13"/>
    </row>
    <row r="177" customHeight="1" spans="1:6">
      <c r="A177" s="27">
        <v>44</v>
      </c>
      <c r="B177" s="11" t="s">
        <v>480</v>
      </c>
      <c r="C177" s="12" t="s">
        <v>481</v>
      </c>
      <c r="D177" s="15" t="s">
        <v>955</v>
      </c>
      <c r="E177" s="242">
        <v>30000</v>
      </c>
      <c r="F177" s="13"/>
    </row>
    <row r="178" customHeight="1" spans="1:6">
      <c r="A178" s="27">
        <v>45</v>
      </c>
      <c r="B178" s="11" t="s">
        <v>483</v>
      </c>
      <c r="C178" s="12" t="s">
        <v>481</v>
      </c>
      <c r="D178" s="15" t="s">
        <v>955</v>
      </c>
      <c r="E178" s="242">
        <v>30000</v>
      </c>
      <c r="F178" s="13"/>
    </row>
    <row r="179" customHeight="1" spans="1:6">
      <c r="A179" s="27">
        <v>46</v>
      </c>
      <c r="B179" s="11" t="s">
        <v>484</v>
      </c>
      <c r="C179" s="12" t="s">
        <v>481</v>
      </c>
      <c r="D179" s="15" t="s">
        <v>955</v>
      </c>
      <c r="E179" s="242">
        <v>30000</v>
      </c>
      <c r="F179" s="13"/>
    </row>
    <row r="180" customHeight="1" spans="1:6">
      <c r="A180" s="27">
        <v>47</v>
      </c>
      <c r="B180" s="11" t="s">
        <v>485</v>
      </c>
      <c r="C180" s="12" t="s">
        <v>481</v>
      </c>
      <c r="D180" s="15" t="s">
        <v>955</v>
      </c>
      <c r="E180" s="242">
        <v>30000</v>
      </c>
      <c r="F180" s="13"/>
    </row>
    <row r="181" customHeight="1" spans="1:6">
      <c r="A181" s="27">
        <v>48</v>
      </c>
      <c r="B181" s="11" t="s">
        <v>486</v>
      </c>
      <c r="C181" s="12" t="s">
        <v>481</v>
      </c>
      <c r="D181" s="15" t="s">
        <v>955</v>
      </c>
      <c r="E181" s="242">
        <v>30000</v>
      </c>
      <c r="F181" s="13"/>
    </row>
    <row r="182" customHeight="1" spans="1:6">
      <c r="A182" s="27">
        <v>49</v>
      </c>
      <c r="B182" s="18" t="s">
        <v>487</v>
      </c>
      <c r="C182" s="12" t="s">
        <v>481</v>
      </c>
      <c r="D182" s="15" t="s">
        <v>955</v>
      </c>
      <c r="E182" s="242">
        <v>30000</v>
      </c>
      <c r="F182" s="13"/>
    </row>
    <row r="183" customHeight="1" spans="1:6">
      <c r="A183" s="27">
        <v>50</v>
      </c>
      <c r="B183" s="18" t="s">
        <v>488</v>
      </c>
      <c r="C183" s="12" t="s">
        <v>481</v>
      </c>
      <c r="D183" s="15" t="s">
        <v>955</v>
      </c>
      <c r="E183" s="242">
        <v>30000</v>
      </c>
      <c r="F183" s="13"/>
    </row>
    <row r="184" customHeight="1" spans="1:6">
      <c r="A184" s="27">
        <v>51</v>
      </c>
      <c r="B184" s="11" t="s">
        <v>489</v>
      </c>
      <c r="C184" s="12" t="s">
        <v>478</v>
      </c>
      <c r="D184" s="15" t="s">
        <v>955</v>
      </c>
      <c r="E184" s="242">
        <v>30000</v>
      </c>
      <c r="F184" s="13"/>
    </row>
    <row r="185" customHeight="1" spans="1:6">
      <c r="A185" s="27">
        <v>52</v>
      </c>
      <c r="B185" s="11" t="s">
        <v>490</v>
      </c>
      <c r="C185" s="12" t="s">
        <v>478</v>
      </c>
      <c r="D185" s="15" t="s">
        <v>955</v>
      </c>
      <c r="E185" s="242">
        <v>30000</v>
      </c>
      <c r="F185" s="13"/>
    </row>
    <row r="186" customHeight="1" spans="1:6">
      <c r="A186" s="27">
        <v>53</v>
      </c>
      <c r="B186" s="18" t="s">
        <v>491</v>
      </c>
      <c r="C186" s="12" t="s">
        <v>481</v>
      </c>
      <c r="D186" s="15" t="s">
        <v>972</v>
      </c>
      <c r="E186" s="242">
        <v>30000</v>
      </c>
      <c r="F186" s="13"/>
    </row>
    <row r="187" customHeight="1" spans="1:6">
      <c r="A187" s="27">
        <v>54</v>
      </c>
      <c r="B187" s="18" t="s">
        <v>493</v>
      </c>
      <c r="C187" s="12" t="s">
        <v>481</v>
      </c>
      <c r="D187" s="15" t="s">
        <v>956</v>
      </c>
      <c r="E187" s="242">
        <v>30000</v>
      </c>
      <c r="F187" s="13"/>
    </row>
    <row r="188" customHeight="1" spans="1:6">
      <c r="A188" s="27"/>
      <c r="B188" s="8" t="s">
        <v>33</v>
      </c>
      <c r="C188" s="28" t="s">
        <v>1124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80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'[10]Sallah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1105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132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236</v>
      </c>
      <c r="C7" s="12" t="s">
        <v>237</v>
      </c>
      <c r="D7" s="12" t="s">
        <v>238</v>
      </c>
      <c r="E7" s="242">
        <v>540000</v>
      </c>
      <c r="F7" s="13"/>
    </row>
    <row r="8" customHeight="1" spans="1:6">
      <c r="A8" s="10">
        <v>2</v>
      </c>
      <c r="B8" s="11" t="s">
        <v>1016</v>
      </c>
      <c r="C8" s="4" t="s">
        <v>1106</v>
      </c>
      <c r="D8" s="10" t="s">
        <v>231</v>
      </c>
      <c r="E8" s="242">
        <v>180000</v>
      </c>
      <c r="F8" s="13"/>
    </row>
    <row r="9" customHeight="1" spans="1:6">
      <c r="A9" s="10">
        <v>3</v>
      </c>
      <c r="B9" s="11" t="s">
        <v>239</v>
      </c>
      <c r="C9" s="12" t="s">
        <v>240</v>
      </c>
      <c r="D9" s="10" t="s">
        <v>234</v>
      </c>
      <c r="E9" s="242">
        <v>180000</v>
      </c>
      <c r="F9" s="13"/>
    </row>
    <row r="10" customHeight="1" spans="1:6">
      <c r="A10" s="10">
        <v>4</v>
      </c>
      <c r="B10" s="14" t="s">
        <v>241</v>
      </c>
      <c r="C10" s="4" t="s">
        <v>242</v>
      </c>
      <c r="D10" s="15" t="s">
        <v>308</v>
      </c>
      <c r="E10" s="242">
        <v>180000</v>
      </c>
      <c r="F10" s="13"/>
    </row>
    <row r="11" customHeight="1" spans="1:6">
      <c r="A11" s="10">
        <v>5</v>
      </c>
      <c r="B11" s="14" t="s">
        <v>363</v>
      </c>
      <c r="C11" s="4" t="s">
        <v>1018</v>
      </c>
      <c r="D11" s="16" t="s">
        <v>308</v>
      </c>
      <c r="E11" s="242">
        <v>180000</v>
      </c>
      <c r="F11" s="13"/>
    </row>
    <row r="12" customHeight="1" spans="1:6">
      <c r="A12" s="10">
        <v>6</v>
      </c>
      <c r="B12" s="11" t="s">
        <v>243</v>
      </c>
      <c r="C12" s="17" t="s">
        <v>244</v>
      </c>
      <c r="D12" s="16" t="s">
        <v>308</v>
      </c>
      <c r="E12" s="242">
        <v>180000</v>
      </c>
      <c r="F12" s="13"/>
    </row>
    <row r="13" customHeight="1" spans="1:6">
      <c r="A13" s="10">
        <v>7</v>
      </c>
      <c r="B13" s="14" t="s">
        <v>245</v>
      </c>
      <c r="C13" s="4" t="s">
        <v>246</v>
      </c>
      <c r="D13" s="16" t="s">
        <v>308</v>
      </c>
      <c r="E13" s="242">
        <v>180000</v>
      </c>
      <c r="F13" s="13"/>
    </row>
    <row r="14" customHeight="1" spans="1:6">
      <c r="A14" s="10">
        <v>8</v>
      </c>
      <c r="B14" s="11" t="s">
        <v>247</v>
      </c>
      <c r="C14" s="12" t="s">
        <v>248</v>
      </c>
      <c r="D14" s="15" t="s">
        <v>249</v>
      </c>
      <c r="E14" s="242">
        <v>126000</v>
      </c>
      <c r="F14" s="13"/>
    </row>
    <row r="15" customHeight="1" spans="1:6">
      <c r="A15" s="10">
        <v>9</v>
      </c>
      <c r="B15" s="18" t="s">
        <v>223</v>
      </c>
      <c r="C15" s="12" t="s">
        <v>224</v>
      </c>
      <c r="D15" s="10" t="s">
        <v>222</v>
      </c>
      <c r="E15" s="242">
        <v>126000</v>
      </c>
      <c r="F15" s="13"/>
    </row>
    <row r="16" customHeight="1" spans="1:6">
      <c r="A16" s="10">
        <v>10</v>
      </c>
      <c r="B16" s="19" t="s">
        <v>1109</v>
      </c>
      <c r="C16" s="4" t="s">
        <v>1110</v>
      </c>
      <c r="D16" s="16" t="s">
        <v>257</v>
      </c>
      <c r="E16" s="242">
        <v>90000</v>
      </c>
      <c r="F16" s="13"/>
    </row>
    <row r="17" ht="19.5" customHeight="1" spans="1:6">
      <c r="A17" s="10">
        <v>11</v>
      </c>
      <c r="B17" s="14" t="s">
        <v>1019</v>
      </c>
      <c r="C17" s="4" t="s">
        <v>253</v>
      </c>
      <c r="D17" s="10" t="s">
        <v>257</v>
      </c>
      <c r="E17" s="242">
        <v>90000</v>
      </c>
      <c r="F17" s="13"/>
    </row>
    <row r="18" ht="19.5" customHeight="1" spans="1:6">
      <c r="A18" s="10">
        <v>12</v>
      </c>
      <c r="B18" s="14" t="s">
        <v>1111</v>
      </c>
      <c r="C18" s="4" t="s">
        <v>1112</v>
      </c>
      <c r="D18" s="10" t="s">
        <v>257</v>
      </c>
      <c r="E18" s="242">
        <v>90000</v>
      </c>
      <c r="F18" s="13"/>
    </row>
    <row r="19" customHeight="1" spans="1:6">
      <c r="A19" s="10">
        <v>13</v>
      </c>
      <c r="B19" s="11" t="s">
        <v>252</v>
      </c>
      <c r="C19" s="4" t="s">
        <v>253</v>
      </c>
      <c r="D19" s="15" t="s">
        <v>257</v>
      </c>
      <c r="E19" s="242">
        <v>90000</v>
      </c>
      <c r="F19" s="13"/>
    </row>
    <row r="20" customHeight="1" spans="1:6">
      <c r="A20" s="10">
        <v>14</v>
      </c>
      <c r="B20" s="11" t="s">
        <v>264</v>
      </c>
      <c r="C20" s="12" t="s">
        <v>265</v>
      </c>
      <c r="D20" s="15" t="s">
        <v>950</v>
      </c>
      <c r="E20" s="242">
        <v>90000</v>
      </c>
      <c r="F20" s="13"/>
    </row>
    <row r="21" customHeight="1" spans="1:6">
      <c r="A21" s="10">
        <v>15</v>
      </c>
      <c r="B21" s="18" t="s">
        <v>267</v>
      </c>
      <c r="C21" s="4" t="s">
        <v>268</v>
      </c>
      <c r="D21" s="15" t="s">
        <v>951</v>
      </c>
      <c r="E21" s="242">
        <v>90000</v>
      </c>
      <c r="F21" s="13"/>
    </row>
    <row r="22" customHeight="1" spans="1:6">
      <c r="A22" s="10">
        <v>16</v>
      </c>
      <c r="B22" s="11" t="s">
        <v>389</v>
      </c>
      <c r="C22" s="12" t="s">
        <v>390</v>
      </c>
      <c r="D22" s="15" t="s">
        <v>271</v>
      </c>
      <c r="E22" s="242">
        <v>54000</v>
      </c>
      <c r="F22" s="13"/>
    </row>
    <row r="23" ht="18.75" customHeight="1" spans="1:6">
      <c r="A23" s="10">
        <v>17</v>
      </c>
      <c r="B23" s="11" t="s">
        <v>270</v>
      </c>
      <c r="C23" s="12" t="s">
        <v>50</v>
      </c>
      <c r="D23" s="15" t="s">
        <v>332</v>
      </c>
      <c r="E23" s="242">
        <v>54000</v>
      </c>
      <c r="F23" s="13"/>
    </row>
    <row r="24" ht="18.75" customHeight="1" spans="1:6">
      <c r="A24" s="10">
        <v>18</v>
      </c>
      <c r="B24" s="18" t="s">
        <v>1113</v>
      </c>
      <c r="C24" s="12" t="s">
        <v>293</v>
      </c>
      <c r="D24" s="15" t="s">
        <v>345</v>
      </c>
      <c r="E24" s="242">
        <v>54000</v>
      </c>
      <c r="F24" s="13"/>
    </row>
    <row r="25" ht="18.75" customHeight="1" spans="1:6">
      <c r="A25" s="10">
        <v>19</v>
      </c>
      <c r="B25" s="4" t="s">
        <v>278</v>
      </c>
      <c r="C25" s="4" t="s">
        <v>176</v>
      </c>
      <c r="D25" s="10" t="s">
        <v>283</v>
      </c>
      <c r="E25" s="242">
        <v>54000</v>
      </c>
      <c r="F25" s="13"/>
    </row>
    <row r="26" ht="18.75" customHeight="1" spans="1:6">
      <c r="A26" s="10">
        <v>20</v>
      </c>
      <c r="B26" s="18" t="s">
        <v>280</v>
      </c>
      <c r="C26" s="12" t="s">
        <v>176</v>
      </c>
      <c r="D26" s="15" t="s">
        <v>283</v>
      </c>
      <c r="E26" s="242">
        <v>54000</v>
      </c>
      <c r="F26" s="13"/>
    </row>
    <row r="27" ht="18.75" customHeight="1" spans="1:6">
      <c r="A27" s="10">
        <v>21</v>
      </c>
      <c r="B27" s="11" t="s">
        <v>1020</v>
      </c>
      <c r="C27" s="12" t="s">
        <v>1021</v>
      </c>
      <c r="D27" s="15" t="s">
        <v>283</v>
      </c>
      <c r="E27" s="242">
        <v>54000</v>
      </c>
      <c r="F27" s="13"/>
    </row>
    <row r="28" ht="18.75" customHeight="1" spans="1:6">
      <c r="A28" s="10">
        <v>22</v>
      </c>
      <c r="B28" s="18" t="s">
        <v>282</v>
      </c>
      <c r="C28" s="12" t="s">
        <v>967</v>
      </c>
      <c r="D28" s="15" t="s">
        <v>945</v>
      </c>
      <c r="E28" s="242">
        <v>54000</v>
      </c>
      <c r="F28" s="13"/>
    </row>
    <row r="29" ht="18.75" customHeight="1" spans="1:6">
      <c r="A29" s="10">
        <v>23</v>
      </c>
      <c r="B29" s="18" t="s">
        <v>284</v>
      </c>
      <c r="C29" s="4" t="s">
        <v>1022</v>
      </c>
      <c r="D29" s="10" t="s">
        <v>945</v>
      </c>
      <c r="E29" s="242">
        <v>54000</v>
      </c>
      <c r="F29" s="13"/>
    </row>
    <row r="30" ht="18.75" customHeight="1" spans="1:6">
      <c r="A30" s="10">
        <v>24</v>
      </c>
      <c r="B30" s="18" t="s">
        <v>287</v>
      </c>
      <c r="C30" s="17" t="s">
        <v>288</v>
      </c>
      <c r="D30" s="15" t="s">
        <v>283</v>
      </c>
      <c r="E30" s="242">
        <v>54000</v>
      </c>
      <c r="F30" s="13"/>
    </row>
    <row r="31" ht="18.75" customHeight="1" spans="1:6">
      <c r="A31" s="10">
        <v>25</v>
      </c>
      <c r="B31" s="18" t="s">
        <v>289</v>
      </c>
      <c r="C31" s="4" t="s">
        <v>290</v>
      </c>
      <c r="D31" s="10" t="s">
        <v>294</v>
      </c>
      <c r="E31" s="242">
        <v>54000</v>
      </c>
      <c r="F31" s="13"/>
    </row>
    <row r="32" ht="18.75" customHeight="1" spans="1:6">
      <c r="A32" s="10">
        <v>26</v>
      </c>
      <c r="B32" s="18" t="s">
        <v>933</v>
      </c>
      <c r="C32" s="12" t="s">
        <v>293</v>
      </c>
      <c r="D32" s="15" t="s">
        <v>294</v>
      </c>
      <c r="E32" s="242">
        <v>54000</v>
      </c>
      <c r="F32" s="13"/>
    </row>
    <row r="33" ht="18.75" customHeight="1" spans="1:6">
      <c r="A33" s="10">
        <v>27</v>
      </c>
      <c r="B33" s="18" t="s">
        <v>1114</v>
      </c>
      <c r="C33" s="12" t="s">
        <v>293</v>
      </c>
      <c r="D33" s="15" t="s">
        <v>294</v>
      </c>
      <c r="E33" s="242">
        <v>54000</v>
      </c>
      <c r="F33" s="13"/>
    </row>
    <row r="34" ht="18.75" customHeight="1" spans="1:6">
      <c r="A34" s="10">
        <v>28</v>
      </c>
      <c r="B34" s="18" t="s">
        <v>405</v>
      </c>
      <c r="C34" s="12" t="s">
        <v>69</v>
      </c>
      <c r="D34" s="15" t="s">
        <v>30</v>
      </c>
      <c r="E34" s="242">
        <v>54000</v>
      </c>
      <c r="F34" s="13"/>
    </row>
    <row r="35" ht="26.25" customHeight="1" spans="1:6">
      <c r="A35" s="10"/>
      <c r="B35" s="20" t="s">
        <v>33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34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295</v>
      </c>
      <c r="C38" s="4" t="s">
        <v>296</v>
      </c>
      <c r="D38" s="10" t="s">
        <v>297</v>
      </c>
      <c r="E38" s="242">
        <v>270000</v>
      </c>
      <c r="F38" s="13"/>
    </row>
    <row r="39" ht="18.75" customHeight="1" spans="1:6">
      <c r="A39" s="10">
        <v>2</v>
      </c>
      <c r="B39" s="18" t="s">
        <v>298</v>
      </c>
      <c r="C39" s="4" t="s">
        <v>537</v>
      </c>
      <c r="D39" s="10" t="s">
        <v>30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38</v>
      </c>
      <c r="C42" s="5"/>
      <c r="D42" s="24"/>
      <c r="E42" s="242"/>
      <c r="F42" s="13"/>
    </row>
    <row r="43" customHeight="1" spans="1:6">
      <c r="A43" s="10">
        <v>1</v>
      </c>
      <c r="B43" s="11" t="s">
        <v>302</v>
      </c>
      <c r="C43" s="4" t="s">
        <v>303</v>
      </c>
      <c r="D43" s="10" t="s">
        <v>297</v>
      </c>
      <c r="E43" s="242">
        <v>270000</v>
      </c>
      <c r="F43" s="13"/>
    </row>
    <row r="44" customHeight="1" spans="1:6">
      <c r="A44" s="10">
        <v>2</v>
      </c>
      <c r="B44" s="11" t="s">
        <v>304</v>
      </c>
      <c r="C44" s="4" t="s">
        <v>305</v>
      </c>
      <c r="D44" s="10" t="s">
        <v>249</v>
      </c>
      <c r="E44" s="242">
        <v>126000</v>
      </c>
      <c r="F44" s="13"/>
    </row>
    <row r="45" customHeight="1" spans="1:6">
      <c r="A45" s="10">
        <v>3</v>
      </c>
      <c r="B45" s="11" t="s">
        <v>306</v>
      </c>
      <c r="C45" s="4" t="s">
        <v>310</v>
      </c>
      <c r="D45" s="10" t="s">
        <v>249</v>
      </c>
      <c r="E45" s="242">
        <v>126000</v>
      </c>
      <c r="F45" s="13"/>
    </row>
    <row r="46" customHeight="1" spans="1:6">
      <c r="A46" s="10">
        <v>4</v>
      </c>
      <c r="B46" s="11" t="s">
        <v>309</v>
      </c>
      <c r="C46" s="4" t="s">
        <v>310</v>
      </c>
      <c r="D46" s="10" t="s">
        <v>249</v>
      </c>
      <c r="E46" s="242">
        <v>126000</v>
      </c>
      <c r="F46" s="13"/>
    </row>
    <row r="47" customHeight="1" spans="1:6">
      <c r="A47" s="10">
        <v>5</v>
      </c>
      <c r="B47" s="11" t="s">
        <v>311</v>
      </c>
      <c r="C47" s="4" t="s">
        <v>310</v>
      </c>
      <c r="D47" s="10" t="s">
        <v>327</v>
      </c>
      <c r="E47" s="242">
        <v>126000</v>
      </c>
      <c r="F47" s="13"/>
    </row>
    <row r="48" customHeight="1" spans="1:6">
      <c r="A48" s="10">
        <v>6</v>
      </c>
      <c r="B48" s="11" t="s">
        <v>312</v>
      </c>
      <c r="C48" s="4" t="s">
        <v>259</v>
      </c>
      <c r="D48" s="10" t="s">
        <v>257</v>
      </c>
      <c r="E48" s="242">
        <v>90000</v>
      </c>
      <c r="F48" s="13"/>
    </row>
    <row r="49" customHeight="1" spans="1:6">
      <c r="A49" s="10">
        <v>7</v>
      </c>
      <c r="B49" s="14" t="s">
        <v>313</v>
      </c>
      <c r="C49" s="4" t="s">
        <v>256</v>
      </c>
      <c r="D49" s="16" t="s">
        <v>257</v>
      </c>
      <c r="E49" s="242">
        <v>90000</v>
      </c>
      <c r="F49" s="13"/>
    </row>
    <row r="50" customHeight="1" spans="1:6">
      <c r="A50" s="10">
        <v>8</v>
      </c>
      <c r="B50" s="11" t="s">
        <v>1025</v>
      </c>
      <c r="C50" s="4" t="s">
        <v>256</v>
      </c>
      <c r="D50" s="10" t="s">
        <v>342</v>
      </c>
      <c r="E50" s="242">
        <v>90000</v>
      </c>
      <c r="F50" s="13"/>
    </row>
    <row r="51" customHeight="1" spans="1:6">
      <c r="A51" s="10">
        <v>9</v>
      </c>
      <c r="B51" s="11" t="s">
        <v>258</v>
      </c>
      <c r="C51" s="4" t="s">
        <v>353</v>
      </c>
      <c r="D51" s="10" t="s">
        <v>266</v>
      </c>
      <c r="E51" s="242">
        <v>90000</v>
      </c>
      <c r="F51" s="13"/>
    </row>
    <row r="52" customHeight="1" spans="1:6">
      <c r="A52" s="10">
        <v>10</v>
      </c>
      <c r="B52" s="11" t="s">
        <v>315</v>
      </c>
      <c r="C52" s="4" t="s">
        <v>63</v>
      </c>
      <c r="D52" s="10" t="s">
        <v>24</v>
      </c>
      <c r="E52" s="242">
        <v>54000</v>
      </c>
      <c r="F52" s="13"/>
    </row>
    <row r="53" customHeight="1" spans="1:6">
      <c r="A53" s="10">
        <v>11</v>
      </c>
      <c r="B53" s="11" t="s">
        <v>316</v>
      </c>
      <c r="C53" s="4" t="s">
        <v>63</v>
      </c>
      <c r="D53" s="10" t="s">
        <v>24</v>
      </c>
      <c r="E53" s="242">
        <v>54000</v>
      </c>
      <c r="F53" s="13"/>
    </row>
    <row r="54" customHeight="1" spans="1:6">
      <c r="A54" s="10">
        <v>12</v>
      </c>
      <c r="B54" s="11" t="s">
        <v>317</v>
      </c>
      <c r="C54" s="4" t="s">
        <v>63</v>
      </c>
      <c r="D54" s="10" t="s">
        <v>24</v>
      </c>
      <c r="E54" s="242">
        <v>54000</v>
      </c>
      <c r="F54" s="13"/>
    </row>
    <row r="55" ht="25.5" customHeight="1" spans="1:6">
      <c r="A55" s="10"/>
      <c r="B55" s="20" t="s">
        <v>33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318</v>
      </c>
      <c r="C57" s="21"/>
      <c r="D57" s="21"/>
      <c r="E57" s="246"/>
      <c r="F57" s="13"/>
    </row>
    <row r="58" customHeight="1" spans="1:6">
      <c r="A58" s="10">
        <v>1</v>
      </c>
      <c r="B58" s="11" t="s">
        <v>319</v>
      </c>
      <c r="C58" s="12" t="s">
        <v>320</v>
      </c>
      <c r="D58" s="15" t="s">
        <v>297</v>
      </c>
      <c r="E58" s="242">
        <v>270000</v>
      </c>
      <c r="F58" s="13"/>
    </row>
    <row r="59" customHeight="1" spans="1:6">
      <c r="A59" s="10">
        <v>2</v>
      </c>
      <c r="B59" s="11" t="s">
        <v>321</v>
      </c>
      <c r="C59" s="12" t="s">
        <v>322</v>
      </c>
      <c r="D59" s="15" t="s">
        <v>222</v>
      </c>
      <c r="E59" s="242">
        <v>126000</v>
      </c>
      <c r="F59" s="13"/>
    </row>
    <row r="60" customHeight="1" spans="1:6">
      <c r="A60" s="10"/>
      <c r="B60" s="20" t="s">
        <v>33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44</v>
      </c>
      <c r="C62" s="21"/>
      <c r="D62" s="21"/>
      <c r="E62" s="246"/>
      <c r="F62" s="13"/>
    </row>
    <row r="63" customHeight="1" spans="1:6">
      <c r="A63" s="10">
        <v>1</v>
      </c>
      <c r="B63" s="11" t="s">
        <v>323</v>
      </c>
      <c r="C63" s="17" t="s">
        <v>324</v>
      </c>
      <c r="D63" s="10" t="s">
        <v>297</v>
      </c>
      <c r="E63" s="242">
        <v>270000</v>
      </c>
      <c r="F63" s="13"/>
    </row>
    <row r="64" customHeight="1" spans="1:6">
      <c r="A64" s="10">
        <v>2</v>
      </c>
      <c r="B64" s="18" t="s">
        <v>325</v>
      </c>
      <c r="C64" s="17" t="s">
        <v>326</v>
      </c>
      <c r="D64" s="15" t="s">
        <v>952</v>
      </c>
      <c r="E64" s="242">
        <v>126000</v>
      </c>
      <c r="F64" s="13"/>
    </row>
    <row r="65" customHeight="1" spans="1:6">
      <c r="A65" s="10">
        <v>3</v>
      </c>
      <c r="B65" s="11" t="s">
        <v>328</v>
      </c>
      <c r="C65" s="4" t="s">
        <v>46</v>
      </c>
      <c r="D65" s="10" t="s">
        <v>266</v>
      </c>
      <c r="E65" s="242">
        <v>90000</v>
      </c>
      <c r="F65" s="13"/>
    </row>
    <row r="66" customHeight="1" spans="1:6">
      <c r="A66" s="10">
        <v>4</v>
      </c>
      <c r="B66" s="18" t="s">
        <v>329</v>
      </c>
      <c r="C66" s="17" t="s">
        <v>46</v>
      </c>
      <c r="D66" s="15" t="s">
        <v>950</v>
      </c>
      <c r="E66" s="242">
        <v>90000</v>
      </c>
      <c r="F66" s="13"/>
    </row>
    <row r="67" customHeight="1" spans="1:6">
      <c r="A67" s="10">
        <v>5</v>
      </c>
      <c r="B67" s="14" t="s">
        <v>330</v>
      </c>
      <c r="C67" s="17" t="s">
        <v>256</v>
      </c>
      <c r="D67" s="15" t="s">
        <v>257</v>
      </c>
      <c r="E67" s="242">
        <v>90000</v>
      </c>
      <c r="F67" s="13"/>
    </row>
    <row r="68" customHeight="1" spans="1:6">
      <c r="A68" s="10">
        <v>6</v>
      </c>
      <c r="B68" s="14" t="s">
        <v>255</v>
      </c>
      <c r="C68" s="17" t="s">
        <v>256</v>
      </c>
      <c r="D68" s="15" t="s">
        <v>342</v>
      </c>
      <c r="E68" s="242">
        <v>90000</v>
      </c>
      <c r="F68" s="13"/>
    </row>
    <row r="69" customHeight="1" spans="1:6">
      <c r="A69" s="10">
        <v>7</v>
      </c>
      <c r="B69" s="11" t="s">
        <v>331</v>
      </c>
      <c r="C69" s="4" t="s">
        <v>63</v>
      </c>
      <c r="D69" s="10" t="s">
        <v>41</v>
      </c>
      <c r="E69" s="242">
        <v>54000</v>
      </c>
      <c r="F69" s="13"/>
    </row>
    <row r="70" customHeight="1" spans="1:6">
      <c r="A70" s="10">
        <v>8</v>
      </c>
      <c r="B70" s="11" t="s">
        <v>333</v>
      </c>
      <c r="C70" s="17" t="s">
        <v>275</v>
      </c>
      <c r="D70" s="15" t="s">
        <v>41</v>
      </c>
      <c r="E70" s="242">
        <v>54000</v>
      </c>
      <c r="F70" s="13"/>
    </row>
    <row r="71" customHeight="1" spans="1:6">
      <c r="A71" s="10">
        <v>9</v>
      </c>
      <c r="B71" s="11" t="s">
        <v>334</v>
      </c>
      <c r="C71" s="17" t="s">
        <v>275</v>
      </c>
      <c r="D71" s="15" t="s">
        <v>41</v>
      </c>
      <c r="E71" s="242">
        <v>54000</v>
      </c>
      <c r="F71" s="13"/>
    </row>
    <row r="72" customHeight="1" spans="1:6">
      <c r="A72" s="10">
        <v>10</v>
      </c>
      <c r="B72" s="11" t="s">
        <v>335</v>
      </c>
      <c r="C72" s="4" t="s">
        <v>336</v>
      </c>
      <c r="D72" s="10" t="s">
        <v>332</v>
      </c>
      <c r="E72" s="242">
        <v>54000</v>
      </c>
      <c r="F72" s="13"/>
    </row>
    <row r="73" customHeight="1" spans="1:6">
      <c r="A73" s="10">
        <v>11</v>
      </c>
      <c r="B73" s="11" t="s">
        <v>1115</v>
      </c>
      <c r="C73" s="17" t="s">
        <v>63</v>
      </c>
      <c r="D73" s="10" t="s">
        <v>301</v>
      </c>
      <c r="E73" s="242">
        <v>54000</v>
      </c>
      <c r="F73" s="13"/>
    </row>
    <row r="74" customHeight="1" spans="1:6">
      <c r="A74" s="10">
        <v>12</v>
      </c>
      <c r="B74" s="11" t="s">
        <v>281</v>
      </c>
      <c r="C74" s="17" t="s">
        <v>273</v>
      </c>
      <c r="D74" s="10" t="s">
        <v>283</v>
      </c>
      <c r="E74" s="242">
        <v>54000</v>
      </c>
      <c r="F74" s="13"/>
    </row>
    <row r="75" customHeight="1" spans="1:6">
      <c r="A75" s="10">
        <v>13</v>
      </c>
      <c r="B75" s="14" t="s">
        <v>272</v>
      </c>
      <c r="C75" s="17" t="s">
        <v>273</v>
      </c>
      <c r="D75" s="10" t="s">
        <v>294</v>
      </c>
      <c r="E75" s="242">
        <v>54000</v>
      </c>
      <c r="F75" s="13"/>
    </row>
    <row r="76" customHeight="1" spans="1:6">
      <c r="A76" s="10"/>
      <c r="B76" s="20" t="s">
        <v>33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51</v>
      </c>
      <c r="C78" s="21"/>
      <c r="D78" s="21"/>
      <c r="E78" s="246"/>
      <c r="F78" s="13"/>
    </row>
    <row r="79" customHeight="1" spans="1:6">
      <c r="A79" s="10">
        <v>1</v>
      </c>
      <c r="B79" s="11" t="s">
        <v>338</v>
      </c>
      <c r="C79" s="4" t="s">
        <v>339</v>
      </c>
      <c r="D79" s="10" t="s">
        <v>297</v>
      </c>
      <c r="E79" s="242">
        <v>270000</v>
      </c>
      <c r="F79" s="13"/>
    </row>
    <row r="80" customHeight="1" spans="1:6">
      <c r="A80" s="10">
        <v>2</v>
      </c>
      <c r="B80" s="14" t="s">
        <v>220</v>
      </c>
      <c r="C80" s="4" t="s">
        <v>221</v>
      </c>
      <c r="D80" s="15" t="s">
        <v>952</v>
      </c>
      <c r="E80" s="242">
        <v>126000</v>
      </c>
      <c r="F80" s="13"/>
    </row>
    <row r="81" customHeight="1" spans="1:6">
      <c r="A81" s="10">
        <v>3</v>
      </c>
      <c r="B81" s="14" t="s">
        <v>1116</v>
      </c>
      <c r="C81" s="4" t="s">
        <v>1117</v>
      </c>
      <c r="D81" s="15" t="s">
        <v>952</v>
      </c>
      <c r="E81" s="242">
        <v>126000</v>
      </c>
      <c r="F81" s="13"/>
    </row>
    <row r="82" customHeight="1" spans="1:6">
      <c r="A82" s="10">
        <v>4</v>
      </c>
      <c r="B82" s="11" t="s">
        <v>340</v>
      </c>
      <c r="C82" s="4" t="s">
        <v>968</v>
      </c>
      <c r="D82" s="15" t="s">
        <v>266</v>
      </c>
      <c r="E82" s="242">
        <v>90000</v>
      </c>
      <c r="F82" s="13"/>
    </row>
    <row r="83" customHeight="1" spans="1:6">
      <c r="A83" s="10">
        <v>5</v>
      </c>
      <c r="B83" s="11" t="s">
        <v>343</v>
      </c>
      <c r="C83" s="4" t="s">
        <v>344</v>
      </c>
      <c r="D83" s="10" t="s">
        <v>301</v>
      </c>
      <c r="E83" s="242">
        <v>54000</v>
      </c>
      <c r="F83" s="13"/>
    </row>
    <row r="84" customHeight="1" spans="1:6">
      <c r="A84" s="10"/>
      <c r="B84" s="20" t="s">
        <v>33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56</v>
      </c>
      <c r="C86" s="25"/>
      <c r="D86" s="21"/>
      <c r="E86" s="242"/>
      <c r="F86" s="13"/>
    </row>
    <row r="87" customHeight="1" spans="1:6">
      <c r="A87" s="10">
        <v>1</v>
      </c>
      <c r="B87" s="11" t="s">
        <v>349</v>
      </c>
      <c r="C87" s="4" t="s">
        <v>310</v>
      </c>
      <c r="D87" s="10" t="s">
        <v>249</v>
      </c>
      <c r="E87" s="242">
        <v>126000</v>
      </c>
      <c r="F87" s="13"/>
    </row>
    <row r="88" customHeight="1" spans="1:6">
      <c r="A88" s="10">
        <v>2</v>
      </c>
      <c r="B88" s="11" t="s">
        <v>350</v>
      </c>
      <c r="C88" s="4" t="s">
        <v>310</v>
      </c>
      <c r="D88" s="10" t="s">
        <v>249</v>
      </c>
      <c r="E88" s="242">
        <v>126000</v>
      </c>
      <c r="F88" s="13"/>
    </row>
    <row r="89" customHeight="1" spans="1:6">
      <c r="A89" s="10">
        <v>3</v>
      </c>
      <c r="B89" s="14" t="s">
        <v>386</v>
      </c>
      <c r="C89" s="4" t="s">
        <v>256</v>
      </c>
      <c r="D89" s="10" t="s">
        <v>254</v>
      </c>
      <c r="E89" s="242">
        <v>90000</v>
      </c>
      <c r="F89" s="13"/>
    </row>
    <row r="90" customHeight="1" spans="1:6">
      <c r="A90" s="10">
        <v>4</v>
      </c>
      <c r="B90" s="11" t="s">
        <v>351</v>
      </c>
      <c r="C90" s="4" t="s">
        <v>259</v>
      </c>
      <c r="D90" s="10" t="s">
        <v>257</v>
      </c>
      <c r="E90" s="242">
        <v>90000</v>
      </c>
      <c r="F90" s="13"/>
    </row>
    <row r="91" ht="21.6" customHeight="1" spans="1:6">
      <c r="A91" s="10">
        <v>5</v>
      </c>
      <c r="B91" s="11" t="s">
        <v>352</v>
      </c>
      <c r="C91" s="4" t="s">
        <v>353</v>
      </c>
      <c r="D91" s="15" t="s">
        <v>266</v>
      </c>
      <c r="E91" s="242">
        <v>90000</v>
      </c>
      <c r="F91" s="13"/>
    </row>
    <row r="92" ht="21.6" customHeight="1" spans="1:6">
      <c r="A92" s="10">
        <v>6</v>
      </c>
      <c r="B92" s="11" t="s">
        <v>354</v>
      </c>
      <c r="C92" s="12" t="s">
        <v>46</v>
      </c>
      <c r="D92" s="15" t="s">
        <v>950</v>
      </c>
      <c r="E92" s="242">
        <v>90000</v>
      </c>
      <c r="F92" s="13"/>
    </row>
    <row r="93" ht="21.6" customHeight="1" spans="1:6">
      <c r="A93" s="10">
        <v>7</v>
      </c>
      <c r="B93" s="11" t="s">
        <v>355</v>
      </c>
      <c r="C93" s="12" t="s">
        <v>46</v>
      </c>
      <c r="D93" s="15" t="s">
        <v>950</v>
      </c>
      <c r="E93" s="242">
        <v>90000</v>
      </c>
      <c r="F93" s="13"/>
    </row>
    <row r="94" ht="21.6" customHeight="1" spans="1:6">
      <c r="A94" s="10">
        <v>8</v>
      </c>
      <c r="B94" s="11" t="s">
        <v>357</v>
      </c>
      <c r="C94" s="17" t="s">
        <v>275</v>
      </c>
      <c r="D94" s="15" t="s">
        <v>41</v>
      </c>
      <c r="E94" s="242">
        <v>54000</v>
      </c>
      <c r="F94" s="13"/>
    </row>
    <row r="95" ht="21.6" customHeight="1" spans="1:6">
      <c r="A95" s="10">
        <v>9</v>
      </c>
      <c r="B95" s="11" t="s">
        <v>359</v>
      </c>
      <c r="C95" s="4" t="s">
        <v>360</v>
      </c>
      <c r="D95" s="10" t="s">
        <v>37</v>
      </c>
      <c r="E95" s="242">
        <v>54000</v>
      </c>
      <c r="F95" s="13"/>
    </row>
    <row r="96" ht="21.6" customHeight="1" spans="1:6">
      <c r="A96" s="10">
        <v>10</v>
      </c>
      <c r="B96" s="11" t="s">
        <v>361</v>
      </c>
      <c r="C96" s="17" t="s">
        <v>362</v>
      </c>
      <c r="D96" s="15" t="s">
        <v>294</v>
      </c>
      <c r="E96" s="242">
        <v>54000</v>
      </c>
      <c r="F96" s="13"/>
    </row>
    <row r="97" customHeight="1" spans="1:6">
      <c r="A97" s="10"/>
      <c r="B97" s="20" t="s">
        <v>33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58</v>
      </c>
      <c r="C99" s="21"/>
      <c r="D99" s="21"/>
      <c r="E99" s="246"/>
      <c r="F99" s="13"/>
    </row>
    <row r="100" customHeight="1" spans="1:6">
      <c r="A100" s="10">
        <v>1</v>
      </c>
      <c r="B100" s="18" t="s">
        <v>232</v>
      </c>
      <c r="C100" s="10" t="s">
        <v>233</v>
      </c>
      <c r="D100" s="15" t="s">
        <v>308</v>
      </c>
      <c r="E100" s="242">
        <v>180000</v>
      </c>
      <c r="F100" s="13"/>
    </row>
    <row r="101" customHeight="1" spans="1:6">
      <c r="A101" s="10">
        <v>2</v>
      </c>
      <c r="B101" s="11" t="s">
        <v>250</v>
      </c>
      <c r="C101" s="4" t="s">
        <v>367</v>
      </c>
      <c r="D101" s="10" t="s">
        <v>257</v>
      </c>
      <c r="E101" s="242">
        <v>90000</v>
      </c>
      <c r="F101" s="13"/>
    </row>
    <row r="102" customHeight="1" spans="1:6">
      <c r="A102" s="10">
        <v>3</v>
      </c>
      <c r="B102" s="11" t="s">
        <v>368</v>
      </c>
      <c r="C102" s="4" t="s">
        <v>369</v>
      </c>
      <c r="D102" s="15" t="s">
        <v>332</v>
      </c>
      <c r="E102" s="242">
        <v>54000</v>
      </c>
      <c r="F102" s="13"/>
    </row>
    <row r="103" customHeight="1" spans="1:6">
      <c r="A103" s="10">
        <v>4</v>
      </c>
      <c r="B103" s="11" t="s">
        <v>1118</v>
      </c>
      <c r="C103" s="4" t="s">
        <v>1119</v>
      </c>
      <c r="D103" s="15" t="s">
        <v>945</v>
      </c>
      <c r="E103" s="242">
        <v>54000</v>
      </c>
      <c r="F103" s="13"/>
    </row>
    <row r="104" customHeight="1" spans="1:6">
      <c r="A104" s="4"/>
      <c r="B104" s="20" t="s">
        <v>33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372</v>
      </c>
      <c r="C106" s="4"/>
      <c r="D106" s="4"/>
      <c r="E106" s="247"/>
      <c r="F106" s="13"/>
    </row>
    <row r="107" customHeight="1" spans="1:6">
      <c r="A107" s="4">
        <v>1</v>
      </c>
      <c r="B107" s="11" t="s">
        <v>373</v>
      </c>
      <c r="C107" s="12" t="s">
        <v>374</v>
      </c>
      <c r="D107" s="15" t="s">
        <v>297</v>
      </c>
      <c r="E107" s="242">
        <v>270000</v>
      </c>
      <c r="F107" s="13"/>
    </row>
    <row r="108" customHeight="1" spans="1:6">
      <c r="A108" s="4">
        <v>2</v>
      </c>
      <c r="B108" s="11" t="s">
        <v>375</v>
      </c>
      <c r="C108" s="4" t="s">
        <v>376</v>
      </c>
      <c r="D108" s="16" t="s">
        <v>308</v>
      </c>
      <c r="E108" s="242">
        <v>180000</v>
      </c>
      <c r="F108" s="13"/>
    </row>
    <row r="109" customHeight="1" spans="1:6">
      <c r="A109" s="4">
        <v>3</v>
      </c>
      <c r="B109" s="11" t="s">
        <v>377</v>
      </c>
      <c r="C109" s="4" t="s">
        <v>378</v>
      </c>
      <c r="D109" s="10" t="s">
        <v>263</v>
      </c>
      <c r="E109" s="242">
        <v>90000</v>
      </c>
      <c r="F109" s="13"/>
    </row>
    <row r="110" customHeight="1" spans="1:6">
      <c r="A110" s="4">
        <v>4</v>
      </c>
      <c r="B110" s="11" t="s">
        <v>379</v>
      </c>
      <c r="C110" s="4" t="s">
        <v>378</v>
      </c>
      <c r="D110" s="10" t="s">
        <v>263</v>
      </c>
      <c r="E110" s="242">
        <v>90000</v>
      </c>
      <c r="F110" s="13"/>
    </row>
    <row r="111" customHeight="1" spans="1:6">
      <c r="A111" s="4">
        <v>5</v>
      </c>
      <c r="B111" s="11" t="s">
        <v>380</v>
      </c>
      <c r="C111" s="4" t="s">
        <v>381</v>
      </c>
      <c r="D111" s="15" t="s">
        <v>384</v>
      </c>
      <c r="E111" s="242">
        <v>54000</v>
      </c>
      <c r="F111" s="13"/>
    </row>
    <row r="112" customHeight="1" spans="1:6">
      <c r="A112" s="4">
        <v>6</v>
      </c>
      <c r="B112" s="18" t="s">
        <v>383</v>
      </c>
      <c r="C112" s="4" t="s">
        <v>381</v>
      </c>
      <c r="D112" s="10" t="s">
        <v>945</v>
      </c>
      <c r="E112" s="242">
        <v>54000</v>
      </c>
      <c r="F112" s="13"/>
    </row>
    <row r="113" customHeight="1" spans="1:6">
      <c r="A113" s="4">
        <v>7</v>
      </c>
      <c r="B113" s="18" t="s">
        <v>385</v>
      </c>
      <c r="C113" s="4" t="s">
        <v>381</v>
      </c>
      <c r="D113" s="15" t="s">
        <v>294</v>
      </c>
      <c r="E113" s="242">
        <v>54000</v>
      </c>
      <c r="F113" s="13"/>
    </row>
    <row r="114" customHeight="1" spans="1:6">
      <c r="A114" s="4"/>
      <c r="B114" s="20" t="s">
        <v>33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1125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1033</v>
      </c>
      <c r="C117" s="17" t="s">
        <v>275</v>
      </c>
      <c r="D117" s="15" t="s">
        <v>271</v>
      </c>
      <c r="E117" s="242">
        <v>54000</v>
      </c>
      <c r="F117" s="13"/>
    </row>
    <row r="118" ht="27" customHeight="1" spans="1:6">
      <c r="A118" s="10">
        <v>2</v>
      </c>
      <c r="B118" s="11" t="s">
        <v>387</v>
      </c>
      <c r="C118" s="4" t="s">
        <v>388</v>
      </c>
      <c r="D118" s="15" t="s">
        <v>332</v>
      </c>
      <c r="E118" s="242">
        <v>54000</v>
      </c>
      <c r="F118" s="13"/>
    </row>
    <row r="119" ht="27" customHeight="1" spans="1:6">
      <c r="A119" s="4"/>
      <c r="B119" s="20" t="s">
        <v>33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67</v>
      </c>
      <c r="C121" s="21"/>
      <c r="D121" s="21"/>
      <c r="E121" s="242"/>
      <c r="F121" s="13"/>
    </row>
    <row r="122" customHeight="1" spans="1:6">
      <c r="A122" s="4">
        <v>1</v>
      </c>
      <c r="B122" s="11" t="s">
        <v>392</v>
      </c>
      <c r="C122" s="12" t="s">
        <v>393</v>
      </c>
      <c r="D122" s="15" t="s">
        <v>297</v>
      </c>
      <c r="E122" s="242">
        <v>270000</v>
      </c>
      <c r="F122" s="13"/>
    </row>
    <row r="123" customHeight="1" spans="1:6">
      <c r="A123" s="4">
        <v>2</v>
      </c>
      <c r="B123" s="11" t="s">
        <v>128</v>
      </c>
      <c r="C123" s="12" t="s">
        <v>227</v>
      </c>
      <c r="D123" s="15" t="s">
        <v>249</v>
      </c>
      <c r="E123" s="242">
        <v>126000</v>
      </c>
      <c r="F123" s="13"/>
    </row>
    <row r="124" customHeight="1" spans="1:6">
      <c r="A124" s="4">
        <v>3</v>
      </c>
      <c r="B124" s="14" t="s">
        <v>395</v>
      </c>
      <c r="C124" s="12" t="s">
        <v>227</v>
      </c>
      <c r="D124" s="15" t="s">
        <v>249</v>
      </c>
      <c r="E124" s="242">
        <v>126000</v>
      </c>
      <c r="F124" s="13"/>
    </row>
    <row r="125" customHeight="1" spans="1:6">
      <c r="A125" s="4">
        <v>4</v>
      </c>
      <c r="B125" s="14" t="s">
        <v>226</v>
      </c>
      <c r="C125" s="12" t="s">
        <v>227</v>
      </c>
      <c r="D125" s="15" t="s">
        <v>228</v>
      </c>
      <c r="E125" s="242">
        <v>126000</v>
      </c>
      <c r="F125" s="13"/>
    </row>
    <row r="126" customHeight="1" spans="1:6">
      <c r="A126" s="4">
        <v>5</v>
      </c>
      <c r="B126" s="11" t="s">
        <v>396</v>
      </c>
      <c r="C126" s="12" t="s">
        <v>397</v>
      </c>
      <c r="D126" s="15" t="s">
        <v>342</v>
      </c>
      <c r="E126" s="242">
        <v>90000</v>
      </c>
      <c r="F126" s="13"/>
    </row>
    <row r="127" customHeight="1" spans="1:6">
      <c r="A127" s="4">
        <v>6</v>
      </c>
      <c r="B127" s="11" t="s">
        <v>398</v>
      </c>
      <c r="C127" s="12" t="s">
        <v>399</v>
      </c>
      <c r="D127" s="15" t="s">
        <v>266</v>
      </c>
      <c r="E127" s="242">
        <v>90000</v>
      </c>
      <c r="F127" s="13"/>
    </row>
    <row r="128" customHeight="1" spans="1:6">
      <c r="A128" s="4">
        <v>7</v>
      </c>
      <c r="B128" s="11" t="s">
        <v>400</v>
      </c>
      <c r="C128" s="12" t="s">
        <v>970</v>
      </c>
      <c r="D128" s="15" t="s">
        <v>266</v>
      </c>
      <c r="E128" s="242">
        <v>90000</v>
      </c>
      <c r="F128" s="13"/>
    </row>
    <row r="129" customHeight="1" spans="1:6">
      <c r="A129" s="4">
        <v>8</v>
      </c>
      <c r="B129" s="11" t="s">
        <v>401</v>
      </c>
      <c r="C129" s="12" t="s">
        <v>402</v>
      </c>
      <c r="D129" s="10" t="s">
        <v>283</v>
      </c>
      <c r="E129" s="242">
        <v>54000</v>
      </c>
      <c r="F129" s="13"/>
    </row>
    <row r="130" customHeight="1" spans="1:6">
      <c r="A130" s="4">
        <v>9</v>
      </c>
      <c r="B130" s="18" t="s">
        <v>403</v>
      </c>
      <c r="C130" s="12" t="s">
        <v>404</v>
      </c>
      <c r="D130" s="15" t="s">
        <v>294</v>
      </c>
      <c r="E130" s="242">
        <v>54000</v>
      </c>
      <c r="F130" s="13"/>
    </row>
    <row r="131" customHeight="1" spans="1:6">
      <c r="A131" s="4"/>
      <c r="B131" s="20" t="s">
        <v>33</v>
      </c>
      <c r="C131" s="26" t="s">
        <v>1120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71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407</v>
      </c>
      <c r="C134" s="12" t="s">
        <v>408</v>
      </c>
      <c r="D134" s="15" t="s">
        <v>297</v>
      </c>
      <c r="E134" s="242">
        <v>270000</v>
      </c>
      <c r="F134" s="13"/>
    </row>
    <row r="135" customHeight="1" spans="1:6">
      <c r="A135" s="27">
        <v>2</v>
      </c>
      <c r="B135" s="11" t="s">
        <v>229</v>
      </c>
      <c r="C135" s="12" t="s">
        <v>230</v>
      </c>
      <c r="D135" s="15" t="s">
        <v>231</v>
      </c>
      <c r="E135" s="242">
        <v>180000</v>
      </c>
      <c r="F135" s="13"/>
    </row>
    <row r="136" customHeight="1" spans="1:6">
      <c r="A136" s="27">
        <v>3</v>
      </c>
      <c r="B136" s="14" t="s">
        <v>409</v>
      </c>
      <c r="C136" s="4" t="s">
        <v>410</v>
      </c>
      <c r="D136" s="16" t="s">
        <v>308</v>
      </c>
      <c r="E136" s="242">
        <v>180000</v>
      </c>
      <c r="F136" s="13"/>
    </row>
    <row r="137" customHeight="1" spans="1:6">
      <c r="A137" s="27">
        <v>4</v>
      </c>
      <c r="B137" s="11" t="s">
        <v>411</v>
      </c>
      <c r="C137" s="12" t="s">
        <v>412</v>
      </c>
      <c r="D137" s="15" t="s">
        <v>257</v>
      </c>
      <c r="E137" s="242">
        <v>90000</v>
      </c>
      <c r="F137" s="13"/>
    </row>
    <row r="138" customHeight="1" spans="1:6">
      <c r="A138" s="27">
        <v>5</v>
      </c>
      <c r="B138" s="11" t="s">
        <v>413</v>
      </c>
      <c r="C138" s="4" t="s">
        <v>414</v>
      </c>
      <c r="D138" s="15" t="s">
        <v>257</v>
      </c>
      <c r="E138" s="242">
        <v>90000</v>
      </c>
      <c r="F138" s="13"/>
    </row>
    <row r="139" customHeight="1" spans="1:6">
      <c r="A139" s="27">
        <v>6</v>
      </c>
      <c r="B139" s="11" t="s">
        <v>366</v>
      </c>
      <c r="C139" s="4" t="s">
        <v>420</v>
      </c>
      <c r="D139" s="15" t="s">
        <v>266</v>
      </c>
      <c r="E139" s="242">
        <v>90000</v>
      </c>
      <c r="F139" s="13"/>
    </row>
    <row r="140" customHeight="1" spans="1:6">
      <c r="A140" s="27">
        <v>7</v>
      </c>
      <c r="B140" s="11" t="s">
        <v>416</v>
      </c>
      <c r="C140" s="12" t="s">
        <v>417</v>
      </c>
      <c r="D140" s="15" t="s">
        <v>271</v>
      </c>
      <c r="E140" s="242">
        <v>54000</v>
      </c>
      <c r="F140" s="13"/>
    </row>
    <row r="141" customHeight="1" spans="1:6">
      <c r="A141" s="27">
        <v>8</v>
      </c>
      <c r="B141" s="11" t="s">
        <v>418</v>
      </c>
      <c r="C141" s="12" t="s">
        <v>417</v>
      </c>
      <c r="D141" s="15" t="s">
        <v>271</v>
      </c>
      <c r="E141" s="242">
        <v>54000</v>
      </c>
      <c r="F141" s="13"/>
    </row>
    <row r="142" customHeight="1" spans="1:6">
      <c r="A142" s="27">
        <v>9</v>
      </c>
      <c r="B142" s="11" t="s">
        <v>419</v>
      </c>
      <c r="C142" s="4" t="s">
        <v>420</v>
      </c>
      <c r="D142" s="15" t="s">
        <v>271</v>
      </c>
      <c r="E142" s="242">
        <v>54000</v>
      </c>
      <c r="F142" s="13"/>
    </row>
    <row r="143" customHeight="1" spans="1:6">
      <c r="A143" s="27">
        <v>10</v>
      </c>
      <c r="B143" s="11" t="s">
        <v>421</v>
      </c>
      <c r="C143" s="12" t="s">
        <v>426</v>
      </c>
      <c r="D143" s="15" t="s">
        <v>332</v>
      </c>
      <c r="E143" s="242">
        <v>54000</v>
      </c>
      <c r="F143" s="13"/>
    </row>
    <row r="144" customHeight="1" spans="1:6">
      <c r="A144" s="27">
        <v>11</v>
      </c>
      <c r="B144" s="11" t="s">
        <v>423</v>
      </c>
      <c r="C144" s="12" t="s">
        <v>971</v>
      </c>
      <c r="D144" s="15" t="s">
        <v>432</v>
      </c>
      <c r="E144" s="242">
        <v>54000</v>
      </c>
      <c r="F144" s="13"/>
    </row>
    <row r="145" customHeight="1" spans="1:6">
      <c r="A145" s="27">
        <v>12</v>
      </c>
      <c r="B145" s="11" t="s">
        <v>425</v>
      </c>
      <c r="C145" s="12" t="s">
        <v>426</v>
      </c>
      <c r="D145" s="15" t="s">
        <v>271</v>
      </c>
      <c r="E145" s="242">
        <v>54000</v>
      </c>
      <c r="F145" s="13"/>
    </row>
    <row r="146" customHeight="1" spans="1:6">
      <c r="A146" s="27">
        <v>13</v>
      </c>
      <c r="B146" s="18" t="s">
        <v>427</v>
      </c>
      <c r="C146" s="4" t="s">
        <v>437</v>
      </c>
      <c r="D146" s="15" t="s">
        <v>432</v>
      </c>
      <c r="E146" s="242">
        <v>54000</v>
      </c>
      <c r="F146" s="13"/>
    </row>
    <row r="147" customHeight="1" spans="1:6">
      <c r="A147" s="27">
        <v>14</v>
      </c>
      <c r="B147" s="11" t="s">
        <v>429</v>
      </c>
      <c r="C147" s="4" t="s">
        <v>430</v>
      </c>
      <c r="D147" s="15" t="s">
        <v>301</v>
      </c>
      <c r="E147" s="242">
        <v>54000</v>
      </c>
      <c r="F147" s="13"/>
    </row>
    <row r="148" customHeight="1" spans="1:6">
      <c r="A148" s="27">
        <v>15</v>
      </c>
      <c r="B148" s="11" t="s">
        <v>431</v>
      </c>
      <c r="C148" s="4" t="s">
        <v>430</v>
      </c>
      <c r="D148" s="15" t="s">
        <v>345</v>
      </c>
      <c r="E148" s="242">
        <v>54000</v>
      </c>
      <c r="F148" s="13"/>
    </row>
    <row r="149" customHeight="1" spans="1:6">
      <c r="A149" s="27">
        <v>16</v>
      </c>
      <c r="B149" s="11" t="s">
        <v>433</v>
      </c>
      <c r="C149" s="4" t="s">
        <v>430</v>
      </c>
      <c r="D149" s="15" t="s">
        <v>345</v>
      </c>
      <c r="E149" s="242">
        <v>54000</v>
      </c>
      <c r="F149" s="13"/>
    </row>
    <row r="150" customHeight="1" spans="1:6">
      <c r="A150" s="27">
        <v>17</v>
      </c>
      <c r="B150" s="11" t="s">
        <v>434</v>
      </c>
      <c r="C150" s="12" t="s">
        <v>435</v>
      </c>
      <c r="D150" s="15" t="s">
        <v>37</v>
      </c>
      <c r="E150" s="242">
        <v>54000</v>
      </c>
      <c r="F150" s="13"/>
    </row>
    <row r="151" customHeight="1" spans="1:6">
      <c r="A151" s="27">
        <v>18</v>
      </c>
      <c r="B151" s="11" t="s">
        <v>953</v>
      </c>
      <c r="C151" s="12" t="s">
        <v>437</v>
      </c>
      <c r="D151" s="10" t="s">
        <v>24</v>
      </c>
      <c r="E151" s="242">
        <v>54000</v>
      </c>
      <c r="F151" s="13"/>
    </row>
    <row r="152" customHeight="1" spans="1:6">
      <c r="A152" s="27">
        <v>19</v>
      </c>
      <c r="B152" s="11" t="s">
        <v>438</v>
      </c>
      <c r="C152" s="12" t="s">
        <v>439</v>
      </c>
      <c r="D152" s="15" t="s">
        <v>301</v>
      </c>
      <c r="E152" s="242">
        <v>54000</v>
      </c>
      <c r="F152" s="13"/>
    </row>
    <row r="153" customHeight="1" spans="1:6">
      <c r="A153" s="27">
        <v>20</v>
      </c>
      <c r="B153" s="11" t="s">
        <v>440</v>
      </c>
      <c r="C153" s="12" t="s">
        <v>441</v>
      </c>
      <c r="D153" s="15" t="s">
        <v>283</v>
      </c>
      <c r="E153" s="242">
        <v>54000</v>
      </c>
      <c r="F153" s="13"/>
    </row>
    <row r="154" customHeight="1" spans="1:6">
      <c r="A154" s="27">
        <v>21</v>
      </c>
      <c r="B154" s="11" t="s">
        <v>442</v>
      </c>
      <c r="C154" s="12" t="s">
        <v>443</v>
      </c>
      <c r="D154" s="15" t="s">
        <v>301</v>
      </c>
      <c r="E154" s="242">
        <v>54000</v>
      </c>
      <c r="F154" s="13"/>
    </row>
    <row r="155" customHeight="1" spans="1:6">
      <c r="A155" s="27">
        <v>22</v>
      </c>
      <c r="B155" s="11" t="s">
        <v>444</v>
      </c>
      <c r="C155" s="12" t="s">
        <v>445</v>
      </c>
      <c r="D155" s="15" t="s">
        <v>283</v>
      </c>
      <c r="E155" s="242">
        <v>54000</v>
      </c>
      <c r="F155" s="13"/>
    </row>
    <row r="156" customHeight="1" spans="1:6">
      <c r="A156" s="27">
        <v>23</v>
      </c>
      <c r="B156" s="18" t="s">
        <v>446</v>
      </c>
      <c r="C156" s="12" t="s">
        <v>451</v>
      </c>
      <c r="D156" s="15" t="s">
        <v>945</v>
      </c>
      <c r="E156" s="242">
        <v>54000</v>
      </c>
      <c r="F156" s="13"/>
    </row>
    <row r="157" customHeight="1" spans="1:6">
      <c r="A157" s="27">
        <v>24</v>
      </c>
      <c r="B157" s="18" t="s">
        <v>448</v>
      </c>
      <c r="C157" s="12" t="s">
        <v>449</v>
      </c>
      <c r="D157" s="15" t="s">
        <v>30</v>
      </c>
      <c r="E157" s="242">
        <v>54000</v>
      </c>
      <c r="F157" s="13"/>
    </row>
    <row r="158" customHeight="1" spans="1:6">
      <c r="A158" s="27">
        <v>25</v>
      </c>
      <c r="B158" s="18" t="s">
        <v>450</v>
      </c>
      <c r="C158" s="12" t="s">
        <v>451</v>
      </c>
      <c r="D158" s="15" t="s">
        <v>30</v>
      </c>
      <c r="E158" s="242">
        <v>54000</v>
      </c>
      <c r="F158" s="13"/>
    </row>
    <row r="159" customHeight="1" spans="1:6">
      <c r="A159" s="27">
        <v>26</v>
      </c>
      <c r="B159" s="18" t="s">
        <v>452</v>
      </c>
      <c r="C159" s="12" t="s">
        <v>453</v>
      </c>
      <c r="D159" s="15" t="s">
        <v>294</v>
      </c>
      <c r="E159" s="242">
        <v>54000</v>
      </c>
      <c r="F159" s="13"/>
    </row>
    <row r="160" customHeight="1" spans="1:6">
      <c r="A160" s="27">
        <v>27</v>
      </c>
      <c r="B160" s="18" t="s">
        <v>454</v>
      </c>
      <c r="C160" s="12" t="s">
        <v>455</v>
      </c>
      <c r="D160" s="15" t="s">
        <v>294</v>
      </c>
      <c r="E160" s="242">
        <v>54000</v>
      </c>
      <c r="F160" s="13"/>
    </row>
    <row r="161" customHeight="1" spans="1:6">
      <c r="A161" s="27">
        <v>28</v>
      </c>
      <c r="B161" s="11" t="s">
        <v>457</v>
      </c>
      <c r="C161" s="12" t="s">
        <v>458</v>
      </c>
      <c r="D161" s="15" t="s">
        <v>465</v>
      </c>
      <c r="E161" s="242">
        <v>36000</v>
      </c>
      <c r="F161" s="13"/>
    </row>
    <row r="162" customHeight="1" spans="1:6">
      <c r="A162" s="27">
        <v>29</v>
      </c>
      <c r="B162" s="11" t="s">
        <v>460</v>
      </c>
      <c r="C162" s="12" t="s">
        <v>458</v>
      </c>
      <c r="D162" s="15" t="s">
        <v>465</v>
      </c>
      <c r="E162" s="242">
        <v>36000</v>
      </c>
      <c r="F162" s="13"/>
    </row>
    <row r="163" customHeight="1" spans="1:6">
      <c r="A163" s="27">
        <v>30</v>
      </c>
      <c r="B163" s="11" t="s">
        <v>461</v>
      </c>
      <c r="C163" s="12" t="s">
        <v>458</v>
      </c>
      <c r="D163" s="15" t="s">
        <v>465</v>
      </c>
      <c r="E163" s="242">
        <v>36000</v>
      </c>
      <c r="F163" s="13"/>
    </row>
    <row r="164" customHeight="1" spans="1:6">
      <c r="A164" s="27">
        <v>32</v>
      </c>
      <c r="B164" s="11" t="s">
        <v>462</v>
      </c>
      <c r="C164" s="12" t="s">
        <v>458</v>
      </c>
      <c r="D164" s="15" t="s">
        <v>465</v>
      </c>
      <c r="E164" s="242">
        <v>36000</v>
      </c>
      <c r="F164" s="13"/>
    </row>
    <row r="165" customHeight="1" spans="1:6">
      <c r="A165" s="27">
        <v>33</v>
      </c>
      <c r="B165" s="11" t="s">
        <v>463</v>
      </c>
      <c r="C165" s="12" t="s">
        <v>458</v>
      </c>
      <c r="D165" s="15" t="s">
        <v>465</v>
      </c>
      <c r="E165" s="242">
        <v>36000</v>
      </c>
      <c r="F165" s="13"/>
    </row>
    <row r="166" customHeight="1" spans="1:6">
      <c r="A166" s="27">
        <v>34</v>
      </c>
      <c r="B166" s="11" t="s">
        <v>464</v>
      </c>
      <c r="C166" s="12" t="s">
        <v>458</v>
      </c>
      <c r="D166" s="15" t="s">
        <v>476</v>
      </c>
      <c r="E166" s="242">
        <v>36000</v>
      </c>
      <c r="F166" s="13"/>
    </row>
    <row r="167" customHeight="1" spans="1:6">
      <c r="A167" s="27">
        <v>35</v>
      </c>
      <c r="B167" s="11" t="s">
        <v>466</v>
      </c>
      <c r="C167" s="12" t="s">
        <v>458</v>
      </c>
      <c r="D167" s="15" t="s">
        <v>476</v>
      </c>
      <c r="E167" s="242">
        <v>36000</v>
      </c>
      <c r="F167" s="13"/>
    </row>
    <row r="168" customHeight="1" spans="1:6">
      <c r="A168" s="27">
        <v>36</v>
      </c>
      <c r="B168" s="14" t="s">
        <v>467</v>
      </c>
      <c r="C168" s="12" t="s">
        <v>458</v>
      </c>
      <c r="D168" s="15" t="s">
        <v>476</v>
      </c>
      <c r="E168" s="242">
        <v>36000</v>
      </c>
      <c r="F168" s="13"/>
    </row>
    <row r="169" customHeight="1" spans="1:6">
      <c r="A169" s="27">
        <v>37</v>
      </c>
      <c r="B169" s="11" t="s">
        <v>468</v>
      </c>
      <c r="C169" s="12" t="s">
        <v>458</v>
      </c>
      <c r="D169" s="15" t="s">
        <v>476</v>
      </c>
      <c r="E169" s="242">
        <v>36000</v>
      </c>
      <c r="F169" s="13"/>
    </row>
    <row r="170" customHeight="1" spans="1:6">
      <c r="A170" s="27">
        <v>38</v>
      </c>
      <c r="B170" s="18" t="s">
        <v>469</v>
      </c>
      <c r="C170" s="12" t="s">
        <v>458</v>
      </c>
      <c r="D170" s="15" t="s">
        <v>476</v>
      </c>
      <c r="E170" s="242">
        <v>36000</v>
      </c>
      <c r="F170" s="13"/>
    </row>
    <row r="171" customHeight="1" spans="1:6">
      <c r="A171" s="27">
        <v>39</v>
      </c>
      <c r="B171" s="18" t="s">
        <v>470</v>
      </c>
      <c r="C171" s="12" t="s">
        <v>458</v>
      </c>
      <c r="D171" s="15" t="s">
        <v>476</v>
      </c>
      <c r="E171" s="242">
        <v>36000</v>
      </c>
      <c r="F171" s="13"/>
    </row>
    <row r="172" customHeight="1" spans="1:6">
      <c r="A172" s="27">
        <v>40</v>
      </c>
      <c r="B172" s="11" t="s">
        <v>471</v>
      </c>
      <c r="C172" s="12" t="s">
        <v>478</v>
      </c>
      <c r="D172" s="15" t="s">
        <v>479</v>
      </c>
      <c r="E172" s="242">
        <v>36000</v>
      </c>
      <c r="F172" s="13"/>
    </row>
    <row r="173" customHeight="1" spans="1:6">
      <c r="A173" s="27">
        <v>41</v>
      </c>
      <c r="B173" s="11" t="s">
        <v>474</v>
      </c>
      <c r="C173" s="12" t="s">
        <v>478</v>
      </c>
      <c r="D173" s="15" t="s">
        <v>479</v>
      </c>
      <c r="E173" s="242">
        <v>36000</v>
      </c>
      <c r="F173" s="13"/>
    </row>
    <row r="174" customHeight="1" spans="1:6">
      <c r="A174" s="27">
        <v>42</v>
      </c>
      <c r="B174" s="18" t="s">
        <v>475</v>
      </c>
      <c r="C174" s="12" t="s">
        <v>478</v>
      </c>
      <c r="D174" s="15" t="s">
        <v>948</v>
      </c>
      <c r="E174" s="242">
        <v>36000</v>
      </c>
      <c r="F174" s="13"/>
    </row>
    <row r="175" customHeight="1" spans="1:6">
      <c r="A175" s="27">
        <v>43</v>
      </c>
      <c r="B175" s="11" t="s">
        <v>477</v>
      </c>
      <c r="C175" s="12" t="s">
        <v>478</v>
      </c>
      <c r="D175" s="15" t="s">
        <v>954</v>
      </c>
      <c r="E175" s="242">
        <v>36000</v>
      </c>
      <c r="F175" s="13"/>
    </row>
    <row r="176" customHeight="1" spans="1:6">
      <c r="A176" s="27">
        <v>44</v>
      </c>
      <c r="B176" s="11" t="s">
        <v>480</v>
      </c>
      <c r="C176" s="12" t="s">
        <v>481</v>
      </c>
      <c r="D176" s="15" t="s">
        <v>955</v>
      </c>
      <c r="E176" s="242">
        <v>36000</v>
      </c>
      <c r="F176" s="13"/>
    </row>
    <row r="177" customHeight="1" spans="1:6">
      <c r="A177" s="27">
        <v>45</v>
      </c>
      <c r="B177" s="11" t="s">
        <v>483</v>
      </c>
      <c r="C177" s="12" t="s">
        <v>481</v>
      </c>
      <c r="D177" s="15" t="s">
        <v>955</v>
      </c>
      <c r="E177" s="242">
        <v>36000</v>
      </c>
      <c r="F177" s="13"/>
    </row>
    <row r="178" customHeight="1" spans="1:6">
      <c r="A178" s="27">
        <v>46</v>
      </c>
      <c r="B178" s="11" t="s">
        <v>484</v>
      </c>
      <c r="C178" s="12" t="s">
        <v>481</v>
      </c>
      <c r="D178" s="15" t="s">
        <v>955</v>
      </c>
      <c r="E178" s="242">
        <v>36000</v>
      </c>
      <c r="F178" s="13"/>
    </row>
    <row r="179" customHeight="1" spans="1:6">
      <c r="A179" s="27">
        <v>47</v>
      </c>
      <c r="B179" s="11" t="s">
        <v>485</v>
      </c>
      <c r="C179" s="12" t="s">
        <v>481</v>
      </c>
      <c r="D179" s="15" t="s">
        <v>955</v>
      </c>
      <c r="E179" s="242">
        <v>36000</v>
      </c>
      <c r="F179" s="13"/>
    </row>
    <row r="180" customHeight="1" spans="1:6">
      <c r="A180" s="27">
        <v>48</v>
      </c>
      <c r="B180" s="11" t="s">
        <v>486</v>
      </c>
      <c r="C180" s="12" t="s">
        <v>481</v>
      </c>
      <c r="D180" s="15" t="s">
        <v>955</v>
      </c>
      <c r="E180" s="242">
        <v>36000</v>
      </c>
      <c r="F180" s="13"/>
    </row>
    <row r="181" customHeight="1" spans="1:6">
      <c r="A181" s="27">
        <v>49</v>
      </c>
      <c r="B181" s="18" t="s">
        <v>487</v>
      </c>
      <c r="C181" s="12" t="s">
        <v>481</v>
      </c>
      <c r="D181" s="15" t="s">
        <v>955</v>
      </c>
      <c r="E181" s="242">
        <v>36000</v>
      </c>
      <c r="F181" s="13"/>
    </row>
    <row r="182" customHeight="1" spans="1:6">
      <c r="A182" s="27">
        <v>50</v>
      </c>
      <c r="B182" s="18" t="s">
        <v>488</v>
      </c>
      <c r="C182" s="12" t="s">
        <v>481</v>
      </c>
      <c r="D182" s="15" t="s">
        <v>955</v>
      </c>
      <c r="E182" s="242">
        <v>36000</v>
      </c>
      <c r="F182" s="13"/>
    </row>
    <row r="183" customHeight="1" spans="1:6">
      <c r="A183" s="27">
        <v>51</v>
      </c>
      <c r="B183" s="11" t="s">
        <v>489</v>
      </c>
      <c r="C183" s="12" t="s">
        <v>478</v>
      </c>
      <c r="D183" s="15" t="s">
        <v>955</v>
      </c>
      <c r="E183" s="242">
        <v>36000</v>
      </c>
      <c r="F183" s="13"/>
    </row>
    <row r="184" customHeight="1" spans="1:6">
      <c r="A184" s="27">
        <v>52</v>
      </c>
      <c r="B184" s="11" t="s">
        <v>490</v>
      </c>
      <c r="C184" s="12" t="s">
        <v>478</v>
      </c>
      <c r="D184" s="15" t="s">
        <v>955</v>
      </c>
      <c r="E184" s="242">
        <v>36000</v>
      </c>
      <c r="F184" s="13"/>
    </row>
    <row r="185" customHeight="1" spans="1:6">
      <c r="A185" s="27">
        <v>53</v>
      </c>
      <c r="B185" s="18" t="s">
        <v>491</v>
      </c>
      <c r="C185" s="12" t="s">
        <v>481</v>
      </c>
      <c r="D185" s="15" t="s">
        <v>972</v>
      </c>
      <c r="E185" s="242">
        <v>36000</v>
      </c>
      <c r="F185" s="13"/>
    </row>
    <row r="186" customHeight="1" spans="1:6">
      <c r="A186" s="27">
        <v>54</v>
      </c>
      <c r="B186" s="18" t="s">
        <v>493</v>
      </c>
      <c r="C186" s="12" t="s">
        <v>481</v>
      </c>
      <c r="D186" s="15" t="s">
        <v>956</v>
      </c>
      <c r="E186" s="242">
        <v>36000</v>
      </c>
      <c r="F186" s="13"/>
    </row>
    <row r="187" customHeight="1" spans="1:6">
      <c r="A187" s="27"/>
      <c r="B187" s="8" t="s">
        <v>33</v>
      </c>
      <c r="C187" s="28" t="s">
        <v>1124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80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1126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509</v>
      </c>
      <c r="F4" s="24" t="s">
        <v>516</v>
      </c>
      <c r="G4" s="80" t="s">
        <v>1127</v>
      </c>
    </row>
    <row r="5" customHeight="1" spans="1:7">
      <c r="A5" s="9" t="s">
        <v>20</v>
      </c>
      <c r="B5" s="8" t="s">
        <v>21</v>
      </c>
      <c r="C5" s="8"/>
      <c r="D5" s="8"/>
      <c r="E5" s="82" t="s">
        <v>19</v>
      </c>
      <c r="F5" s="230" t="s">
        <v>19</v>
      </c>
      <c r="G5" s="82" t="s">
        <v>19</v>
      </c>
    </row>
    <row r="6" customHeight="1" spans="1:9">
      <c r="A6" s="10">
        <v>1</v>
      </c>
      <c r="B6" s="11" t="s">
        <v>236</v>
      </c>
      <c r="C6" s="12" t="s">
        <v>237</v>
      </c>
      <c r="D6" s="12" t="s">
        <v>238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1016</v>
      </c>
      <c r="C7" s="4" t="s">
        <v>1106</v>
      </c>
      <c r="D7" s="10" t="s">
        <v>231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1107</v>
      </c>
      <c r="C8" s="4" t="s">
        <v>1108</v>
      </c>
      <c r="D8" s="10" t="s">
        <v>231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239</v>
      </c>
      <c r="C9" s="12" t="s">
        <v>240</v>
      </c>
      <c r="D9" s="10" t="s">
        <v>234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241</v>
      </c>
      <c r="C10" s="4" t="s">
        <v>242</v>
      </c>
      <c r="D10" s="15" t="s">
        <v>308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363</v>
      </c>
      <c r="C11" s="4" t="s">
        <v>1018</v>
      </c>
      <c r="D11" s="16" t="s">
        <v>308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243</v>
      </c>
      <c r="C12" s="17" t="s">
        <v>244</v>
      </c>
      <c r="D12" s="16" t="s">
        <v>308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245</v>
      </c>
      <c r="C13" s="4" t="s">
        <v>246</v>
      </c>
      <c r="D13" s="16" t="s">
        <v>308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247</v>
      </c>
      <c r="C14" s="12" t="s">
        <v>248</v>
      </c>
      <c r="D14" s="15" t="s">
        <v>249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223</v>
      </c>
      <c r="C15" s="12" t="s">
        <v>224</v>
      </c>
      <c r="D15" s="10" t="s">
        <v>222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1109</v>
      </c>
      <c r="C16" s="4" t="s">
        <v>1110</v>
      </c>
      <c r="D16" s="16" t="s">
        <v>257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1019</v>
      </c>
      <c r="C17" s="4" t="s">
        <v>253</v>
      </c>
      <c r="D17" s="10" t="s">
        <v>257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1111</v>
      </c>
      <c r="C18" s="4" t="s">
        <v>1112</v>
      </c>
      <c r="D18" s="10" t="s">
        <v>257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252</v>
      </c>
      <c r="C19" s="4" t="s">
        <v>253</v>
      </c>
      <c r="D19" s="15" t="s">
        <v>257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264</v>
      </c>
      <c r="C20" s="12" t="s">
        <v>265</v>
      </c>
      <c r="D20" s="15" t="s">
        <v>950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267</v>
      </c>
      <c r="C21" s="4" t="s">
        <v>268</v>
      </c>
      <c r="D21" s="15" t="s">
        <v>951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389</v>
      </c>
      <c r="C22" s="12" t="s">
        <v>390</v>
      </c>
      <c r="D22" s="15" t="s">
        <v>271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270</v>
      </c>
      <c r="C23" s="12" t="s">
        <v>50</v>
      </c>
      <c r="D23" s="15" t="s">
        <v>332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387</v>
      </c>
      <c r="C24" s="4" t="s">
        <v>388</v>
      </c>
      <c r="D24" s="15" t="s">
        <v>332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427</v>
      </c>
      <c r="C25" s="4" t="s">
        <v>1128</v>
      </c>
      <c r="D25" s="15" t="s">
        <v>432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1113</v>
      </c>
      <c r="C26" s="12" t="s">
        <v>293</v>
      </c>
      <c r="D26" s="15" t="s">
        <v>345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278</v>
      </c>
      <c r="C27" s="4" t="s">
        <v>176</v>
      </c>
      <c r="D27" s="10" t="s">
        <v>283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280</v>
      </c>
      <c r="C28" s="12" t="s">
        <v>176</v>
      </c>
      <c r="D28" s="15" t="s">
        <v>283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1020</v>
      </c>
      <c r="C29" s="12" t="s">
        <v>1021</v>
      </c>
      <c r="D29" s="15" t="s">
        <v>283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282</v>
      </c>
      <c r="C30" s="12" t="s">
        <v>967</v>
      </c>
      <c r="D30" s="15" t="s">
        <v>1129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370</v>
      </c>
      <c r="C31" s="17" t="s">
        <v>1130</v>
      </c>
      <c r="D31" s="15" t="s">
        <v>945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284</v>
      </c>
      <c r="C32" s="4" t="s">
        <v>1022</v>
      </c>
      <c r="D32" s="10" t="s">
        <v>945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287</v>
      </c>
      <c r="C33" s="17" t="s">
        <v>288</v>
      </c>
      <c r="D33" s="15" t="s">
        <v>283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289</v>
      </c>
      <c r="C34" s="4" t="s">
        <v>1131</v>
      </c>
      <c r="D34" s="10" t="s">
        <v>294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933</v>
      </c>
      <c r="C35" s="12" t="s">
        <v>293</v>
      </c>
      <c r="D35" s="15" t="s">
        <v>294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1114</v>
      </c>
      <c r="C36" s="12" t="s">
        <v>293</v>
      </c>
      <c r="D36" s="15" t="s">
        <v>294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33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34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295</v>
      </c>
      <c r="C40" s="4" t="s">
        <v>296</v>
      </c>
      <c r="D40" s="10" t="s">
        <v>297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298</v>
      </c>
      <c r="C41" s="4" t="s">
        <v>537</v>
      </c>
      <c r="D41" s="10" t="s">
        <v>30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38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302</v>
      </c>
      <c r="C45" s="4" t="s">
        <v>303</v>
      </c>
      <c r="D45" s="10" t="s">
        <v>297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304</v>
      </c>
      <c r="C46" s="4" t="s">
        <v>305</v>
      </c>
      <c r="D46" s="10" t="s">
        <v>249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306</v>
      </c>
      <c r="C47" s="4" t="s">
        <v>310</v>
      </c>
      <c r="D47" s="10" t="s">
        <v>249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309</v>
      </c>
      <c r="C48" s="4" t="s">
        <v>310</v>
      </c>
      <c r="D48" s="10" t="s">
        <v>249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311</v>
      </c>
      <c r="C49" s="4" t="s">
        <v>310</v>
      </c>
      <c r="D49" s="10" t="s">
        <v>327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312</v>
      </c>
      <c r="C50" s="4" t="s">
        <v>259</v>
      </c>
      <c r="D50" s="10" t="s">
        <v>257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313</v>
      </c>
      <c r="C51" s="4" t="s">
        <v>256</v>
      </c>
      <c r="D51" s="16" t="s">
        <v>257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1025</v>
      </c>
      <c r="C52" s="4" t="s">
        <v>256</v>
      </c>
      <c r="D52" s="10" t="s">
        <v>342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258</v>
      </c>
      <c r="C53" s="4" t="s">
        <v>353</v>
      </c>
      <c r="D53" s="10" t="s">
        <v>266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315</v>
      </c>
      <c r="C54" s="4" t="s">
        <v>63</v>
      </c>
      <c r="D54" s="10" t="s">
        <v>24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316</v>
      </c>
      <c r="C55" s="4" t="s">
        <v>63</v>
      </c>
      <c r="D55" s="10" t="s">
        <v>24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317</v>
      </c>
      <c r="C56" s="4" t="s">
        <v>63</v>
      </c>
      <c r="D56" s="10" t="s">
        <v>24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33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318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319</v>
      </c>
      <c r="C60" s="12" t="s">
        <v>320</v>
      </c>
      <c r="D60" s="15" t="s">
        <v>297</v>
      </c>
      <c r="E60" s="85">
        <f>180306.81</f>
        <v>180306.81</v>
      </c>
      <c r="F60" s="231">
        <f>'[11]August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33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44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323</v>
      </c>
      <c r="C64" s="17" t="s">
        <v>324</v>
      </c>
      <c r="D64" s="10" t="s">
        <v>297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325</v>
      </c>
      <c r="C65" s="17" t="s">
        <v>326</v>
      </c>
      <c r="D65" s="15" t="s">
        <v>952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328</v>
      </c>
      <c r="C66" s="4" t="s">
        <v>46</v>
      </c>
      <c r="D66" s="10" t="s">
        <v>266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329</v>
      </c>
      <c r="C67" s="17" t="s">
        <v>46</v>
      </c>
      <c r="D67" s="15" t="s">
        <v>950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330</v>
      </c>
      <c r="C68" s="17" t="s">
        <v>256</v>
      </c>
      <c r="D68" s="15" t="s">
        <v>257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331</v>
      </c>
      <c r="C69" s="4" t="s">
        <v>63</v>
      </c>
      <c r="D69" s="10" t="s">
        <v>1132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1033</v>
      </c>
      <c r="C70" s="17" t="s">
        <v>275</v>
      </c>
      <c r="D70" s="15" t="s">
        <v>271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333</v>
      </c>
      <c r="C71" s="17" t="s">
        <v>275</v>
      </c>
      <c r="D71" s="15" t="s">
        <v>41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334</v>
      </c>
      <c r="C72" s="17" t="s">
        <v>275</v>
      </c>
      <c r="D72" s="15" t="s">
        <v>41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335</v>
      </c>
      <c r="C73" s="4" t="s">
        <v>336</v>
      </c>
      <c r="D73" s="10" t="s">
        <v>332</v>
      </c>
      <c r="E73" s="85" t="e">
        <f>#REF!</f>
        <v>#REF!</v>
      </c>
      <c r="F73" s="231">
        <f>'[11]August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1115</v>
      </c>
      <c r="C74" s="17" t="s">
        <v>63</v>
      </c>
      <c r="D74" s="10" t="s">
        <v>301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281</v>
      </c>
      <c r="C75" s="17" t="s">
        <v>273</v>
      </c>
      <c r="D75" s="10" t="s">
        <v>283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272</v>
      </c>
      <c r="C76" s="17" t="s">
        <v>273</v>
      </c>
      <c r="D76" s="10" t="s">
        <v>294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33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51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338</v>
      </c>
      <c r="C80" s="4" t="s">
        <v>339</v>
      </c>
      <c r="D80" s="10" t="s">
        <v>297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220</v>
      </c>
      <c r="C81" s="4" t="s">
        <v>221</v>
      </c>
      <c r="D81" s="15" t="s">
        <v>952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1116</v>
      </c>
      <c r="C82" s="4" t="s">
        <v>1117</v>
      </c>
      <c r="D82" s="15" t="s">
        <v>952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340</v>
      </c>
      <c r="C83" s="4" t="s">
        <v>968</v>
      </c>
      <c r="D83" s="15" t="s">
        <v>266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343</v>
      </c>
      <c r="C84" s="4" t="s">
        <v>344</v>
      </c>
      <c r="D84" s="10" t="s">
        <v>301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33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56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1133</v>
      </c>
      <c r="C88" s="4" t="s">
        <v>1134</v>
      </c>
      <c r="D88" s="10" t="s">
        <v>231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349</v>
      </c>
      <c r="C89" s="4" t="s">
        <v>310</v>
      </c>
      <c r="D89" s="10" t="s">
        <v>249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350</v>
      </c>
      <c r="C90" s="4" t="s">
        <v>310</v>
      </c>
      <c r="D90" s="10" t="s">
        <v>249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386</v>
      </c>
      <c r="C91" s="4" t="s">
        <v>256</v>
      </c>
      <c r="D91" s="10" t="s">
        <v>254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351</v>
      </c>
      <c r="C92" s="4" t="s">
        <v>259</v>
      </c>
      <c r="D92" s="10" t="s">
        <v>257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352</v>
      </c>
      <c r="C93" s="4" t="s">
        <v>353</v>
      </c>
      <c r="D93" s="15" t="s">
        <v>266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354</v>
      </c>
      <c r="C94" s="12" t="s">
        <v>46</v>
      </c>
      <c r="D94" s="15" t="s">
        <v>950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355</v>
      </c>
      <c r="C95" s="12" t="s">
        <v>46</v>
      </c>
      <c r="D95" s="15" t="s">
        <v>950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357</v>
      </c>
      <c r="C96" s="17" t="s">
        <v>275</v>
      </c>
      <c r="D96" s="15" t="s">
        <v>41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359</v>
      </c>
      <c r="C97" s="4" t="s">
        <v>360</v>
      </c>
      <c r="D97" s="10" t="s">
        <v>37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361</v>
      </c>
      <c r="C98" s="17" t="s">
        <v>362</v>
      </c>
      <c r="D98" s="15" t="s">
        <v>294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33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58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232</v>
      </c>
      <c r="C102" s="10" t="s">
        <v>233</v>
      </c>
      <c r="D102" s="15" t="s">
        <v>308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250</v>
      </c>
      <c r="C103" s="4" t="s">
        <v>367</v>
      </c>
      <c r="D103" s="10" t="s">
        <v>257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1135</v>
      </c>
      <c r="C104" s="4" t="s">
        <v>1136</v>
      </c>
      <c r="D104" s="15" t="s">
        <v>950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368</v>
      </c>
      <c r="C105" s="4" t="s">
        <v>369</v>
      </c>
      <c r="D105" s="15" t="s">
        <v>332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33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372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373</v>
      </c>
      <c r="C109" s="12" t="s">
        <v>374</v>
      </c>
      <c r="D109" s="15" t="s">
        <v>297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375</v>
      </c>
      <c r="C110" s="4" t="s">
        <v>376</v>
      </c>
      <c r="D110" s="16" t="s">
        <v>308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377</v>
      </c>
      <c r="C111" s="4" t="s">
        <v>378</v>
      </c>
      <c r="D111" s="10" t="s">
        <v>263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379</v>
      </c>
      <c r="C112" s="4" t="s">
        <v>378</v>
      </c>
      <c r="D112" s="10" t="s">
        <v>263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380</v>
      </c>
      <c r="C113" s="4" t="s">
        <v>381</v>
      </c>
      <c r="D113" s="15" t="s">
        <v>384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383</v>
      </c>
      <c r="C114" s="4" t="s">
        <v>381</v>
      </c>
      <c r="D114" s="10" t="s">
        <v>945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385</v>
      </c>
      <c r="C115" s="4" t="s">
        <v>381</v>
      </c>
      <c r="D115" s="15" t="s">
        <v>294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33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67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392</v>
      </c>
      <c r="C119" s="12" t="s">
        <v>393</v>
      </c>
      <c r="D119" s="15" t="s">
        <v>297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1137</v>
      </c>
      <c r="B120" s="11" t="s">
        <v>1138</v>
      </c>
      <c r="C120" s="12" t="s">
        <v>1139</v>
      </c>
      <c r="D120" s="15" t="s">
        <v>231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128</v>
      </c>
      <c r="C121" s="12" t="s">
        <v>227</v>
      </c>
      <c r="D121" s="15" t="s">
        <v>249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395</v>
      </c>
      <c r="C122" s="12" t="s">
        <v>227</v>
      </c>
      <c r="D122" s="15" t="s">
        <v>249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226</v>
      </c>
      <c r="C123" s="12" t="s">
        <v>227</v>
      </c>
      <c r="D123" s="15" t="s">
        <v>228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396</v>
      </c>
      <c r="C124" s="12" t="s">
        <v>397</v>
      </c>
      <c r="D124" s="15" t="s">
        <v>342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398</v>
      </c>
      <c r="C125" s="12" t="s">
        <v>399</v>
      </c>
      <c r="D125" s="15" t="s">
        <v>266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400</v>
      </c>
      <c r="C126" s="12" t="s">
        <v>970</v>
      </c>
      <c r="D126" s="15" t="s">
        <v>266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1140</v>
      </c>
      <c r="C127" s="12" t="s">
        <v>1141</v>
      </c>
      <c r="D127" s="15" t="s">
        <v>269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401</v>
      </c>
      <c r="C128" s="12" t="s">
        <v>402</v>
      </c>
      <c r="D128" s="10" t="s">
        <v>283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403</v>
      </c>
      <c r="C129" s="12" t="s">
        <v>404</v>
      </c>
      <c r="D129" s="15" t="s">
        <v>294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33</v>
      </c>
      <c r="C130" s="26" t="s">
        <v>1142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71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407</v>
      </c>
      <c r="C133" s="12" t="s">
        <v>408</v>
      </c>
      <c r="D133" s="15" t="s">
        <v>297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229</v>
      </c>
      <c r="C134" s="12" t="s">
        <v>230</v>
      </c>
      <c r="D134" s="15" t="s">
        <v>231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409</v>
      </c>
      <c r="C135" s="4" t="s">
        <v>410</v>
      </c>
      <c r="D135" s="16" t="s">
        <v>308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411</v>
      </c>
      <c r="C136" s="12" t="s">
        <v>412</v>
      </c>
      <c r="D136" s="15" t="s">
        <v>257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413</v>
      </c>
      <c r="C137" s="4" t="s">
        <v>414</v>
      </c>
      <c r="D137" s="15" t="s">
        <v>257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366</v>
      </c>
      <c r="C138" s="4" t="s">
        <v>420</v>
      </c>
      <c r="D138" s="15" t="s">
        <v>266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416</v>
      </c>
      <c r="C139" s="12" t="s">
        <v>417</v>
      </c>
      <c r="D139" s="15" t="s">
        <v>271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418</v>
      </c>
      <c r="C140" s="12" t="s">
        <v>417</v>
      </c>
      <c r="D140" s="15" t="s">
        <v>271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419</v>
      </c>
      <c r="C141" s="4" t="s">
        <v>420</v>
      </c>
      <c r="D141" s="15" t="s">
        <v>271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421</v>
      </c>
      <c r="C142" s="12" t="s">
        <v>426</v>
      </c>
      <c r="D142" s="15" t="s">
        <v>332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423</v>
      </c>
      <c r="C143" s="12" t="s">
        <v>971</v>
      </c>
      <c r="D143" s="15" t="s">
        <v>432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425</v>
      </c>
      <c r="C144" s="12" t="s">
        <v>426</v>
      </c>
      <c r="D144" s="15" t="s">
        <v>271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429</v>
      </c>
      <c r="C145" s="4" t="s">
        <v>430</v>
      </c>
      <c r="D145" s="15" t="s">
        <v>301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431</v>
      </c>
      <c r="C146" s="4" t="s">
        <v>430</v>
      </c>
      <c r="D146" s="15" t="s">
        <v>345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433</v>
      </c>
      <c r="C147" s="4" t="s">
        <v>430</v>
      </c>
      <c r="D147" s="15" t="s">
        <v>345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434</v>
      </c>
      <c r="C148" s="12" t="s">
        <v>435</v>
      </c>
      <c r="D148" s="15" t="s">
        <v>37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953</v>
      </c>
      <c r="C149" s="12" t="s">
        <v>437</v>
      </c>
      <c r="D149" s="10" t="s">
        <v>24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438</v>
      </c>
      <c r="C150" s="12" t="s">
        <v>439</v>
      </c>
      <c r="D150" s="15" t="s">
        <v>301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440</v>
      </c>
      <c r="C151" s="12" t="s">
        <v>441</v>
      </c>
      <c r="D151" s="15" t="s">
        <v>283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442</v>
      </c>
      <c r="C152" s="12" t="s">
        <v>443</v>
      </c>
      <c r="D152" s="15" t="s">
        <v>301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444</v>
      </c>
      <c r="C153" s="12" t="s">
        <v>445</v>
      </c>
      <c r="D153" s="15" t="s">
        <v>283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446</v>
      </c>
      <c r="C154" s="12" t="s">
        <v>451</v>
      </c>
      <c r="D154" s="15" t="s">
        <v>1129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1143</v>
      </c>
      <c r="C155" s="12" t="s">
        <v>449</v>
      </c>
      <c r="D155" s="15" t="s">
        <v>294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448</v>
      </c>
      <c r="C156" s="12" t="s">
        <v>449</v>
      </c>
      <c r="D156" s="15" t="s">
        <v>30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450</v>
      </c>
      <c r="C157" s="12" t="s">
        <v>451</v>
      </c>
      <c r="D157" s="15" t="s">
        <v>30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452</v>
      </c>
      <c r="C158" s="12" t="s">
        <v>453</v>
      </c>
      <c r="D158" s="15" t="s">
        <v>294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454</v>
      </c>
      <c r="C159" s="12" t="s">
        <v>455</v>
      </c>
      <c r="D159" s="15" t="s">
        <v>294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457</v>
      </c>
      <c r="C160" s="12" t="s">
        <v>458</v>
      </c>
      <c r="D160" s="15" t="s">
        <v>465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460</v>
      </c>
      <c r="C161" s="12" t="s">
        <v>458</v>
      </c>
      <c r="D161" s="15" t="s">
        <v>465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461</v>
      </c>
      <c r="C162" s="12" t="s">
        <v>458</v>
      </c>
      <c r="D162" s="15" t="s">
        <v>465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662</v>
      </c>
      <c r="C163" s="12" t="s">
        <v>458</v>
      </c>
      <c r="D163" s="15" t="s">
        <v>465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462</v>
      </c>
      <c r="C164" s="12" t="s">
        <v>458</v>
      </c>
      <c r="D164" s="15" t="s">
        <v>465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463</v>
      </c>
      <c r="C165" s="12" t="s">
        <v>458</v>
      </c>
      <c r="D165" s="15" t="s">
        <v>465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464</v>
      </c>
      <c r="C166" s="12" t="s">
        <v>458</v>
      </c>
      <c r="D166" s="15" t="s">
        <v>476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466</v>
      </c>
      <c r="C167" s="12" t="s">
        <v>458</v>
      </c>
      <c r="D167" s="15" t="s">
        <v>476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1121</v>
      </c>
      <c r="C168" s="12" t="s">
        <v>458</v>
      </c>
      <c r="D168" s="15" t="s">
        <v>476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467</v>
      </c>
      <c r="C169" s="12" t="s">
        <v>458</v>
      </c>
      <c r="D169" s="15" t="s">
        <v>476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468</v>
      </c>
      <c r="C170" s="12" t="s">
        <v>458</v>
      </c>
      <c r="D170" s="15" t="s">
        <v>476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469</v>
      </c>
      <c r="C171" s="12" t="s">
        <v>458</v>
      </c>
      <c r="D171" s="15" t="s">
        <v>476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470</v>
      </c>
      <c r="C172" s="12" t="s">
        <v>458</v>
      </c>
      <c r="D172" s="15" t="s">
        <v>476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471</v>
      </c>
      <c r="C173" s="12" t="s">
        <v>478</v>
      </c>
      <c r="D173" s="15" t="s">
        <v>479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474</v>
      </c>
      <c r="C174" s="12" t="s">
        <v>478</v>
      </c>
      <c r="D174" s="15" t="s">
        <v>479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475</v>
      </c>
      <c r="C175" s="12" t="s">
        <v>478</v>
      </c>
      <c r="D175" s="15" t="s">
        <v>948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477</v>
      </c>
      <c r="C176" s="12" t="s">
        <v>478</v>
      </c>
      <c r="D176" s="15" t="s">
        <v>954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480</v>
      </c>
      <c r="C177" s="12" t="s">
        <v>481</v>
      </c>
      <c r="D177" s="15" t="s">
        <v>955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483</v>
      </c>
      <c r="C178" s="12" t="s">
        <v>481</v>
      </c>
      <c r="D178" s="15" t="s">
        <v>955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484</v>
      </c>
      <c r="C179" s="12" t="s">
        <v>481</v>
      </c>
      <c r="D179" s="15" t="s">
        <v>955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485</v>
      </c>
      <c r="C180" s="12" t="s">
        <v>481</v>
      </c>
      <c r="D180" s="15" t="s">
        <v>955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486</v>
      </c>
      <c r="C181" s="12" t="s">
        <v>481</v>
      </c>
      <c r="D181" s="15" t="s">
        <v>955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487</v>
      </c>
      <c r="C182" s="12" t="s">
        <v>481</v>
      </c>
      <c r="D182" s="15" t="s">
        <v>955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488</v>
      </c>
      <c r="C183" s="12" t="s">
        <v>481</v>
      </c>
      <c r="D183" s="15" t="s">
        <v>955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489</v>
      </c>
      <c r="C184" s="12" t="s">
        <v>478</v>
      </c>
      <c r="D184" s="15" t="s">
        <v>955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490</v>
      </c>
      <c r="C185" s="12" t="s">
        <v>478</v>
      </c>
      <c r="D185" s="15" t="s">
        <v>955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491</v>
      </c>
      <c r="C186" s="12" t="s">
        <v>481</v>
      </c>
      <c r="D186" s="15" t="s">
        <v>972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493</v>
      </c>
      <c r="C187" s="12" t="s">
        <v>481</v>
      </c>
      <c r="D187" s="15" t="s">
        <v>956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33</v>
      </c>
      <c r="C188" s="28" t="s">
        <v>1122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80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1126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1144</v>
      </c>
      <c r="G4" s="218" t="s">
        <v>1145</v>
      </c>
      <c r="H4" s="24" t="s">
        <v>511</v>
      </c>
    </row>
    <row r="5" customHeight="1" spans="1:8">
      <c r="A5" s="9" t="s">
        <v>20</v>
      </c>
      <c r="B5" s="8" t="s">
        <v>21</v>
      </c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</row>
    <row r="6" customHeight="1" spans="1:9">
      <c r="A6" s="10">
        <v>1</v>
      </c>
      <c r="B6" s="11" t="s">
        <v>236</v>
      </c>
      <c r="C6" s="12" t="s">
        <v>237</v>
      </c>
      <c r="D6" s="12" t="s">
        <v>238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1016</v>
      </c>
      <c r="C7" s="4" t="s">
        <v>1106</v>
      </c>
      <c r="D7" s="10" t="s">
        <v>231</v>
      </c>
      <c r="E7" s="85">
        <f>42653.17</f>
        <v>42653.17</v>
      </c>
      <c r="F7" s="85">
        <f>0.025*E7</f>
        <v>1066.32925</v>
      </c>
      <c r="G7" s="85">
        <f>'[12]April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1107</v>
      </c>
      <c r="C8" s="4" t="s">
        <v>1108</v>
      </c>
      <c r="D8" s="10" t="s">
        <v>231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239</v>
      </c>
      <c r="C9" s="12" t="s">
        <v>240</v>
      </c>
      <c r="D9" s="10" t="s">
        <v>234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241</v>
      </c>
      <c r="C10" s="4" t="s">
        <v>242</v>
      </c>
      <c r="D10" s="15" t="s">
        <v>308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363</v>
      </c>
      <c r="C11" s="4" t="s">
        <v>1018</v>
      </c>
      <c r="D11" s="16" t="s">
        <v>308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243</v>
      </c>
      <c r="C12" s="17" t="s">
        <v>244</v>
      </c>
      <c r="D12" s="16" t="s">
        <v>308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245</v>
      </c>
      <c r="C13" s="4" t="s">
        <v>246</v>
      </c>
      <c r="D13" s="16" t="s">
        <v>308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247</v>
      </c>
      <c r="C14" s="12" t="s">
        <v>248</v>
      </c>
      <c r="D14" s="15" t="s">
        <v>249</v>
      </c>
      <c r="E14" s="85">
        <v>33507.5</v>
      </c>
      <c r="F14" s="85">
        <f>0.025*E14</f>
        <v>837.6875</v>
      </c>
      <c r="G14" s="85">
        <f>'[12]April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223</v>
      </c>
      <c r="C15" s="12" t="s">
        <v>224</v>
      </c>
      <c r="D15" s="10" t="s">
        <v>222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1109</v>
      </c>
      <c r="C16" s="4" t="s">
        <v>1110</v>
      </c>
      <c r="D16" s="16" t="s">
        <v>257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1019</v>
      </c>
      <c r="C17" s="4" t="s">
        <v>253</v>
      </c>
      <c r="D17" s="10" t="s">
        <v>257</v>
      </c>
      <c r="E17" s="85">
        <v>27611.23</v>
      </c>
      <c r="F17" s="85">
        <f>0.025*E17</f>
        <v>690.28075</v>
      </c>
      <c r="G17" s="85">
        <f>'[12]April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1111</v>
      </c>
      <c r="C18" s="4" t="s">
        <v>1112</v>
      </c>
      <c r="D18" s="10" t="s">
        <v>257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252</v>
      </c>
      <c r="C19" s="4" t="s">
        <v>253</v>
      </c>
      <c r="D19" s="15" t="s">
        <v>257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264</v>
      </c>
      <c r="C20" s="12" t="s">
        <v>265</v>
      </c>
      <c r="D20" s="15" t="s">
        <v>950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267</v>
      </c>
      <c r="C21" s="4" t="s">
        <v>268</v>
      </c>
      <c r="D21" s="15" t="s">
        <v>951</v>
      </c>
      <c r="E21" s="85">
        <f>23891.12</f>
        <v>23891.12</v>
      </c>
      <c r="F21" s="85">
        <f>0.025*E21</f>
        <v>597.278</v>
      </c>
      <c r="G21" s="85">
        <f>'[12]April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389</v>
      </c>
      <c r="C22" s="12" t="s">
        <v>390</v>
      </c>
      <c r="D22" s="15" t="s">
        <v>271</v>
      </c>
      <c r="E22" s="85">
        <f>22837.82</f>
        <v>22837.82</v>
      </c>
      <c r="F22" s="85">
        <f>0.025*E22</f>
        <v>570.9455</v>
      </c>
      <c r="G22" s="85">
        <f>'[12]April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270</v>
      </c>
      <c r="C23" s="12" t="s">
        <v>50</v>
      </c>
      <c r="D23" s="15" t="s">
        <v>332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387</v>
      </c>
      <c r="C24" s="4" t="s">
        <v>388</v>
      </c>
      <c r="D24" s="15" t="s">
        <v>332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427</v>
      </c>
      <c r="C25" s="4" t="s">
        <v>1128</v>
      </c>
      <c r="D25" s="15" t="s">
        <v>432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1113</v>
      </c>
      <c r="C26" s="12" t="s">
        <v>293</v>
      </c>
      <c r="D26" s="15" t="s">
        <v>345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278</v>
      </c>
      <c r="C27" s="4" t="s">
        <v>176</v>
      </c>
      <c r="D27" s="10" t="s">
        <v>283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280</v>
      </c>
      <c r="C28" s="12" t="s">
        <v>176</v>
      </c>
      <c r="D28" s="15" t="s">
        <v>283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1020</v>
      </c>
      <c r="C29" s="12" t="s">
        <v>1021</v>
      </c>
      <c r="D29" s="15" t="s">
        <v>283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282</v>
      </c>
      <c r="C30" s="12" t="s">
        <v>967</v>
      </c>
      <c r="D30" s="15" t="s">
        <v>1129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370</v>
      </c>
      <c r="C31" s="17" t="s">
        <v>1130</v>
      </c>
      <c r="D31" s="15" t="s">
        <v>945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284</v>
      </c>
      <c r="C32" s="4" t="s">
        <v>1022</v>
      </c>
      <c r="D32" s="10" t="s">
        <v>945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287</v>
      </c>
      <c r="C33" s="17" t="s">
        <v>288</v>
      </c>
      <c r="D33" s="15" t="s">
        <v>283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289</v>
      </c>
      <c r="C34" s="4" t="s">
        <v>1131</v>
      </c>
      <c r="D34" s="10" t="s">
        <v>294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933</v>
      </c>
      <c r="C35" s="12" t="s">
        <v>293</v>
      </c>
      <c r="D35" s="15" t="s">
        <v>294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1114</v>
      </c>
      <c r="C36" s="12" t="s">
        <v>293</v>
      </c>
      <c r="D36" s="15" t="s">
        <v>294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33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34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295</v>
      </c>
      <c r="C40" s="4" t="s">
        <v>296</v>
      </c>
      <c r="D40" s="10" t="s">
        <v>297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298</v>
      </c>
      <c r="C41" s="4" t="s">
        <v>537</v>
      </c>
      <c r="D41" s="10" t="s">
        <v>30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38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302</v>
      </c>
      <c r="C45" s="4" t="s">
        <v>303</v>
      </c>
      <c r="D45" s="10" t="s">
        <v>297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304</v>
      </c>
      <c r="C46" s="4" t="s">
        <v>305</v>
      </c>
      <c r="D46" s="10" t="s">
        <v>249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306</v>
      </c>
      <c r="C47" s="4" t="s">
        <v>310</v>
      </c>
      <c r="D47" s="10" t="s">
        <v>249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309</v>
      </c>
      <c r="C48" s="4" t="s">
        <v>310</v>
      </c>
      <c r="D48" s="10" t="s">
        <v>249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311</v>
      </c>
      <c r="C49" s="4" t="s">
        <v>310</v>
      </c>
      <c r="D49" s="10" t="s">
        <v>327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312</v>
      </c>
      <c r="C50" s="4" t="s">
        <v>259</v>
      </c>
      <c r="D50" s="10" t="s">
        <v>257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313</v>
      </c>
      <c r="C51" s="4" t="s">
        <v>256</v>
      </c>
      <c r="D51" s="16" t="s">
        <v>257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1025</v>
      </c>
      <c r="C52" s="4" t="s">
        <v>256</v>
      </c>
      <c r="D52" s="10" t="s">
        <v>342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258</v>
      </c>
      <c r="C53" s="4" t="s">
        <v>353</v>
      </c>
      <c r="D53" s="10" t="s">
        <v>266</v>
      </c>
      <c r="E53" s="85">
        <v>25523.45</v>
      </c>
      <c r="F53" s="85">
        <f>0.025*E53</f>
        <v>638.08625</v>
      </c>
      <c r="G53" s="85">
        <f>'[12]April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315</v>
      </c>
      <c r="C54" s="4" t="s">
        <v>63</v>
      </c>
      <c r="D54" s="10" t="s">
        <v>24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316</v>
      </c>
      <c r="C55" s="4" t="s">
        <v>63</v>
      </c>
      <c r="D55" s="10" t="s">
        <v>24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317</v>
      </c>
      <c r="C56" s="4" t="s">
        <v>63</v>
      </c>
      <c r="D56" s="10" t="s">
        <v>24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33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318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319</v>
      </c>
      <c r="C60" s="12" t="s">
        <v>320</v>
      </c>
      <c r="D60" s="15" t="s">
        <v>297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33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44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323</v>
      </c>
      <c r="C64" s="17" t="s">
        <v>324</v>
      </c>
      <c r="D64" s="10" t="s">
        <v>297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325</v>
      </c>
      <c r="C65" s="17" t="s">
        <v>326</v>
      </c>
      <c r="D65" s="15" t="s">
        <v>952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328</v>
      </c>
      <c r="C66" s="4" t="s">
        <v>46</v>
      </c>
      <c r="D66" s="10" t="s">
        <v>266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329</v>
      </c>
      <c r="C67" s="17" t="s">
        <v>46</v>
      </c>
      <c r="D67" s="15" t="s">
        <v>950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330</v>
      </c>
      <c r="C68" s="17" t="s">
        <v>256</v>
      </c>
      <c r="D68" s="15" t="s">
        <v>257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331</v>
      </c>
      <c r="C69" s="4" t="s">
        <v>63</v>
      </c>
      <c r="D69" s="10" t="s">
        <v>1132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1033</v>
      </c>
      <c r="C70" s="17" t="s">
        <v>275</v>
      </c>
      <c r="D70" s="15" t="s">
        <v>271</v>
      </c>
      <c r="E70" s="85">
        <f>22837.82</f>
        <v>22837.82</v>
      </c>
      <c r="F70" s="85">
        <f>0.025*E70</f>
        <v>570.9455</v>
      </c>
      <c r="G70" s="85">
        <f>'[12]April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333</v>
      </c>
      <c r="C71" s="17" t="s">
        <v>275</v>
      </c>
      <c r="D71" s="15" t="s">
        <v>41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334</v>
      </c>
      <c r="C72" s="17" t="s">
        <v>275</v>
      </c>
      <c r="D72" s="15" t="s">
        <v>41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335</v>
      </c>
      <c r="C73" s="4" t="s">
        <v>336</v>
      </c>
      <c r="D73" s="10" t="s">
        <v>332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1115</v>
      </c>
      <c r="C74" s="17" t="s">
        <v>63</v>
      </c>
      <c r="D74" s="10" t="s">
        <v>301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281</v>
      </c>
      <c r="C75" s="17" t="s">
        <v>273</v>
      </c>
      <c r="D75" s="10" t="s">
        <v>283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272</v>
      </c>
      <c r="C76" s="17" t="s">
        <v>273</v>
      </c>
      <c r="D76" s="10" t="s">
        <v>294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33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51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338</v>
      </c>
      <c r="C80" s="4" t="s">
        <v>339</v>
      </c>
      <c r="D80" s="10" t="s">
        <v>297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220</v>
      </c>
      <c r="C81" s="4" t="s">
        <v>221</v>
      </c>
      <c r="D81" s="15" t="s">
        <v>952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1116</v>
      </c>
      <c r="C82" s="4" t="s">
        <v>1117</v>
      </c>
      <c r="D82" s="15" t="s">
        <v>952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340</v>
      </c>
      <c r="C83" s="4" t="s">
        <v>968</v>
      </c>
      <c r="D83" s="15" t="s">
        <v>266</v>
      </c>
      <c r="E83" s="85">
        <v>25523.45</v>
      </c>
      <c r="F83" s="85">
        <f>0.025*E83</f>
        <v>638.08625</v>
      </c>
      <c r="G83" s="85">
        <f>'[12]April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343</v>
      </c>
      <c r="C84" s="4" t="s">
        <v>344</v>
      </c>
      <c r="D84" s="10" t="s">
        <v>301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33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56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1133</v>
      </c>
      <c r="C88" s="4" t="s">
        <v>1134</v>
      </c>
      <c r="D88" s="10" t="s">
        <v>231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349</v>
      </c>
      <c r="C89" s="4" t="s">
        <v>310</v>
      </c>
      <c r="D89" s="10" t="s">
        <v>249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350</v>
      </c>
      <c r="C90" s="4" t="s">
        <v>310</v>
      </c>
      <c r="D90" s="10" t="s">
        <v>249</v>
      </c>
      <c r="E90" s="85">
        <v>33507.5</v>
      </c>
      <c r="F90" s="85">
        <f>0.025*E90</f>
        <v>837.6875</v>
      </c>
      <c r="G90" s="85">
        <f>'[12]April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386</v>
      </c>
      <c r="C91" s="4" t="s">
        <v>256</v>
      </c>
      <c r="D91" s="10" t="s">
        <v>254</v>
      </c>
      <c r="E91" s="85">
        <f>28489.81</f>
        <v>28489.81</v>
      </c>
      <c r="F91" s="85">
        <f>0.025*E91</f>
        <v>712.24525</v>
      </c>
      <c r="G91" s="85">
        <f>'[12]April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351</v>
      </c>
      <c r="C92" s="4" t="s">
        <v>259</v>
      </c>
      <c r="D92" s="10" t="s">
        <v>257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352</v>
      </c>
      <c r="C93" s="4" t="s">
        <v>353</v>
      </c>
      <c r="D93" s="15" t="s">
        <v>266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354</v>
      </c>
      <c r="C94" s="12" t="s">
        <v>46</v>
      </c>
      <c r="D94" s="15" t="s">
        <v>950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355</v>
      </c>
      <c r="C95" s="12" t="s">
        <v>46</v>
      </c>
      <c r="D95" s="15" t="s">
        <v>950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357</v>
      </c>
      <c r="C96" s="17" t="s">
        <v>275</v>
      </c>
      <c r="D96" s="15" t="s">
        <v>41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359</v>
      </c>
      <c r="C97" s="4" t="s">
        <v>360</v>
      </c>
      <c r="D97" s="10" t="s">
        <v>37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361</v>
      </c>
      <c r="C98" s="17" t="s">
        <v>362</v>
      </c>
      <c r="D98" s="15" t="s">
        <v>294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33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58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232</v>
      </c>
      <c r="C102" s="10" t="s">
        <v>233</v>
      </c>
      <c r="D102" s="15" t="s">
        <v>308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250</v>
      </c>
      <c r="C103" s="4" t="s">
        <v>367</v>
      </c>
      <c r="D103" s="10" t="s">
        <v>257</v>
      </c>
      <c r="E103" s="85">
        <v>27611.23</v>
      </c>
      <c r="F103" s="85">
        <f>0.025*E103</f>
        <v>690.28075</v>
      </c>
      <c r="G103" s="85">
        <f>'[12]April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1135</v>
      </c>
      <c r="C104" s="4" t="s">
        <v>1136</v>
      </c>
      <c r="D104" s="15" t="s">
        <v>950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368</v>
      </c>
      <c r="C105" s="4" t="s">
        <v>369</v>
      </c>
      <c r="D105" s="15" t="s">
        <v>332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33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372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373</v>
      </c>
      <c r="C109" s="12" t="s">
        <v>374</v>
      </c>
      <c r="D109" s="15" t="s">
        <v>297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375</v>
      </c>
      <c r="C110" s="4" t="s">
        <v>376</v>
      </c>
      <c r="D110" s="16" t="s">
        <v>308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377</v>
      </c>
      <c r="C111" s="4" t="s">
        <v>378</v>
      </c>
      <c r="D111" s="10" t="s">
        <v>263</v>
      </c>
      <c r="E111" s="85">
        <v>26339.3</v>
      </c>
      <c r="F111" s="85">
        <f>0.025*E111</f>
        <v>658.4825</v>
      </c>
      <c r="G111" s="85">
        <f>'[12]April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379</v>
      </c>
      <c r="C112" s="4" t="s">
        <v>378</v>
      </c>
      <c r="D112" s="10" t="s">
        <v>263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380</v>
      </c>
      <c r="C113" s="4" t="s">
        <v>381</v>
      </c>
      <c r="D113" s="15" t="s">
        <v>384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383</v>
      </c>
      <c r="C114" s="4" t="s">
        <v>381</v>
      </c>
      <c r="D114" s="10" t="s">
        <v>945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385</v>
      </c>
      <c r="C115" s="4" t="s">
        <v>381</v>
      </c>
      <c r="D115" s="15" t="s">
        <v>294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33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67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392</v>
      </c>
      <c r="C119" s="12" t="s">
        <v>393</v>
      </c>
      <c r="D119" s="15" t="s">
        <v>297</v>
      </c>
      <c r="E119" s="85">
        <v>81740.02</v>
      </c>
      <c r="F119" s="85">
        <f>0.025*E119</f>
        <v>2043.5005</v>
      </c>
      <c r="G119" s="85">
        <f>'[12]April 2022'!$H$21</f>
        <v>2043.5005</v>
      </c>
      <c r="H119" s="85">
        <f t="shared" si="6"/>
        <v>0</v>
      </c>
      <c r="I119" s="13"/>
    </row>
    <row r="120" customHeight="1" spans="1:9">
      <c r="A120" s="4" t="s">
        <v>1137</v>
      </c>
      <c r="B120" s="11" t="s">
        <v>1138</v>
      </c>
      <c r="C120" s="12" t="s">
        <v>1139</v>
      </c>
      <c r="D120" s="15" t="s">
        <v>231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128</v>
      </c>
      <c r="C121" s="12" t="s">
        <v>227</v>
      </c>
      <c r="D121" s="15" t="s">
        <v>249</v>
      </c>
      <c r="E121" s="85">
        <v>33507.5</v>
      </c>
      <c r="F121" s="85">
        <f>0.025*E121</f>
        <v>837.6875</v>
      </c>
      <c r="G121" s="85">
        <f>'[12]April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395</v>
      </c>
      <c r="C122" s="12" t="s">
        <v>227</v>
      </c>
      <c r="D122" s="15" t="s">
        <v>249</v>
      </c>
      <c r="E122" s="85">
        <v>33507.5</v>
      </c>
      <c r="F122" s="85">
        <f>0.025*E122</f>
        <v>837.6875</v>
      </c>
      <c r="G122" s="85">
        <f>'[12]April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226</v>
      </c>
      <c r="C123" s="12" t="s">
        <v>227</v>
      </c>
      <c r="D123" s="15" t="s">
        <v>228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396</v>
      </c>
      <c r="C124" s="12" t="s">
        <v>397</v>
      </c>
      <c r="D124" s="15" t="s">
        <v>342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398</v>
      </c>
      <c r="C125" s="12" t="s">
        <v>399</v>
      </c>
      <c r="D125" s="15" t="s">
        <v>266</v>
      </c>
      <c r="E125" s="85">
        <v>25523.45</v>
      </c>
      <c r="F125" s="85">
        <f>0.025*E125</f>
        <v>638.08625</v>
      </c>
      <c r="G125" s="85">
        <f>'[12]April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400</v>
      </c>
      <c r="C126" s="12" t="s">
        <v>970</v>
      </c>
      <c r="D126" s="15" t="s">
        <v>266</v>
      </c>
      <c r="E126" s="85">
        <v>25523.45</v>
      </c>
      <c r="F126" s="85">
        <f>0.025*E126</f>
        <v>638.08625</v>
      </c>
      <c r="G126" s="85">
        <f>'[12]April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1140</v>
      </c>
      <c r="C127" s="12" t="s">
        <v>1141</v>
      </c>
      <c r="D127" s="15" t="s">
        <v>269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401</v>
      </c>
      <c r="C128" s="12" t="s">
        <v>402</v>
      </c>
      <c r="D128" s="10" t="s">
        <v>283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403</v>
      </c>
      <c r="C129" s="12" t="s">
        <v>404</v>
      </c>
      <c r="D129" s="15" t="s">
        <v>294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33</v>
      </c>
      <c r="C130" s="26" t="s">
        <v>1142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71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407</v>
      </c>
      <c r="C133" s="12" t="s">
        <v>408</v>
      </c>
      <c r="D133" s="15" t="s">
        <v>297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229</v>
      </c>
      <c r="C134" s="12" t="s">
        <v>230</v>
      </c>
      <c r="D134" s="15" t="s">
        <v>231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409</v>
      </c>
      <c r="C135" s="4" t="s">
        <v>410</v>
      </c>
      <c r="D135" s="16" t="s">
        <v>308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411</v>
      </c>
      <c r="C136" s="12" t="s">
        <v>412</v>
      </c>
      <c r="D136" s="15" t="s">
        <v>257</v>
      </c>
      <c r="E136" s="85">
        <v>27611.23</v>
      </c>
      <c r="F136" s="85">
        <f>0.025*E136</f>
        <v>690.28075</v>
      </c>
      <c r="G136" s="85">
        <f>'[12]April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413</v>
      </c>
      <c r="C137" s="4" t="s">
        <v>414</v>
      </c>
      <c r="D137" s="15" t="s">
        <v>257</v>
      </c>
      <c r="E137" s="85">
        <v>27611.23</v>
      </c>
      <c r="F137" s="85">
        <f>0.025*E137</f>
        <v>690.28075</v>
      </c>
      <c r="G137" s="85">
        <f>'[12]April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366</v>
      </c>
      <c r="C138" s="4" t="s">
        <v>420</v>
      </c>
      <c r="D138" s="15" t="s">
        <v>266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416</v>
      </c>
      <c r="C139" s="12" t="s">
        <v>417</v>
      </c>
      <c r="D139" s="15" t="s">
        <v>271</v>
      </c>
      <c r="E139" s="85">
        <f>22837.82</f>
        <v>22837.82</v>
      </c>
      <c r="F139" s="85">
        <f>0.025*E139</f>
        <v>570.9455</v>
      </c>
      <c r="G139" s="85">
        <f>'[12]April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418</v>
      </c>
      <c r="C140" s="12" t="s">
        <v>417</v>
      </c>
      <c r="D140" s="15" t="s">
        <v>271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419</v>
      </c>
      <c r="C141" s="4" t="s">
        <v>420</v>
      </c>
      <c r="D141" s="15" t="s">
        <v>271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421</v>
      </c>
      <c r="C142" s="12" t="s">
        <v>426</v>
      </c>
      <c r="D142" s="15" t="s">
        <v>332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423</v>
      </c>
      <c r="C143" s="12" t="s">
        <v>971</v>
      </c>
      <c r="D143" s="15" t="s">
        <v>432</v>
      </c>
      <c r="E143" s="220">
        <v>18779.3</v>
      </c>
      <c r="F143" s="85">
        <f>0.025*E143</f>
        <v>469.4825</v>
      </c>
      <c r="G143" s="85">
        <f>'[12]April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425</v>
      </c>
      <c r="C144" s="12" t="s">
        <v>426</v>
      </c>
      <c r="D144" s="15" t="s">
        <v>271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429</v>
      </c>
      <c r="C145" s="4" t="s">
        <v>430</v>
      </c>
      <c r="D145" s="15" t="s">
        <v>301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431</v>
      </c>
      <c r="C146" s="4" t="s">
        <v>430</v>
      </c>
      <c r="D146" s="15" t="s">
        <v>345</v>
      </c>
      <c r="E146" s="220">
        <v>18281.64</v>
      </c>
      <c r="F146" s="85">
        <f>0.025*E146</f>
        <v>457.041</v>
      </c>
      <c r="G146" s="85">
        <f>'[12]April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433</v>
      </c>
      <c r="C147" s="4" t="s">
        <v>430</v>
      </c>
      <c r="D147" s="15" t="s">
        <v>345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434</v>
      </c>
      <c r="C148" s="12" t="s">
        <v>435</v>
      </c>
      <c r="D148" s="15" t="s">
        <v>37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953</v>
      </c>
      <c r="C149" s="12" t="s">
        <v>437</v>
      </c>
      <c r="D149" s="10" t="s">
        <v>24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438</v>
      </c>
      <c r="C150" s="12" t="s">
        <v>439</v>
      </c>
      <c r="D150" s="15" t="s">
        <v>301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440</v>
      </c>
      <c r="C151" s="12" t="s">
        <v>441</v>
      </c>
      <c r="D151" s="15" t="s">
        <v>283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442</v>
      </c>
      <c r="C152" s="12" t="s">
        <v>443</v>
      </c>
      <c r="D152" s="15" t="s">
        <v>301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444</v>
      </c>
      <c r="C153" s="12" t="s">
        <v>445</v>
      </c>
      <c r="D153" s="15" t="s">
        <v>283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446</v>
      </c>
      <c r="C154" s="12" t="s">
        <v>451</v>
      </c>
      <c r="D154" s="15" t="s">
        <v>1129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1143</v>
      </c>
      <c r="C155" s="12" t="s">
        <v>449</v>
      </c>
      <c r="D155" s="15" t="s">
        <v>294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448</v>
      </c>
      <c r="C156" s="12" t="s">
        <v>449</v>
      </c>
      <c r="D156" s="15" t="s">
        <v>30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450</v>
      </c>
      <c r="C157" s="12" t="s">
        <v>451</v>
      </c>
      <c r="D157" s="15" t="s">
        <v>30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452</v>
      </c>
      <c r="C158" s="12" t="s">
        <v>453</v>
      </c>
      <c r="D158" s="15" t="s">
        <v>294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454</v>
      </c>
      <c r="C159" s="12" t="s">
        <v>455</v>
      </c>
      <c r="D159" s="15" t="s">
        <v>294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457</v>
      </c>
      <c r="C160" s="12" t="s">
        <v>458</v>
      </c>
      <c r="D160" s="15" t="s">
        <v>465</v>
      </c>
      <c r="E160" s="226">
        <f>10527.6</f>
        <v>10527.6</v>
      </c>
      <c r="F160" s="85">
        <f>0.025*E160</f>
        <v>263.19</v>
      </c>
      <c r="G160" s="85">
        <f>'[12]April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460</v>
      </c>
      <c r="C161" s="12" t="s">
        <v>458</v>
      </c>
      <c r="D161" s="15" t="s">
        <v>465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461</v>
      </c>
      <c r="C162" s="12" t="s">
        <v>458</v>
      </c>
      <c r="D162" s="15" t="s">
        <v>465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662</v>
      </c>
      <c r="C163" s="12" t="s">
        <v>458</v>
      </c>
      <c r="D163" s="15" t="s">
        <v>465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462</v>
      </c>
      <c r="C164" s="12" t="s">
        <v>458</v>
      </c>
      <c r="D164" s="15" t="s">
        <v>465</v>
      </c>
      <c r="E164" s="226">
        <f t="shared" si="16"/>
        <v>10527.6</v>
      </c>
      <c r="F164" s="85">
        <v>263.19</v>
      </c>
      <c r="G164" s="85">
        <f>'[12]April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463</v>
      </c>
      <c r="C165" s="12" t="s">
        <v>458</v>
      </c>
      <c r="D165" s="15" t="s">
        <v>465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464</v>
      </c>
      <c r="C166" s="12" t="s">
        <v>458</v>
      </c>
      <c r="D166" s="15" t="s">
        <v>476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466</v>
      </c>
      <c r="C167" s="12" t="s">
        <v>458</v>
      </c>
      <c r="D167" s="15" t="s">
        <v>476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1121</v>
      </c>
      <c r="C168" s="12" t="s">
        <v>458</v>
      </c>
      <c r="D168" s="15" t="s">
        <v>476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467</v>
      </c>
      <c r="C169" s="12" t="s">
        <v>458</v>
      </c>
      <c r="D169" s="15" t="s">
        <v>476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468</v>
      </c>
      <c r="C170" s="12" t="s">
        <v>458</v>
      </c>
      <c r="D170" s="15" t="s">
        <v>476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469</v>
      </c>
      <c r="C171" s="12" t="s">
        <v>458</v>
      </c>
      <c r="D171" s="15" t="s">
        <v>476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470</v>
      </c>
      <c r="C172" s="12" t="s">
        <v>458</v>
      </c>
      <c r="D172" s="15" t="s">
        <v>476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471</v>
      </c>
      <c r="C173" s="12" t="s">
        <v>478</v>
      </c>
      <c r="D173" s="15" t="s">
        <v>479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474</v>
      </c>
      <c r="C174" s="12" t="s">
        <v>478</v>
      </c>
      <c r="D174" s="15" t="s">
        <v>479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475</v>
      </c>
      <c r="C175" s="12" t="s">
        <v>478</v>
      </c>
      <c r="D175" s="15" t="s">
        <v>948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477</v>
      </c>
      <c r="C176" s="12" t="s">
        <v>478</v>
      </c>
      <c r="D176" s="15" t="s">
        <v>954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480</v>
      </c>
      <c r="C177" s="12" t="s">
        <v>481</v>
      </c>
      <c r="D177" s="15" t="s">
        <v>955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483</v>
      </c>
      <c r="C178" s="12" t="s">
        <v>481</v>
      </c>
      <c r="D178" s="15" t="s">
        <v>955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484</v>
      </c>
      <c r="C179" s="12" t="s">
        <v>481</v>
      </c>
      <c r="D179" s="15" t="s">
        <v>955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485</v>
      </c>
      <c r="C180" s="12" t="s">
        <v>481</v>
      </c>
      <c r="D180" s="15" t="s">
        <v>955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486</v>
      </c>
      <c r="C181" s="12" t="s">
        <v>481</v>
      </c>
      <c r="D181" s="15" t="s">
        <v>955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487</v>
      </c>
      <c r="C182" s="12" t="s">
        <v>481</v>
      </c>
      <c r="D182" s="15" t="s">
        <v>955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488</v>
      </c>
      <c r="C183" s="12" t="s">
        <v>481</v>
      </c>
      <c r="D183" s="15" t="s">
        <v>955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489</v>
      </c>
      <c r="C184" s="12" t="s">
        <v>478</v>
      </c>
      <c r="D184" s="15" t="s">
        <v>955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490</v>
      </c>
      <c r="C185" s="12" t="s">
        <v>478</v>
      </c>
      <c r="D185" s="15" t="s">
        <v>955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491</v>
      </c>
      <c r="C186" s="12" t="s">
        <v>481</v>
      </c>
      <c r="D186" s="15" t="s">
        <v>972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493</v>
      </c>
      <c r="C187" s="12" t="s">
        <v>481</v>
      </c>
      <c r="D187" s="15" t="s">
        <v>956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33</v>
      </c>
      <c r="C188" s="28" t="s">
        <v>1122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80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142</v>
      </c>
    </row>
    <row r="3" ht="13" spans="1:1">
      <c r="A3" s="214" t="s">
        <v>1146</v>
      </c>
    </row>
    <row r="4" ht="90" customHeight="1" spans="1:28">
      <c r="A4" s="215" t="s">
        <v>144</v>
      </c>
      <c r="B4" s="215" t="s">
        <v>145</v>
      </c>
      <c r="C4" s="215" t="s">
        <v>146</v>
      </c>
      <c r="D4" s="215" t="s">
        <v>147</v>
      </c>
      <c r="E4" s="215" t="s">
        <v>148</v>
      </c>
      <c r="F4" s="215" t="s">
        <v>149</v>
      </c>
      <c r="G4" s="215" t="s">
        <v>150</v>
      </c>
      <c r="H4" s="215" t="s">
        <v>151</v>
      </c>
      <c r="I4" s="215" t="s">
        <v>152</v>
      </c>
      <c r="J4" s="215"/>
      <c r="K4" s="215"/>
      <c r="L4" s="215"/>
      <c r="M4" s="215" t="s">
        <v>153</v>
      </c>
      <c r="N4" s="215" t="s">
        <v>154</v>
      </c>
      <c r="O4" s="215" t="s">
        <v>155</v>
      </c>
      <c r="P4" s="215" t="s">
        <v>156</v>
      </c>
      <c r="Q4" s="215" t="s">
        <v>157</v>
      </c>
      <c r="R4" s="215" t="s">
        <v>158</v>
      </c>
      <c r="S4" s="215" t="s">
        <v>159</v>
      </c>
      <c r="T4" s="215" t="s">
        <v>160</v>
      </c>
      <c r="U4" s="215" t="s">
        <v>161</v>
      </c>
      <c r="V4" s="215" t="s">
        <v>162</v>
      </c>
      <c r="W4" s="215"/>
      <c r="X4" s="215" t="s">
        <v>163</v>
      </c>
      <c r="Y4" s="215" t="s">
        <v>164</v>
      </c>
      <c r="Z4" s="215" t="s">
        <v>165</v>
      </c>
      <c r="AA4" s="215" t="s">
        <v>1147</v>
      </c>
      <c r="AB4" s="215" t="s">
        <v>520</v>
      </c>
    </row>
    <row r="5" spans="1:28">
      <c r="A5">
        <v>1</v>
      </c>
      <c r="B5" s="213" t="s">
        <v>236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1016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1107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239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241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363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243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245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247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223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1109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1019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1111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252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264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267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389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270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387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427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1113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278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280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1020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282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370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284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287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289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933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1114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295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298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302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304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306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309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311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312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313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1025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258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315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316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317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319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321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323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325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328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329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330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331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1033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333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334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335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1115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281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272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338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220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1116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340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343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1133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349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350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386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351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352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354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355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357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359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361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232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250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1135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368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373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375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377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379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380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383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385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392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1138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128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395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226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396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398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400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1140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401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403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407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229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409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411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413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366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416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418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419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421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423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425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429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431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433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434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953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438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440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442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444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446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1143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448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450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452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454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457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460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461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662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462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463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464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466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1121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467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468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469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470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471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474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475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477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480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483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484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485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486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487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488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489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490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491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493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1148</v>
      </c>
    </row>
    <row r="2" ht="5.25" customHeight="1" spans="6:7">
      <c r="F2" s="150"/>
      <c r="G2" s="150"/>
    </row>
    <row r="3" customHeight="1" spans="2:7">
      <c r="B3" s="107" t="s">
        <v>1149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1150</v>
      </c>
      <c r="E6" s="55"/>
      <c r="F6" s="68"/>
      <c r="G6" s="68"/>
    </row>
    <row r="7" ht="37.15" customHeight="1" spans="1:7">
      <c r="A7" s="43"/>
      <c r="B7" s="42"/>
      <c r="C7" s="55"/>
      <c r="D7" s="55" t="s">
        <v>1151</v>
      </c>
      <c r="E7" s="111" t="s">
        <v>1152</v>
      </c>
      <c r="F7" s="111" t="s">
        <v>1153</v>
      </c>
      <c r="G7" s="57" t="s">
        <v>511</v>
      </c>
    </row>
    <row r="8" customHeight="1" spans="1:7">
      <c r="A8" s="42" t="s">
        <v>20</v>
      </c>
      <c r="B8" s="182" t="s">
        <v>21</v>
      </c>
      <c r="C8" s="113"/>
      <c r="D8" s="113"/>
      <c r="E8" s="114" t="s">
        <v>19</v>
      </c>
      <c r="F8" s="114" t="s">
        <v>19</v>
      </c>
      <c r="G8" s="114" t="s">
        <v>19</v>
      </c>
    </row>
    <row r="9" customHeight="1" spans="1:8">
      <c r="A9" s="49">
        <v>1</v>
      </c>
      <c r="B9" s="183" t="s">
        <v>236</v>
      </c>
      <c r="C9" s="117" t="s">
        <v>237</v>
      </c>
      <c r="D9" s="117" t="s">
        <v>238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1154</v>
      </c>
      <c r="C10" s="117" t="s">
        <v>1155</v>
      </c>
      <c r="D10" s="119" t="s">
        <v>297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1016</v>
      </c>
      <c r="C11" s="43" t="s">
        <v>1156</v>
      </c>
      <c r="D11" s="49" t="s">
        <v>308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1107</v>
      </c>
      <c r="C12" s="120" t="s">
        <v>1108</v>
      </c>
      <c r="D12" s="121" t="s">
        <v>308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239</v>
      </c>
      <c r="C13" s="117" t="s">
        <v>240</v>
      </c>
      <c r="D13" s="49" t="s">
        <v>1157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241</v>
      </c>
      <c r="C14" s="43" t="s">
        <v>242</v>
      </c>
      <c r="D14" s="119" t="s">
        <v>952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363</v>
      </c>
      <c r="C15" s="43" t="s">
        <v>1158</v>
      </c>
      <c r="D15" s="124" t="s">
        <v>249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243</v>
      </c>
      <c r="C16" s="17" t="s">
        <v>326</v>
      </c>
      <c r="D16" s="10" t="s">
        <v>249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245</v>
      </c>
      <c r="C17" s="43" t="s">
        <v>1159</v>
      </c>
      <c r="D17" s="49" t="s">
        <v>249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247</v>
      </c>
      <c r="C18" s="117" t="s">
        <v>1160</v>
      </c>
      <c r="D18" s="119" t="s">
        <v>249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223</v>
      </c>
      <c r="C19" s="117" t="s">
        <v>224</v>
      </c>
      <c r="D19" s="50" t="s">
        <v>952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1109</v>
      </c>
      <c r="C20" s="120" t="s">
        <v>1110</v>
      </c>
      <c r="D20" s="127" t="s">
        <v>342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1019</v>
      </c>
      <c r="C21" s="120" t="s">
        <v>253</v>
      </c>
      <c r="D21" s="49" t="s">
        <v>342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1111</v>
      </c>
      <c r="C22" s="43" t="s">
        <v>1112</v>
      </c>
      <c r="D22" s="49" t="s">
        <v>342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252</v>
      </c>
      <c r="C23" s="120" t="s">
        <v>1161</v>
      </c>
      <c r="D23" s="119" t="s">
        <v>263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340</v>
      </c>
      <c r="C24" s="43" t="s">
        <v>968</v>
      </c>
      <c r="D24" s="119" t="s">
        <v>950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264</v>
      </c>
      <c r="C25" s="117" t="s">
        <v>265</v>
      </c>
      <c r="D25" s="119" t="s">
        <v>1162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267</v>
      </c>
      <c r="C26" s="43" t="s">
        <v>268</v>
      </c>
      <c r="D26" s="119" t="s">
        <v>1163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389</v>
      </c>
      <c r="C27" s="117" t="s">
        <v>390</v>
      </c>
      <c r="D27" s="119" t="s">
        <v>332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270</v>
      </c>
      <c r="C28" s="117" t="s">
        <v>1164</v>
      </c>
      <c r="D28" s="119" t="s">
        <v>432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387</v>
      </c>
      <c r="C29" s="43" t="s">
        <v>1165</v>
      </c>
      <c r="D29" s="119" t="s">
        <v>432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427</v>
      </c>
      <c r="C30" s="43" t="s">
        <v>1128</v>
      </c>
      <c r="D30" s="119" t="s">
        <v>345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1113</v>
      </c>
      <c r="C31" s="117" t="s">
        <v>293</v>
      </c>
      <c r="D31" s="119" t="s">
        <v>301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278</v>
      </c>
      <c r="C32" s="46" t="s">
        <v>176</v>
      </c>
      <c r="D32" s="49" t="s">
        <v>24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280</v>
      </c>
      <c r="C33" s="117" t="s">
        <v>176</v>
      </c>
      <c r="D33" s="119" t="s">
        <v>1129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1020</v>
      </c>
      <c r="C34" s="117" t="s">
        <v>967</v>
      </c>
      <c r="D34" s="119" t="s">
        <v>945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282</v>
      </c>
      <c r="C35" s="117" t="s">
        <v>967</v>
      </c>
      <c r="D35" s="119" t="s">
        <v>1166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370</v>
      </c>
      <c r="C36" s="17" t="s">
        <v>1130</v>
      </c>
      <c r="D36" s="119" t="s">
        <v>291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284</v>
      </c>
      <c r="C37" s="43" t="s">
        <v>1022</v>
      </c>
      <c r="D37" s="49" t="s">
        <v>291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287</v>
      </c>
      <c r="C38" s="17" t="s">
        <v>288</v>
      </c>
      <c r="D38" s="119" t="s">
        <v>30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1167</v>
      </c>
      <c r="C39" s="17" t="s">
        <v>288</v>
      </c>
      <c r="D39" s="119" t="s">
        <v>30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289</v>
      </c>
      <c r="C40" s="43" t="s">
        <v>1131</v>
      </c>
      <c r="D40" s="49" t="s">
        <v>30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933</v>
      </c>
      <c r="C41" s="117" t="s">
        <v>293</v>
      </c>
      <c r="D41" s="119" t="s">
        <v>30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1114</v>
      </c>
      <c r="C42" s="117" t="s">
        <v>293</v>
      </c>
      <c r="D42" s="119" t="s">
        <v>30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33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34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295</v>
      </c>
      <c r="C46" s="43" t="s">
        <v>296</v>
      </c>
      <c r="D46" s="49" t="s">
        <v>1168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298</v>
      </c>
      <c r="C47" s="43" t="s">
        <v>537</v>
      </c>
      <c r="D47" s="49" t="s">
        <v>30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38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302</v>
      </c>
      <c r="C51" s="43" t="s">
        <v>303</v>
      </c>
      <c r="D51" s="49" t="s">
        <v>297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304</v>
      </c>
      <c r="C52" s="43" t="s">
        <v>305</v>
      </c>
      <c r="D52" s="49" t="s">
        <v>249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306</v>
      </c>
      <c r="C53" s="43" t="s">
        <v>310</v>
      </c>
      <c r="D53" s="49" t="s">
        <v>249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309</v>
      </c>
      <c r="C54" s="43" t="s">
        <v>310</v>
      </c>
      <c r="D54" s="49" t="s">
        <v>327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311</v>
      </c>
      <c r="C55" s="43" t="s">
        <v>259</v>
      </c>
      <c r="D55" s="49" t="s">
        <v>254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312</v>
      </c>
      <c r="C56" s="43" t="s">
        <v>259</v>
      </c>
      <c r="D56" s="49" t="s">
        <v>342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313</v>
      </c>
      <c r="C57" s="43" t="s">
        <v>256</v>
      </c>
      <c r="D57" s="16" t="s">
        <v>342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1025</v>
      </c>
      <c r="C58" s="43" t="s">
        <v>46</v>
      </c>
      <c r="D58" s="49" t="s">
        <v>266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258</v>
      </c>
      <c r="C59" s="43" t="s">
        <v>353</v>
      </c>
      <c r="D59" s="10" t="s">
        <v>950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315</v>
      </c>
      <c r="C60" s="43" t="s">
        <v>63</v>
      </c>
      <c r="D60" s="49" t="s">
        <v>24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316</v>
      </c>
      <c r="C61" s="43" t="s">
        <v>63</v>
      </c>
      <c r="D61" s="49" t="s">
        <v>24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317</v>
      </c>
      <c r="C62" s="43" t="s">
        <v>63</v>
      </c>
      <c r="D62" s="49" t="s">
        <v>24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33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318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319</v>
      </c>
      <c r="C66" s="117" t="s">
        <v>320</v>
      </c>
      <c r="D66" s="119" t="s">
        <v>297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321</v>
      </c>
      <c r="C67" s="117" t="s">
        <v>322</v>
      </c>
      <c r="D67" s="119" t="s">
        <v>222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33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1169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323</v>
      </c>
      <c r="C71" s="17" t="s">
        <v>324</v>
      </c>
      <c r="D71" s="10" t="s">
        <v>297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325</v>
      </c>
      <c r="C72" s="17" t="s">
        <v>326</v>
      </c>
      <c r="D72" s="119" t="s">
        <v>952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328</v>
      </c>
      <c r="C73" s="43" t="s">
        <v>46</v>
      </c>
      <c r="D73" s="10" t="s">
        <v>950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329</v>
      </c>
      <c r="C74" s="17" t="s">
        <v>46</v>
      </c>
      <c r="D74" s="119" t="s">
        <v>1162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330</v>
      </c>
      <c r="C75" s="17" t="s">
        <v>256</v>
      </c>
      <c r="D75" s="119" t="s">
        <v>342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331</v>
      </c>
      <c r="C76" s="4" t="s">
        <v>63</v>
      </c>
      <c r="D76" s="10" t="s">
        <v>1170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1033</v>
      </c>
      <c r="C77" s="17" t="s">
        <v>275</v>
      </c>
      <c r="D77" s="119" t="s">
        <v>332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333</v>
      </c>
      <c r="C78" s="17" t="s">
        <v>275</v>
      </c>
      <c r="D78" s="119" t="s">
        <v>41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334</v>
      </c>
      <c r="C79" s="17" t="s">
        <v>275</v>
      </c>
      <c r="D79" s="119" t="s">
        <v>41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335</v>
      </c>
      <c r="C80" s="43" t="s">
        <v>344</v>
      </c>
      <c r="D80" s="49" t="s">
        <v>432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1115</v>
      </c>
      <c r="C81" s="17" t="s">
        <v>63</v>
      </c>
      <c r="D81" s="49" t="s">
        <v>37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281</v>
      </c>
      <c r="C82" s="17" t="s">
        <v>273</v>
      </c>
      <c r="D82" s="49" t="s">
        <v>24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272</v>
      </c>
      <c r="C83" s="17" t="s">
        <v>273</v>
      </c>
      <c r="D83" s="49" t="s">
        <v>30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33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1171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338</v>
      </c>
      <c r="C87" s="43" t="s">
        <v>339</v>
      </c>
      <c r="D87" s="49" t="s">
        <v>297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220</v>
      </c>
      <c r="C88" s="46" t="s">
        <v>221</v>
      </c>
      <c r="D88" s="119" t="s">
        <v>952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1116</v>
      </c>
      <c r="C89" s="46" t="s">
        <v>1117</v>
      </c>
      <c r="D89" s="119" t="s">
        <v>952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343</v>
      </c>
      <c r="C90" s="43" t="s">
        <v>344</v>
      </c>
      <c r="D90" s="49" t="s">
        <v>37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33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1172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1173</v>
      </c>
      <c r="C94" s="43" t="s">
        <v>1134</v>
      </c>
      <c r="D94" s="49" t="s">
        <v>308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349</v>
      </c>
      <c r="C95" s="43" t="s">
        <v>310</v>
      </c>
      <c r="D95" s="49" t="s">
        <v>249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350</v>
      </c>
      <c r="C96" s="43" t="s">
        <v>310</v>
      </c>
      <c r="D96" s="49" t="s">
        <v>249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386</v>
      </c>
      <c r="C97" s="43" t="s">
        <v>256</v>
      </c>
      <c r="D97" s="49" t="s">
        <v>257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351</v>
      </c>
      <c r="C98" s="43" t="s">
        <v>259</v>
      </c>
      <c r="D98" s="49" t="s">
        <v>342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1174</v>
      </c>
      <c r="C99" s="43" t="s">
        <v>259</v>
      </c>
      <c r="D99" s="49" t="s">
        <v>356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352</v>
      </c>
      <c r="C100" s="43" t="s">
        <v>353</v>
      </c>
      <c r="D100" s="119" t="s">
        <v>950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354</v>
      </c>
      <c r="C101" s="117" t="s">
        <v>46</v>
      </c>
      <c r="D101" s="119" t="s">
        <v>1162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355</v>
      </c>
      <c r="C102" s="117" t="s">
        <v>46</v>
      </c>
      <c r="D102" s="119" t="s">
        <v>1162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357</v>
      </c>
      <c r="C103" s="17" t="s">
        <v>275</v>
      </c>
      <c r="D103" s="119" t="s">
        <v>41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359</v>
      </c>
      <c r="C104" s="43" t="s">
        <v>63</v>
      </c>
      <c r="D104" s="49" t="s">
        <v>24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361</v>
      </c>
      <c r="C105" s="17" t="s">
        <v>362</v>
      </c>
      <c r="D105" s="119" t="s">
        <v>30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33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1175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232</v>
      </c>
      <c r="C109" s="49" t="s">
        <v>233</v>
      </c>
      <c r="D109" s="119" t="s">
        <v>308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250</v>
      </c>
      <c r="C110" s="4" t="s">
        <v>367</v>
      </c>
      <c r="D110" s="10" t="s">
        <v>342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1135</v>
      </c>
      <c r="C111" s="4" t="s">
        <v>1136</v>
      </c>
      <c r="D111" s="119" t="s">
        <v>1162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368</v>
      </c>
      <c r="C112" s="43" t="s">
        <v>1176</v>
      </c>
      <c r="D112" s="119" t="s">
        <v>1177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33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1178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373</v>
      </c>
      <c r="C116" s="117" t="s">
        <v>374</v>
      </c>
      <c r="D116" s="119" t="s">
        <v>297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375</v>
      </c>
      <c r="C117" s="43" t="s">
        <v>376</v>
      </c>
      <c r="D117" s="49" t="s">
        <v>249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377</v>
      </c>
      <c r="C118" s="43" t="s">
        <v>378</v>
      </c>
      <c r="D118" s="49" t="s">
        <v>263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379</v>
      </c>
      <c r="C119" s="43" t="s">
        <v>378</v>
      </c>
      <c r="D119" s="10" t="s">
        <v>266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380</v>
      </c>
      <c r="C120" s="46" t="s">
        <v>381</v>
      </c>
      <c r="D120" s="119" t="s">
        <v>945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383</v>
      </c>
      <c r="C121" s="46" t="s">
        <v>381</v>
      </c>
      <c r="D121" s="49" t="s">
        <v>291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385</v>
      </c>
      <c r="C122" s="46" t="s">
        <v>381</v>
      </c>
      <c r="D122" s="119" t="s">
        <v>30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33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1179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392</v>
      </c>
      <c r="C126" s="117" t="s">
        <v>393</v>
      </c>
      <c r="D126" s="119" t="s">
        <v>297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1138</v>
      </c>
      <c r="C127" s="117" t="s">
        <v>1139</v>
      </c>
      <c r="D127" s="119" t="s">
        <v>231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128</v>
      </c>
      <c r="C128" s="117" t="s">
        <v>227</v>
      </c>
      <c r="D128" s="119" t="s">
        <v>249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395</v>
      </c>
      <c r="C129" s="117" t="s">
        <v>227</v>
      </c>
      <c r="D129" s="119" t="s">
        <v>249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226</v>
      </c>
      <c r="C130" s="117" t="s">
        <v>227</v>
      </c>
      <c r="D130" s="119" t="s">
        <v>228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396</v>
      </c>
      <c r="C131" s="117" t="s">
        <v>1141</v>
      </c>
      <c r="D131" s="119" t="s">
        <v>266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398</v>
      </c>
      <c r="C132" s="117" t="s">
        <v>399</v>
      </c>
      <c r="D132" s="119" t="s">
        <v>950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400</v>
      </c>
      <c r="C133" s="117" t="s">
        <v>970</v>
      </c>
      <c r="D133" s="119" t="s">
        <v>950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1140</v>
      </c>
      <c r="C134" s="117" t="s">
        <v>1141</v>
      </c>
      <c r="D134" s="119" t="s">
        <v>951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401</v>
      </c>
      <c r="C135" s="117" t="s">
        <v>402</v>
      </c>
      <c r="D135" s="49" t="s">
        <v>24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403</v>
      </c>
      <c r="C136" s="117" t="s">
        <v>404</v>
      </c>
      <c r="D136" s="119" t="s">
        <v>30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33</v>
      </c>
      <c r="C137" s="162" t="s">
        <v>1142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1180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1181</v>
      </c>
      <c r="C140" s="117" t="s">
        <v>1182</v>
      </c>
      <c r="D140" s="119" t="s">
        <v>297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407</v>
      </c>
      <c r="C141" s="117" t="s">
        <v>408</v>
      </c>
      <c r="D141" s="119" t="s">
        <v>297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229</v>
      </c>
      <c r="C142" s="117" t="s">
        <v>230</v>
      </c>
      <c r="D142" s="119" t="s">
        <v>231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409</v>
      </c>
      <c r="C143" s="4" t="s">
        <v>1183</v>
      </c>
      <c r="D143" s="16" t="s">
        <v>249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1184</v>
      </c>
      <c r="C144" s="4" t="s">
        <v>1185</v>
      </c>
      <c r="D144" s="16" t="s">
        <v>249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411</v>
      </c>
      <c r="C145" s="117" t="s">
        <v>412</v>
      </c>
      <c r="D145" s="119" t="s">
        <v>342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413</v>
      </c>
      <c r="C146" s="43" t="s">
        <v>414</v>
      </c>
      <c r="D146" s="119" t="s">
        <v>342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366</v>
      </c>
      <c r="C147" s="43" t="s">
        <v>420</v>
      </c>
      <c r="D147" s="119" t="s">
        <v>950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416</v>
      </c>
      <c r="C148" s="117" t="s">
        <v>417</v>
      </c>
      <c r="D148" s="119" t="s">
        <v>332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418</v>
      </c>
      <c r="C149" s="117" t="s">
        <v>417</v>
      </c>
      <c r="D149" s="119" t="s">
        <v>332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419</v>
      </c>
      <c r="C150" s="43" t="s">
        <v>420</v>
      </c>
      <c r="D150" s="119" t="s">
        <v>332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421</v>
      </c>
      <c r="C151" s="43" t="s">
        <v>430</v>
      </c>
      <c r="D151" s="119" t="s">
        <v>432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423</v>
      </c>
      <c r="C152" s="117" t="s">
        <v>971</v>
      </c>
      <c r="D152" s="119" t="s">
        <v>345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425</v>
      </c>
      <c r="C153" s="117" t="s">
        <v>449</v>
      </c>
      <c r="D153" s="119" t="s">
        <v>432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1186</v>
      </c>
      <c r="C154" s="43" t="s">
        <v>430</v>
      </c>
      <c r="D154" s="119" t="s">
        <v>301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1187</v>
      </c>
      <c r="C155" s="43" t="s">
        <v>430</v>
      </c>
      <c r="D155" s="119" t="s">
        <v>301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433</v>
      </c>
      <c r="C156" s="43" t="s">
        <v>430</v>
      </c>
      <c r="D156" s="119" t="s">
        <v>301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434</v>
      </c>
      <c r="C157" s="117" t="s">
        <v>435</v>
      </c>
      <c r="D157" s="119" t="s">
        <v>37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953</v>
      </c>
      <c r="C158" s="117" t="s">
        <v>437</v>
      </c>
      <c r="D158" s="49" t="s">
        <v>24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438</v>
      </c>
      <c r="C159" s="117" t="s">
        <v>449</v>
      </c>
      <c r="D159" s="119" t="s">
        <v>945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440</v>
      </c>
      <c r="C160" s="117" t="s">
        <v>1188</v>
      </c>
      <c r="D160" s="119" t="s">
        <v>945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442</v>
      </c>
      <c r="C161" s="117" t="s">
        <v>449</v>
      </c>
      <c r="D161" s="119" t="s">
        <v>945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444</v>
      </c>
      <c r="C162" s="117" t="s">
        <v>445</v>
      </c>
      <c r="D162" s="119" t="s">
        <v>945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446</v>
      </c>
      <c r="C163" s="117" t="s">
        <v>451</v>
      </c>
      <c r="D163" s="119" t="s">
        <v>1166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1143</v>
      </c>
      <c r="C164" s="117" t="s">
        <v>449</v>
      </c>
      <c r="D164" s="119" t="s">
        <v>30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448</v>
      </c>
      <c r="C165" s="117" t="s">
        <v>449</v>
      </c>
      <c r="D165" s="119" t="s">
        <v>30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450</v>
      </c>
      <c r="C166" s="117" t="s">
        <v>451</v>
      </c>
      <c r="D166" s="119" t="s">
        <v>30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452</v>
      </c>
      <c r="C167" s="117" t="s">
        <v>453</v>
      </c>
      <c r="D167" s="119" t="s">
        <v>30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454</v>
      </c>
      <c r="C168" s="117" t="s">
        <v>455</v>
      </c>
      <c r="D168" s="119" t="s">
        <v>30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457</v>
      </c>
      <c r="C169" s="117" t="s">
        <v>458</v>
      </c>
      <c r="D169" s="119" t="s">
        <v>476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460</v>
      </c>
      <c r="C170" s="117" t="s">
        <v>458</v>
      </c>
      <c r="D170" s="119" t="s">
        <v>476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461</v>
      </c>
      <c r="C171" s="117" t="s">
        <v>458</v>
      </c>
      <c r="D171" s="119" t="s">
        <v>476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664</v>
      </c>
      <c r="C172" s="117" t="s">
        <v>458</v>
      </c>
      <c r="D172" s="119" t="s">
        <v>476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662</v>
      </c>
      <c r="C173" s="117" t="s">
        <v>458</v>
      </c>
      <c r="D173" s="119" t="s">
        <v>476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462</v>
      </c>
      <c r="C174" s="117" t="s">
        <v>458</v>
      </c>
      <c r="D174" s="119" t="s">
        <v>476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463</v>
      </c>
      <c r="C175" s="117" t="s">
        <v>458</v>
      </c>
      <c r="D175" s="119" t="s">
        <v>476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464</v>
      </c>
      <c r="C176" s="117" t="s">
        <v>478</v>
      </c>
      <c r="D176" s="119" t="s">
        <v>1189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466</v>
      </c>
      <c r="C177" s="117" t="s">
        <v>478</v>
      </c>
      <c r="D177" s="119" t="s">
        <v>1189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1121</v>
      </c>
      <c r="C178" s="117" t="s">
        <v>478</v>
      </c>
      <c r="D178" s="119" t="s">
        <v>1189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467</v>
      </c>
      <c r="C179" s="117" t="s">
        <v>478</v>
      </c>
      <c r="D179" s="119" t="s">
        <v>1189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468</v>
      </c>
      <c r="C180" s="117" t="s">
        <v>478</v>
      </c>
      <c r="D180" s="119" t="s">
        <v>1189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469</v>
      </c>
      <c r="C181" s="117" t="s">
        <v>478</v>
      </c>
      <c r="D181" s="119" t="s">
        <v>1189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470</v>
      </c>
      <c r="C182" s="117" t="s">
        <v>478</v>
      </c>
      <c r="D182" s="119" t="s">
        <v>1189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471</v>
      </c>
      <c r="C183" s="117" t="s">
        <v>478</v>
      </c>
      <c r="D183" s="119" t="s">
        <v>954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474</v>
      </c>
      <c r="C184" s="117" t="s">
        <v>478</v>
      </c>
      <c r="D184" s="119" t="s">
        <v>954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475</v>
      </c>
      <c r="C185" s="117" t="s">
        <v>478</v>
      </c>
      <c r="D185" s="119" t="s">
        <v>479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477</v>
      </c>
      <c r="C186" s="117" t="s">
        <v>478</v>
      </c>
      <c r="D186" s="119" t="s">
        <v>492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480</v>
      </c>
      <c r="C187" s="117" t="s">
        <v>481</v>
      </c>
      <c r="D187" s="119" t="s">
        <v>1190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483</v>
      </c>
      <c r="C188" s="117" t="s">
        <v>481</v>
      </c>
      <c r="D188" s="119" t="s">
        <v>1190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484</v>
      </c>
      <c r="C189" s="117" t="s">
        <v>481</v>
      </c>
      <c r="D189" s="119" t="s">
        <v>1190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485</v>
      </c>
      <c r="C190" s="117" t="s">
        <v>481</v>
      </c>
      <c r="D190" s="119" t="s">
        <v>1190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486</v>
      </c>
      <c r="C191" s="117" t="s">
        <v>481</v>
      </c>
      <c r="D191" s="119" t="s">
        <v>1190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487</v>
      </c>
      <c r="C192" s="117" t="s">
        <v>481</v>
      </c>
      <c r="D192" s="119" t="s">
        <v>502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488</v>
      </c>
      <c r="C193" s="117" t="s">
        <v>481</v>
      </c>
      <c r="D193" s="119" t="s">
        <v>502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489</v>
      </c>
      <c r="C194" s="117" t="s">
        <v>481</v>
      </c>
      <c r="D194" s="119" t="s">
        <v>494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490</v>
      </c>
      <c r="C195" s="117" t="s">
        <v>481</v>
      </c>
      <c r="D195" s="119" t="s">
        <v>494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491</v>
      </c>
      <c r="C196" s="117" t="s">
        <v>481</v>
      </c>
      <c r="D196" s="119" t="s">
        <v>494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493</v>
      </c>
      <c r="C197" s="117" t="s">
        <v>481</v>
      </c>
      <c r="D197" s="119" t="s">
        <v>497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33</v>
      </c>
      <c r="C198" s="172" t="s">
        <v>1191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80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1192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1148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1193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1150</v>
      </c>
      <c r="F6" s="57" t="s">
        <v>1194</v>
      </c>
      <c r="G6" s="43"/>
      <c r="H6" s="57"/>
      <c r="I6" s="57"/>
      <c r="J6" s="57"/>
      <c r="K6" s="57"/>
      <c r="L6" s="57"/>
      <c r="M6" s="57" t="s">
        <v>1195</v>
      </c>
      <c r="N6" s="57" t="s">
        <v>1196</v>
      </c>
      <c r="O6" s="57" t="s">
        <v>1197</v>
      </c>
      <c r="P6" s="57" t="s">
        <v>1198</v>
      </c>
      <c r="Q6" s="57" t="s">
        <v>1199</v>
      </c>
      <c r="R6" s="57" t="s">
        <v>1200</v>
      </c>
      <c r="S6" s="57" t="s">
        <v>1201</v>
      </c>
      <c r="T6" s="57" t="s">
        <v>1202</v>
      </c>
      <c r="U6" s="57" t="s">
        <v>511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1151</v>
      </c>
      <c r="F7" s="57" t="s">
        <v>195</v>
      </c>
      <c r="G7" s="111" t="s">
        <v>1203</v>
      </c>
      <c r="H7" s="57" t="s">
        <v>566</v>
      </c>
      <c r="I7" s="57" t="s">
        <v>567</v>
      </c>
      <c r="J7" s="57" t="s">
        <v>568</v>
      </c>
      <c r="K7" s="57" t="s">
        <v>569</v>
      </c>
      <c r="L7" s="57" t="s">
        <v>570</v>
      </c>
      <c r="M7" s="57" t="s">
        <v>571</v>
      </c>
      <c r="N7" s="57" t="s">
        <v>7</v>
      </c>
      <c r="O7" s="57" t="s">
        <v>7</v>
      </c>
      <c r="P7" s="57" t="s">
        <v>572</v>
      </c>
      <c r="Q7" s="57" t="s">
        <v>572</v>
      </c>
      <c r="R7" s="57" t="s">
        <v>8</v>
      </c>
      <c r="S7" s="57" t="s">
        <v>195</v>
      </c>
      <c r="T7" s="111" t="s">
        <v>195</v>
      </c>
      <c r="U7" s="111"/>
      <c r="V7" s="111"/>
      <c r="W7" s="57" t="s">
        <v>509</v>
      </c>
      <c r="X7" s="111" t="s">
        <v>516</v>
      </c>
      <c r="Y7" s="57" t="s">
        <v>511</v>
      </c>
      <c r="Z7" s="57"/>
      <c r="AA7" s="57"/>
      <c r="AB7" s="57"/>
    </row>
    <row r="8" customHeight="1" spans="1:28">
      <c r="A8" s="42" t="s">
        <v>20</v>
      </c>
      <c r="B8" s="112" t="s">
        <v>1204</v>
      </c>
      <c r="C8" s="112"/>
      <c r="D8" s="113"/>
      <c r="E8" s="113"/>
      <c r="F8" s="114" t="s">
        <v>19</v>
      </c>
      <c r="G8" s="68"/>
      <c r="H8" s="114"/>
      <c r="I8" s="114" t="s">
        <v>19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19</v>
      </c>
      <c r="T8" s="114" t="s">
        <v>19</v>
      </c>
      <c r="U8" s="114" t="s">
        <v>19</v>
      </c>
      <c r="V8" s="114"/>
      <c r="W8" s="114" t="s">
        <v>19</v>
      </c>
      <c r="X8" s="114" t="s">
        <v>19</v>
      </c>
      <c r="Y8" s="114" t="s">
        <v>19</v>
      </c>
      <c r="Z8" s="114"/>
      <c r="AA8" s="114"/>
      <c r="AB8" s="114"/>
    </row>
    <row r="9" customHeight="1" spans="1:29">
      <c r="A9" s="49">
        <v>1</v>
      </c>
      <c r="B9" s="115" t="s">
        <v>236</v>
      </c>
      <c r="C9" s="116"/>
      <c r="D9" s="117" t="s">
        <v>237</v>
      </c>
      <c r="E9" s="117" t="s">
        <v>238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1154</v>
      </c>
      <c r="C10" s="116"/>
      <c r="D10" s="117" t="s">
        <v>1155</v>
      </c>
      <c r="E10" s="119" t="s">
        <v>297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1205</v>
      </c>
      <c r="C11" s="54"/>
      <c r="D11" s="120" t="s">
        <v>1206</v>
      </c>
      <c r="E11" s="121" t="s">
        <v>231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1016</v>
      </c>
      <c r="C12" s="116"/>
      <c r="D12" s="43" t="s">
        <v>1156</v>
      </c>
      <c r="E12" s="49" t="s">
        <v>308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1107</v>
      </c>
      <c r="C13" s="54"/>
      <c r="D13" s="120" t="s">
        <v>1108</v>
      </c>
      <c r="E13" s="121" t="s">
        <v>308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239</v>
      </c>
      <c r="C14" s="116"/>
      <c r="D14" s="117" t="s">
        <v>240</v>
      </c>
      <c r="E14" s="49" t="s">
        <v>1157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363</v>
      </c>
      <c r="C15" s="54"/>
      <c r="D15" s="43" t="s">
        <v>1158</v>
      </c>
      <c r="E15" s="124" t="s">
        <v>249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243</v>
      </c>
      <c r="C16" s="126"/>
      <c r="D16" s="17" t="s">
        <v>326</v>
      </c>
      <c r="E16" s="10" t="s">
        <v>249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245</v>
      </c>
      <c r="C17" s="54"/>
      <c r="D17" s="43" t="s">
        <v>1159</v>
      </c>
      <c r="E17" s="49" t="s">
        <v>249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247</v>
      </c>
      <c r="C18" s="117"/>
      <c r="D18" s="117" t="s">
        <v>1160</v>
      </c>
      <c r="E18" s="119" t="s">
        <v>249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223</v>
      </c>
      <c r="C19" s="116"/>
      <c r="D19" s="117" t="s">
        <v>224</v>
      </c>
      <c r="E19" s="50" t="s">
        <v>952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1109</v>
      </c>
      <c r="C20" s="54"/>
      <c r="D20" s="120" t="s">
        <v>1110</v>
      </c>
      <c r="E20" s="127" t="s">
        <v>342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1019</v>
      </c>
      <c r="C21" s="54"/>
      <c r="D21" s="120" t="s">
        <v>253</v>
      </c>
      <c r="E21" s="49" t="s">
        <v>342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1111</v>
      </c>
      <c r="C22" s="54"/>
      <c r="D22" s="43" t="s">
        <v>1112</v>
      </c>
      <c r="E22" s="49" t="s">
        <v>342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252</v>
      </c>
      <c r="C23" s="116"/>
      <c r="D23" s="120" t="s">
        <v>1161</v>
      </c>
      <c r="E23" s="119" t="s">
        <v>263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241</v>
      </c>
      <c r="C24" s="54"/>
      <c r="D24" s="43" t="s">
        <v>1207</v>
      </c>
      <c r="E24" s="119" t="s">
        <v>1163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264</v>
      </c>
      <c r="C25" s="116"/>
      <c r="D25" s="117" t="s">
        <v>265</v>
      </c>
      <c r="E25" s="119" t="s">
        <v>1162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270</v>
      </c>
      <c r="C26" s="116"/>
      <c r="D26" s="117" t="s">
        <v>1164</v>
      </c>
      <c r="E26" s="119" t="s">
        <v>432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389</v>
      </c>
      <c r="C27" s="116"/>
      <c r="D27" s="117" t="s">
        <v>390</v>
      </c>
      <c r="E27" s="119" t="s">
        <v>332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267</v>
      </c>
      <c r="C28" s="116"/>
      <c r="D28" s="43" t="s">
        <v>268</v>
      </c>
      <c r="E28" s="119" t="s">
        <v>345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280</v>
      </c>
      <c r="C29" s="116"/>
      <c r="D29" s="117" t="s">
        <v>176</v>
      </c>
      <c r="E29" s="119" t="s">
        <v>1129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933</v>
      </c>
      <c r="C30" s="116"/>
      <c r="D30" s="117" t="s">
        <v>293</v>
      </c>
      <c r="E30" s="119" t="s">
        <v>30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1113</v>
      </c>
      <c r="C31" s="116"/>
      <c r="D31" s="117" t="s">
        <v>293</v>
      </c>
      <c r="E31" s="119" t="s">
        <v>301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340</v>
      </c>
      <c r="C32" s="117"/>
      <c r="D32" s="43" t="s">
        <v>968</v>
      </c>
      <c r="E32" s="119" t="s">
        <v>950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387</v>
      </c>
      <c r="C33" s="116"/>
      <c r="D33" s="43" t="s">
        <v>1165</v>
      </c>
      <c r="E33" s="119" t="s">
        <v>432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427</v>
      </c>
      <c r="C34" s="116"/>
      <c r="D34" s="43" t="s">
        <v>1128</v>
      </c>
      <c r="E34" s="119" t="s">
        <v>345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1020</v>
      </c>
      <c r="C35" s="116"/>
      <c r="D35" s="117" t="s">
        <v>967</v>
      </c>
      <c r="E35" s="119" t="s">
        <v>945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282</v>
      </c>
      <c r="C36" s="116"/>
      <c r="D36" s="117" t="s">
        <v>967</v>
      </c>
      <c r="E36" s="119" t="s">
        <v>1166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370</v>
      </c>
      <c r="C37" s="126"/>
      <c r="D37" s="17" t="s">
        <v>1130</v>
      </c>
      <c r="E37" s="119" t="s">
        <v>291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287</v>
      </c>
      <c r="C38" s="126"/>
      <c r="D38" s="17" t="s">
        <v>288</v>
      </c>
      <c r="E38" s="119" t="s">
        <v>30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33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34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295</v>
      </c>
      <c r="C42" s="116"/>
      <c r="D42" s="43" t="s">
        <v>296</v>
      </c>
      <c r="E42" s="49" t="s">
        <v>1168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33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38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302</v>
      </c>
      <c r="C46" s="116"/>
      <c r="D46" s="43" t="s">
        <v>303</v>
      </c>
      <c r="E46" s="49" t="s">
        <v>297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304</v>
      </c>
      <c r="C47" s="116"/>
      <c r="D47" s="43" t="s">
        <v>305</v>
      </c>
      <c r="E47" s="49" t="s">
        <v>249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306</v>
      </c>
      <c r="C48" s="116"/>
      <c r="D48" s="43" t="s">
        <v>310</v>
      </c>
      <c r="E48" s="49" t="s">
        <v>249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309</v>
      </c>
      <c r="C49" s="116"/>
      <c r="D49" s="43" t="s">
        <v>310</v>
      </c>
      <c r="E49" s="49" t="s">
        <v>327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311</v>
      </c>
      <c r="C50" s="116"/>
      <c r="D50" s="43" t="s">
        <v>259</v>
      </c>
      <c r="E50" s="49" t="s">
        <v>254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312</v>
      </c>
      <c r="C51" s="116"/>
      <c r="D51" s="43" t="s">
        <v>259</v>
      </c>
      <c r="E51" s="49" t="s">
        <v>342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313</v>
      </c>
      <c r="C52" s="137"/>
      <c r="D52" s="43" t="s">
        <v>256</v>
      </c>
      <c r="E52" s="16" t="s">
        <v>342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1025</v>
      </c>
      <c r="C53" s="116"/>
      <c r="D53" s="43" t="s">
        <v>46</v>
      </c>
      <c r="E53" s="49" t="s">
        <v>266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1208</v>
      </c>
      <c r="C54" s="139"/>
      <c r="D54" s="140" t="s">
        <v>256</v>
      </c>
      <c r="E54" s="141" t="s">
        <v>260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258</v>
      </c>
      <c r="C55" s="126"/>
      <c r="D55" s="43" t="s">
        <v>353</v>
      </c>
      <c r="E55" s="10" t="s">
        <v>950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33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318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319</v>
      </c>
      <c r="C59" s="116"/>
      <c r="D59" s="117" t="s">
        <v>320</v>
      </c>
      <c r="E59" s="119" t="s">
        <v>297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321</v>
      </c>
      <c r="C60" s="116"/>
      <c r="D60" s="117" t="s">
        <v>322</v>
      </c>
      <c r="E60" s="119" t="s">
        <v>222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33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1169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323</v>
      </c>
      <c r="C64" s="126"/>
      <c r="D64" s="17" t="s">
        <v>324</v>
      </c>
      <c r="E64" s="10" t="s">
        <v>297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325</v>
      </c>
      <c r="C65" s="126"/>
      <c r="D65" s="17" t="s">
        <v>326</v>
      </c>
      <c r="E65" s="119" t="s">
        <v>952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1209</v>
      </c>
      <c r="C66" s="126"/>
      <c r="D66" s="4" t="s">
        <v>353</v>
      </c>
      <c r="E66" s="10" t="s">
        <v>263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328</v>
      </c>
      <c r="C67" s="126"/>
      <c r="D67" s="43" t="s">
        <v>46</v>
      </c>
      <c r="E67" s="10" t="s">
        <v>950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1210</v>
      </c>
      <c r="C68" s="126"/>
      <c r="D68" s="17" t="s">
        <v>46</v>
      </c>
      <c r="E68" s="119" t="s">
        <v>1162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330</v>
      </c>
      <c r="C69" s="54"/>
      <c r="D69" s="17" t="s">
        <v>256</v>
      </c>
      <c r="E69" s="119" t="s">
        <v>342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331</v>
      </c>
      <c r="C70" s="126"/>
      <c r="D70" s="4" t="s">
        <v>63</v>
      </c>
      <c r="E70" s="10" t="s">
        <v>1170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1033</v>
      </c>
      <c r="C71" s="117"/>
      <c r="D71" s="17" t="s">
        <v>63</v>
      </c>
      <c r="E71" s="119" t="s">
        <v>332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335</v>
      </c>
      <c r="C72" s="116"/>
      <c r="D72" s="43" t="s">
        <v>344</v>
      </c>
      <c r="E72" s="49" t="s">
        <v>432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1115</v>
      </c>
      <c r="C73" s="126"/>
      <c r="D73" s="17" t="s">
        <v>63</v>
      </c>
      <c r="E73" s="49" t="s">
        <v>37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281</v>
      </c>
      <c r="C74" s="126"/>
      <c r="D74" s="17" t="s">
        <v>273</v>
      </c>
      <c r="E74" s="49" t="s">
        <v>30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272</v>
      </c>
      <c r="C75" s="54"/>
      <c r="D75" s="17" t="s">
        <v>273</v>
      </c>
      <c r="E75" s="49" t="s">
        <v>30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33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1171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338</v>
      </c>
      <c r="C79" s="116"/>
      <c r="D79" s="43" t="s">
        <v>339</v>
      </c>
      <c r="E79" s="49" t="s">
        <v>297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220</v>
      </c>
      <c r="D80" s="46" t="s">
        <v>221</v>
      </c>
      <c r="E80" s="119" t="s">
        <v>952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1116</v>
      </c>
      <c r="D81" s="46" t="s">
        <v>1117</v>
      </c>
      <c r="E81" s="119" t="s">
        <v>952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1211</v>
      </c>
      <c r="C82" s="116"/>
      <c r="D82" s="43" t="s">
        <v>353</v>
      </c>
      <c r="E82" s="119" t="s">
        <v>950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343</v>
      </c>
      <c r="C83" s="116"/>
      <c r="D83" s="43" t="s">
        <v>344</v>
      </c>
      <c r="E83" s="49" t="s">
        <v>37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284</v>
      </c>
      <c r="C84" s="116"/>
      <c r="D84" s="43" t="s">
        <v>1022</v>
      </c>
      <c r="E84" s="49" t="s">
        <v>291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289</v>
      </c>
      <c r="C85" s="116"/>
      <c r="D85" s="43" t="s">
        <v>1131</v>
      </c>
      <c r="E85" s="49" t="s">
        <v>30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33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1172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1173</v>
      </c>
      <c r="C89" s="116"/>
      <c r="D89" s="43" t="s">
        <v>1134</v>
      </c>
      <c r="E89" s="49" t="s">
        <v>308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349</v>
      </c>
      <c r="C90" s="116"/>
      <c r="D90" s="43" t="s">
        <v>310</v>
      </c>
      <c r="E90" s="49" t="s">
        <v>249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350</v>
      </c>
      <c r="C91" s="116"/>
      <c r="D91" s="43" t="s">
        <v>310</v>
      </c>
      <c r="E91" s="49" t="s">
        <v>249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1212</v>
      </c>
      <c r="C92" s="116"/>
      <c r="D92" s="43" t="s">
        <v>259</v>
      </c>
      <c r="E92" s="49" t="s">
        <v>342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386</v>
      </c>
      <c r="C93" s="54"/>
      <c r="D93" s="43" t="s">
        <v>256</v>
      </c>
      <c r="E93" s="49" t="s">
        <v>257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351</v>
      </c>
      <c r="C94" s="126"/>
      <c r="D94" s="43" t="s">
        <v>259</v>
      </c>
      <c r="E94" s="49" t="s">
        <v>342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1213</v>
      </c>
      <c r="C95" s="116"/>
      <c r="D95" s="117" t="s">
        <v>256</v>
      </c>
      <c r="E95" s="119" t="s">
        <v>260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779" t="s">
        <v>1214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352</v>
      </c>
      <c r="C96" s="117"/>
      <c r="D96" s="43" t="s">
        <v>353</v>
      </c>
      <c r="E96" s="119" t="s">
        <v>950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354</v>
      </c>
      <c r="C97" s="116"/>
      <c r="D97" s="117" t="s">
        <v>46</v>
      </c>
      <c r="E97" s="119" t="s">
        <v>1162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355</v>
      </c>
      <c r="C98" s="116"/>
      <c r="D98" s="117" t="s">
        <v>46</v>
      </c>
      <c r="E98" s="119" t="s">
        <v>1162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33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1175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232</v>
      </c>
      <c r="C102" s="116"/>
      <c r="D102" s="49" t="s">
        <v>233</v>
      </c>
      <c r="E102" s="119" t="s">
        <v>308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250</v>
      </c>
      <c r="C103" s="126"/>
      <c r="D103" s="4" t="s">
        <v>367</v>
      </c>
      <c r="E103" s="10" t="s">
        <v>342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1135</v>
      </c>
      <c r="C104" s="126"/>
      <c r="D104" s="4" t="s">
        <v>1136</v>
      </c>
      <c r="E104" s="119" t="s">
        <v>1162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368</v>
      </c>
      <c r="C105" s="116"/>
      <c r="D105" s="43" t="s">
        <v>1176</v>
      </c>
      <c r="E105" s="119" t="s">
        <v>1177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33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1178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373</v>
      </c>
      <c r="C109" s="116"/>
      <c r="D109" s="117" t="s">
        <v>374</v>
      </c>
      <c r="E109" s="119" t="s">
        <v>297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375</v>
      </c>
      <c r="C110" s="164"/>
      <c r="D110" s="43" t="s">
        <v>376</v>
      </c>
      <c r="E110" s="49" t="s">
        <v>249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377</v>
      </c>
      <c r="C111" s="116"/>
      <c r="D111" s="43" t="s">
        <v>378</v>
      </c>
      <c r="E111" s="49" t="s">
        <v>263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379</v>
      </c>
      <c r="C112" s="126"/>
      <c r="D112" s="43" t="s">
        <v>378</v>
      </c>
      <c r="E112" s="10" t="s">
        <v>266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380</v>
      </c>
      <c r="C113" s="116"/>
      <c r="D113" s="46" t="s">
        <v>381</v>
      </c>
      <c r="E113" s="119" t="s">
        <v>945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383</v>
      </c>
      <c r="C114" s="126"/>
      <c r="D114" s="46" t="s">
        <v>381</v>
      </c>
      <c r="E114" s="49" t="s">
        <v>291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385</v>
      </c>
      <c r="C115" s="116"/>
      <c r="D115" s="46" t="s">
        <v>381</v>
      </c>
      <c r="E115" s="119" t="s">
        <v>30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1215</v>
      </c>
      <c r="C116" s="116"/>
      <c r="D116" s="46" t="s">
        <v>381</v>
      </c>
      <c r="E116" s="119" t="s">
        <v>30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33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1179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392</v>
      </c>
      <c r="C120" s="117"/>
      <c r="D120" s="117" t="s">
        <v>393</v>
      </c>
      <c r="E120" s="119" t="s">
        <v>297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1138</v>
      </c>
      <c r="C121" s="117"/>
      <c r="D121" s="117" t="s">
        <v>1139</v>
      </c>
      <c r="E121" s="119" t="s">
        <v>231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128</v>
      </c>
      <c r="C122" s="117"/>
      <c r="D122" s="117" t="s">
        <v>227</v>
      </c>
      <c r="E122" s="119" t="s">
        <v>249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395</v>
      </c>
      <c r="C123" s="48"/>
      <c r="D123" s="117" t="s">
        <v>227</v>
      </c>
      <c r="E123" s="119" t="s">
        <v>249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226</v>
      </c>
      <c r="D124" s="117" t="s">
        <v>227</v>
      </c>
      <c r="E124" s="119" t="s">
        <v>228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396</v>
      </c>
      <c r="C125" s="166"/>
      <c r="D125" s="117" t="s">
        <v>1141</v>
      </c>
      <c r="E125" s="119" t="s">
        <v>266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398</v>
      </c>
      <c r="C126" s="117"/>
      <c r="D126" s="117" t="s">
        <v>399</v>
      </c>
      <c r="E126" s="119" t="s">
        <v>950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400</v>
      </c>
      <c r="C127" s="117"/>
      <c r="D127" s="117" t="s">
        <v>970</v>
      </c>
      <c r="E127" s="119" t="s">
        <v>950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1140</v>
      </c>
      <c r="C128" s="116"/>
      <c r="D128" s="117" t="s">
        <v>1141</v>
      </c>
      <c r="E128" s="119" t="s">
        <v>951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33</v>
      </c>
      <c r="C129" s="129"/>
      <c r="D129" s="162" t="s">
        <v>1120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1180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1181</v>
      </c>
      <c r="C132" s="117"/>
      <c r="D132" s="117" t="s">
        <v>1182</v>
      </c>
      <c r="E132" s="119" t="s">
        <v>297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407</v>
      </c>
      <c r="C133" s="117"/>
      <c r="D133" s="117" t="s">
        <v>408</v>
      </c>
      <c r="E133" s="119" t="s">
        <v>297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229</v>
      </c>
      <c r="C134" s="166"/>
      <c r="D134" s="117" t="s">
        <v>230</v>
      </c>
      <c r="E134" s="119" t="s">
        <v>231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409</v>
      </c>
      <c r="C135" s="137"/>
      <c r="D135" s="4" t="s">
        <v>1183</v>
      </c>
      <c r="E135" s="16" t="s">
        <v>249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1184</v>
      </c>
      <c r="C136" s="137"/>
      <c r="D136" s="4" t="s">
        <v>1185</v>
      </c>
      <c r="E136" s="16" t="s">
        <v>249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411</v>
      </c>
      <c r="C137" s="117"/>
      <c r="D137" s="117" t="s">
        <v>412</v>
      </c>
      <c r="E137" s="119" t="s">
        <v>342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413</v>
      </c>
      <c r="C138" s="117"/>
      <c r="D138" s="43" t="s">
        <v>414</v>
      </c>
      <c r="E138" s="119" t="s">
        <v>342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415</v>
      </c>
      <c r="C139" s="117"/>
      <c r="D139" s="43" t="s">
        <v>414</v>
      </c>
      <c r="E139" s="119" t="s">
        <v>342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366</v>
      </c>
      <c r="C140" s="117"/>
      <c r="D140" s="43" t="s">
        <v>420</v>
      </c>
      <c r="E140" s="119" t="s">
        <v>950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416</v>
      </c>
      <c r="C141" s="116"/>
      <c r="D141" s="117" t="s">
        <v>417</v>
      </c>
      <c r="E141" s="119" t="s">
        <v>332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418</v>
      </c>
      <c r="C142" s="117"/>
      <c r="D142" s="117" t="s">
        <v>417</v>
      </c>
      <c r="E142" s="119" t="s">
        <v>332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419</v>
      </c>
      <c r="C143" s="116"/>
      <c r="D143" s="43" t="s">
        <v>420</v>
      </c>
      <c r="E143" s="119" t="s">
        <v>332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421</v>
      </c>
      <c r="C144" s="116"/>
      <c r="D144" s="43" t="s">
        <v>430</v>
      </c>
      <c r="E144" s="119" t="s">
        <v>432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423</v>
      </c>
      <c r="C145" s="116"/>
      <c r="D145" s="117" t="s">
        <v>971</v>
      </c>
      <c r="E145" s="119" t="s">
        <v>345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425</v>
      </c>
      <c r="C146" s="116"/>
      <c r="D146" s="117" t="s">
        <v>449</v>
      </c>
      <c r="E146" s="119" t="s">
        <v>432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1186</v>
      </c>
      <c r="C147" s="116"/>
      <c r="D147" s="43" t="s">
        <v>430</v>
      </c>
      <c r="E147" s="119" t="s">
        <v>301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1187</v>
      </c>
      <c r="C148" s="116"/>
      <c r="D148" s="43" t="s">
        <v>430</v>
      </c>
      <c r="E148" s="119" t="s">
        <v>301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433</v>
      </c>
      <c r="C149" s="116"/>
      <c r="D149" s="43" t="s">
        <v>430</v>
      </c>
      <c r="E149" s="119" t="s">
        <v>301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438</v>
      </c>
      <c r="C150" s="116"/>
      <c r="D150" s="117" t="s">
        <v>449</v>
      </c>
      <c r="E150" s="119" t="s">
        <v>945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440</v>
      </c>
      <c r="C151" s="116"/>
      <c r="D151" s="117" t="s">
        <v>1188</v>
      </c>
      <c r="E151" s="119" t="s">
        <v>945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442</v>
      </c>
      <c r="C152" s="116"/>
      <c r="D152" s="117" t="s">
        <v>449</v>
      </c>
      <c r="E152" s="119" t="s">
        <v>945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444</v>
      </c>
      <c r="C153" s="116"/>
      <c r="D153" s="117" t="s">
        <v>445</v>
      </c>
      <c r="E153" s="119" t="s">
        <v>945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446</v>
      </c>
      <c r="C154" s="116"/>
      <c r="D154" s="117" t="s">
        <v>451</v>
      </c>
      <c r="E154" s="119" t="s">
        <v>1166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1143</v>
      </c>
      <c r="C155" s="116"/>
      <c r="D155" s="117" t="s">
        <v>449</v>
      </c>
      <c r="E155" s="119" t="s">
        <v>30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361</v>
      </c>
      <c r="C156" s="116"/>
      <c r="D156" s="117" t="s">
        <v>451</v>
      </c>
      <c r="E156" s="119" t="s">
        <v>30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448</v>
      </c>
      <c r="C157" s="116"/>
      <c r="D157" s="117" t="s">
        <v>449</v>
      </c>
      <c r="E157" s="119" t="s">
        <v>30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457</v>
      </c>
      <c r="C158" s="117"/>
      <c r="D158" s="117" t="s">
        <v>458</v>
      </c>
      <c r="E158" s="119" t="s">
        <v>476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460</v>
      </c>
      <c r="C159" s="117"/>
      <c r="D159" s="117" t="s">
        <v>458</v>
      </c>
      <c r="E159" s="119" t="s">
        <v>476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461</v>
      </c>
      <c r="C160" s="117"/>
      <c r="D160" s="117" t="s">
        <v>458</v>
      </c>
      <c r="E160" s="119" t="s">
        <v>476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664</v>
      </c>
      <c r="C161" s="117"/>
      <c r="D161" s="117" t="s">
        <v>458</v>
      </c>
      <c r="E161" s="119" t="s">
        <v>476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662</v>
      </c>
      <c r="C162" s="117"/>
      <c r="D162" s="117" t="s">
        <v>458</v>
      </c>
      <c r="E162" s="119" t="s">
        <v>476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462</v>
      </c>
      <c r="C163" s="117"/>
      <c r="D163" s="117" t="s">
        <v>458</v>
      </c>
      <c r="E163" s="119" t="s">
        <v>476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463</v>
      </c>
      <c r="C164" s="117"/>
      <c r="D164" s="117" t="s">
        <v>458</v>
      </c>
      <c r="E164" s="119" t="s">
        <v>476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464</v>
      </c>
      <c r="C165" s="117"/>
      <c r="D165" s="117" t="s">
        <v>478</v>
      </c>
      <c r="E165" s="119" t="s">
        <v>1189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466</v>
      </c>
      <c r="C166" s="117"/>
      <c r="D166" s="117" t="s">
        <v>478</v>
      </c>
      <c r="E166" s="119" t="s">
        <v>1189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1121</v>
      </c>
      <c r="C167" s="117"/>
      <c r="D167" s="117" t="s">
        <v>478</v>
      </c>
      <c r="E167" s="119" t="s">
        <v>1189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467</v>
      </c>
      <c r="C168" s="43"/>
      <c r="D168" s="117" t="s">
        <v>478</v>
      </c>
      <c r="E168" s="119" t="s">
        <v>1189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468</v>
      </c>
      <c r="C169" s="116"/>
      <c r="D169" s="117" t="s">
        <v>478</v>
      </c>
      <c r="E169" s="119" t="s">
        <v>1189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469</v>
      </c>
      <c r="C170" s="43"/>
      <c r="D170" s="117" t="s">
        <v>478</v>
      </c>
      <c r="E170" s="119" t="s">
        <v>1189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470</v>
      </c>
      <c r="C171" s="43"/>
      <c r="D171" s="117" t="s">
        <v>478</v>
      </c>
      <c r="E171" s="119" t="s">
        <v>1189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471</v>
      </c>
      <c r="C172" s="116"/>
      <c r="D172" s="117" t="s">
        <v>478</v>
      </c>
      <c r="E172" s="119" t="s">
        <v>954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474</v>
      </c>
      <c r="C173" s="116"/>
      <c r="D173" s="117" t="s">
        <v>478</v>
      </c>
      <c r="E173" s="119" t="s">
        <v>954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475</v>
      </c>
      <c r="C174" s="43"/>
      <c r="D174" s="117" t="s">
        <v>478</v>
      </c>
      <c r="E174" s="119" t="s">
        <v>479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477</v>
      </c>
      <c r="C175" s="116"/>
      <c r="D175" s="117" t="s">
        <v>478</v>
      </c>
      <c r="E175" s="119" t="s">
        <v>492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480</v>
      </c>
      <c r="C176" s="116"/>
      <c r="D176" s="117" t="s">
        <v>481</v>
      </c>
      <c r="E176" s="119" t="s">
        <v>1190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483</v>
      </c>
      <c r="C177" s="116"/>
      <c r="D177" s="117" t="s">
        <v>481</v>
      </c>
      <c r="E177" s="119" t="s">
        <v>1190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484</v>
      </c>
      <c r="C178" s="116"/>
      <c r="D178" s="117" t="s">
        <v>481</v>
      </c>
      <c r="E178" s="119" t="s">
        <v>1190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485</v>
      </c>
      <c r="C179" s="116"/>
      <c r="D179" s="117" t="s">
        <v>481</v>
      </c>
      <c r="E179" s="119" t="s">
        <v>1190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486</v>
      </c>
      <c r="C180" s="116"/>
      <c r="D180" s="117" t="s">
        <v>481</v>
      </c>
      <c r="E180" s="119" t="s">
        <v>1190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489</v>
      </c>
      <c r="C181" s="168"/>
      <c r="D181" s="117" t="s">
        <v>481</v>
      </c>
      <c r="E181" s="119" t="s">
        <v>494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490</v>
      </c>
      <c r="C182" s="170"/>
      <c r="D182" s="117" t="s">
        <v>481</v>
      </c>
      <c r="E182" s="119" t="s">
        <v>494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491</v>
      </c>
      <c r="C183" s="171"/>
      <c r="D183" s="117" t="s">
        <v>481</v>
      </c>
      <c r="E183" s="119" t="s">
        <v>494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487</v>
      </c>
      <c r="C184" s="171"/>
      <c r="D184" s="117" t="s">
        <v>481</v>
      </c>
      <c r="E184" s="119" t="s">
        <v>502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493</v>
      </c>
      <c r="C185" s="171"/>
      <c r="D185" s="117" t="s">
        <v>481</v>
      </c>
      <c r="E185" s="119" t="s">
        <v>497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488</v>
      </c>
      <c r="C186" s="171"/>
      <c r="D186" s="117" t="s">
        <v>481</v>
      </c>
      <c r="E186" s="119" t="s">
        <v>502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33</v>
      </c>
      <c r="D187" s="172" t="s">
        <v>1122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80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1192</v>
      </c>
      <c r="E190" s="180"/>
      <c r="F190" s="180"/>
      <c r="G190" s="180"/>
      <c r="H190" s="180"/>
      <c r="I190" s="180"/>
      <c r="J190" s="180"/>
      <c r="K190" s="176" t="s">
        <v>1216</v>
      </c>
      <c r="L190" s="176"/>
      <c r="M190" s="176"/>
      <c r="N190" s="176"/>
      <c r="O190" s="176"/>
      <c r="P190" s="176" t="s">
        <v>1217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1218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132</v>
      </c>
      <c r="F4" s="80" t="s">
        <v>931</v>
      </c>
      <c r="G4" s="80" t="s">
        <v>932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236</v>
      </c>
      <c r="C6" s="83" t="s">
        <v>237</v>
      </c>
      <c r="D6" s="12" t="s">
        <v>238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1016</v>
      </c>
      <c r="C7" s="86" t="s">
        <v>1106</v>
      </c>
      <c r="D7" s="10" t="s">
        <v>231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1107</v>
      </c>
      <c r="C8" s="86" t="s">
        <v>1108</v>
      </c>
      <c r="D8" s="10" t="s">
        <v>308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239</v>
      </c>
      <c r="C9" s="83" t="s">
        <v>240</v>
      </c>
      <c r="D9" s="10" t="s">
        <v>1157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241</v>
      </c>
      <c r="C10" s="86" t="s">
        <v>242</v>
      </c>
      <c r="D10" s="15" t="s">
        <v>946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363</v>
      </c>
      <c r="C11" s="86" t="s">
        <v>1018</v>
      </c>
      <c r="D11" s="16" t="s">
        <v>946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243</v>
      </c>
      <c r="C12" s="87" t="s">
        <v>244</v>
      </c>
      <c r="D12" s="16" t="s">
        <v>946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245</v>
      </c>
      <c r="C13" s="86" t="s">
        <v>246</v>
      </c>
      <c r="D13" s="16" t="s">
        <v>946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247</v>
      </c>
      <c r="C14" s="83" t="s">
        <v>248</v>
      </c>
      <c r="D14" s="15" t="s">
        <v>249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223</v>
      </c>
      <c r="C15" s="83" t="s">
        <v>224</v>
      </c>
      <c r="D15" s="10" t="s">
        <v>952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1109</v>
      </c>
      <c r="C16" s="86" t="s">
        <v>1110</v>
      </c>
      <c r="D16" s="16" t="s">
        <v>342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1019</v>
      </c>
      <c r="C17" s="86" t="s">
        <v>253</v>
      </c>
      <c r="D17" s="10" t="s">
        <v>342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1111</v>
      </c>
      <c r="C18" s="86" t="s">
        <v>1112</v>
      </c>
      <c r="D18" s="10" t="s">
        <v>342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252</v>
      </c>
      <c r="C19" s="86" t="s">
        <v>253</v>
      </c>
      <c r="D19" s="15" t="s">
        <v>342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264</v>
      </c>
      <c r="C20" s="83" t="s">
        <v>265</v>
      </c>
      <c r="D20" s="15" t="s">
        <v>1162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267</v>
      </c>
      <c r="C21" s="86" t="s">
        <v>268</v>
      </c>
      <c r="D21" s="15" t="s">
        <v>1163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389</v>
      </c>
      <c r="C22" s="83" t="s">
        <v>390</v>
      </c>
      <c r="D22" s="15" t="s">
        <v>332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270</v>
      </c>
      <c r="C23" s="83" t="s">
        <v>50</v>
      </c>
      <c r="D23" s="15" t="s">
        <v>41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387</v>
      </c>
      <c r="C24" s="86" t="s">
        <v>388</v>
      </c>
      <c r="D24" s="15" t="s">
        <v>41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427</v>
      </c>
      <c r="C25" s="86" t="s">
        <v>1128</v>
      </c>
      <c r="D25" s="15" t="s">
        <v>345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1113</v>
      </c>
      <c r="C26" s="83" t="s">
        <v>293</v>
      </c>
      <c r="D26" s="15" t="s">
        <v>301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278</v>
      </c>
      <c r="C27" s="86" t="s">
        <v>176</v>
      </c>
      <c r="D27" s="10" t="s">
        <v>24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280</v>
      </c>
      <c r="C28" s="83" t="s">
        <v>176</v>
      </c>
      <c r="D28" s="15" t="s">
        <v>24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1020</v>
      </c>
      <c r="C29" s="83" t="s">
        <v>1021</v>
      </c>
      <c r="D29" s="15" t="s">
        <v>24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282</v>
      </c>
      <c r="C30" s="83" t="s">
        <v>967</v>
      </c>
      <c r="D30" s="15" t="s">
        <v>1166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370</v>
      </c>
      <c r="C31" s="87" t="s">
        <v>1130</v>
      </c>
      <c r="D31" s="15" t="s">
        <v>291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284</v>
      </c>
      <c r="C32" s="86" t="s">
        <v>1022</v>
      </c>
      <c r="D32" s="10" t="s">
        <v>291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287</v>
      </c>
      <c r="C33" s="87" t="s">
        <v>288</v>
      </c>
      <c r="D33" s="15" t="s">
        <v>24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1219</v>
      </c>
      <c r="C34" s="87" t="s">
        <v>288</v>
      </c>
      <c r="D34" s="15" t="s">
        <v>30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289</v>
      </c>
      <c r="C35" s="86" t="s">
        <v>1131</v>
      </c>
      <c r="D35" s="10" t="s">
        <v>30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933</v>
      </c>
      <c r="C36" s="83" t="s">
        <v>293</v>
      </c>
      <c r="D36" s="15" t="s">
        <v>30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1114</v>
      </c>
      <c r="C37" s="83" t="s">
        <v>293</v>
      </c>
      <c r="D37" s="15" t="s">
        <v>30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33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34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295</v>
      </c>
      <c r="C41" s="86" t="s">
        <v>296</v>
      </c>
      <c r="D41" s="10" t="s">
        <v>1168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298</v>
      </c>
      <c r="C42" s="86" t="s">
        <v>537</v>
      </c>
      <c r="D42" s="10" t="s">
        <v>30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38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302</v>
      </c>
      <c r="C46" s="86" t="s">
        <v>303</v>
      </c>
      <c r="D46" s="10" t="s">
        <v>297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304</v>
      </c>
      <c r="C47" s="86" t="s">
        <v>305</v>
      </c>
      <c r="D47" s="10" t="s">
        <v>249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306</v>
      </c>
      <c r="C48" s="86" t="s">
        <v>310</v>
      </c>
      <c r="D48" s="10" t="s">
        <v>249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309</v>
      </c>
      <c r="C49" s="86" t="s">
        <v>310</v>
      </c>
      <c r="D49" s="10" t="s">
        <v>327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311</v>
      </c>
      <c r="C50" s="86" t="s">
        <v>310</v>
      </c>
      <c r="D50" s="10" t="s">
        <v>228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312</v>
      </c>
      <c r="C51" s="86" t="s">
        <v>259</v>
      </c>
      <c r="D51" s="10" t="s">
        <v>342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313</v>
      </c>
      <c r="C52" s="86" t="s">
        <v>256</v>
      </c>
      <c r="D52" s="16" t="s">
        <v>342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1025</v>
      </c>
      <c r="C53" s="86" t="s">
        <v>256</v>
      </c>
      <c r="D53" s="10" t="s">
        <v>260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258</v>
      </c>
      <c r="C54" s="86" t="s">
        <v>353</v>
      </c>
      <c r="D54" s="10" t="s">
        <v>950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315</v>
      </c>
      <c r="C55" s="86" t="s">
        <v>63</v>
      </c>
      <c r="D55" s="10" t="s">
        <v>24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316</v>
      </c>
      <c r="C56" s="86" t="s">
        <v>63</v>
      </c>
      <c r="D56" s="10" t="s">
        <v>24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317</v>
      </c>
      <c r="C57" s="86" t="s">
        <v>63</v>
      </c>
      <c r="D57" s="10" t="s">
        <v>24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33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318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319</v>
      </c>
      <c r="C61" s="83" t="s">
        <v>320</v>
      </c>
      <c r="D61" s="15" t="s">
        <v>297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33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44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323</v>
      </c>
      <c r="C65" s="87" t="s">
        <v>324</v>
      </c>
      <c r="D65" s="10" t="s">
        <v>297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325</v>
      </c>
      <c r="C66" s="87" t="s">
        <v>326</v>
      </c>
      <c r="D66" s="15" t="s">
        <v>952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328</v>
      </c>
      <c r="C67" s="86" t="s">
        <v>46</v>
      </c>
      <c r="D67" s="10" t="s">
        <v>950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329</v>
      </c>
      <c r="C68" s="87" t="s">
        <v>46</v>
      </c>
      <c r="D68" s="15" t="s">
        <v>1162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330</v>
      </c>
      <c r="C69" s="87" t="s">
        <v>256</v>
      </c>
      <c r="D69" s="15" t="s">
        <v>342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331</v>
      </c>
      <c r="C70" s="86" t="s">
        <v>63</v>
      </c>
      <c r="D70" s="10" t="s">
        <v>1170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1033</v>
      </c>
      <c r="C71" s="87" t="s">
        <v>275</v>
      </c>
      <c r="D71" s="15" t="s">
        <v>332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333</v>
      </c>
      <c r="C72" s="87" t="s">
        <v>275</v>
      </c>
      <c r="D72" s="15" t="s">
        <v>41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334</v>
      </c>
      <c r="C73" s="87" t="s">
        <v>275</v>
      </c>
      <c r="D73" s="15" t="s">
        <v>41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335</v>
      </c>
      <c r="C74" s="86" t="s">
        <v>336</v>
      </c>
      <c r="D74" s="10" t="s">
        <v>41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1115</v>
      </c>
      <c r="C75" s="87" t="s">
        <v>63</v>
      </c>
      <c r="D75" s="10" t="s">
        <v>37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281</v>
      </c>
      <c r="C76" s="87" t="s">
        <v>273</v>
      </c>
      <c r="D76" s="10" t="s">
        <v>24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272</v>
      </c>
      <c r="C77" s="87" t="s">
        <v>273</v>
      </c>
      <c r="D77" s="10" t="s">
        <v>30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33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51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338</v>
      </c>
      <c r="C81" s="86" t="s">
        <v>339</v>
      </c>
      <c r="D81" s="10" t="s">
        <v>297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220</v>
      </c>
      <c r="C82" s="86" t="s">
        <v>221</v>
      </c>
      <c r="D82" s="15" t="s">
        <v>952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1116</v>
      </c>
      <c r="C83" s="86" t="s">
        <v>1117</v>
      </c>
      <c r="D83" s="15" t="s">
        <v>952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340</v>
      </c>
      <c r="C84" s="86" t="s">
        <v>968</v>
      </c>
      <c r="D84" s="15" t="s">
        <v>950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343</v>
      </c>
      <c r="C85" s="86" t="s">
        <v>344</v>
      </c>
      <c r="D85" s="10" t="s">
        <v>37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33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56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1173</v>
      </c>
      <c r="C89" s="86" t="s">
        <v>1134</v>
      </c>
      <c r="D89" s="10" t="s">
        <v>308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349</v>
      </c>
      <c r="C90" s="86" t="s">
        <v>310</v>
      </c>
      <c r="D90" s="10" t="s">
        <v>249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350</v>
      </c>
      <c r="C91" s="86" t="s">
        <v>310</v>
      </c>
      <c r="D91" s="10" t="s">
        <v>249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386</v>
      </c>
      <c r="C92" s="86" t="s">
        <v>256</v>
      </c>
      <c r="D92" s="10" t="s">
        <v>257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351</v>
      </c>
      <c r="C93" s="86" t="s">
        <v>259</v>
      </c>
      <c r="D93" s="10" t="s">
        <v>342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352</v>
      </c>
      <c r="C94" s="86" t="s">
        <v>353</v>
      </c>
      <c r="D94" s="15" t="s">
        <v>950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354</v>
      </c>
      <c r="C95" s="83" t="s">
        <v>46</v>
      </c>
      <c r="D95" s="15" t="s">
        <v>1162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355</v>
      </c>
      <c r="C96" s="83" t="s">
        <v>46</v>
      </c>
      <c r="D96" s="15" t="s">
        <v>1162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357</v>
      </c>
      <c r="C97" s="87" t="s">
        <v>275</v>
      </c>
      <c r="D97" s="15" t="s">
        <v>41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359</v>
      </c>
      <c r="C98" s="86" t="s">
        <v>360</v>
      </c>
      <c r="D98" s="10" t="s">
        <v>37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361</v>
      </c>
      <c r="C99" s="87" t="s">
        <v>362</v>
      </c>
      <c r="D99" s="15" t="s">
        <v>30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33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1220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232</v>
      </c>
      <c r="C103" s="95" t="s">
        <v>233</v>
      </c>
      <c r="D103" s="15" t="s">
        <v>308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250</v>
      </c>
      <c r="C104" s="86" t="s">
        <v>367</v>
      </c>
      <c r="D104" s="10" t="s">
        <v>342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1135</v>
      </c>
      <c r="C105" s="86" t="s">
        <v>1136</v>
      </c>
      <c r="D105" s="15" t="s">
        <v>1162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368</v>
      </c>
      <c r="C106" s="86" t="s">
        <v>369</v>
      </c>
      <c r="D106" s="15" t="s">
        <v>41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33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372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373</v>
      </c>
      <c r="C110" s="83" t="s">
        <v>374</v>
      </c>
      <c r="D110" s="15" t="s">
        <v>297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375</v>
      </c>
      <c r="C111" s="86" t="s">
        <v>376</v>
      </c>
      <c r="D111" s="16" t="s">
        <v>946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377</v>
      </c>
      <c r="C112" s="86" t="s">
        <v>378</v>
      </c>
      <c r="D112" s="10" t="s">
        <v>263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379</v>
      </c>
      <c r="C113" s="86" t="s">
        <v>378</v>
      </c>
      <c r="D113" s="10" t="s">
        <v>266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380</v>
      </c>
      <c r="C114" s="86" t="s">
        <v>381</v>
      </c>
      <c r="D114" s="15" t="s">
        <v>945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383</v>
      </c>
      <c r="C115" s="86" t="s">
        <v>381</v>
      </c>
      <c r="D115" s="10" t="s">
        <v>291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385</v>
      </c>
      <c r="C116" s="86" t="s">
        <v>381</v>
      </c>
      <c r="D116" s="15" t="s">
        <v>30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33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67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392</v>
      </c>
      <c r="C120" s="83" t="s">
        <v>393</v>
      </c>
      <c r="D120" s="15" t="s">
        <v>297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1138</v>
      </c>
      <c r="C121" s="83" t="s">
        <v>1139</v>
      </c>
      <c r="D121" s="15" t="s">
        <v>231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128</v>
      </c>
      <c r="C122" s="83" t="s">
        <v>227</v>
      </c>
      <c r="D122" s="15" t="s">
        <v>249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395</v>
      </c>
      <c r="C123" s="83" t="s">
        <v>227</v>
      </c>
      <c r="D123" s="15" t="s">
        <v>249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226</v>
      </c>
      <c r="C124" s="83" t="s">
        <v>227</v>
      </c>
      <c r="D124" s="15" t="s">
        <v>228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396</v>
      </c>
      <c r="C125" s="83" t="s">
        <v>397</v>
      </c>
      <c r="D125" s="15" t="s">
        <v>260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398</v>
      </c>
      <c r="C126" s="83" t="s">
        <v>399</v>
      </c>
      <c r="D126" s="15" t="s">
        <v>950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400</v>
      </c>
      <c r="C127" s="83" t="s">
        <v>970</v>
      </c>
      <c r="D127" s="15" t="s">
        <v>950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1140</v>
      </c>
      <c r="C128" s="83" t="s">
        <v>1141</v>
      </c>
      <c r="D128" s="15" t="s">
        <v>951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401</v>
      </c>
      <c r="C129" s="83" t="s">
        <v>402</v>
      </c>
      <c r="D129" s="10" t="s">
        <v>24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403</v>
      </c>
      <c r="C130" s="83" t="s">
        <v>404</v>
      </c>
      <c r="D130" s="15" t="s">
        <v>30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33</v>
      </c>
      <c r="C131" s="99" t="s">
        <v>1142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71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407</v>
      </c>
      <c r="C134" s="83" t="s">
        <v>1221</v>
      </c>
      <c r="D134" s="15" t="s">
        <v>297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229</v>
      </c>
      <c r="C135" s="83" t="s">
        <v>230</v>
      </c>
      <c r="D135" s="15" t="s">
        <v>231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409</v>
      </c>
      <c r="C136" s="86" t="s">
        <v>410</v>
      </c>
      <c r="D136" s="16" t="s">
        <v>946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411</v>
      </c>
      <c r="C137" s="83" t="s">
        <v>412</v>
      </c>
      <c r="D137" s="15" t="s">
        <v>342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413</v>
      </c>
      <c r="C138" s="86" t="s">
        <v>414</v>
      </c>
      <c r="D138" s="15" t="s">
        <v>342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366</v>
      </c>
      <c r="C139" s="86" t="s">
        <v>420</v>
      </c>
      <c r="D139" s="15" t="s">
        <v>950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416</v>
      </c>
      <c r="C140" s="83" t="s">
        <v>417</v>
      </c>
      <c r="D140" s="15" t="s">
        <v>332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418</v>
      </c>
      <c r="C141" s="83" t="s">
        <v>417</v>
      </c>
      <c r="D141" s="15" t="s">
        <v>332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419</v>
      </c>
      <c r="C142" s="86" t="s">
        <v>420</v>
      </c>
      <c r="D142" s="15" t="s">
        <v>332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421</v>
      </c>
      <c r="C143" s="83" t="s">
        <v>426</v>
      </c>
      <c r="D143" s="15" t="s">
        <v>41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423</v>
      </c>
      <c r="C144" s="83" t="s">
        <v>971</v>
      </c>
      <c r="D144" s="15" t="s">
        <v>345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425</v>
      </c>
      <c r="C145" s="83" t="s">
        <v>426</v>
      </c>
      <c r="D145" s="15" t="s">
        <v>41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429</v>
      </c>
      <c r="C146" s="86" t="s">
        <v>430</v>
      </c>
      <c r="D146" s="15" t="s">
        <v>301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431</v>
      </c>
      <c r="C147" s="86" t="s">
        <v>430</v>
      </c>
      <c r="D147" s="15" t="s">
        <v>301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433</v>
      </c>
      <c r="C148" s="86" t="s">
        <v>430</v>
      </c>
      <c r="D148" s="15" t="s">
        <v>301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434</v>
      </c>
      <c r="C149" s="83" t="s">
        <v>435</v>
      </c>
      <c r="D149" s="15" t="s">
        <v>37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953</v>
      </c>
      <c r="C150" s="83" t="s">
        <v>437</v>
      </c>
      <c r="D150" s="10" t="s">
        <v>24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438</v>
      </c>
      <c r="C151" s="83" t="s">
        <v>439</v>
      </c>
      <c r="D151" s="15" t="s">
        <v>37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440</v>
      </c>
      <c r="C152" s="83" t="s">
        <v>441</v>
      </c>
      <c r="D152" s="15" t="s">
        <v>24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442</v>
      </c>
      <c r="C153" s="83" t="s">
        <v>443</v>
      </c>
      <c r="D153" s="15" t="s">
        <v>37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444</v>
      </c>
      <c r="C154" s="83" t="s">
        <v>445</v>
      </c>
      <c r="D154" s="15" t="s">
        <v>24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446</v>
      </c>
      <c r="C155" s="83" t="s">
        <v>451</v>
      </c>
      <c r="D155" s="15" t="s">
        <v>1166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1143</v>
      </c>
      <c r="C156" s="83" t="s">
        <v>449</v>
      </c>
      <c r="D156" s="15" t="s">
        <v>30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448</v>
      </c>
      <c r="C157" s="83" t="s">
        <v>449</v>
      </c>
      <c r="D157" s="15" t="s">
        <v>30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450</v>
      </c>
      <c r="C158" s="83" t="s">
        <v>451</v>
      </c>
      <c r="D158" s="15" t="s">
        <v>30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452</v>
      </c>
      <c r="C159" s="83" t="s">
        <v>453</v>
      </c>
      <c r="D159" s="15" t="s">
        <v>30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454</v>
      </c>
      <c r="C160" s="83" t="s">
        <v>455</v>
      </c>
      <c r="D160" s="15" t="s">
        <v>30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457</v>
      </c>
      <c r="C161" s="83" t="s">
        <v>458</v>
      </c>
      <c r="D161" s="15" t="s">
        <v>476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460</v>
      </c>
      <c r="C162" s="83" t="s">
        <v>458</v>
      </c>
      <c r="D162" s="15" t="s">
        <v>476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461</v>
      </c>
      <c r="C163" s="83" t="s">
        <v>458</v>
      </c>
      <c r="D163" s="15" t="s">
        <v>476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664</v>
      </c>
      <c r="C164" s="83" t="s">
        <v>458</v>
      </c>
      <c r="D164" s="15" t="s">
        <v>476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662</v>
      </c>
      <c r="C165" s="83" t="s">
        <v>458</v>
      </c>
      <c r="D165" s="15" t="s">
        <v>476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462</v>
      </c>
      <c r="C166" s="83" t="s">
        <v>458</v>
      </c>
      <c r="D166" s="15" t="s">
        <v>476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463</v>
      </c>
      <c r="C167" s="83" t="s">
        <v>458</v>
      </c>
      <c r="D167" s="15" t="s">
        <v>476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464</v>
      </c>
      <c r="C168" s="83" t="s">
        <v>458</v>
      </c>
      <c r="D168" s="15" t="s">
        <v>473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466</v>
      </c>
      <c r="C169" s="83" t="s">
        <v>458</v>
      </c>
      <c r="D169" s="15" t="s">
        <v>473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1121</v>
      </c>
      <c r="C170" s="83" t="s">
        <v>458</v>
      </c>
      <c r="D170" s="15" t="s">
        <v>473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467</v>
      </c>
      <c r="C171" s="83" t="s">
        <v>458</v>
      </c>
      <c r="D171" s="15" t="s">
        <v>473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468</v>
      </c>
      <c r="C172" s="83" t="s">
        <v>458</v>
      </c>
      <c r="D172" s="15" t="s">
        <v>473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469</v>
      </c>
      <c r="C173" s="83" t="s">
        <v>458</v>
      </c>
      <c r="D173" s="15" t="s">
        <v>473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470</v>
      </c>
      <c r="C174" s="83" t="s">
        <v>458</v>
      </c>
      <c r="D174" s="15" t="s">
        <v>473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471</v>
      </c>
      <c r="C175" s="83" t="s">
        <v>478</v>
      </c>
      <c r="D175" s="15" t="s">
        <v>954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474</v>
      </c>
      <c r="C176" s="83" t="s">
        <v>478</v>
      </c>
      <c r="D176" s="15" t="s">
        <v>954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475</v>
      </c>
      <c r="C177" s="83" t="s">
        <v>478</v>
      </c>
      <c r="D177" s="15" t="s">
        <v>479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477</v>
      </c>
      <c r="C178" s="83" t="s">
        <v>478</v>
      </c>
      <c r="D178" s="15" t="s">
        <v>492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480</v>
      </c>
      <c r="C179" s="83" t="s">
        <v>481</v>
      </c>
      <c r="D179" s="15" t="s">
        <v>1190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483</v>
      </c>
      <c r="C180" s="83" t="s">
        <v>481</v>
      </c>
      <c r="D180" s="15" t="s">
        <v>1190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484</v>
      </c>
      <c r="C181" s="83" t="s">
        <v>481</v>
      </c>
      <c r="D181" s="15" t="s">
        <v>1190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485</v>
      </c>
      <c r="C182" s="83" t="s">
        <v>481</v>
      </c>
      <c r="D182" s="15" t="s">
        <v>1190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486</v>
      </c>
      <c r="C183" s="83" t="s">
        <v>481</v>
      </c>
      <c r="D183" s="15" t="s">
        <v>1190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487</v>
      </c>
      <c r="C184" s="83" t="s">
        <v>481</v>
      </c>
      <c r="D184" s="15" t="s">
        <v>502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488</v>
      </c>
      <c r="C185" s="83" t="s">
        <v>481</v>
      </c>
      <c r="D185" s="15" t="s">
        <v>502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489</v>
      </c>
      <c r="C186" s="83" t="s">
        <v>478</v>
      </c>
      <c r="D186" s="15" t="s">
        <v>502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490</v>
      </c>
      <c r="C187" s="83" t="s">
        <v>478</v>
      </c>
      <c r="D187" s="15" t="s">
        <v>502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491</v>
      </c>
      <c r="C188" s="83" t="s">
        <v>481</v>
      </c>
      <c r="D188" s="15" t="s">
        <v>494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493</v>
      </c>
      <c r="C189" s="83" t="s">
        <v>481</v>
      </c>
      <c r="D189" s="15" t="s">
        <v>497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33</v>
      </c>
      <c r="C190" s="100" t="s">
        <v>1222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80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1218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132</v>
      </c>
      <c r="F4" s="80" t="s">
        <v>931</v>
      </c>
      <c r="G4" s="80" t="s">
        <v>932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236</v>
      </c>
      <c r="C6" s="83" t="s">
        <v>237</v>
      </c>
      <c r="D6" s="12" t="s">
        <v>238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1016</v>
      </c>
      <c r="C7" s="86" t="s">
        <v>1106</v>
      </c>
      <c r="D7" s="10" t="s">
        <v>231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1107</v>
      </c>
      <c r="C8" s="86" t="s">
        <v>1108</v>
      </c>
      <c r="D8" s="10" t="s">
        <v>308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239</v>
      </c>
      <c r="C9" s="83" t="s">
        <v>240</v>
      </c>
      <c r="D9" s="10" t="s">
        <v>1157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241</v>
      </c>
      <c r="C10" s="86" t="s">
        <v>242</v>
      </c>
      <c r="D10" s="15" t="s">
        <v>946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363</v>
      </c>
      <c r="C11" s="86" t="s">
        <v>1018</v>
      </c>
      <c r="D11" s="16" t="s">
        <v>946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243</v>
      </c>
      <c r="C12" s="87" t="s">
        <v>244</v>
      </c>
      <c r="D12" s="16" t="s">
        <v>946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245</v>
      </c>
      <c r="C13" s="86" t="s">
        <v>246</v>
      </c>
      <c r="D13" s="16" t="s">
        <v>946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247</v>
      </c>
      <c r="C14" s="83" t="s">
        <v>248</v>
      </c>
      <c r="D14" s="15" t="s">
        <v>249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223</v>
      </c>
      <c r="C15" s="83" t="s">
        <v>224</v>
      </c>
      <c r="D15" s="10" t="s">
        <v>952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1109</v>
      </c>
      <c r="C16" s="86" t="s">
        <v>1110</v>
      </c>
      <c r="D16" s="16" t="s">
        <v>342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1019</v>
      </c>
      <c r="C17" s="86" t="s">
        <v>253</v>
      </c>
      <c r="D17" s="10" t="s">
        <v>342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1111</v>
      </c>
      <c r="C18" s="86" t="s">
        <v>1112</v>
      </c>
      <c r="D18" s="10" t="s">
        <v>342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252</v>
      </c>
      <c r="C19" s="86" t="s">
        <v>253</v>
      </c>
      <c r="D19" s="15" t="s">
        <v>342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264</v>
      </c>
      <c r="C20" s="83" t="s">
        <v>265</v>
      </c>
      <c r="D20" s="15" t="s">
        <v>1162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267</v>
      </c>
      <c r="C21" s="86" t="s">
        <v>268</v>
      </c>
      <c r="D21" s="15" t="s">
        <v>1163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389</v>
      </c>
      <c r="C22" s="83" t="s">
        <v>390</v>
      </c>
      <c r="D22" s="15" t="s">
        <v>332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270</v>
      </c>
      <c r="C23" s="83" t="s">
        <v>50</v>
      </c>
      <c r="D23" s="15" t="s">
        <v>41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387</v>
      </c>
      <c r="C24" s="86" t="s">
        <v>388</v>
      </c>
      <c r="D24" s="15" t="s">
        <v>41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427</v>
      </c>
      <c r="C25" s="86" t="s">
        <v>1128</v>
      </c>
      <c r="D25" s="15" t="s">
        <v>345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1113</v>
      </c>
      <c r="C26" s="83" t="s">
        <v>293</v>
      </c>
      <c r="D26" s="15" t="s">
        <v>301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278</v>
      </c>
      <c r="C27" s="86" t="s">
        <v>176</v>
      </c>
      <c r="D27" s="10" t="s">
        <v>24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280</v>
      </c>
      <c r="C28" s="83" t="s">
        <v>176</v>
      </c>
      <c r="D28" s="15" t="s">
        <v>24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1020</v>
      </c>
      <c r="C29" s="83" t="s">
        <v>1021</v>
      </c>
      <c r="D29" s="15" t="s">
        <v>24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282</v>
      </c>
      <c r="C30" s="83" t="s">
        <v>967</v>
      </c>
      <c r="D30" s="15" t="s">
        <v>1166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370</v>
      </c>
      <c r="C31" s="87" t="s">
        <v>1130</v>
      </c>
      <c r="D31" s="15" t="s">
        <v>291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284</v>
      </c>
      <c r="C32" s="86" t="s">
        <v>1022</v>
      </c>
      <c r="D32" s="10" t="s">
        <v>291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287</v>
      </c>
      <c r="C33" s="87" t="s">
        <v>288</v>
      </c>
      <c r="D33" s="15" t="s">
        <v>24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1219</v>
      </c>
      <c r="C34" s="87" t="s">
        <v>288</v>
      </c>
      <c r="D34" s="15" t="s">
        <v>30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289</v>
      </c>
      <c r="C35" s="86" t="s">
        <v>1131</v>
      </c>
      <c r="D35" s="10" t="s">
        <v>30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933</v>
      </c>
      <c r="C36" s="83" t="s">
        <v>293</v>
      </c>
      <c r="D36" s="15" t="s">
        <v>30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1114</v>
      </c>
      <c r="C37" s="83" t="s">
        <v>293</v>
      </c>
      <c r="D37" s="15" t="s">
        <v>30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33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34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295</v>
      </c>
      <c r="C41" s="86" t="s">
        <v>296</v>
      </c>
      <c r="D41" s="10" t="s">
        <v>1168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298</v>
      </c>
      <c r="C42" s="86" t="s">
        <v>537</v>
      </c>
      <c r="D42" s="10" t="s">
        <v>30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38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302</v>
      </c>
      <c r="C46" s="86" t="s">
        <v>303</v>
      </c>
      <c r="D46" s="10" t="s">
        <v>297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304</v>
      </c>
      <c r="C47" s="86" t="s">
        <v>305</v>
      </c>
      <c r="D47" s="10" t="s">
        <v>249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306</v>
      </c>
      <c r="C48" s="86" t="s">
        <v>310</v>
      </c>
      <c r="D48" s="10" t="s">
        <v>249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309</v>
      </c>
      <c r="C49" s="86" t="s">
        <v>310</v>
      </c>
      <c r="D49" s="10" t="s">
        <v>327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311</v>
      </c>
      <c r="C50" s="86" t="s">
        <v>310</v>
      </c>
      <c r="D50" s="10" t="s">
        <v>228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312</v>
      </c>
      <c r="C51" s="86" t="s">
        <v>259</v>
      </c>
      <c r="D51" s="10" t="s">
        <v>342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313</v>
      </c>
      <c r="C52" s="86" t="s">
        <v>256</v>
      </c>
      <c r="D52" s="16" t="s">
        <v>342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1025</v>
      </c>
      <c r="C53" s="86" t="s">
        <v>256</v>
      </c>
      <c r="D53" s="10" t="s">
        <v>260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258</v>
      </c>
      <c r="C54" s="86" t="s">
        <v>353</v>
      </c>
      <c r="D54" s="10" t="s">
        <v>950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315</v>
      </c>
      <c r="C55" s="86" t="s">
        <v>63</v>
      </c>
      <c r="D55" s="10" t="s">
        <v>24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316</v>
      </c>
      <c r="C56" s="86" t="s">
        <v>63</v>
      </c>
      <c r="D56" s="10" t="s">
        <v>24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317</v>
      </c>
      <c r="C57" s="86" t="s">
        <v>63</v>
      </c>
      <c r="D57" s="10" t="s">
        <v>24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33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318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319</v>
      </c>
      <c r="C61" s="83" t="s">
        <v>320</v>
      </c>
      <c r="D61" s="15" t="s">
        <v>297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33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44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323</v>
      </c>
      <c r="C65" s="87" t="s">
        <v>324</v>
      </c>
      <c r="D65" s="10" t="s">
        <v>297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325</v>
      </c>
      <c r="C66" s="87" t="s">
        <v>326</v>
      </c>
      <c r="D66" s="15" t="s">
        <v>952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328</v>
      </c>
      <c r="C67" s="86" t="s">
        <v>46</v>
      </c>
      <c r="D67" s="10" t="s">
        <v>950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329</v>
      </c>
      <c r="C68" s="87" t="s">
        <v>46</v>
      </c>
      <c r="D68" s="15" t="s">
        <v>1162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330</v>
      </c>
      <c r="C69" s="87" t="s">
        <v>256</v>
      </c>
      <c r="D69" s="15" t="s">
        <v>342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331</v>
      </c>
      <c r="C70" s="86" t="s">
        <v>63</v>
      </c>
      <c r="D70" s="10" t="s">
        <v>1170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1033</v>
      </c>
      <c r="C71" s="87" t="s">
        <v>275</v>
      </c>
      <c r="D71" s="15" t="s">
        <v>332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333</v>
      </c>
      <c r="C72" s="87" t="s">
        <v>275</v>
      </c>
      <c r="D72" s="15" t="s">
        <v>41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334</v>
      </c>
      <c r="C73" s="87" t="s">
        <v>275</v>
      </c>
      <c r="D73" s="15" t="s">
        <v>41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335</v>
      </c>
      <c r="C74" s="86" t="s">
        <v>336</v>
      </c>
      <c r="D74" s="10" t="s">
        <v>41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1115</v>
      </c>
      <c r="C75" s="87" t="s">
        <v>63</v>
      </c>
      <c r="D75" s="10" t="s">
        <v>37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281</v>
      </c>
      <c r="C76" s="87" t="s">
        <v>273</v>
      </c>
      <c r="D76" s="10" t="s">
        <v>24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272</v>
      </c>
      <c r="C77" s="87" t="s">
        <v>273</v>
      </c>
      <c r="D77" s="10" t="s">
        <v>30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33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51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338</v>
      </c>
      <c r="C81" s="86" t="s">
        <v>339</v>
      </c>
      <c r="D81" s="10" t="s">
        <v>297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220</v>
      </c>
      <c r="C82" s="86" t="s">
        <v>221</v>
      </c>
      <c r="D82" s="15" t="s">
        <v>952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1116</v>
      </c>
      <c r="C83" s="86" t="s">
        <v>1117</v>
      </c>
      <c r="D83" s="15" t="s">
        <v>952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340</v>
      </c>
      <c r="C84" s="86" t="s">
        <v>968</v>
      </c>
      <c r="D84" s="15" t="s">
        <v>950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343</v>
      </c>
      <c r="C85" s="86" t="s">
        <v>344</v>
      </c>
      <c r="D85" s="10" t="s">
        <v>37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33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56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1173</v>
      </c>
      <c r="C89" s="86" t="s">
        <v>1134</v>
      </c>
      <c r="D89" s="10" t="s">
        <v>308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349</v>
      </c>
      <c r="C90" s="86" t="s">
        <v>310</v>
      </c>
      <c r="D90" s="10" t="s">
        <v>249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350</v>
      </c>
      <c r="C91" s="86" t="s">
        <v>310</v>
      </c>
      <c r="D91" s="10" t="s">
        <v>249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386</v>
      </c>
      <c r="C92" s="86" t="s">
        <v>256</v>
      </c>
      <c r="D92" s="10" t="s">
        <v>257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351</v>
      </c>
      <c r="C93" s="86" t="s">
        <v>259</v>
      </c>
      <c r="D93" s="10" t="s">
        <v>342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352</v>
      </c>
      <c r="C94" s="86" t="s">
        <v>353</v>
      </c>
      <c r="D94" s="15" t="s">
        <v>950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354</v>
      </c>
      <c r="C95" s="83" t="s">
        <v>46</v>
      </c>
      <c r="D95" s="15" t="s">
        <v>1162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355</v>
      </c>
      <c r="C96" s="83" t="s">
        <v>46</v>
      </c>
      <c r="D96" s="15" t="s">
        <v>1162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357</v>
      </c>
      <c r="C97" s="87" t="s">
        <v>275</v>
      </c>
      <c r="D97" s="15" t="s">
        <v>41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359</v>
      </c>
      <c r="C98" s="86" t="s">
        <v>360</v>
      </c>
      <c r="D98" s="10" t="s">
        <v>37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361</v>
      </c>
      <c r="C99" s="87" t="s">
        <v>362</v>
      </c>
      <c r="D99" s="15" t="s">
        <v>30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33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1220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232</v>
      </c>
      <c r="C103" s="95" t="s">
        <v>233</v>
      </c>
      <c r="D103" s="15" t="s">
        <v>308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250</v>
      </c>
      <c r="C104" s="86" t="s">
        <v>367</v>
      </c>
      <c r="D104" s="10" t="s">
        <v>342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1135</v>
      </c>
      <c r="C105" s="86" t="s">
        <v>1136</v>
      </c>
      <c r="D105" s="15" t="s">
        <v>1162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368</v>
      </c>
      <c r="C106" s="86" t="s">
        <v>369</v>
      </c>
      <c r="D106" s="15" t="s">
        <v>41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33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372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373</v>
      </c>
      <c r="C110" s="83" t="s">
        <v>374</v>
      </c>
      <c r="D110" s="15" t="s">
        <v>297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375</v>
      </c>
      <c r="C111" s="86" t="s">
        <v>376</v>
      </c>
      <c r="D111" s="16" t="s">
        <v>946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377</v>
      </c>
      <c r="C112" s="86" t="s">
        <v>378</v>
      </c>
      <c r="D112" s="10" t="s">
        <v>263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379</v>
      </c>
      <c r="C113" s="86" t="s">
        <v>378</v>
      </c>
      <c r="D113" s="10" t="s">
        <v>266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380</v>
      </c>
      <c r="C114" s="86" t="s">
        <v>381</v>
      </c>
      <c r="D114" s="15" t="s">
        <v>945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383</v>
      </c>
      <c r="C115" s="86" t="s">
        <v>381</v>
      </c>
      <c r="D115" s="10" t="s">
        <v>291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385</v>
      </c>
      <c r="C116" s="86" t="s">
        <v>381</v>
      </c>
      <c r="D116" s="15" t="s">
        <v>30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33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67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392</v>
      </c>
      <c r="C120" s="83" t="s">
        <v>393</v>
      </c>
      <c r="D120" s="15" t="s">
        <v>297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1138</v>
      </c>
      <c r="C121" s="83" t="s">
        <v>1139</v>
      </c>
      <c r="D121" s="15" t="s">
        <v>231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128</v>
      </c>
      <c r="C122" s="83" t="s">
        <v>227</v>
      </c>
      <c r="D122" s="15" t="s">
        <v>249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395</v>
      </c>
      <c r="C123" s="83" t="s">
        <v>227</v>
      </c>
      <c r="D123" s="15" t="s">
        <v>249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226</v>
      </c>
      <c r="C124" s="83" t="s">
        <v>227</v>
      </c>
      <c r="D124" s="15" t="s">
        <v>228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396</v>
      </c>
      <c r="C125" s="83" t="s">
        <v>397</v>
      </c>
      <c r="D125" s="15" t="s">
        <v>260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398</v>
      </c>
      <c r="C126" s="83" t="s">
        <v>399</v>
      </c>
      <c r="D126" s="15" t="s">
        <v>950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400</v>
      </c>
      <c r="C127" s="83" t="s">
        <v>970</v>
      </c>
      <c r="D127" s="15" t="s">
        <v>950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1140</v>
      </c>
      <c r="C128" s="83" t="s">
        <v>1141</v>
      </c>
      <c r="D128" s="15" t="s">
        <v>951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401</v>
      </c>
      <c r="C129" s="83" t="s">
        <v>402</v>
      </c>
      <c r="D129" s="10" t="s">
        <v>24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403</v>
      </c>
      <c r="C130" s="83" t="s">
        <v>404</v>
      </c>
      <c r="D130" s="15" t="s">
        <v>30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33</v>
      </c>
      <c r="C131" s="99" t="s">
        <v>1142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71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407</v>
      </c>
      <c r="C134" s="83" t="s">
        <v>1221</v>
      </c>
      <c r="D134" s="15" t="s">
        <v>297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229</v>
      </c>
      <c r="C135" s="83" t="s">
        <v>230</v>
      </c>
      <c r="D135" s="15" t="s">
        <v>231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409</v>
      </c>
      <c r="C136" s="86" t="s">
        <v>410</v>
      </c>
      <c r="D136" s="16" t="s">
        <v>946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411</v>
      </c>
      <c r="C137" s="83" t="s">
        <v>412</v>
      </c>
      <c r="D137" s="15" t="s">
        <v>342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413</v>
      </c>
      <c r="C138" s="86" t="s">
        <v>414</v>
      </c>
      <c r="D138" s="15" t="s">
        <v>342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366</v>
      </c>
      <c r="C139" s="86" t="s">
        <v>420</v>
      </c>
      <c r="D139" s="15" t="s">
        <v>950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416</v>
      </c>
      <c r="C140" s="83" t="s">
        <v>417</v>
      </c>
      <c r="D140" s="15" t="s">
        <v>332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418</v>
      </c>
      <c r="C141" s="83" t="s">
        <v>417</v>
      </c>
      <c r="D141" s="15" t="s">
        <v>332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419</v>
      </c>
      <c r="C142" s="86" t="s">
        <v>420</v>
      </c>
      <c r="D142" s="15" t="s">
        <v>332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421</v>
      </c>
      <c r="C143" s="83" t="s">
        <v>426</v>
      </c>
      <c r="D143" s="15" t="s">
        <v>41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423</v>
      </c>
      <c r="C144" s="83" t="s">
        <v>971</v>
      </c>
      <c r="D144" s="15" t="s">
        <v>345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425</v>
      </c>
      <c r="C145" s="83" t="s">
        <v>426</v>
      </c>
      <c r="D145" s="15" t="s">
        <v>41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429</v>
      </c>
      <c r="C146" s="86" t="s">
        <v>430</v>
      </c>
      <c r="D146" s="15" t="s">
        <v>301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431</v>
      </c>
      <c r="C147" s="86" t="s">
        <v>430</v>
      </c>
      <c r="D147" s="15" t="s">
        <v>301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433</v>
      </c>
      <c r="C148" s="86" t="s">
        <v>430</v>
      </c>
      <c r="D148" s="15" t="s">
        <v>301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434</v>
      </c>
      <c r="C149" s="83" t="s">
        <v>435</v>
      </c>
      <c r="D149" s="15" t="s">
        <v>37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953</v>
      </c>
      <c r="C150" s="83" t="s">
        <v>437</v>
      </c>
      <c r="D150" s="10" t="s">
        <v>24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438</v>
      </c>
      <c r="C151" s="83" t="s">
        <v>439</v>
      </c>
      <c r="D151" s="15" t="s">
        <v>37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440</v>
      </c>
      <c r="C152" s="83" t="s">
        <v>441</v>
      </c>
      <c r="D152" s="15" t="s">
        <v>24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442</v>
      </c>
      <c r="C153" s="83" t="s">
        <v>443</v>
      </c>
      <c r="D153" s="15" t="s">
        <v>37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444</v>
      </c>
      <c r="C154" s="83" t="s">
        <v>445</v>
      </c>
      <c r="D154" s="15" t="s">
        <v>24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446</v>
      </c>
      <c r="C155" s="83" t="s">
        <v>451</v>
      </c>
      <c r="D155" s="15" t="s">
        <v>1166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1143</v>
      </c>
      <c r="C156" s="83" t="s">
        <v>449</v>
      </c>
      <c r="D156" s="15" t="s">
        <v>30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448</v>
      </c>
      <c r="C157" s="83" t="s">
        <v>449</v>
      </c>
      <c r="D157" s="15" t="s">
        <v>30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450</v>
      </c>
      <c r="C158" s="83" t="s">
        <v>451</v>
      </c>
      <c r="D158" s="15" t="s">
        <v>30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452</v>
      </c>
      <c r="C159" s="83" t="s">
        <v>453</v>
      </c>
      <c r="D159" s="15" t="s">
        <v>30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454</v>
      </c>
      <c r="C160" s="83" t="s">
        <v>455</v>
      </c>
      <c r="D160" s="15" t="s">
        <v>30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457</v>
      </c>
      <c r="C161" s="83" t="s">
        <v>458</v>
      </c>
      <c r="D161" s="15" t="s">
        <v>476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460</v>
      </c>
      <c r="C162" s="83" t="s">
        <v>458</v>
      </c>
      <c r="D162" s="15" t="s">
        <v>476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461</v>
      </c>
      <c r="C163" s="83" t="s">
        <v>458</v>
      </c>
      <c r="D163" s="15" t="s">
        <v>476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664</v>
      </c>
      <c r="C164" s="83" t="s">
        <v>458</v>
      </c>
      <c r="D164" s="15" t="s">
        <v>476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662</v>
      </c>
      <c r="C165" s="83" t="s">
        <v>458</v>
      </c>
      <c r="D165" s="15" t="s">
        <v>476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462</v>
      </c>
      <c r="C166" s="83" t="s">
        <v>458</v>
      </c>
      <c r="D166" s="15" t="s">
        <v>476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463</v>
      </c>
      <c r="C167" s="83" t="s">
        <v>458</v>
      </c>
      <c r="D167" s="15" t="s">
        <v>476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464</v>
      </c>
      <c r="C168" s="83" t="s">
        <v>458</v>
      </c>
      <c r="D168" s="15" t="s">
        <v>473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466</v>
      </c>
      <c r="C169" s="83" t="s">
        <v>458</v>
      </c>
      <c r="D169" s="15" t="s">
        <v>473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1121</v>
      </c>
      <c r="C170" s="83" t="s">
        <v>458</v>
      </c>
      <c r="D170" s="15" t="s">
        <v>473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467</v>
      </c>
      <c r="C171" s="83" t="s">
        <v>458</v>
      </c>
      <c r="D171" s="15" t="s">
        <v>473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468</v>
      </c>
      <c r="C172" s="83" t="s">
        <v>458</v>
      </c>
      <c r="D172" s="15" t="s">
        <v>473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469</v>
      </c>
      <c r="C173" s="83" t="s">
        <v>458</v>
      </c>
      <c r="D173" s="15" t="s">
        <v>473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470</v>
      </c>
      <c r="C174" s="83" t="s">
        <v>458</v>
      </c>
      <c r="D174" s="15" t="s">
        <v>473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471</v>
      </c>
      <c r="C175" s="83" t="s">
        <v>478</v>
      </c>
      <c r="D175" s="15" t="s">
        <v>954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474</v>
      </c>
      <c r="C176" s="83" t="s">
        <v>478</v>
      </c>
      <c r="D176" s="15" t="s">
        <v>954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475</v>
      </c>
      <c r="C177" s="83" t="s">
        <v>478</v>
      </c>
      <c r="D177" s="15" t="s">
        <v>479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477</v>
      </c>
      <c r="C178" s="83" t="s">
        <v>478</v>
      </c>
      <c r="D178" s="15" t="s">
        <v>492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480</v>
      </c>
      <c r="C179" s="83" t="s">
        <v>481</v>
      </c>
      <c r="D179" s="15" t="s">
        <v>1190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483</v>
      </c>
      <c r="C180" s="83" t="s">
        <v>481</v>
      </c>
      <c r="D180" s="15" t="s">
        <v>1190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484</v>
      </c>
      <c r="C181" s="83" t="s">
        <v>481</v>
      </c>
      <c r="D181" s="15" t="s">
        <v>1190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485</v>
      </c>
      <c r="C182" s="83" t="s">
        <v>481</v>
      </c>
      <c r="D182" s="15" t="s">
        <v>1190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486</v>
      </c>
      <c r="C183" s="83" t="s">
        <v>481</v>
      </c>
      <c r="D183" s="15" t="s">
        <v>1190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487</v>
      </c>
      <c r="C184" s="83" t="s">
        <v>481</v>
      </c>
      <c r="D184" s="15" t="s">
        <v>502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488</v>
      </c>
      <c r="C185" s="83" t="s">
        <v>481</v>
      </c>
      <c r="D185" s="15" t="s">
        <v>502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489</v>
      </c>
      <c r="C186" s="83" t="s">
        <v>478</v>
      </c>
      <c r="D186" s="15" t="s">
        <v>502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490</v>
      </c>
      <c r="C187" s="83" t="s">
        <v>478</v>
      </c>
      <c r="D187" s="15" t="s">
        <v>502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491</v>
      </c>
      <c r="C188" s="83" t="s">
        <v>481</v>
      </c>
      <c r="D188" s="15" t="s">
        <v>494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493</v>
      </c>
      <c r="C189" s="83" t="s">
        <v>481</v>
      </c>
      <c r="D189" s="15" t="s">
        <v>497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33</v>
      </c>
      <c r="C190" s="100" t="s">
        <v>1222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80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1223</v>
      </c>
      <c r="B1" s="74"/>
      <c r="C1" s="74"/>
      <c r="D1" s="74"/>
      <c r="E1" s="74"/>
      <c r="F1" s="74"/>
    </row>
    <row r="2" ht="17.5" spans="1:6">
      <c r="A2" s="41" t="s">
        <v>1224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1229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1230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1231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1232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1233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1234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1235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1236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1237</v>
      </c>
      <c r="B1" s="47"/>
      <c r="C1" s="47"/>
      <c r="D1" s="47"/>
      <c r="E1" s="47"/>
      <c r="F1" s="47"/>
    </row>
    <row r="2" ht="17.5" spans="1:6">
      <c r="A2" s="41" t="s">
        <v>1238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 t="e">
        <f>E4*12</f>
        <v>#REF!</v>
      </c>
      <c r="E4" s="51" t="e">
        <f>'APRIL 2025 NEW'!#REF!</f>
        <v>#REF!</v>
      </c>
      <c r="F4" s="46"/>
    </row>
    <row r="5" ht="18" spans="1:6">
      <c r="A5" s="48" t="s">
        <v>1228</v>
      </c>
      <c r="B5" s="48"/>
      <c r="C5" s="48"/>
      <c r="D5" s="51" t="e">
        <f t="shared" ref="D5:D13" si="0">E5*12</f>
        <v>#REF!</v>
      </c>
      <c r="E5" s="51" t="e">
        <f>'APRIL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'APRIL 2025 NEW'!#REF!</f>
        <v>#REF!</v>
      </c>
      <c r="F6" s="46"/>
    </row>
    <row r="7" ht="18" spans="1:6">
      <c r="A7" s="48" t="s">
        <v>1230</v>
      </c>
      <c r="B7" s="48"/>
      <c r="C7" s="48"/>
      <c r="D7" s="51" t="e">
        <f t="shared" si="0"/>
        <v>#REF!</v>
      </c>
      <c r="E7" s="51" t="e">
        <f>'APRIL 2025 NEW'!#REF!</f>
        <v>#REF!</v>
      </c>
      <c r="F7" s="46"/>
    </row>
    <row r="8" ht="18" spans="1:6">
      <c r="A8" s="48" t="s">
        <v>1231</v>
      </c>
      <c r="B8" s="48"/>
      <c r="C8" s="48"/>
      <c r="D8" s="51" t="e">
        <f t="shared" si="0"/>
        <v>#REF!</v>
      </c>
      <c r="E8" s="51" t="e">
        <f>'APRIL 2025 NEW'!#REF!</f>
        <v>#REF!</v>
      </c>
      <c r="F8" s="46"/>
    </row>
    <row r="9" ht="18" spans="1:6">
      <c r="A9" s="48" t="s">
        <v>1232</v>
      </c>
      <c r="B9" s="48"/>
      <c r="C9" s="48"/>
      <c r="D9" s="51" t="e">
        <f t="shared" si="0"/>
        <v>#REF!</v>
      </c>
      <c r="E9" s="51" t="e">
        <f>'APRIL 2025 NEW'!#REF!</f>
        <v>#REF!</v>
      </c>
      <c r="F9" s="46"/>
    </row>
    <row r="10" ht="18" spans="1:6">
      <c r="A10" s="48" t="s">
        <v>1234</v>
      </c>
      <c r="B10" s="48"/>
      <c r="C10" s="48"/>
      <c r="D10" s="51" t="e">
        <f t="shared" si="0"/>
        <v>#REF!</v>
      </c>
      <c r="E10" s="51" t="e">
        <f>'APRIL 2025 NEW'!#REF!</f>
        <v>#REF!</v>
      </c>
      <c r="F10" s="46"/>
    </row>
    <row r="11" ht="18" spans="1:6">
      <c r="A11" s="52" t="s">
        <v>1239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1235</v>
      </c>
      <c r="B12" s="48"/>
      <c r="C12" s="48"/>
      <c r="D12" s="51" t="e">
        <f t="shared" si="0"/>
        <v>#REF!</v>
      </c>
      <c r="E12" s="51" t="e">
        <f>'APRIL 2025 NEW'!#REF!</f>
        <v>#REF!</v>
      </c>
      <c r="F12" s="46"/>
    </row>
    <row r="13" ht="18" spans="1:6">
      <c r="A13" s="48" t="s">
        <v>1236</v>
      </c>
      <c r="B13" s="48"/>
      <c r="C13" s="48"/>
      <c r="D13" s="51" t="e">
        <f t="shared" si="0"/>
        <v>#REF!</v>
      </c>
      <c r="E13" s="51" t="e">
        <f>'APRIL 2025 NEW'!#REF!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1240</v>
      </c>
      <c r="B1" s="47"/>
      <c r="C1" s="47"/>
      <c r="D1" s="47"/>
      <c r="E1" s="47"/>
      <c r="F1" s="47"/>
    </row>
    <row r="2" ht="17.5" spans="1:6">
      <c r="A2" s="41" t="s">
        <v>1241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 t="e">
        <f>E4*12</f>
        <v>#REF!</v>
      </c>
      <c r="E4" s="51" t="e">
        <f>'APRIL 2025 NEW'!#REF!</f>
        <v>#REF!</v>
      </c>
      <c r="F4" s="46"/>
    </row>
    <row r="5" ht="18" spans="1:6">
      <c r="A5" s="48" t="s">
        <v>1228</v>
      </c>
      <c r="B5" s="48"/>
      <c r="C5" s="48"/>
      <c r="D5" s="51" t="e">
        <f t="shared" ref="D5:D14" si="0">E5*12</f>
        <v>#REF!</v>
      </c>
      <c r="E5" s="51" t="e">
        <f>'APRIL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'APRIL 2025 NEW'!#REF!</f>
        <v>#REF!</v>
      </c>
      <c r="F6" s="46"/>
    </row>
    <row r="7" ht="18" spans="1:6">
      <c r="A7" s="48" t="s">
        <v>1230</v>
      </c>
      <c r="B7" s="48"/>
      <c r="C7" s="48"/>
      <c r="D7" s="51" t="e">
        <f t="shared" si="0"/>
        <v>#REF!</v>
      </c>
      <c r="E7" s="51" t="e">
        <f>'APRIL 2025 NEW'!#REF!</f>
        <v>#REF!</v>
      </c>
      <c r="F7" s="46"/>
    </row>
    <row r="8" ht="18" spans="1:6">
      <c r="A8" s="48" t="s">
        <v>1231</v>
      </c>
      <c r="B8" s="48"/>
      <c r="C8" s="48"/>
      <c r="D8" s="51" t="e">
        <f t="shared" si="0"/>
        <v>#REF!</v>
      </c>
      <c r="E8" s="51" t="e">
        <f>'APRIL 2025 NEW'!#REF!</f>
        <v>#REF!</v>
      </c>
      <c r="F8" s="46"/>
    </row>
    <row r="9" ht="18" spans="1:6">
      <c r="A9" s="48" t="s">
        <v>1232</v>
      </c>
      <c r="B9" s="48"/>
      <c r="C9" s="48"/>
      <c r="D9" s="51" t="e">
        <f t="shared" si="0"/>
        <v>#REF!</v>
      </c>
      <c r="E9" s="51" t="e">
        <f>'APRIL 2025 NEW'!#REF!</f>
        <v>#REF!</v>
      </c>
      <c r="F9" s="46"/>
    </row>
    <row r="10" ht="18" spans="1:6">
      <c r="A10" s="48" t="s">
        <v>1234</v>
      </c>
      <c r="B10" s="48"/>
      <c r="C10" s="48"/>
      <c r="D10" s="51" t="e">
        <f t="shared" si="0"/>
        <v>#REF!</v>
      </c>
      <c r="E10" s="51" t="e">
        <f>'APRIL 2025 NEW'!#REF!</f>
        <v>#REF!</v>
      </c>
      <c r="F10" s="46"/>
    </row>
    <row r="11" ht="18" spans="1:6">
      <c r="A11" s="52" t="s">
        <v>1233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1235</v>
      </c>
      <c r="B12" s="48"/>
      <c r="C12" s="48"/>
      <c r="D12" s="51" t="e">
        <f t="shared" si="0"/>
        <v>#REF!</v>
      </c>
      <c r="E12" s="51" t="e">
        <f>'APRIL 2025 NEW'!#REF!</f>
        <v>#REF!</v>
      </c>
      <c r="F12" s="46"/>
    </row>
    <row r="13" ht="18" spans="1:6">
      <c r="A13" s="48" t="s">
        <v>1236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1242</v>
      </c>
      <c r="B1" s="47"/>
      <c r="C1" s="47"/>
      <c r="D1" s="47"/>
      <c r="E1" s="47"/>
      <c r="F1" s="47"/>
    </row>
    <row r="2" ht="17.5" spans="1:6">
      <c r="A2" s="41" t="s">
        <v>1243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 t="e">
        <f>E4*12</f>
        <v>#REF!</v>
      </c>
      <c r="E4" s="51" t="e">
        <f>'APRIL 2025 NEW'!#REF!</f>
        <v>#REF!</v>
      </c>
      <c r="F4" s="46"/>
    </row>
    <row r="5" ht="18" spans="1:6">
      <c r="A5" s="48" t="s">
        <v>1228</v>
      </c>
      <c r="B5" s="48"/>
      <c r="C5" s="48"/>
      <c r="D5" s="51" t="e">
        <f t="shared" ref="D5:D14" si="0">E5*12</f>
        <v>#REF!</v>
      </c>
      <c r="E5" s="51" t="e">
        <f>'APRIL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'APRIL 2025 NEW'!#REF!</f>
        <v>#REF!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 t="e">
        <f t="shared" si="0"/>
        <v>#REF!</v>
      </c>
      <c r="E8" s="51" t="e">
        <f>'APRIL 2025 NEW'!#REF!</f>
        <v>#REF!</v>
      </c>
      <c r="F8" s="46"/>
    </row>
    <row r="9" ht="18" spans="1:6">
      <c r="A9" s="48" t="s">
        <v>1232</v>
      </c>
      <c r="B9" s="48"/>
      <c r="C9" s="48"/>
      <c r="D9" s="51" t="e">
        <f t="shared" si="0"/>
        <v>#REF!</v>
      </c>
      <c r="E9" s="51" t="e">
        <f>'APRIL 2025 NEW'!#REF!</f>
        <v>#REF!</v>
      </c>
      <c r="F9" s="46"/>
    </row>
    <row r="10" ht="18" spans="1:6">
      <c r="A10" s="48" t="s">
        <v>1234</v>
      </c>
      <c r="B10" s="48"/>
      <c r="C10" s="48"/>
      <c r="D10" s="51" t="e">
        <f t="shared" si="0"/>
        <v>#REF!</v>
      </c>
      <c r="E10" s="51" t="e">
        <f>'APRIL 2025 NEW'!#REF!</f>
        <v>#REF!</v>
      </c>
      <c r="F10" s="46"/>
    </row>
    <row r="11" ht="18" spans="1:6">
      <c r="A11" s="52" t="s">
        <v>1233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1235</v>
      </c>
      <c r="B12" s="48"/>
      <c r="C12" s="48"/>
      <c r="D12" s="51" t="e">
        <f t="shared" si="0"/>
        <v>#REF!</v>
      </c>
      <c r="E12" s="51" t="e">
        <f>'APRIL 2025 NEW'!#REF!</f>
        <v>#REF!</v>
      </c>
      <c r="F12" s="46"/>
    </row>
    <row r="13" ht="18" spans="1:6">
      <c r="A13" s="48" t="s">
        <v>1236</v>
      </c>
      <c r="B13" s="48"/>
      <c r="C13" s="48"/>
      <c r="D13" s="51" t="e">
        <f t="shared" si="0"/>
        <v>#REF!</v>
      </c>
      <c r="E13" s="51" t="e">
        <f>'APRIL 2025 NEW'!#REF!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1228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1229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1232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1234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1235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1236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1244</v>
      </c>
      <c r="B1" s="47"/>
      <c r="C1" s="47"/>
      <c r="D1" s="47"/>
      <c r="E1" s="47"/>
      <c r="F1" s="47"/>
    </row>
    <row r="2" ht="17.5" spans="1:6">
      <c r="A2" s="41" t="s">
        <v>1245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1229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1232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1234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1233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1235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1236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1246</v>
      </c>
      <c r="B1" s="47"/>
      <c r="C1" s="47"/>
      <c r="D1" s="47"/>
      <c r="E1" s="47"/>
      <c r="F1" s="47"/>
    </row>
    <row r="2" ht="17.5" spans="1:6">
      <c r="A2" s="41" t="s">
        <v>1247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1229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1232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1234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1248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1235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1236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1249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4682987</v>
      </c>
      <c r="E4" s="51">
        <f>'APRIL 2025 NEW'!E30</f>
        <v>390248.916666667</v>
      </c>
      <c r="F4" s="46"/>
    </row>
    <row r="5" ht="18" spans="1:6">
      <c r="A5" s="48" t="s">
        <v>1228</v>
      </c>
      <c r="B5" s="48"/>
      <c r="C5" s="48"/>
      <c r="D5" s="51" t="e">
        <f t="shared" ref="D5:D12" si="0">E5*12</f>
        <v>#REF!</v>
      </c>
      <c r="E5" s="51" t="e">
        <f>'APRIL 2025 NEW'!#REF!</f>
        <v>#REF!</v>
      </c>
      <c r="F5" s="46"/>
    </row>
    <row r="6" ht="18" spans="1:6">
      <c r="A6" s="48" t="s">
        <v>1229</v>
      </c>
      <c r="B6" s="48"/>
      <c r="C6" s="48"/>
      <c r="D6" s="51" t="e">
        <f t="shared" si="0"/>
        <v>#REF!</v>
      </c>
      <c r="E6" s="51" t="e">
        <f>'APRIL 2025 NEW'!#REF!</f>
        <v>#REF!</v>
      </c>
      <c r="F6" s="46"/>
    </row>
    <row r="7" ht="18" spans="1:6">
      <c r="A7" s="48" t="s">
        <v>1231</v>
      </c>
      <c r="B7" s="48"/>
      <c r="C7" s="48"/>
      <c r="D7" s="51" t="e">
        <f t="shared" si="0"/>
        <v>#REF!</v>
      </c>
      <c r="E7" s="51" t="e">
        <f>'APRIL 2025 NEW'!#REF!</f>
        <v>#REF!</v>
      </c>
      <c r="F7" s="46"/>
    </row>
    <row r="8" ht="18" spans="1:6">
      <c r="A8" s="48" t="s">
        <v>1232</v>
      </c>
      <c r="B8" s="48"/>
      <c r="C8" s="48"/>
      <c r="D8" s="51" t="e">
        <f t="shared" si="0"/>
        <v>#REF!</v>
      </c>
      <c r="E8" s="51" t="e">
        <f>'APRIL 2025 NEW'!#REF!</f>
        <v>#REF!</v>
      </c>
      <c r="F8" s="46"/>
    </row>
    <row r="9" ht="18" spans="1:6">
      <c r="A9" s="48" t="s">
        <v>1234</v>
      </c>
      <c r="B9" s="48"/>
      <c r="C9" s="48"/>
      <c r="D9" s="51" t="e">
        <f t="shared" si="0"/>
        <v>#REF!</v>
      </c>
      <c r="E9" s="51" t="e">
        <f>'APRIL 2025 NEW'!#REF!</f>
        <v>#REF!</v>
      </c>
      <c r="F9" s="46"/>
    </row>
    <row r="10" ht="18" spans="1:6">
      <c r="A10" s="48" t="s">
        <v>1235</v>
      </c>
      <c r="B10" s="48"/>
      <c r="C10" s="48"/>
      <c r="D10" s="51" t="e">
        <f t="shared" si="0"/>
        <v>#REF!</v>
      </c>
      <c r="E10" s="51" t="e">
        <f>'APRIL 2025 NEW'!#REF!</f>
        <v>#REF!</v>
      </c>
      <c r="F10" s="46"/>
    </row>
    <row r="11" ht="18" spans="1:6">
      <c r="A11" s="48" t="s">
        <v>1236</v>
      </c>
      <c r="B11" s="48"/>
      <c r="C11" s="48"/>
      <c r="D11" s="51" t="e">
        <f t="shared" si="0"/>
        <v>#REF!</v>
      </c>
      <c r="E11" s="51" t="e">
        <f>'APRIL 2025 NEW'!#REF!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1194</v>
      </c>
      <c r="G1" s="57" t="s">
        <v>1250</v>
      </c>
      <c r="H1" s="57"/>
      <c r="I1" s="57"/>
      <c r="J1" s="57"/>
      <c r="K1" s="57"/>
      <c r="L1" s="57"/>
      <c r="M1" s="57" t="s">
        <v>1251</v>
      </c>
      <c r="N1" s="57" t="s">
        <v>1195</v>
      </c>
      <c r="O1" s="57" t="s">
        <v>1196</v>
      </c>
      <c r="P1" s="57" t="s">
        <v>1198</v>
      </c>
      <c r="Q1" s="57" t="s">
        <v>1199</v>
      </c>
      <c r="R1" s="57" t="s">
        <v>1200</v>
      </c>
      <c r="S1" s="57" t="s">
        <v>1252</v>
      </c>
      <c r="T1" s="68"/>
      <c r="U1" s="69" t="s">
        <v>1253</v>
      </c>
      <c r="V1" s="70" t="s">
        <v>1254</v>
      </c>
    </row>
    <row r="2" ht="17.5" spans="6:22">
      <c r="F2" s="57" t="s">
        <v>195</v>
      </c>
      <c r="G2" s="57" t="s">
        <v>1255</v>
      </c>
      <c r="H2" s="57" t="s">
        <v>566</v>
      </c>
      <c r="I2" s="57" t="s">
        <v>567</v>
      </c>
      <c r="J2" s="57" t="s">
        <v>568</v>
      </c>
      <c r="K2" s="57" t="s">
        <v>569</v>
      </c>
      <c r="L2" s="57" t="s">
        <v>570</v>
      </c>
      <c r="M2" s="57" t="s">
        <v>1256</v>
      </c>
      <c r="N2" s="57" t="s">
        <v>571</v>
      </c>
      <c r="O2" s="57" t="s">
        <v>7</v>
      </c>
      <c r="P2" s="57" t="s">
        <v>572</v>
      </c>
      <c r="Q2" s="57" t="s">
        <v>572</v>
      </c>
      <c r="R2" s="57" t="s">
        <v>8</v>
      </c>
      <c r="S2" s="57" t="s">
        <v>195</v>
      </c>
      <c r="T2" s="57" t="s">
        <v>14</v>
      </c>
      <c r="U2" s="69"/>
      <c r="V2" s="70"/>
    </row>
    <row r="3" ht="18" spans="1:21">
      <c r="A3" s="58" t="s">
        <v>1257</v>
      </c>
      <c r="B3" s="59"/>
      <c r="C3" s="60"/>
      <c r="D3" s="61"/>
      <c r="E3" s="61" t="s">
        <v>1258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1259</v>
      </c>
      <c r="B4" s="59"/>
      <c r="C4" s="60"/>
      <c r="D4" s="61"/>
      <c r="E4" s="61" t="s">
        <v>1260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259</v>
      </c>
      <c r="B5" s="64"/>
      <c r="C5" s="65"/>
      <c r="D5" s="66"/>
      <c r="E5" s="67" t="s">
        <v>356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353</v>
      </c>
      <c r="B6" s="59"/>
      <c r="C6" s="60"/>
      <c r="D6" s="61"/>
      <c r="E6" s="61" t="s">
        <v>1261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1262</v>
      </c>
      <c r="B7" s="59"/>
      <c r="C7" s="60"/>
      <c r="D7" s="61"/>
      <c r="E7" s="61" t="s">
        <v>1263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63</v>
      </c>
      <c r="B8" s="59"/>
      <c r="C8" s="60"/>
      <c r="D8" s="61"/>
      <c r="E8" s="61" t="s">
        <v>1264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1265</v>
      </c>
      <c r="B9" s="59"/>
      <c r="C9" s="60"/>
      <c r="D9" s="61"/>
      <c r="E9" s="61" t="s">
        <v>1266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1267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1268</v>
      </c>
      <c r="B1" s="47"/>
      <c r="C1" s="47"/>
      <c r="D1" s="47"/>
      <c r="E1" s="47"/>
      <c r="F1" s="47"/>
    </row>
    <row r="2" ht="17.5" spans="1:6">
      <c r="A2" s="41" t="s">
        <v>1269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1225</v>
      </c>
      <c r="E3" s="49" t="s">
        <v>1226</v>
      </c>
      <c r="F3" s="50"/>
    </row>
    <row r="4" ht="18" spans="1:6">
      <c r="A4" s="48" t="s">
        <v>1227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1228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1229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1230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1231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1232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1234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1233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1235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1236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1270</v>
      </c>
      <c r="B1" s="41"/>
      <c r="C1" s="41"/>
    </row>
    <row r="2" ht="17.5" spans="1:3">
      <c r="A2" s="41" t="s">
        <v>1241</v>
      </c>
      <c r="B2" s="41"/>
      <c r="C2" s="41"/>
    </row>
    <row r="3" ht="17.5" spans="1:3">
      <c r="A3" s="42"/>
      <c r="B3" s="42" t="s">
        <v>1225</v>
      </c>
      <c r="C3" s="42" t="s">
        <v>1226</v>
      </c>
    </row>
    <row r="4" ht="18" spans="1:3">
      <c r="A4" s="43" t="s">
        <v>1227</v>
      </c>
      <c r="B4" s="44">
        <f>C4*12</f>
        <v>475947</v>
      </c>
      <c r="C4" s="44">
        <v>39662.25</v>
      </c>
    </row>
    <row r="5" ht="18" spans="1:3">
      <c r="A5" s="43" t="s">
        <v>1228</v>
      </c>
      <c r="B5" s="44">
        <f t="shared" ref="B5:B13" si="0">C5*12</f>
        <v>1427841</v>
      </c>
      <c r="C5" s="44">
        <v>118986.75</v>
      </c>
    </row>
    <row r="6" ht="18" spans="1:3">
      <c r="A6" s="43" t="s">
        <v>1229</v>
      </c>
      <c r="B6" s="44">
        <f t="shared" si="0"/>
        <v>35696.04</v>
      </c>
      <c r="C6" s="44">
        <v>2974.67</v>
      </c>
    </row>
    <row r="7" ht="18" spans="1:3">
      <c r="A7" s="43" t="s">
        <v>1230</v>
      </c>
      <c r="B7" s="44" t="e">
        <f t="shared" si="0"/>
        <v>#REF!</v>
      </c>
      <c r="C7" s="44" t="e">
        <f>'APRIL 2025 NEW'!#REF!</f>
        <v>#REF!</v>
      </c>
    </row>
    <row r="8" ht="18" spans="1:3">
      <c r="A8" s="43" t="s">
        <v>1231</v>
      </c>
      <c r="B8" s="44">
        <f t="shared" si="0"/>
        <v>237973.56</v>
      </c>
      <c r="C8" s="44">
        <v>19831.13</v>
      </c>
    </row>
    <row r="9" ht="18" spans="1:3">
      <c r="A9" s="43" t="s">
        <v>1232</v>
      </c>
      <c r="B9" s="44">
        <f t="shared" si="0"/>
        <v>1665814.56</v>
      </c>
      <c r="C9" s="44">
        <v>138817.88</v>
      </c>
    </row>
    <row r="10" ht="18" spans="1:3">
      <c r="A10" s="43" t="s">
        <v>1234</v>
      </c>
      <c r="B10" s="44">
        <f t="shared" si="0"/>
        <v>475947</v>
      </c>
      <c r="C10" s="44">
        <v>39662.25</v>
      </c>
    </row>
    <row r="11" ht="18" spans="1:3">
      <c r="A11" s="43" t="s">
        <v>1233</v>
      </c>
      <c r="B11" s="44">
        <f t="shared" si="0"/>
        <v>0</v>
      </c>
      <c r="C11" s="44">
        <v>0</v>
      </c>
    </row>
    <row r="12" ht="18" spans="1:3">
      <c r="A12" s="43" t="s">
        <v>1235</v>
      </c>
      <c r="B12" s="44">
        <f t="shared" si="0"/>
        <v>47594.76</v>
      </c>
      <c r="C12" s="44">
        <v>3966.23</v>
      </c>
    </row>
    <row r="13" ht="18" spans="1:3">
      <c r="A13" s="43" t="s">
        <v>1236</v>
      </c>
      <c r="B13" s="44" t="e">
        <f t="shared" si="0"/>
        <v>#REF!</v>
      </c>
      <c r="C13" s="44" t="e">
        <f>'APRIL 2025 NEW'!#REF!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20</v>
      </c>
      <c r="B3" s="36" t="s">
        <v>4</v>
      </c>
      <c r="C3" s="36" t="s">
        <v>1271</v>
      </c>
      <c r="D3" s="37" t="s">
        <v>19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1272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20</v>
      </c>
      <c r="B6" s="8" t="s">
        <v>21</v>
      </c>
      <c r="C6" s="8"/>
      <c r="D6" s="8"/>
    </row>
    <row r="7" customHeight="1" spans="1:5">
      <c r="A7" s="10">
        <v>1</v>
      </c>
      <c r="B7" s="11" t="s">
        <v>236</v>
      </c>
      <c r="C7" s="12" t="s">
        <v>237</v>
      </c>
      <c r="D7" s="12" t="s">
        <v>238</v>
      </c>
      <c r="E7" s="13"/>
    </row>
    <row r="8" customHeight="1" spans="1:5">
      <c r="A8" s="10">
        <v>2</v>
      </c>
      <c r="B8" s="11" t="s">
        <v>1016</v>
      </c>
      <c r="C8" s="4" t="s">
        <v>1017</v>
      </c>
      <c r="D8" s="10" t="s">
        <v>231</v>
      </c>
      <c r="E8" s="13"/>
    </row>
    <row r="9" customHeight="1" spans="1:5">
      <c r="A9" s="10">
        <v>3</v>
      </c>
      <c r="B9" s="11" t="s">
        <v>239</v>
      </c>
      <c r="C9" s="12" t="s">
        <v>240</v>
      </c>
      <c r="D9" s="10" t="s">
        <v>234</v>
      </c>
      <c r="E9" s="13"/>
    </row>
    <row r="10" customHeight="1" spans="1:5">
      <c r="A10" s="10">
        <v>4</v>
      </c>
      <c r="B10" s="14" t="s">
        <v>241</v>
      </c>
      <c r="C10" s="4" t="s">
        <v>242</v>
      </c>
      <c r="D10" s="15" t="s">
        <v>308</v>
      </c>
      <c r="E10" s="13"/>
    </row>
    <row r="11" customHeight="1" spans="1:5">
      <c r="A11" s="10">
        <v>5</v>
      </c>
      <c r="B11" s="14" t="s">
        <v>363</v>
      </c>
      <c r="C11" s="4" t="s">
        <v>1018</v>
      </c>
      <c r="D11" s="16" t="s">
        <v>308</v>
      </c>
      <c r="E11" s="13"/>
    </row>
    <row r="12" customHeight="1" spans="1:5">
      <c r="A12" s="10">
        <v>6</v>
      </c>
      <c r="B12" s="11" t="s">
        <v>243</v>
      </c>
      <c r="C12" s="17" t="s">
        <v>244</v>
      </c>
      <c r="D12" s="16" t="s">
        <v>308</v>
      </c>
      <c r="E12" s="13"/>
    </row>
    <row r="13" customHeight="1" spans="1:5">
      <c r="A13" s="10">
        <v>7</v>
      </c>
      <c r="B13" s="14" t="s">
        <v>245</v>
      </c>
      <c r="C13" s="4" t="s">
        <v>246</v>
      </c>
      <c r="D13" s="16" t="s">
        <v>308</v>
      </c>
      <c r="E13" s="13"/>
    </row>
    <row r="14" customHeight="1" spans="1:5">
      <c r="A14" s="10">
        <v>8</v>
      </c>
      <c r="B14" s="11" t="s">
        <v>247</v>
      </c>
      <c r="C14" s="12" t="s">
        <v>248</v>
      </c>
      <c r="D14" s="15" t="s">
        <v>249</v>
      </c>
      <c r="E14" s="13"/>
    </row>
    <row r="15" customHeight="1" spans="1:5">
      <c r="A15" s="10">
        <v>9</v>
      </c>
      <c r="B15" s="18" t="s">
        <v>223</v>
      </c>
      <c r="C15" s="12" t="s">
        <v>224</v>
      </c>
      <c r="D15" s="10" t="s">
        <v>222</v>
      </c>
      <c r="E15" s="13"/>
    </row>
    <row r="16" customHeight="1" spans="1:5">
      <c r="A16" s="10">
        <v>10</v>
      </c>
      <c r="B16" s="19" t="s">
        <v>1109</v>
      </c>
      <c r="C16" s="4" t="s">
        <v>1110</v>
      </c>
      <c r="D16" s="16" t="s">
        <v>257</v>
      </c>
      <c r="E16" s="13"/>
    </row>
    <row r="17" ht="19.5" customHeight="1" spans="1:5">
      <c r="A17" s="10">
        <v>11</v>
      </c>
      <c r="B17" s="14" t="s">
        <v>1019</v>
      </c>
      <c r="C17" s="4" t="s">
        <v>253</v>
      </c>
      <c r="D17" s="10" t="s">
        <v>257</v>
      </c>
      <c r="E17" s="13"/>
    </row>
    <row r="18" ht="19.5" customHeight="1" spans="1:5">
      <c r="A18" s="10">
        <v>12</v>
      </c>
      <c r="B18" s="14" t="s">
        <v>1111</v>
      </c>
      <c r="C18" s="4" t="s">
        <v>1112</v>
      </c>
      <c r="D18" s="10" t="s">
        <v>257</v>
      </c>
      <c r="E18" s="13"/>
    </row>
    <row r="19" customHeight="1" spans="1:5">
      <c r="A19" s="10">
        <v>13</v>
      </c>
      <c r="B19" s="11" t="s">
        <v>252</v>
      </c>
      <c r="C19" s="4" t="s">
        <v>253</v>
      </c>
      <c r="D19" s="15" t="s">
        <v>257</v>
      </c>
      <c r="E19" s="13"/>
    </row>
    <row r="20" customHeight="1" spans="1:5">
      <c r="A20" s="10">
        <v>14</v>
      </c>
      <c r="B20" s="11" t="s">
        <v>264</v>
      </c>
      <c r="C20" s="12" t="s">
        <v>265</v>
      </c>
      <c r="D20" s="15" t="s">
        <v>950</v>
      </c>
      <c r="E20" s="13"/>
    </row>
    <row r="21" customHeight="1" spans="1:5">
      <c r="A21" s="10">
        <v>15</v>
      </c>
      <c r="B21" s="18" t="s">
        <v>267</v>
      </c>
      <c r="C21" s="4" t="s">
        <v>268</v>
      </c>
      <c r="D21" s="15" t="s">
        <v>951</v>
      </c>
      <c r="E21" s="13"/>
    </row>
    <row r="22" customHeight="1" spans="1:5">
      <c r="A22" s="10">
        <v>16</v>
      </c>
      <c r="B22" s="11" t="s">
        <v>389</v>
      </c>
      <c r="C22" s="12" t="s">
        <v>390</v>
      </c>
      <c r="D22" s="15" t="s">
        <v>271</v>
      </c>
      <c r="E22" s="13"/>
    </row>
    <row r="23" ht="18.75" customHeight="1" spans="1:5">
      <c r="A23" s="10">
        <v>17</v>
      </c>
      <c r="B23" s="11" t="s">
        <v>270</v>
      </c>
      <c r="C23" s="12" t="s">
        <v>50</v>
      </c>
      <c r="D23" s="15" t="s">
        <v>332</v>
      </c>
      <c r="E23" s="13"/>
    </row>
    <row r="24" ht="18.75" customHeight="1" spans="1:5">
      <c r="A24" s="10">
        <v>18</v>
      </c>
      <c r="B24" s="18" t="s">
        <v>1113</v>
      </c>
      <c r="C24" s="12" t="s">
        <v>293</v>
      </c>
      <c r="D24" s="15" t="s">
        <v>345</v>
      </c>
      <c r="E24" s="13"/>
    </row>
    <row r="25" ht="18.75" customHeight="1" spans="1:5">
      <c r="A25" s="10">
        <v>19</v>
      </c>
      <c r="B25" s="4" t="s">
        <v>278</v>
      </c>
      <c r="C25" s="4" t="s">
        <v>176</v>
      </c>
      <c r="D25" s="10" t="s">
        <v>283</v>
      </c>
      <c r="E25" s="13"/>
    </row>
    <row r="26" ht="18.75" customHeight="1" spans="1:5">
      <c r="A26" s="10">
        <v>20</v>
      </c>
      <c r="B26" s="18" t="s">
        <v>280</v>
      </c>
      <c r="C26" s="12" t="s">
        <v>176</v>
      </c>
      <c r="D26" s="15" t="s">
        <v>283</v>
      </c>
      <c r="E26" s="13"/>
    </row>
    <row r="27" ht="18.75" customHeight="1" spans="1:5">
      <c r="A27" s="10">
        <v>21</v>
      </c>
      <c r="B27" s="11" t="s">
        <v>1020</v>
      </c>
      <c r="C27" s="12" t="s">
        <v>1021</v>
      </c>
      <c r="D27" s="15" t="s">
        <v>283</v>
      </c>
      <c r="E27" s="13"/>
    </row>
    <row r="28" ht="18.75" customHeight="1" spans="1:5">
      <c r="A28" s="10">
        <v>22</v>
      </c>
      <c r="B28" s="18" t="s">
        <v>282</v>
      </c>
      <c r="C28" s="12" t="s">
        <v>967</v>
      </c>
      <c r="D28" s="15" t="s">
        <v>945</v>
      </c>
      <c r="E28" s="13"/>
    </row>
    <row r="29" ht="18.75" customHeight="1" spans="1:5">
      <c r="A29" s="10">
        <v>23</v>
      </c>
      <c r="B29" s="18" t="s">
        <v>284</v>
      </c>
      <c r="C29" s="4" t="s">
        <v>1022</v>
      </c>
      <c r="D29" s="10" t="s">
        <v>945</v>
      </c>
      <c r="E29" s="13"/>
    </row>
    <row r="30" ht="18.75" customHeight="1" spans="1:5">
      <c r="A30" s="10">
        <v>24</v>
      </c>
      <c r="B30" s="18" t="s">
        <v>287</v>
      </c>
      <c r="C30" s="17" t="s">
        <v>288</v>
      </c>
      <c r="D30" s="15" t="s">
        <v>283</v>
      </c>
      <c r="E30" s="13"/>
    </row>
    <row r="31" ht="18.75" customHeight="1" spans="1:5">
      <c r="A31" s="10">
        <v>25</v>
      </c>
      <c r="B31" s="18" t="s">
        <v>289</v>
      </c>
      <c r="C31" s="4" t="s">
        <v>290</v>
      </c>
      <c r="D31" s="10" t="s">
        <v>294</v>
      </c>
      <c r="E31" s="13"/>
    </row>
    <row r="32" ht="18.75" customHeight="1" spans="1:5">
      <c r="A32" s="10">
        <v>26</v>
      </c>
      <c r="B32" s="18" t="s">
        <v>933</v>
      </c>
      <c r="C32" s="12" t="s">
        <v>293</v>
      </c>
      <c r="D32" s="15" t="s">
        <v>294</v>
      </c>
      <c r="E32" s="13"/>
    </row>
    <row r="33" ht="18.75" customHeight="1" spans="1:5">
      <c r="A33" s="10">
        <v>27</v>
      </c>
      <c r="B33" s="18" t="s">
        <v>1114</v>
      </c>
      <c r="C33" s="12" t="s">
        <v>293</v>
      </c>
      <c r="D33" s="15" t="s">
        <v>294</v>
      </c>
      <c r="E33" s="13"/>
    </row>
    <row r="34" ht="18.75" customHeight="1" spans="1:5">
      <c r="A34" s="10">
        <v>28</v>
      </c>
      <c r="B34" s="18" t="s">
        <v>405</v>
      </c>
      <c r="C34" s="12" t="s">
        <v>69</v>
      </c>
      <c r="D34" s="15" t="s">
        <v>30</v>
      </c>
      <c r="E34" s="13"/>
    </row>
    <row r="35" ht="20.25" customHeight="1" spans="1:5">
      <c r="A35" s="10"/>
      <c r="B35" s="20" t="s">
        <v>33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34</v>
      </c>
      <c r="C37" s="4"/>
      <c r="D37" s="15"/>
      <c r="E37" s="13"/>
    </row>
    <row r="38" ht="18.75" customHeight="1" spans="1:5">
      <c r="A38" s="10">
        <v>1</v>
      </c>
      <c r="B38" s="18" t="s">
        <v>295</v>
      </c>
      <c r="C38" s="4" t="s">
        <v>296</v>
      </c>
      <c r="D38" s="10" t="s">
        <v>297</v>
      </c>
      <c r="E38" s="13"/>
    </row>
    <row r="39" ht="18.75" customHeight="1" spans="1:5">
      <c r="A39" s="10">
        <v>2</v>
      </c>
      <c r="B39" s="18" t="s">
        <v>298</v>
      </c>
      <c r="C39" s="4" t="s">
        <v>537</v>
      </c>
      <c r="D39" s="10" t="s">
        <v>30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38</v>
      </c>
      <c r="C42" s="5"/>
      <c r="D42" s="24"/>
      <c r="E42" s="13"/>
    </row>
    <row r="43" customHeight="1" spans="1:5">
      <c r="A43" s="10">
        <v>1</v>
      </c>
      <c r="B43" s="11" t="s">
        <v>302</v>
      </c>
      <c r="C43" s="4" t="s">
        <v>303</v>
      </c>
      <c r="D43" s="10" t="s">
        <v>297</v>
      </c>
      <c r="E43" s="13"/>
    </row>
    <row r="44" customHeight="1" spans="1:5">
      <c r="A44" s="10">
        <v>2</v>
      </c>
      <c r="B44" s="11" t="s">
        <v>304</v>
      </c>
      <c r="C44" s="4" t="s">
        <v>305</v>
      </c>
      <c r="D44" s="10" t="s">
        <v>249</v>
      </c>
      <c r="E44" s="13"/>
    </row>
    <row r="45" customHeight="1" spans="1:5">
      <c r="A45" s="10">
        <v>3</v>
      </c>
      <c r="B45" s="11" t="s">
        <v>306</v>
      </c>
      <c r="C45" s="4" t="s">
        <v>310</v>
      </c>
      <c r="D45" s="10" t="s">
        <v>249</v>
      </c>
      <c r="E45" s="13"/>
    </row>
    <row r="46" customHeight="1" spans="1:5">
      <c r="A46" s="10">
        <v>4</v>
      </c>
      <c r="B46" s="11" t="s">
        <v>309</v>
      </c>
      <c r="C46" s="4" t="s">
        <v>310</v>
      </c>
      <c r="D46" s="10" t="s">
        <v>249</v>
      </c>
      <c r="E46" s="13"/>
    </row>
    <row r="47" customHeight="1" spans="1:5">
      <c r="A47" s="10">
        <v>5</v>
      </c>
      <c r="B47" s="11" t="s">
        <v>311</v>
      </c>
      <c r="C47" s="4" t="s">
        <v>310</v>
      </c>
      <c r="D47" s="10" t="s">
        <v>327</v>
      </c>
      <c r="E47" s="13"/>
    </row>
    <row r="48" customHeight="1" spans="1:5">
      <c r="A48" s="10">
        <v>6</v>
      </c>
      <c r="B48" s="11" t="s">
        <v>312</v>
      </c>
      <c r="C48" s="4" t="s">
        <v>259</v>
      </c>
      <c r="D48" s="10" t="s">
        <v>257</v>
      </c>
      <c r="E48" s="13"/>
    </row>
    <row r="49" customHeight="1" spans="1:5">
      <c r="A49" s="10">
        <v>7</v>
      </c>
      <c r="B49" s="14" t="s">
        <v>313</v>
      </c>
      <c r="C49" s="4" t="s">
        <v>256</v>
      </c>
      <c r="D49" s="16" t="s">
        <v>257</v>
      </c>
      <c r="E49" s="13"/>
    </row>
    <row r="50" customHeight="1" spans="1:5">
      <c r="A50" s="10">
        <v>8</v>
      </c>
      <c r="B50" s="11" t="s">
        <v>1025</v>
      </c>
      <c r="C50" s="4" t="s">
        <v>256</v>
      </c>
      <c r="D50" s="10" t="s">
        <v>342</v>
      </c>
      <c r="E50" s="13"/>
    </row>
    <row r="51" customHeight="1" spans="1:5">
      <c r="A51" s="10">
        <v>9</v>
      </c>
      <c r="B51" s="11" t="s">
        <v>258</v>
      </c>
      <c r="C51" s="4" t="s">
        <v>353</v>
      </c>
      <c r="D51" s="10" t="s">
        <v>266</v>
      </c>
      <c r="E51" s="13"/>
    </row>
    <row r="52" customHeight="1" spans="1:5">
      <c r="A52" s="10">
        <v>10</v>
      </c>
      <c r="B52" s="11" t="s">
        <v>315</v>
      </c>
      <c r="C52" s="4" t="s">
        <v>63</v>
      </c>
      <c r="D52" s="10" t="s">
        <v>24</v>
      </c>
      <c r="E52" s="13"/>
    </row>
    <row r="53" customHeight="1" spans="1:5">
      <c r="A53" s="10">
        <v>11</v>
      </c>
      <c r="B53" s="11" t="s">
        <v>316</v>
      </c>
      <c r="C53" s="4" t="s">
        <v>63</v>
      </c>
      <c r="D53" s="10" t="s">
        <v>24</v>
      </c>
      <c r="E53" s="13"/>
    </row>
    <row r="54" customHeight="1" spans="1:5">
      <c r="A54" s="10">
        <v>12</v>
      </c>
      <c r="B54" s="11" t="s">
        <v>317</v>
      </c>
      <c r="C54" s="4" t="s">
        <v>63</v>
      </c>
      <c r="D54" s="10" t="s">
        <v>24</v>
      </c>
      <c r="E54" s="13"/>
    </row>
    <row r="55" ht="25.5" customHeight="1" spans="1:5">
      <c r="A55" s="10"/>
      <c r="B55" s="20" t="s">
        <v>33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318</v>
      </c>
      <c r="C57" s="21"/>
      <c r="D57" s="21"/>
      <c r="E57" s="13"/>
    </row>
    <row r="58" customHeight="1" spans="1:5">
      <c r="A58" s="10">
        <v>1</v>
      </c>
      <c r="B58" s="11" t="s">
        <v>319</v>
      </c>
      <c r="C58" s="12" t="s">
        <v>320</v>
      </c>
      <c r="D58" s="15" t="s">
        <v>297</v>
      </c>
      <c r="E58" s="13"/>
    </row>
    <row r="59" customHeight="1" spans="1:5">
      <c r="A59" s="10">
        <v>2</v>
      </c>
      <c r="B59" s="11" t="s">
        <v>321</v>
      </c>
      <c r="C59" s="12" t="s">
        <v>322</v>
      </c>
      <c r="D59" s="15" t="s">
        <v>222</v>
      </c>
      <c r="E59" s="13"/>
    </row>
    <row r="60" customHeight="1" spans="1:5">
      <c r="A60" s="10"/>
      <c r="B60" s="20" t="s">
        <v>33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44</v>
      </c>
      <c r="C62" s="21"/>
      <c r="D62" s="21"/>
      <c r="E62" s="13"/>
    </row>
    <row r="63" customHeight="1" spans="1:5">
      <c r="A63" s="10">
        <v>1</v>
      </c>
      <c r="B63" s="11" t="s">
        <v>323</v>
      </c>
      <c r="C63" s="17" t="s">
        <v>324</v>
      </c>
      <c r="D63" s="10" t="s">
        <v>297</v>
      </c>
      <c r="E63" s="13"/>
    </row>
    <row r="64" customHeight="1" spans="1:5">
      <c r="A64" s="10">
        <v>2</v>
      </c>
      <c r="B64" s="18" t="s">
        <v>325</v>
      </c>
      <c r="C64" s="17" t="s">
        <v>326</v>
      </c>
      <c r="D64" s="15" t="s">
        <v>952</v>
      </c>
      <c r="E64" s="13"/>
    </row>
    <row r="65" customHeight="1" spans="1:5">
      <c r="A65" s="10">
        <v>3</v>
      </c>
      <c r="B65" s="11" t="s">
        <v>328</v>
      </c>
      <c r="C65" s="4" t="s">
        <v>46</v>
      </c>
      <c r="D65" s="10" t="s">
        <v>266</v>
      </c>
      <c r="E65" s="13"/>
    </row>
    <row r="66" customHeight="1" spans="1:5">
      <c r="A66" s="10">
        <v>4</v>
      </c>
      <c r="B66" s="18" t="s">
        <v>329</v>
      </c>
      <c r="C66" s="17" t="s">
        <v>46</v>
      </c>
      <c r="D66" s="15" t="s">
        <v>950</v>
      </c>
      <c r="E66" s="13"/>
    </row>
    <row r="67" customHeight="1" spans="1:5">
      <c r="A67" s="10">
        <v>5</v>
      </c>
      <c r="B67" s="14" t="s">
        <v>330</v>
      </c>
      <c r="C67" s="17" t="s">
        <v>256</v>
      </c>
      <c r="D67" s="15" t="s">
        <v>257</v>
      </c>
      <c r="E67" s="13"/>
    </row>
    <row r="68" customHeight="1" spans="1:5">
      <c r="A68" s="10">
        <v>6</v>
      </c>
      <c r="B68" s="14" t="s">
        <v>255</v>
      </c>
      <c r="C68" s="17" t="s">
        <v>256</v>
      </c>
      <c r="D68" s="15" t="s">
        <v>342</v>
      </c>
      <c r="E68" s="13"/>
    </row>
    <row r="69" customHeight="1" spans="1:5">
      <c r="A69" s="10">
        <v>7</v>
      </c>
      <c r="B69" s="11" t="s">
        <v>331</v>
      </c>
      <c r="C69" s="4" t="s">
        <v>63</v>
      </c>
      <c r="D69" s="10" t="s">
        <v>41</v>
      </c>
      <c r="E69" s="13"/>
    </row>
    <row r="70" customHeight="1" spans="1:5">
      <c r="A70" s="10">
        <v>8</v>
      </c>
      <c r="B70" s="11" t="s">
        <v>333</v>
      </c>
      <c r="C70" s="17" t="s">
        <v>275</v>
      </c>
      <c r="D70" s="15" t="s">
        <v>41</v>
      </c>
      <c r="E70" s="13"/>
    </row>
    <row r="71" customHeight="1" spans="1:5">
      <c r="A71" s="10">
        <v>9</v>
      </c>
      <c r="B71" s="11" t="s">
        <v>334</v>
      </c>
      <c r="C71" s="17" t="s">
        <v>275</v>
      </c>
      <c r="D71" s="15" t="s">
        <v>41</v>
      </c>
      <c r="E71" s="13"/>
    </row>
    <row r="72" customHeight="1" spans="1:5">
      <c r="A72" s="10">
        <v>10</v>
      </c>
      <c r="B72" s="11" t="s">
        <v>335</v>
      </c>
      <c r="C72" s="4" t="s">
        <v>336</v>
      </c>
      <c r="D72" s="10" t="s">
        <v>332</v>
      </c>
      <c r="E72" s="13"/>
    </row>
    <row r="73" customHeight="1" spans="1:5">
      <c r="A73" s="10">
        <v>11</v>
      </c>
      <c r="B73" s="11" t="s">
        <v>1115</v>
      </c>
      <c r="C73" s="17" t="s">
        <v>63</v>
      </c>
      <c r="D73" s="10" t="s">
        <v>301</v>
      </c>
      <c r="E73" s="13"/>
    </row>
    <row r="74" customHeight="1" spans="1:5">
      <c r="A74" s="10">
        <v>12</v>
      </c>
      <c r="B74" s="11" t="s">
        <v>281</v>
      </c>
      <c r="C74" s="17" t="s">
        <v>273</v>
      </c>
      <c r="D74" s="10" t="s">
        <v>283</v>
      </c>
      <c r="E74" s="13"/>
    </row>
    <row r="75" customHeight="1" spans="1:5">
      <c r="A75" s="10">
        <v>13</v>
      </c>
      <c r="B75" s="14" t="s">
        <v>272</v>
      </c>
      <c r="C75" s="17" t="s">
        <v>273</v>
      </c>
      <c r="D75" s="10" t="s">
        <v>294</v>
      </c>
      <c r="E75" s="13"/>
    </row>
    <row r="76" customHeight="1" spans="1:5">
      <c r="A76" s="10"/>
      <c r="B76" s="20" t="s">
        <v>33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51</v>
      </c>
      <c r="C78" s="21"/>
      <c r="D78" s="21"/>
      <c r="E78" s="13"/>
    </row>
    <row r="79" customHeight="1" spans="1:5">
      <c r="A79" s="10">
        <v>1</v>
      </c>
      <c r="B79" s="11" t="s">
        <v>338</v>
      </c>
      <c r="C79" s="4" t="s">
        <v>339</v>
      </c>
      <c r="D79" s="10" t="s">
        <v>297</v>
      </c>
      <c r="E79" s="13"/>
    </row>
    <row r="80" customHeight="1" spans="1:5">
      <c r="A80" s="10">
        <v>2</v>
      </c>
      <c r="B80" s="14" t="s">
        <v>220</v>
      </c>
      <c r="C80" s="4" t="s">
        <v>221</v>
      </c>
      <c r="D80" s="15" t="s">
        <v>952</v>
      </c>
      <c r="E80" s="13"/>
    </row>
    <row r="81" customHeight="1" spans="1:5">
      <c r="A81" s="10">
        <v>3</v>
      </c>
      <c r="B81" s="14" t="s">
        <v>1116</v>
      </c>
      <c r="C81" s="4" t="s">
        <v>1117</v>
      </c>
      <c r="D81" s="15" t="s">
        <v>952</v>
      </c>
      <c r="E81" s="13"/>
    </row>
    <row r="82" customHeight="1" spans="1:5">
      <c r="A82" s="10">
        <v>4</v>
      </c>
      <c r="B82" s="11" t="s">
        <v>340</v>
      </c>
      <c r="C82" s="4" t="s">
        <v>968</v>
      </c>
      <c r="D82" s="15" t="s">
        <v>266</v>
      </c>
      <c r="E82" s="13"/>
    </row>
    <row r="83" customHeight="1" spans="1:5">
      <c r="A83" s="10">
        <v>5</v>
      </c>
      <c r="B83" s="11" t="s">
        <v>343</v>
      </c>
      <c r="C83" s="4" t="s">
        <v>344</v>
      </c>
      <c r="D83" s="10" t="s">
        <v>301</v>
      </c>
      <c r="E83" s="13"/>
    </row>
    <row r="84" customHeight="1" spans="1:5">
      <c r="A84" s="10"/>
      <c r="B84" s="20" t="s">
        <v>33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56</v>
      </c>
      <c r="C86" s="25"/>
      <c r="D86" s="21"/>
      <c r="E86" s="13"/>
    </row>
    <row r="87" customHeight="1" spans="1:5">
      <c r="A87" s="10">
        <v>1</v>
      </c>
      <c r="B87" s="11" t="s">
        <v>349</v>
      </c>
      <c r="C87" s="4" t="s">
        <v>310</v>
      </c>
      <c r="D87" s="10" t="s">
        <v>249</v>
      </c>
      <c r="E87" s="13"/>
    </row>
    <row r="88" customHeight="1" spans="1:5">
      <c r="A88" s="10">
        <v>2</v>
      </c>
      <c r="B88" s="11" t="s">
        <v>350</v>
      </c>
      <c r="C88" s="4" t="s">
        <v>310</v>
      </c>
      <c r="D88" s="10" t="s">
        <v>249</v>
      </c>
      <c r="E88" s="13"/>
    </row>
    <row r="89" customHeight="1" spans="1:5">
      <c r="A89" s="10">
        <v>3</v>
      </c>
      <c r="B89" s="14" t="s">
        <v>386</v>
      </c>
      <c r="C89" s="4" t="s">
        <v>256</v>
      </c>
      <c r="D89" s="10" t="s">
        <v>254</v>
      </c>
      <c r="E89" s="13"/>
    </row>
    <row r="90" customHeight="1" spans="1:5">
      <c r="A90" s="10">
        <v>4</v>
      </c>
      <c r="B90" s="11" t="s">
        <v>351</v>
      </c>
      <c r="C90" s="4" t="s">
        <v>259</v>
      </c>
      <c r="D90" s="10" t="s">
        <v>257</v>
      </c>
      <c r="E90" s="13"/>
    </row>
    <row r="91" ht="21.6" customHeight="1" spans="1:5">
      <c r="A91" s="10">
        <v>5</v>
      </c>
      <c r="B91" s="11" t="s">
        <v>352</v>
      </c>
      <c r="C91" s="4" t="s">
        <v>353</v>
      </c>
      <c r="D91" s="15" t="s">
        <v>266</v>
      </c>
      <c r="E91" s="13"/>
    </row>
    <row r="92" ht="21.6" customHeight="1" spans="1:5">
      <c r="A92" s="10">
        <v>6</v>
      </c>
      <c r="B92" s="11" t="s">
        <v>354</v>
      </c>
      <c r="C92" s="12" t="s">
        <v>46</v>
      </c>
      <c r="D92" s="15" t="s">
        <v>950</v>
      </c>
      <c r="E92" s="13"/>
    </row>
    <row r="93" ht="21.6" customHeight="1" spans="1:5">
      <c r="A93" s="10">
        <v>7</v>
      </c>
      <c r="B93" s="11" t="s">
        <v>355</v>
      </c>
      <c r="C93" s="12" t="s">
        <v>46</v>
      </c>
      <c r="D93" s="15" t="s">
        <v>950</v>
      </c>
      <c r="E93" s="13"/>
    </row>
    <row r="94" ht="21.6" customHeight="1" spans="1:5">
      <c r="A94" s="10">
        <v>8</v>
      </c>
      <c r="B94" s="11" t="s">
        <v>357</v>
      </c>
      <c r="C94" s="17" t="s">
        <v>275</v>
      </c>
      <c r="D94" s="15" t="s">
        <v>41</v>
      </c>
      <c r="E94" s="13"/>
    </row>
    <row r="95" ht="21.6" customHeight="1" spans="1:5">
      <c r="A95" s="10">
        <v>9</v>
      </c>
      <c r="B95" s="11" t="s">
        <v>359</v>
      </c>
      <c r="C95" s="4" t="s">
        <v>360</v>
      </c>
      <c r="D95" s="10" t="s">
        <v>37</v>
      </c>
      <c r="E95" s="13"/>
    </row>
    <row r="96" ht="21.6" customHeight="1" spans="1:5">
      <c r="A96" s="10">
        <v>10</v>
      </c>
      <c r="B96" s="11" t="s">
        <v>361</v>
      </c>
      <c r="C96" s="17" t="s">
        <v>362</v>
      </c>
      <c r="D96" s="15" t="s">
        <v>294</v>
      </c>
      <c r="E96" s="13"/>
    </row>
    <row r="97" customHeight="1" spans="1:5">
      <c r="A97" s="10"/>
      <c r="B97" s="20" t="s">
        <v>33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58</v>
      </c>
      <c r="C99" s="21"/>
      <c r="D99" s="21"/>
      <c r="E99" s="13"/>
    </row>
    <row r="100" customHeight="1" spans="1:5">
      <c r="A100" s="10">
        <v>1</v>
      </c>
      <c r="B100" s="18" t="s">
        <v>232</v>
      </c>
      <c r="C100" s="10" t="s">
        <v>233</v>
      </c>
      <c r="D100" s="15" t="s">
        <v>308</v>
      </c>
      <c r="E100" s="13"/>
    </row>
    <row r="101" customHeight="1" spans="1:5">
      <c r="A101" s="10">
        <v>2</v>
      </c>
      <c r="B101" s="11" t="s">
        <v>250</v>
      </c>
      <c r="C101" s="4" t="s">
        <v>367</v>
      </c>
      <c r="D101" s="10" t="s">
        <v>257</v>
      </c>
      <c r="E101" s="13"/>
    </row>
    <row r="102" customHeight="1" spans="1:5">
      <c r="A102" s="10">
        <v>3</v>
      </c>
      <c r="B102" s="11" t="s">
        <v>368</v>
      </c>
      <c r="C102" s="4" t="s">
        <v>369</v>
      </c>
      <c r="D102" s="15" t="s">
        <v>332</v>
      </c>
      <c r="E102" s="13"/>
    </row>
    <row r="103" customHeight="1" spans="1:5">
      <c r="A103" s="10">
        <v>4</v>
      </c>
      <c r="B103" s="11" t="s">
        <v>370</v>
      </c>
      <c r="C103" s="4" t="s">
        <v>969</v>
      </c>
      <c r="D103" s="15" t="s">
        <v>945</v>
      </c>
      <c r="E103" s="13"/>
    </row>
    <row r="104" customHeight="1" spans="1:5">
      <c r="A104" s="4"/>
      <c r="B104" s="20" t="s">
        <v>33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372</v>
      </c>
      <c r="C106" s="4"/>
      <c r="D106" s="4"/>
      <c r="E106" s="13"/>
    </row>
    <row r="107" customHeight="1" spans="1:5">
      <c r="A107" s="4">
        <v>1</v>
      </c>
      <c r="B107" s="11" t="s">
        <v>373</v>
      </c>
      <c r="C107" s="12" t="s">
        <v>374</v>
      </c>
      <c r="D107" s="15" t="s">
        <v>297</v>
      </c>
      <c r="E107" s="13"/>
    </row>
    <row r="108" customHeight="1" spans="1:5">
      <c r="A108" s="4">
        <v>2</v>
      </c>
      <c r="B108" s="11" t="s">
        <v>375</v>
      </c>
      <c r="C108" s="4" t="s">
        <v>376</v>
      </c>
      <c r="D108" s="16" t="s">
        <v>308</v>
      </c>
      <c r="E108" s="13"/>
    </row>
    <row r="109" customHeight="1" spans="1:5">
      <c r="A109" s="4">
        <v>3</v>
      </c>
      <c r="B109" s="11" t="s">
        <v>377</v>
      </c>
      <c r="C109" s="4" t="s">
        <v>378</v>
      </c>
      <c r="D109" s="10" t="s">
        <v>263</v>
      </c>
      <c r="E109" s="13"/>
    </row>
    <row r="110" customHeight="1" spans="1:5">
      <c r="A110" s="4">
        <v>4</v>
      </c>
      <c r="B110" s="11" t="s">
        <v>379</v>
      </c>
      <c r="C110" s="4" t="s">
        <v>378</v>
      </c>
      <c r="D110" s="10" t="s">
        <v>263</v>
      </c>
      <c r="E110" s="13"/>
    </row>
    <row r="111" customHeight="1" spans="1:5">
      <c r="A111" s="4">
        <v>5</v>
      </c>
      <c r="B111" s="11" t="s">
        <v>380</v>
      </c>
      <c r="C111" s="4" t="s">
        <v>381</v>
      </c>
      <c r="D111" s="15" t="s">
        <v>384</v>
      </c>
      <c r="E111" s="13"/>
    </row>
    <row r="112" customHeight="1" spans="1:5">
      <c r="A112" s="4">
        <v>6</v>
      </c>
      <c r="B112" s="18" t="s">
        <v>383</v>
      </c>
      <c r="C112" s="4" t="s">
        <v>381</v>
      </c>
      <c r="D112" s="10" t="s">
        <v>945</v>
      </c>
      <c r="E112" s="13"/>
    </row>
    <row r="113" customHeight="1" spans="1:5">
      <c r="A113" s="4">
        <v>7</v>
      </c>
      <c r="B113" s="18" t="s">
        <v>385</v>
      </c>
      <c r="C113" s="4" t="s">
        <v>381</v>
      </c>
      <c r="D113" s="15" t="s">
        <v>294</v>
      </c>
      <c r="E113" s="13"/>
    </row>
    <row r="114" ht="25.5" customHeight="1" spans="1:5">
      <c r="A114" s="4"/>
      <c r="B114" s="20" t="s">
        <v>33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61</v>
      </c>
      <c r="C116" s="21"/>
      <c r="D116" s="21"/>
      <c r="E116" s="13"/>
    </row>
    <row r="117" customHeight="1" spans="1:5">
      <c r="A117" s="10">
        <v>1</v>
      </c>
      <c r="B117" s="11" t="s">
        <v>1033</v>
      </c>
      <c r="C117" s="17" t="s">
        <v>275</v>
      </c>
      <c r="D117" s="15" t="s">
        <v>271</v>
      </c>
      <c r="E117" s="13"/>
    </row>
    <row r="118" ht="18.75" customHeight="1" spans="1:5">
      <c r="A118" s="10">
        <v>2</v>
      </c>
      <c r="B118" s="11" t="s">
        <v>387</v>
      </c>
      <c r="C118" s="4" t="s">
        <v>388</v>
      </c>
      <c r="D118" s="15" t="s">
        <v>332</v>
      </c>
      <c r="E118" s="13"/>
    </row>
    <row r="119" ht="24.75" customHeight="1" spans="1:5">
      <c r="A119" s="4"/>
      <c r="B119" s="20" t="s">
        <v>33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67</v>
      </c>
      <c r="C121" s="21"/>
      <c r="D121" s="21"/>
      <c r="E121" s="13"/>
    </row>
    <row r="122" customHeight="1" spans="1:5">
      <c r="A122" s="4">
        <v>1</v>
      </c>
      <c r="B122" s="11" t="s">
        <v>392</v>
      </c>
      <c r="C122" s="12" t="s">
        <v>393</v>
      </c>
      <c r="D122" s="15" t="s">
        <v>297</v>
      </c>
      <c r="E122" s="13"/>
    </row>
    <row r="123" customHeight="1" spans="1:5">
      <c r="A123" s="4">
        <v>2</v>
      </c>
      <c r="B123" s="11" t="s">
        <v>1138</v>
      </c>
      <c r="C123" s="12" t="s">
        <v>1139</v>
      </c>
      <c r="D123" s="15" t="s">
        <v>231</v>
      </c>
      <c r="E123" s="13"/>
    </row>
    <row r="124" customHeight="1" spans="1:5">
      <c r="A124" s="4">
        <v>3</v>
      </c>
      <c r="B124" s="11" t="s">
        <v>128</v>
      </c>
      <c r="C124" s="12" t="s">
        <v>227</v>
      </c>
      <c r="D124" s="15" t="s">
        <v>249</v>
      </c>
      <c r="E124" s="13"/>
    </row>
    <row r="125" customHeight="1" spans="1:5">
      <c r="A125" s="4">
        <v>4</v>
      </c>
      <c r="B125" s="14" t="s">
        <v>395</v>
      </c>
      <c r="C125" s="12" t="s">
        <v>227</v>
      </c>
      <c r="D125" s="15" t="s">
        <v>249</v>
      </c>
      <c r="E125" s="13"/>
    </row>
    <row r="126" customHeight="1" spans="1:5">
      <c r="A126" s="4">
        <v>5</v>
      </c>
      <c r="B126" s="14" t="s">
        <v>226</v>
      </c>
      <c r="C126" s="12" t="s">
        <v>227</v>
      </c>
      <c r="D126" s="15" t="s">
        <v>228</v>
      </c>
      <c r="E126" s="13"/>
    </row>
    <row r="127" customHeight="1" spans="1:5">
      <c r="A127" s="4">
        <v>6</v>
      </c>
      <c r="B127" s="11" t="s">
        <v>396</v>
      </c>
      <c r="C127" s="12" t="s">
        <v>397</v>
      </c>
      <c r="D127" s="15" t="s">
        <v>342</v>
      </c>
      <c r="E127" s="13"/>
    </row>
    <row r="128" customHeight="1" spans="1:5">
      <c r="A128" s="4">
        <v>7</v>
      </c>
      <c r="B128" s="11" t="s">
        <v>398</v>
      </c>
      <c r="C128" s="12" t="s">
        <v>399</v>
      </c>
      <c r="D128" s="15" t="s">
        <v>266</v>
      </c>
      <c r="E128" s="13"/>
    </row>
    <row r="129" customHeight="1" spans="1:5">
      <c r="A129" s="4">
        <v>8</v>
      </c>
      <c r="B129" s="11" t="s">
        <v>400</v>
      </c>
      <c r="C129" s="12" t="s">
        <v>970</v>
      </c>
      <c r="D129" s="15" t="s">
        <v>266</v>
      </c>
      <c r="E129" s="13"/>
    </row>
    <row r="130" customHeight="1" spans="1:5">
      <c r="A130" s="4">
        <v>9</v>
      </c>
      <c r="B130" s="11" t="s">
        <v>401</v>
      </c>
      <c r="C130" s="12" t="s">
        <v>402</v>
      </c>
      <c r="D130" s="10" t="s">
        <v>283</v>
      </c>
      <c r="E130" s="13"/>
    </row>
    <row r="131" customHeight="1" spans="1:5">
      <c r="A131" s="4">
        <v>10</v>
      </c>
      <c r="B131" s="18" t="s">
        <v>403</v>
      </c>
      <c r="C131" s="12" t="s">
        <v>404</v>
      </c>
      <c r="D131" s="15" t="s">
        <v>30</v>
      </c>
      <c r="E131" s="13"/>
    </row>
    <row r="132" customHeight="1" spans="1:5">
      <c r="A132" s="4"/>
      <c r="B132" s="20" t="s">
        <v>33</v>
      </c>
      <c r="C132" s="26" t="s">
        <v>406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71</v>
      </c>
      <c r="C134" s="12"/>
      <c r="D134" s="15"/>
      <c r="E134" s="13"/>
    </row>
    <row r="135" customHeight="1" spans="1:5">
      <c r="A135" s="27">
        <v>1</v>
      </c>
      <c r="B135" s="11" t="s">
        <v>407</v>
      </c>
      <c r="C135" s="12" t="s">
        <v>408</v>
      </c>
      <c r="D135" s="15" t="s">
        <v>297</v>
      </c>
      <c r="E135" s="13"/>
    </row>
    <row r="136" customHeight="1" spans="1:5">
      <c r="A136" s="27">
        <v>2</v>
      </c>
      <c r="B136" s="11" t="s">
        <v>229</v>
      </c>
      <c r="C136" s="12" t="s">
        <v>230</v>
      </c>
      <c r="D136" s="15" t="s">
        <v>231</v>
      </c>
      <c r="E136" s="13"/>
    </row>
    <row r="137" customHeight="1" spans="1:5">
      <c r="A137" s="27">
        <v>3</v>
      </c>
      <c r="B137" s="14" t="s">
        <v>409</v>
      </c>
      <c r="C137" s="4" t="s">
        <v>410</v>
      </c>
      <c r="D137" s="16" t="s">
        <v>308</v>
      </c>
      <c r="E137" s="13"/>
    </row>
    <row r="138" customHeight="1" spans="1:5">
      <c r="A138" s="27">
        <v>4</v>
      </c>
      <c r="B138" s="11" t="s">
        <v>411</v>
      </c>
      <c r="C138" s="12" t="s">
        <v>412</v>
      </c>
      <c r="D138" s="15" t="s">
        <v>257</v>
      </c>
      <c r="E138" s="13"/>
    </row>
    <row r="139" customHeight="1" spans="1:5">
      <c r="A139" s="27">
        <v>5</v>
      </c>
      <c r="B139" s="11" t="s">
        <v>413</v>
      </c>
      <c r="C139" s="4" t="s">
        <v>414</v>
      </c>
      <c r="D139" s="15" t="s">
        <v>257</v>
      </c>
      <c r="E139" s="13"/>
    </row>
    <row r="140" customHeight="1" spans="1:5">
      <c r="A140" s="27">
        <v>6</v>
      </c>
      <c r="B140" s="11" t="s">
        <v>366</v>
      </c>
      <c r="C140" s="4" t="s">
        <v>420</v>
      </c>
      <c r="D140" s="15" t="s">
        <v>266</v>
      </c>
      <c r="E140" s="13"/>
    </row>
    <row r="141" customHeight="1" spans="1:5">
      <c r="A141" s="27">
        <v>7</v>
      </c>
      <c r="B141" s="11" t="s">
        <v>416</v>
      </c>
      <c r="C141" s="12" t="s">
        <v>417</v>
      </c>
      <c r="D141" s="15" t="s">
        <v>271</v>
      </c>
      <c r="E141" s="13"/>
    </row>
    <row r="142" customHeight="1" spans="1:5">
      <c r="A142" s="27">
        <v>8</v>
      </c>
      <c r="B142" s="11" t="s">
        <v>418</v>
      </c>
      <c r="C142" s="12" t="s">
        <v>417</v>
      </c>
      <c r="D142" s="15" t="s">
        <v>271</v>
      </c>
      <c r="E142" s="13"/>
    </row>
    <row r="143" customHeight="1" spans="1:5">
      <c r="A143" s="27">
        <v>9</v>
      </c>
      <c r="B143" s="11" t="s">
        <v>419</v>
      </c>
      <c r="C143" s="4" t="s">
        <v>420</v>
      </c>
      <c r="D143" s="15" t="s">
        <v>271</v>
      </c>
      <c r="E143" s="13"/>
    </row>
    <row r="144" customHeight="1" spans="1:5">
      <c r="A144" s="27">
        <v>10</v>
      </c>
      <c r="B144" s="11" t="s">
        <v>421</v>
      </c>
      <c r="C144" s="12" t="s">
        <v>422</v>
      </c>
      <c r="D144" s="15" t="s">
        <v>332</v>
      </c>
      <c r="E144" s="13"/>
    </row>
    <row r="145" customHeight="1" spans="1:5">
      <c r="A145" s="27">
        <v>11</v>
      </c>
      <c r="B145" s="11" t="s">
        <v>423</v>
      </c>
      <c r="C145" s="12" t="s">
        <v>971</v>
      </c>
      <c r="D145" s="15" t="s">
        <v>432</v>
      </c>
      <c r="E145" s="13"/>
    </row>
    <row r="146" customHeight="1" spans="1:5">
      <c r="A146" s="27">
        <v>12</v>
      </c>
      <c r="B146" s="11" t="s">
        <v>425</v>
      </c>
      <c r="C146" s="12" t="s">
        <v>426</v>
      </c>
      <c r="D146" s="15" t="s">
        <v>271</v>
      </c>
      <c r="E146" s="13"/>
    </row>
    <row r="147" customHeight="1" spans="1:5">
      <c r="A147" s="27">
        <v>13</v>
      </c>
      <c r="B147" s="18" t="s">
        <v>427</v>
      </c>
      <c r="C147" s="4" t="s">
        <v>437</v>
      </c>
      <c r="D147" s="15" t="s">
        <v>432</v>
      </c>
      <c r="E147" s="13"/>
    </row>
    <row r="148" customHeight="1" spans="1:5">
      <c r="A148" s="27">
        <v>14</v>
      </c>
      <c r="B148" s="11" t="s">
        <v>429</v>
      </c>
      <c r="C148" s="4" t="s">
        <v>430</v>
      </c>
      <c r="D148" s="15" t="s">
        <v>301</v>
      </c>
      <c r="E148" s="13"/>
    </row>
    <row r="149" customHeight="1" spans="1:5">
      <c r="A149" s="27">
        <v>15</v>
      </c>
      <c r="B149" s="11" t="s">
        <v>431</v>
      </c>
      <c r="C149" s="4" t="s">
        <v>430</v>
      </c>
      <c r="D149" s="15" t="s">
        <v>345</v>
      </c>
      <c r="E149" s="13"/>
    </row>
    <row r="150" customHeight="1" spans="1:5">
      <c r="A150" s="27">
        <v>16</v>
      </c>
      <c r="B150" s="11" t="s">
        <v>433</v>
      </c>
      <c r="C150" s="4" t="s">
        <v>430</v>
      </c>
      <c r="D150" s="15" t="s">
        <v>345</v>
      </c>
      <c r="E150" s="13"/>
    </row>
    <row r="151" customHeight="1" spans="1:5">
      <c r="A151" s="27">
        <v>17</v>
      </c>
      <c r="B151" s="11" t="s">
        <v>434</v>
      </c>
      <c r="C151" s="12" t="s">
        <v>435</v>
      </c>
      <c r="D151" s="15" t="s">
        <v>37</v>
      </c>
      <c r="E151" s="13"/>
    </row>
    <row r="152" customHeight="1" spans="1:5">
      <c r="A152" s="27">
        <v>18</v>
      </c>
      <c r="B152" s="11" t="s">
        <v>953</v>
      </c>
      <c r="C152" s="12" t="s">
        <v>437</v>
      </c>
      <c r="D152" s="10" t="s">
        <v>24</v>
      </c>
      <c r="E152" s="13"/>
    </row>
    <row r="153" customHeight="1" spans="1:5">
      <c r="A153" s="27">
        <v>19</v>
      </c>
      <c r="B153" s="11" t="s">
        <v>438</v>
      </c>
      <c r="C153" s="12" t="s">
        <v>439</v>
      </c>
      <c r="D153" s="15" t="s">
        <v>301</v>
      </c>
      <c r="E153" s="13"/>
    </row>
    <row r="154" customHeight="1" spans="1:5">
      <c r="A154" s="27">
        <v>20</v>
      </c>
      <c r="B154" s="11" t="s">
        <v>440</v>
      </c>
      <c r="C154" s="12" t="s">
        <v>441</v>
      </c>
      <c r="D154" s="15" t="s">
        <v>283</v>
      </c>
      <c r="E154" s="13"/>
    </row>
    <row r="155" customHeight="1" spans="1:5">
      <c r="A155" s="27">
        <v>21</v>
      </c>
      <c r="B155" s="11" t="s">
        <v>442</v>
      </c>
      <c r="C155" s="12" t="s">
        <v>443</v>
      </c>
      <c r="D155" s="15" t="s">
        <v>301</v>
      </c>
      <c r="E155" s="13"/>
    </row>
    <row r="156" customHeight="1" spans="1:5">
      <c r="A156" s="27">
        <v>22</v>
      </c>
      <c r="B156" s="11" t="s">
        <v>444</v>
      </c>
      <c r="C156" s="12" t="s">
        <v>445</v>
      </c>
      <c r="D156" s="15" t="s">
        <v>283</v>
      </c>
      <c r="E156" s="13"/>
    </row>
    <row r="157" customHeight="1" spans="1:5">
      <c r="A157" s="27">
        <v>23</v>
      </c>
      <c r="B157" s="18" t="s">
        <v>446</v>
      </c>
      <c r="C157" s="12" t="s">
        <v>451</v>
      </c>
      <c r="D157" s="15" t="s">
        <v>945</v>
      </c>
      <c r="E157" s="13"/>
    </row>
    <row r="158" customHeight="1" spans="1:5">
      <c r="A158" s="27">
        <v>24</v>
      </c>
      <c r="B158" s="18" t="s">
        <v>448</v>
      </c>
      <c r="C158" s="12" t="s">
        <v>449</v>
      </c>
      <c r="D158" s="15" t="s">
        <v>30</v>
      </c>
      <c r="E158" s="13"/>
    </row>
    <row r="159" customHeight="1" spans="1:5">
      <c r="A159" s="27">
        <v>25</v>
      </c>
      <c r="B159" s="18" t="s">
        <v>450</v>
      </c>
      <c r="C159" s="12" t="s">
        <v>451</v>
      </c>
      <c r="D159" s="15" t="s">
        <v>30</v>
      </c>
      <c r="E159" s="13"/>
    </row>
    <row r="160" customHeight="1" spans="1:5">
      <c r="A160" s="27">
        <v>26</v>
      </c>
      <c r="B160" s="18" t="s">
        <v>452</v>
      </c>
      <c r="C160" s="12" t="s">
        <v>453</v>
      </c>
      <c r="D160" s="15" t="s">
        <v>294</v>
      </c>
      <c r="E160" s="13"/>
    </row>
    <row r="161" customHeight="1" spans="1:5">
      <c r="A161" s="27">
        <v>27</v>
      </c>
      <c r="B161" s="18" t="s">
        <v>454</v>
      </c>
      <c r="C161" s="12" t="s">
        <v>455</v>
      </c>
      <c r="D161" s="15" t="s">
        <v>294</v>
      </c>
      <c r="E161" s="13"/>
    </row>
    <row r="162" customHeight="1" spans="1:5">
      <c r="A162" s="27">
        <v>28</v>
      </c>
      <c r="B162" s="11" t="s">
        <v>457</v>
      </c>
      <c r="C162" s="12" t="s">
        <v>458</v>
      </c>
      <c r="D162" s="15" t="s">
        <v>465</v>
      </c>
      <c r="E162" s="13"/>
    </row>
    <row r="163" customHeight="1" spans="1:5">
      <c r="A163" s="27">
        <v>29</v>
      </c>
      <c r="B163" s="11" t="s">
        <v>460</v>
      </c>
      <c r="C163" s="12" t="s">
        <v>458</v>
      </c>
      <c r="D163" s="15" t="s">
        <v>465</v>
      </c>
      <c r="E163" s="13"/>
    </row>
    <row r="164" customHeight="1" spans="1:5">
      <c r="A164" s="27">
        <v>30</v>
      </c>
      <c r="B164" s="11" t="s">
        <v>461</v>
      </c>
      <c r="C164" s="12" t="s">
        <v>458</v>
      </c>
      <c r="D164" s="15" t="s">
        <v>465</v>
      </c>
      <c r="E164" s="13"/>
    </row>
    <row r="165" customHeight="1" spans="1:5">
      <c r="A165" s="27">
        <v>31</v>
      </c>
      <c r="B165" s="11" t="s">
        <v>462</v>
      </c>
      <c r="C165" s="12" t="s">
        <v>458</v>
      </c>
      <c r="D165" s="15" t="s">
        <v>465</v>
      </c>
      <c r="E165" s="13"/>
    </row>
    <row r="166" customHeight="1" spans="1:5">
      <c r="A166" s="27">
        <v>32</v>
      </c>
      <c r="B166" s="11" t="s">
        <v>463</v>
      </c>
      <c r="C166" s="12" t="s">
        <v>458</v>
      </c>
      <c r="D166" s="15" t="s">
        <v>465</v>
      </c>
      <c r="E166" s="13"/>
    </row>
    <row r="167" customHeight="1" spans="1:5">
      <c r="A167" s="27">
        <v>33</v>
      </c>
      <c r="B167" s="11" t="s">
        <v>464</v>
      </c>
      <c r="C167" s="12" t="s">
        <v>458</v>
      </c>
      <c r="D167" s="15" t="s">
        <v>476</v>
      </c>
      <c r="E167" s="13"/>
    </row>
    <row r="168" customHeight="1" spans="1:5">
      <c r="A168" s="27">
        <v>34</v>
      </c>
      <c r="B168" s="11" t="s">
        <v>466</v>
      </c>
      <c r="C168" s="12" t="s">
        <v>458</v>
      </c>
      <c r="D168" s="15" t="s">
        <v>476</v>
      </c>
      <c r="E168" s="13"/>
    </row>
    <row r="169" customHeight="1" spans="1:5">
      <c r="A169" s="27">
        <v>35</v>
      </c>
      <c r="B169" s="11" t="s">
        <v>1121</v>
      </c>
      <c r="C169" s="12" t="s">
        <v>458</v>
      </c>
      <c r="D169" s="15" t="s">
        <v>476</v>
      </c>
      <c r="E169" s="13"/>
    </row>
    <row r="170" customHeight="1" spans="1:5">
      <c r="A170" s="27">
        <v>36</v>
      </c>
      <c r="B170" s="14" t="s">
        <v>467</v>
      </c>
      <c r="C170" s="12" t="s">
        <v>458</v>
      </c>
      <c r="D170" s="15" t="s">
        <v>476</v>
      </c>
      <c r="E170" s="13"/>
    </row>
    <row r="171" customHeight="1" spans="1:5">
      <c r="A171" s="27">
        <v>37</v>
      </c>
      <c r="B171" s="11" t="s">
        <v>468</v>
      </c>
      <c r="C171" s="12" t="s">
        <v>458</v>
      </c>
      <c r="D171" s="15" t="s">
        <v>476</v>
      </c>
      <c r="E171" s="13"/>
    </row>
    <row r="172" customHeight="1" spans="1:5">
      <c r="A172" s="27">
        <v>38</v>
      </c>
      <c r="B172" s="18" t="s">
        <v>469</v>
      </c>
      <c r="C172" s="12" t="s">
        <v>458</v>
      </c>
      <c r="D172" s="15" t="s">
        <v>476</v>
      </c>
      <c r="E172" s="13"/>
    </row>
    <row r="173" customHeight="1" spans="1:5">
      <c r="A173" s="27">
        <v>39</v>
      </c>
      <c r="B173" s="18" t="s">
        <v>470</v>
      </c>
      <c r="C173" s="12" t="s">
        <v>458</v>
      </c>
      <c r="D173" s="15" t="s">
        <v>476</v>
      </c>
      <c r="E173" s="13"/>
    </row>
    <row r="174" customHeight="1" spans="1:5">
      <c r="A174" s="27">
        <v>40</v>
      </c>
      <c r="B174" s="11" t="s">
        <v>471</v>
      </c>
      <c r="C174" s="12" t="s">
        <v>478</v>
      </c>
      <c r="D174" s="15" t="s">
        <v>479</v>
      </c>
      <c r="E174" s="13"/>
    </row>
    <row r="175" customHeight="1" spans="1:5">
      <c r="A175" s="27">
        <v>41</v>
      </c>
      <c r="B175" s="11" t="s">
        <v>474</v>
      </c>
      <c r="C175" s="12" t="s">
        <v>478</v>
      </c>
      <c r="D175" s="15" t="s">
        <v>479</v>
      </c>
      <c r="E175" s="13"/>
    </row>
    <row r="176" customHeight="1" spans="1:5">
      <c r="A176" s="27">
        <v>42</v>
      </c>
      <c r="B176" s="18" t="s">
        <v>475</v>
      </c>
      <c r="C176" s="12" t="s">
        <v>478</v>
      </c>
      <c r="D176" s="15" t="s">
        <v>948</v>
      </c>
      <c r="E176" s="13"/>
    </row>
    <row r="177" customHeight="1" spans="1:5">
      <c r="A177" s="27">
        <v>43</v>
      </c>
      <c r="B177" s="11" t="s">
        <v>477</v>
      </c>
      <c r="C177" s="12" t="s">
        <v>478</v>
      </c>
      <c r="D177" s="15" t="s">
        <v>954</v>
      </c>
      <c r="E177" s="13"/>
    </row>
    <row r="178" customHeight="1" spans="1:5">
      <c r="A178" s="27">
        <v>44</v>
      </c>
      <c r="B178" s="11" t="s">
        <v>480</v>
      </c>
      <c r="C178" s="12" t="s">
        <v>481</v>
      </c>
      <c r="D178" s="15" t="s">
        <v>955</v>
      </c>
      <c r="E178" s="13"/>
    </row>
    <row r="179" customHeight="1" spans="1:5">
      <c r="A179" s="27">
        <v>45</v>
      </c>
      <c r="B179" s="11" t="s">
        <v>483</v>
      </c>
      <c r="C179" s="12" t="s">
        <v>481</v>
      </c>
      <c r="D179" s="15" t="s">
        <v>955</v>
      </c>
      <c r="E179" s="13"/>
    </row>
    <row r="180" customHeight="1" spans="1:5">
      <c r="A180" s="27">
        <v>46</v>
      </c>
      <c r="B180" s="11" t="s">
        <v>484</v>
      </c>
      <c r="C180" s="12" t="s">
        <v>481</v>
      </c>
      <c r="D180" s="15" t="s">
        <v>955</v>
      </c>
      <c r="E180" s="13"/>
    </row>
    <row r="181" customHeight="1" spans="1:5">
      <c r="A181" s="27">
        <v>47</v>
      </c>
      <c r="B181" s="11" t="s">
        <v>485</v>
      </c>
      <c r="C181" s="12" t="s">
        <v>481</v>
      </c>
      <c r="D181" s="15" t="s">
        <v>955</v>
      </c>
      <c r="E181" s="13"/>
    </row>
    <row r="182" customHeight="1" spans="1:5">
      <c r="A182" s="27">
        <v>48</v>
      </c>
      <c r="B182" s="11" t="s">
        <v>486</v>
      </c>
      <c r="C182" s="12" t="s">
        <v>481</v>
      </c>
      <c r="D182" s="15" t="s">
        <v>955</v>
      </c>
      <c r="E182" s="13"/>
    </row>
    <row r="183" customHeight="1" spans="1:5">
      <c r="A183" s="27">
        <v>49</v>
      </c>
      <c r="B183" s="18" t="s">
        <v>487</v>
      </c>
      <c r="C183" s="12" t="s">
        <v>481</v>
      </c>
      <c r="D183" s="15" t="s">
        <v>955</v>
      </c>
      <c r="E183" s="13"/>
    </row>
    <row r="184" customHeight="1" spans="1:5">
      <c r="A184" s="27">
        <v>50</v>
      </c>
      <c r="B184" s="18" t="s">
        <v>488</v>
      </c>
      <c r="C184" s="12" t="s">
        <v>481</v>
      </c>
      <c r="D184" s="15" t="s">
        <v>955</v>
      </c>
      <c r="E184" s="13"/>
    </row>
    <row r="185" customHeight="1" spans="1:5">
      <c r="A185" s="27">
        <v>51</v>
      </c>
      <c r="B185" s="11" t="s">
        <v>489</v>
      </c>
      <c r="C185" s="12" t="s">
        <v>478</v>
      </c>
      <c r="D185" s="15" t="s">
        <v>955</v>
      </c>
      <c r="E185" s="13"/>
    </row>
    <row r="186" customHeight="1" spans="1:5">
      <c r="A186" s="27">
        <v>52</v>
      </c>
      <c r="B186" s="11" t="s">
        <v>490</v>
      </c>
      <c r="C186" s="12" t="s">
        <v>478</v>
      </c>
      <c r="D186" s="15" t="s">
        <v>955</v>
      </c>
      <c r="E186" s="13"/>
    </row>
    <row r="187" customHeight="1" spans="1:5">
      <c r="A187" s="27">
        <v>53</v>
      </c>
      <c r="B187" s="18" t="s">
        <v>491</v>
      </c>
      <c r="C187" s="12" t="s">
        <v>481</v>
      </c>
      <c r="D187" s="15" t="s">
        <v>972</v>
      </c>
      <c r="E187" s="13"/>
    </row>
    <row r="188" customHeight="1" spans="1:5">
      <c r="A188" s="27">
        <v>54</v>
      </c>
      <c r="B188" s="18" t="s">
        <v>493</v>
      </c>
      <c r="C188" s="12" t="s">
        <v>481</v>
      </c>
      <c r="D188" s="15" t="s">
        <v>956</v>
      </c>
      <c r="E188" s="13"/>
    </row>
    <row r="189" customHeight="1" spans="1:5">
      <c r="A189" s="27"/>
      <c r="B189" s="8" t="s">
        <v>33</v>
      </c>
      <c r="C189" s="28" t="s">
        <v>1124</v>
      </c>
      <c r="D189" s="29"/>
      <c r="E189" s="13"/>
    </row>
    <row r="190" ht="32.25" customHeight="1" spans="1:5">
      <c r="A190" s="4"/>
      <c r="B190" s="30" t="s">
        <v>80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APRIL 2025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2024-11-05T10:29:00Z</cp:lastPrinted>
  <dcterms:modified xsi:type="dcterms:W3CDTF">2025-04-28T15:01:22Z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FABA441B5B4440E1A4E3B0637A111234_13</vt:lpwstr>
  </property>
  <property fmtid="{D5CDD505-2E9C-101B-9397-08002B2CF9AE}" pid="3" name="KSOProductBuildVer">
    <vt:lpwstr>1033-12.2.0.20795</vt:lpwstr>
  </property>
</Properties>
</file>